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DF8FE975-E393-4666-893F-9F64FED111CB}" xr6:coauthVersionLast="47" xr6:coauthVersionMax="47" xr10:uidLastSave="{810AE291-7BE6-4409-BDDF-98210C537086}"/>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<sst xmlns="http://schemas.openxmlformats.org/spreadsheetml/2006/main" count="1159" uniqueCount="416">
  <si>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</si>
  <si>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</si>
  <si>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</si>
  <si>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</si>
  <si>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</si>
  <si>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</si>
  <si>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</si>
  <si>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</si>
  <si>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</si>
  <si>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</si>
  <si>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</si>
  <si>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</si>
  <si>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</si>
  <si>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</si>
  <si>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</si>
  <si>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</si>
  <si>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</si>
  <si>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</si>
  <si>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</si>
  <si>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</si>
  <si>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</si>
  <si>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</si>
  <si>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</si>
  <si>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</si>
  <si>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</si>
  <si>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</si>
  <si>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</si>
  <si>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</si>
  <si>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</si>
  <si>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</si>
  <si>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</si>
  <si>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</si>
  <si>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</si>
  <si>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</si>
  <si>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</si>
  <si>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</si>
  <si>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</si>
  <si>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</si>
  <si>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</si>
  <si>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</si>
  <si>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</si>
  <si>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</si>
  <si>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</si>
  <si>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</si>
  <si>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</si>
  <si>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</si>
  <si>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</si>
  <si>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</si>
  <si>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</si>
  <si>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</si>
  <si>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</si>
  <si>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</si>
  <si>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</si>
  <si>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</si>
  <si>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</si>
  <si>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</si>
  <si>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</si>
  <si>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</si>
  <si>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</si>
  <si>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</si>
  <si>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</si>
  <si>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</si>
  <si>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</si>
  <si>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</si>
  <si>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</si>
  <si>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</si>
  <si>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</si>
  <si>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</si>
  <si>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</si>
  <si>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</si>
  <si>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</si>
  <si>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</si>
  <si>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</si>
  <si>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</si>
  <si>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</si>
  <si>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</si>
  <si>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</si>
  <si>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</si>
  <si>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</si>
  <si>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</si>
  <si>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</si>
  <si>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</si>
  <si>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</si>
  <si>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</si>
  <si>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</si>
  <si>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</si>
  <si>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</si>
  <si>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</si>
  <si>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</si>
  <si>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</si>
  <si>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</si>
  <si>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</si>
  <si>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</si>
  <si>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</si>
  <si>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</si>
  <si>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</si>
  <si>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</si>
  <si>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</si>
  <si>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</si>
  <si>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</si>
  <si>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</si>
  <si>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</si>
  <si>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</si>
  <si>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</si>
  <si>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</si>
  <si>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</si>
  <si>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</si>
  <si>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</si>
  <si>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</si>
  <si>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</si>
  <si>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</si>
  <si>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</si>
  <si>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</si>
  <si>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</si>
  <si>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</si>
  <si>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</si>
  <si>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</si>
  <si>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</si>
  <si>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</si>
  <si>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</si>
  <si>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</si>
  <si>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</si>
  <si>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</si>
  <si>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</si>
  <si>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</si>
  <si>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</si>
  <si>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</si>
  <si>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</si>
  <si>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</si>
  <si>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</si>
  <si>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</si>
  <si>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</si>
  <si>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</si>
  <si>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</si>
  <si>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</si>
  <si>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</si>
  <si>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</si>
  <si>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</si>
  <si>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</si>
  <si>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</si>
  <si>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</si>
  <si>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</si>
  <si>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</si>
  <si>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</si>
  <si>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</si>
  <si>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</si>
  <si>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</si>
  <si>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</si>
  <si>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</si>
  <si>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</si>
  <si>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</si>
  <si>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</si>
  <si>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</si>
  <si>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</si>
  <si>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</si>
  <si>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</si>
  <si>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</si>
  <si>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</si>
  <si>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</si>
  <si>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</si>
  <si>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</si>
  <si>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</si>
  <si>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</si>
  <si>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</si>
  <si>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</si>
  <si>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</si>
  <si>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</si>
  <si>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</si>
  <si>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</si>
  <si>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</si>
  <si>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</si>
  <si>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</si>
  <si>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</si>
  <si>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</si>
  <si>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</si>
  <si>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</si>
  <si>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</si>
  <si>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</si>
  <si>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</si>
  <si>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</si>
  <si>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</si>
  <si>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</si>
  <si>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</si>
  <si>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</si>
  <si>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</si>
  <si>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</si>
  <si>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</si>
  <si>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</si>
  <si>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</si>
  <si>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</si>
  <si>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</si>
  <si>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</si>
  <si>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</si>
  <si>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</si>
  <si>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</si>
  <si>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</si>
  <si>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</si>
  <si>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</si>
  <si>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</si>
  <si>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</si>
  <si>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</si>
  <si>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</si>
  <si>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</si>
  <si>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</si>
  <si>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</si>
  <si>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</si>
  <si>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</si>
  <si>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</si>
  <si>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</si>
  <si>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</si>
  <si>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</si>
  <si>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</si>
  <si>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</si>
  <si>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</si>
  <si>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</si>
  <si>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</si>
  <si>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</si>
  <si>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</si>
  <si>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</si>
  <si>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</si>
  <si>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</si>
  <si>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</si>
  <si>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</si>
  <si>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</si>
  <si>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</si>
  <si>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</si>
  <si>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</si>
  <si>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</si>
  <si>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</si>
  <si>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</si>
  <si>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</si>
  <si>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</si>
  <si>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</si>
  <si>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</si>
  <si>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</si>
  <si>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</si>
  <si>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</si>
  <si>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</si>
  <si>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</si>
  <si>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</si>
  <si>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</si>
  <si>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</si>
  <si>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</si>
  <si>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</si>
  <si>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</si>
  <si>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</si>
  <si>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</si>
  <si>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</si>
  <si>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</si>
  <si>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</si>
  <si>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</si>
  <si>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</si>
  <si>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</si>
  <si>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</si>
  <si>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</si>
  <si>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</si>
  <si>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</si>
  <si>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</si>
  <si>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</si>
  <si>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</si>
  <si>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</si>
  <si>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</si>
  <si>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</si>
  <si>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</si>
  <si>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</si>
  <si>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</si>
  <si>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</si>
  <si>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</si>
  <si>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</si>
  <si>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</si>
  <si>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</si>
  <si>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</si>
  <si>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</si>
  <si>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</si>
  <si>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</si>
  <si>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</si>
  <si>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</si>
  <si>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</si>
  <si>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</si>
  <si>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</si>
  <si>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</si>
  <si>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</si>
  <si>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</si>
  <si>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</si>
  <si>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</si>
  <si>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</si>
  <si>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</si>
  <si>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</si>
  <si>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</si>
  <si>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</si>
  <si>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</si>
  <si>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</si>
  <si>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</si>
  <si>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</si>
  <si>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</si>
  <si>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</si>
  <si>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</si>
  <si>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</si>
  <si>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</si>
  <si>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</si>
  <si>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</si>
  <si>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</si>
  <si>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</si>
  <si>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</si>
  <si>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</si>
  <si>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</si>
  <si>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</si>
  <si>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</si>
  <si>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</si>
  <si>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</si>
  <si>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</si>
  <si>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</si>
  <si>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</si>
  <si>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</si>
  <si>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</si>
  <si>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</si>
  <si>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</si>
  <si>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</si>
  <si>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</si>
  <si>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</si>
  <si>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</si>
  <si>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</si>
  <si>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</si>
  <si>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</si>
  <si>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</si>
  <si>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</si>
  <si>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</si>
  <si>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</si>
  <si>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</si>
  <si>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</si>
  <si>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</si>
  <si>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</si>
  <si>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</si>
  <si>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</si>
  <si>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</si>
  <si>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</si>
  <si>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</si>
  <si>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</si>
  <si>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</si>
  <si>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</si>
  <si>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</si>
  <si>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</si>
  <si>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</si>
  <si>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</si>
  <si>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</si>
  <si>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</si>
  <si>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</si>
  <si>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</si>
  <si>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</si>
  <si>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</si>
  <si>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</si>
  <si>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</si>
  <si>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</si>
  <si>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</si>
  <si>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</si>
  <si>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</si>
  <si>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</si>
  <si>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</si>
  <si>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</si>
  <si>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</si>
  <si>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</si>
  <si>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</si>
  <si>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</si>
  <si>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</si>
  <si>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</si>
  <si>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</si>
  <si>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</si>
  <si>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</si>
  <si>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</si>
  <si>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</si>
  <si>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</si>
  <si>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</si>
  <si>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</si>
  <si>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</si>
  <si>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</si>
  <si>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</si>
  <si>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</si>
  <si>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</si>
  <si>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</si>
  <si>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</si>
  <si>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</si>
  <si>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</si>
  <si>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</si>
  <si>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</si>
  <si>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</si>
  <si>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</si>
  <si>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</si>
  <si>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</si>
  <si>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</si>
  <si>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</si>
  <si>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</si>
  <si>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</si>
  <si>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</si>
  <si>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</si>
  <si>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</si>
  <si>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</si>
  <si>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</si>
  <si>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</si>
  <si>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</si>
  <si>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</si>
  <si>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</si>
  <si>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</si>
  <si>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</si>
  <si>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</si>
  <si>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</si>
  <si>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</si>
  <si>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</si>
  <si>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</si>
  <si>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</si>
  <si>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</si>
  <si>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ENTRADA</t>
  </si>
  <si>
    <t>110</t>
  </si>
  <si>
    <t>AFTS</t>
  </si>
  <si>
    <t>BT2000/S</t>
  </si>
  <si>
    <t>IND52IC1342</t>
  </si>
  <si>
    <t>003760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</si>
</sst>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quotePrefix="1"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8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502\</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351</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P62" sqref="P62"/>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7" t="s">
        <v>138</v>
      </c>
      <c r="C2" s="468"/>
      <c r="D2" s="468"/>
      <c r="E2" s="468"/>
      <c r="F2" s="377" t="s">
        <v>411</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502\</v>
      </c>
      <c r="B5" s="390" t="s">
        <v>16</v>
      </c>
      <c r="C5" s="391"/>
      <c r="D5" s="391"/>
      <c r="E5" s="380" t="s">
        <v>374</v>
      </c>
      <c r="F5" s="380"/>
      <c r="G5" s="380"/>
      <c r="H5" s="380"/>
      <c r="I5" s="380"/>
      <c r="J5" s="380"/>
      <c r="K5" s="380"/>
      <c r="L5" s="380"/>
      <c r="M5" s="461" t="s">
        <v>169</v>
      </c>
      <c r="N5" s="461"/>
      <c r="O5" s="461"/>
      <c r="P5" s="461"/>
      <c r="Q5" s="464">
        <v>45451</v>
      </c>
      <c r="R5" s="464"/>
      <c r="S5" s="464"/>
      <c r="T5" s="457" t="s">
        <v>336</v>
      </c>
      <c r="U5" s="457"/>
      <c r="V5" s="380">
        <v>502</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412</v>
      </c>
      <c r="F8" s="380"/>
      <c r="G8" s="380"/>
      <c r="H8" s="380"/>
      <c r="I8" s="380"/>
      <c r="J8" s="380"/>
      <c r="K8" s="380"/>
      <c r="L8" s="380"/>
      <c r="N8" s="391" t="s">
        <v>213</v>
      </c>
      <c r="O8" s="391"/>
      <c r="P8" s="391"/>
      <c r="Q8" s="391"/>
      <c r="R8" s="458">
        <v>2000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413</v>
      </c>
      <c r="F9" s="453"/>
      <c r="G9" s="453"/>
      <c r="H9" s="453"/>
      <c r="I9" s="453"/>
      <c r="J9" s="453"/>
      <c r="K9" s="453"/>
      <c r="L9" s="453"/>
      <c r="N9" s="391" t="s">
        <v>214</v>
      </c>
      <c r="O9" s="391"/>
      <c r="P9" s="391"/>
      <c r="Q9" s="391"/>
      <c r="R9" s="459">
        <v>0.5</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414</v>
      </c>
      <c r="F10" s="463"/>
      <c r="G10" s="463"/>
      <c r="H10" s="463"/>
      <c r="I10" s="463"/>
      <c r="J10" s="463"/>
      <c r="K10" s="463"/>
      <c r="L10" s="463"/>
      <c r="N10" s="391" t="s">
        <v>215</v>
      </c>
      <c r="O10" s="391"/>
      <c r="P10" s="391"/>
      <c r="Q10" s="391"/>
      <c r="R10" s="459">
        <v>0.5</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415</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410</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378</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405</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402</v>
      </c>
      <c r="Q28" s="388"/>
      <c r="R28" s="388"/>
      <c r="S28" s="388"/>
      <c r="T28" s="388"/>
      <c r="U28" s="388"/>
      <c r="W28" s="280"/>
      <c r="X28" s="117"/>
      <c r="Y28" s="128"/>
    </row>
    <row r="29" spans="1:26" ht="20.25" customHeight="1" x14ac:dyDescent="0.2">
      <c r="B29" s="279"/>
      <c r="C29" s="245">
        <v>1</v>
      </c>
      <c r="D29" s="386">
        <v>10</v>
      </c>
      <c r="E29" s="387"/>
      <c r="F29" s="386">
        <v>10</v>
      </c>
      <c r="G29" s="387"/>
      <c r="H29" s="420">
        <f>D29</f>
        <v>10</v>
      </c>
      <c r="I29" s="421"/>
      <c r="J29" s="420">
        <f>D29</f>
        <v>10</v>
      </c>
      <c r="K29" s="421"/>
      <c r="L29" s="420">
        <f>D29</f>
        <v>10</v>
      </c>
      <c r="M29" s="421"/>
      <c r="P29" s="388" t="s">
        <v>302</v>
      </c>
      <c r="Q29" s="388"/>
      <c r="R29" s="388"/>
      <c r="S29" s="388"/>
      <c r="T29" s="388"/>
      <c r="U29" s="388"/>
      <c r="W29" s="280"/>
      <c r="X29" s="117"/>
      <c r="Y29" s="168"/>
    </row>
    <row r="30" spans="1:26" ht="20.25" customHeight="1" x14ac:dyDescent="0.2">
      <c r="B30" s="279"/>
      <c r="C30" s="246">
        <v>2</v>
      </c>
      <c r="D30" s="386">
        <v>250</v>
      </c>
      <c r="E30" s="387"/>
      <c r="F30" s="386">
        <v>250.5</v>
      </c>
      <c r="G30" s="387"/>
      <c r="H30" s="420">
        <f>D30</f>
        <v>250</v>
      </c>
      <c r="I30" s="421"/>
      <c r="J30" s="420">
        <f>D30</f>
        <v>250</v>
      </c>
      <c r="K30" s="421"/>
      <c r="L30" s="420">
        <f>D30</f>
        <v>250</v>
      </c>
      <c r="M30" s="421"/>
      <c r="P30" s="388" t="s">
        <v>318</v>
      </c>
      <c r="Q30" s="388"/>
      <c r="R30" s="388"/>
      <c r="S30" s="388"/>
      <c r="T30" s="388"/>
      <c r="U30" s="388"/>
      <c r="W30" s="280"/>
      <c r="X30" s="117"/>
    </row>
    <row r="31" spans="1:26" ht="20.25" customHeight="1" x14ac:dyDescent="0.2">
      <c r="B31" s="281"/>
      <c r="C31" s="246">
        <v>3</v>
      </c>
      <c r="D31" s="386">
        <v>500</v>
      </c>
      <c r="E31" s="387"/>
      <c r="F31" s="386">
        <v>500.1</v>
      </c>
      <c r="G31" s="387"/>
      <c r="H31" s="420">
        <f>D31</f>
        <v>500</v>
      </c>
      <c r="I31" s="421"/>
      <c r="J31" s="420">
        <f>D31</f>
        <v>500</v>
      </c>
      <c r="K31" s="421"/>
      <c r="L31" s="420">
        <f>D31</f>
        <v>500</v>
      </c>
      <c r="M31" s="421"/>
      <c r="P31" s="388"/>
      <c r="Q31" s="388"/>
      <c r="R31" s="388"/>
      <c r="S31" s="388"/>
      <c r="T31" s="388"/>
      <c r="U31" s="388"/>
      <c r="W31" s="282"/>
      <c r="X31" s="181"/>
    </row>
    <row r="32" spans="1:26" ht="17.25" customHeight="1" thickBot="1" x14ac:dyDescent="0.25">
      <c r="B32" s="281"/>
      <c r="C32" s="247">
        <v>4</v>
      </c>
      <c r="D32" s="386">
        <v>1000</v>
      </c>
      <c r="E32" s="387"/>
      <c r="F32" s="386">
        <v>1001.5</v>
      </c>
      <c r="G32" s="387"/>
      <c r="H32" s="420">
        <f t="shared" ref="H32" si="0">D32</f>
        <v>1000</v>
      </c>
      <c r="I32" s="421"/>
      <c r="J32" s="420">
        <f>D32</f>
        <v>1000</v>
      </c>
      <c r="K32" s="421"/>
      <c r="L32" s="420">
        <f>D32</f>
        <v>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- 0,00038</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500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500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500</v>
      </c>
      <c r="F43" s="425"/>
      <c r="N43" s="167"/>
      <c r="P43" s="422"/>
      <c r="Q43" s="422"/>
      <c r="R43" s="422"/>
      <c r="S43" s="423"/>
      <c r="T43" s="423"/>
      <c r="U43" s="423"/>
      <c r="W43" s="268"/>
    </row>
    <row r="44" spans="1:26" ht="13.5" customHeight="1" x14ac:dyDescent="0.2">
      <c r="B44" s="284"/>
      <c r="C44" s="406" t="s">
        <v>266</v>
      </c>
      <c r="D44" s="407"/>
      <c r="E44" s="426">
        <v>500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500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500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45451</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110</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AFTS</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BT2000/S</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IND52IC1342</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003760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Dados'!H29="","-",IF(Cálculo!$CT$259&lt;1,FIXED(MROUND(AVERAGE('Entrada de Dados'!H29:M29),Cálculo!$CT$259),LEN(Cálculo!$CT$259)-SEARCH(",",Cálculo!$CT$259)),FIXED(MROUND(AVERAGE('Entrada de Dados'!H29:M29),Cálculo!$CT$259),LEN(Cálculo!$CT$259)))))</f>
        <v>10,0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v>
      </c>
      <c r="K44" s="561"/>
      <c r="L44" s="561"/>
      <c r="M44" s="560" t="str">
        <f ca="1">IF(Cálculo!$CP$269="-","-",CONCATENATE(IF(Cálculo!$CT$259&lt;1,FIXED(MROUND(Cálculo!$CP$269,Cálculo!$CT$259),(LEN(Cálculo!$CT$259)-SEARCH(",",Cálculo!$CT$259))),FIXED(MROUND(Cálculo!$CP$269,Cálculo!$CT$259),(LEN(Cálculo!$CT$259))))))</f>
        <v>0,5</v>
      </c>
      <c r="N44" s="560"/>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IFERROR(VALUE(F44),"")</f>
        <v>10</v>
      </c>
      <c r="AQ44" s="231">
        <f ca="1">IFERROR((FIXED(SLOPE((OFFSET($AO$44,,,(5-COUNTBLANK($AO$44:$AO$47)),1)),(OFFSET($AP$44,,,(5-COUNTBLANK($AP$44:$AP$47)),1))),4)*F44)+FIXED(INTERCEPT((OFFSET($AO$44,,,(5-COUNTBLANK($AO$44:$AO$47)),1)),(OFFSET($AP$44,,,(5-COUNTBLANK($AP$44:$AP$47)),1))),4),"")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t="shared" ca="1" si="1"/>
        <v>499.99959999999999</v>
      </c>
      <c r="AR46" s="232">
        <f t="shared" ref="AR46" ca="1" si="2">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t="shared" ca="1" si="1"/>
        <v>999.99959999999999</v>
      </c>
      <c r="AR47" s="232">
        <f ca="1">IFERROR(ABS(AO47-AQ47),"")</f>
        <v>5.6613414935782203E-3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45451</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45634</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45451</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110</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AFTS</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BT2000/S</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IND52IC1342</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003760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Dados'!H29="","-",IF(Cálculo!$CT$259&lt;1,FIXED(MROUND(AVERAGE('Entrada de Dados'!H29:M29),Cálculo!$CT$259),LEN(Cálculo!$CT$259)-SEARCH(",",Cálculo!$CT$259)),FIXED(MROUND(AVERAGE('Entrada de Dados'!H29:M29),Cálculo!$CT$259),LEN(Cálculo!$CT$259)))))</f>
        <v>10,0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v>
      </c>
      <c r="K44" s="616"/>
      <c r="L44" s="616"/>
      <c r="M44" s="615" t="str">
        <f ca="1">IF(Cálculo!$CP$269="-","-",CONCATENATE(IF(Cálculo!$CT$259&lt;1,FIXED(MROUND(Cálculo!$CP$269,Cálculo!$CT$259),(LEN(Cálculo!$CT$259)-SEARCH(",",Cálculo!$CT$259))),FIXED(MROUND(Cálculo!$CP$269,Cálculo!$CT$259),(LEN(Cálculo!$CT$259))))))</f>
        <v>0,5</v>
      </c>
      <c r="N44" s="615"/>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IFERROR(VALUE(F44),"")</f>
        <v>10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499.99959999999999</v>
      </c>
      <c r="AR46" s="232">
        <f t="shared" ref="AR46" ca="1" si="1">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- 0,00038</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0,5</v>
      </c>
      <c r="E56" s="560"/>
      <c r="F56" s="560"/>
      <c r="G56" s="560"/>
      <c r="H56" s="151">
        <f ca="1">IF(M44="-","-",LOOKUP(MAX(VALUE(M44),VALUE(M45),VALUE(M46),VALUE(M47)),(VALUE(N44:U47)),(VALUE(Q44:Q47))))</f>
        <v>2</v>
      </c>
      <c r="I56" s="652" t="str">
        <f ca="1">(IF('Desvio Permissível'!C14="-","-",IF('Entrada de Dados'!R9&lt;1,FIXED(MAX('Desvio Permissível'!C14:D17),LEN('Entrada de Dados'!$R$9)-SEARCH(",",'Entrada de Dados'!$R$9)),FIXED(MAX('Desvio Permissível'!C14:D17),LEN('Entrada de Dados'!$R$9)))))</f>
        <v>0,5</v>
      </c>
      <c r="J56" s="652"/>
      <c r="K56" s="323"/>
      <c r="L56" s="652" t="str">
        <f ca="1">(IF('Desvio Permissível'!D14="-","-",IF('Entrada de Dados'!$R$9&lt;1,FIXED(MIN('Desvio Permissível'!C14:D17),LEN('Entrada de Dados'!$R$9)-SEARCH(",",'Entrada de Dados'!$R$9)),FIXED(MIN('Desvio Permissível'!C14:D17),LEN('Entrada de Dados'!$R$9)))))</f>
        <v>-0,5</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45451</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45634</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45451</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110</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AFTS</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BT2000/S</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IND52IC1342</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003760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16" t="str">
        <f>IF(D33="","",INDEX('Dados dos Padrões'!$B$6:$V$1000000,MATCH('Sem ajuste+Declaração'!D33,'Dados dos Padrões'!$B$6:$B$1000000,0),17))</f>
        <v>CAL 0460</v>
      </c>
      <c r="T33" s="516"/>
      <c r="U33" s="516" t="str">
        <f>IF(D33="","",INDEX('Dados dos Padrões'!$B$6:$V$1000000,MATCH('Sem ajuste+Declaração'!D33,'Dados dos Padrões'!$B$6:$B$1000000,0),17))</f>
        <v>CAL 0460</v>
      </c>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16" t="str">
        <f>IF(D34="","",INDEX('Dados dos Padrões'!$B$6:$V$1000000,MATCH('Sem ajuste+Declaração'!D34,'Dados dos Padrões'!$B$6:$B$1000000,0),17))</f>
        <v>CAL 0268</v>
      </c>
      <c r="T34" s="516"/>
      <c r="U34" s="516" t="str">
        <f>IF(D34="","",INDEX('Dados dos Padrões'!$B$6:$V$1000000,MATCH('Sem ajuste+Declaração'!D34,'Dados dos Padrões'!$B$6:$B$1000000,0),17))</f>
        <v>CAL 0268</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Dados'!F29="","-",IF(Cálculo!$CT$259&lt;1,FIXED('Entrada de Dados'!F29,LEN(Cálculo!$CT$259)-SEARCH(",",Cálculo!$CT$259)),FIXED('Entrada de Dados'!F29,LEN(Cálculo!$CT$259)))))</f>
        <v>10,0</v>
      </c>
      <c r="G44" s="560"/>
      <c r="H44" s="560"/>
      <c r="I44" s="560" t="str">
        <f ca="1">(IF('Entrada de Dados'!H29="","-",IF(Cálculo!$CT$259&lt;1,FIXED(MROUND(AVERAGE('Entrada de Dados'!H29:M29),Cálculo!$CT$259),LEN(Cálculo!$CT$259)-SEARCH(",",Cálculo!$CT$259)),FIXED(MROUND(AVERAGE('Entrada de Dados'!H29:M29),Cálculo!$CT$259),LEN(Cálculo!$CT$259)))))</f>
        <v>10,0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v>
      </c>
      <c r="M44" s="561"/>
      <c r="N44" s="560" t="str">
        <f ca="1">IF(Cálculo!$CP$269="-","-",CONCATENATE(IF(Cálculo!$CT$259&lt;1,FIXED(MROUND(Cálculo!$CP$269,Cálculo!$CT$259),(LEN(Cálculo!$CT$259)-SEARCH(",",Cálculo!$CT$259))),FIXED(MROUND(Cálculo!$CP$269,Cálculo!$CT$259),(LEN(Cálculo!$CT$259))))))</f>
        <v>0,5</v>
      </c>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250,5</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500,1</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1.001,5</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45451</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45634</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45451</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110</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AFTS</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BT2000/S</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IND52IC1342</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003760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Dados'!F29="","-",IF(Cálculo!$CT$259&lt;1,FIXED('Entrada de Dados'!F29,LEN(Cálculo!$CT$259)-SEARCH(",",Cálculo!$CT$259)),FIXED('Entrada de Dados'!F29,LEN(Cálculo!$CT$259)))))</f>
        <v>10,0</v>
      </c>
      <c r="G44" s="615"/>
      <c r="H44" s="615"/>
      <c r="I44" s="615" t="str">
        <f ca="1">(IF('Entrada de Dados'!H29="","-",IF(Cálculo!$CT$259&lt;1,FIXED(MROUND(AVERAGE('Entrada de Dados'!H29:M29),Cálculo!$CT$259),LEN(Cálculo!$CT$259)-SEARCH(",",Cálculo!$CT$259)),FIXED(MROUND(AVERAGE('Entrada de Dados'!H29:M29),Cálculo!$CT$259),LEN(Cálculo!$CT$259)))))</f>
        <v>10,0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v>
      </c>
      <c r="M44" s="616"/>
      <c r="N44" s="615" t="str">
        <f ca="1">IF(Cálculo!$CP$269="-","-",CONCATENATE(IF(Cálculo!$CT$259&lt;1,FIXED(MROUND(Cálculo!$CP$269,Cálculo!$CT$259),(LEN(Cálculo!$CT$259)-SEARCH(",",Cálculo!$CT$259))),FIXED(MROUND(Cálculo!$CP$269,Cálculo!$CT$259),(LEN(Cálculo!$CT$259))))))</f>
        <v>0,5</v>
      </c>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250,5</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500,1</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1.001,5</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0,5</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0,5</v>
      </c>
      <c r="J56" s="666"/>
      <c r="K56" s="29"/>
      <c r="L56" s="666" t="str">
        <f ca="1">(IF('Desvio Permissível'!D14="-","-",IF('Entrada de Dados'!$R$9&lt;1,FIXED(MIN('Desvio Permissível'!C14:D17),LEN('Entrada de Dados'!$R$9)-SEARCH(",",'Entrada de Dados'!$R$9)),FIXED(MIN('Desvio Permissível'!C14:D17),LEN('Entrada de Dados'!$R$9)))))</f>
        <v>-0,5</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45451</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45634</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45451</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110</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110</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Y6" sqref="EY6:FB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45497</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10.000010421870325</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250.00167314393323</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500.00013067009343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1000.0052613414936</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29</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3"/>
      <c r="BX5" s="813"/>
      <c r="BY5" s="814"/>
      <c r="BZ5" s="815">
        <f>IF(BT5="","-",IFERROR(INDEX($A$287:$I$320,MATCH(INDEX($A$5:$BP$257,MATCH(BT5,$BN$5:$BN$257,0),60),$A$287:$A$320,0),6),IFERROR(INDEX($A$287:$I$320,MATCH(INDEX($A$5:$BP$257,MATCH(BT5,$BN$5:$BN$257,0),60),$A$287:$A$320,1),6),INDEX($A$287:$I$320,MATCH(INDEX($A$5:$BP$257,MATCH(BT5,$BN$5:$BN$257,0),60),$A$287:$A$320,-1),6))))</f>
        <v>20</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3.8866154544740828E-22</v>
      </c>
      <c r="CE5" s="816"/>
      <c r="CF5" s="816"/>
      <c r="CG5" s="817"/>
      <c r="CH5" s="818">
        <f>IF(BT5="","-",INDEX($A$5:$BP$257,MATCH(BT5,$BN$5:$BN$257,0),28))</f>
        <v>0</v>
      </c>
      <c r="CI5" s="819"/>
      <c r="CJ5" s="819"/>
      <c r="CK5" s="820"/>
      <c r="CL5" s="937">
        <f t="shared" ref="CL5:CL68" si="1">IF(BT5="","-",INDEX($A$5:$BP$257,MATCH(BT5,$BN$5:$BN$257,0),56)/INDEX($A$5:$BP$257,MATCH(BT5,$BN$5:$BN$257,0),60))</f>
        <v>9.3896713615023479</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10000010.421870325</v>
      </c>
      <c r="CQ5" s="813"/>
      <c r="CR5" s="813"/>
      <c r="CS5" s="881"/>
      <c r="CT5" s="90" t="str">
        <f>IF(BT5="","-",INDEX($A$5:$BP$257,MATCH(BT5,$BN$5:$BN$257,0),16))</f>
        <v>n/c</v>
      </c>
      <c r="CU5" s="882">
        <v>29</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3"/>
      <c r="CY5" s="813"/>
      <c r="CZ5" s="814"/>
      <c r="DA5" s="815">
        <f>IF(CU5="","-",IFERROR(INDEX($A$287:$I$320,MATCH(INDEX($A$5:$BP$257,MATCH(CU5,$BN$5:$BN$257,0),60),$A$287:$A$320,0),6),IFERROR(INDEX($A$287:$I$320,MATCH(INDEX($A$5:$BP$257,MATCH(CU5,$BN$5:$BN$257,0),60),$A$287:$A$320,1),6),INDEX($A$287:$I$320,MATCH(INDEX($A$5:$BP$257,MATCH(CU5,$BN$5:$BN$257,0),60),$A$287:$A$320,-1),6))))</f>
        <v>20</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816"/>
      <c r="DG5" s="816"/>
      <c r="DH5" s="817"/>
      <c r="DI5" s="818">
        <f>IF(CU5="","-",INDEX($A$5:$BP$257,MATCH(CU5,$BN$5:$BN$257,0),28))</f>
        <v>0</v>
      </c>
      <c r="DJ5" s="819"/>
      <c r="DK5" s="819"/>
      <c r="DL5" s="820"/>
      <c r="DM5" s="937">
        <f t="shared" ref="DM5:DM68" si="3">IF(CU5="","-",INDEX($A$5:$BP$257,MATCH(CU5,$BN$5:$BN$257,0),56)/INDEX($A$5:$BP$257,MATCH(CU5,$BN$5:$BN$257,0),60))</f>
        <v>9.3896713615023479</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69"/>
      <c r="DS5" s="769"/>
      <c r="DT5" s="938"/>
      <c r="DU5" s="90" t="str">
        <f>IF(CU5="","-",INDEX($A$5:$BP$257,MATCH(CU5,$BN$5:$BN$257,0),16))</f>
        <v>n/c</v>
      </c>
      <c r="DV5" s="882">
        <v>60</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3"/>
      <c r="DZ5" s="813"/>
      <c r="EA5" s="814"/>
      <c r="EB5" s="815">
        <f>IF(DV5="","-",IFERROR(INDEX($A$287:$I$320,MATCH(INDEX($A$5:$BP$257,MATCH(DV5,$BN$5:$BN$257,0),60),$A$287:$A$320,0),6),IFERROR(INDEX($A$287:$I$320,MATCH(INDEX($A$5:$BP$257,MATCH(DV5,$BN$5:$BN$257,0),60),$A$287:$A$320,1),6),INDEX($A$287:$I$320,MATCH(INDEX($A$5:$BP$257,MATCH(DV5,$BN$5:$BN$257,0),60),$A$287:$A$320,-1),6))))</f>
        <v>1E+30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6"/>
      <c r="EH5" s="816"/>
      <c r="EI5" s="817"/>
      <c r="EJ5" s="818">
        <f>IF(DV5="","-",INDEX($A$5:$BP$257,MATCH(DV5,$BN$5:$BN$257,0),28))</f>
        <v>0</v>
      </c>
      <c r="EK5" s="819"/>
      <c r="EL5" s="819"/>
      <c r="EM5" s="820"/>
      <c r="EN5" s="937">
        <f t="shared" ref="EN5:EN68" si="5">IF(DV5="","-",INDEX($A$5:$BP$257,MATCH(DV5,$BN$5:$BN$257,0),56)/INDEX($A$5:$BP$257,MATCH(DV5,$BN$5:$BN$257,0),60))</f>
        <v>12500</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9"/>
      <c r="ET5" s="769"/>
      <c r="EU5" s="938"/>
      <c r="EV5" s="90" t="str">
        <f>IF(DV5="","-",INDEX($A$5:$BP$257,MATCH(DV5,$BN$5:$BN$257,0),16))</f>
        <v>a1</v>
      </c>
      <c r="EW5" s="742">
        <v>60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1E+30</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6"/>
      <c r="FI5" s="816"/>
      <c r="FJ5" s="817"/>
      <c r="FK5" s="818">
        <f>IF(EW5="","-",INDEX($A$5:$BP$257,MATCH(EW5,$BN$5:$BN$257,0),28))</f>
        <v>0</v>
      </c>
      <c r="FL5" s="819"/>
      <c r="FM5" s="819"/>
      <c r="FN5" s="820"/>
      <c r="FO5" s="937">
        <f t="shared" ref="FO5:FO68" si="7">IF(EW5="","-",INDEX($A$5:$BP$257,MATCH(EW5,$BN$5:$BN$257,0),56)/INDEX($A$5:$BP$257,MATCH(EW5,$BN$5:$BN$257,0),60))</f>
        <v>12500</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9"/>
      <c r="FU5" s="769"/>
      <c r="FV5" s="938"/>
      <c r="FW5" s="90" t="str">
        <f>IF(EW5="","-",INDEX($A$5:$BP$257,MATCH(EW5,$BN$5:$BN$257,0),16))</f>
        <v>a1</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c r="BU6" s="743"/>
      <c r="BV6" s="744"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5"/>
      <c r="BX6" s="745"/>
      <c r="BY6" s="746"/>
      <c r="BZ6" s="747" t="str">
        <f t="shared" ref="BZ6:BZ69" si="8">IF(BT6="","-",IFERROR(INDEX($A$287:$I$320,MATCH(INDEX($A$5:$BP$257,MATCH(BT6,$BN$5:$BN$257,0),60),$A$287:$A$320,0),6),IFERROR(INDEX($A$287:$I$320,MATCH(INDEX($A$5:$BP$257,MATCH(BT6,$BN$5:$BN$257,0),60),$A$287:$A$320,1),6),INDEX($A$287:$I$320,MATCH(INDEX($A$5:$BP$257,MATCH(BT6,$BN$5:$BN$257,0),60),$A$287:$A$320,-1),6))))</f>
        <v>-</v>
      </c>
      <c r="CA6" s="748"/>
      <c r="CB6" s="748"/>
      <c r="CC6" s="749"/>
      <c r="CD6" s="747" t="str">
        <f t="shared" si="0"/>
        <v>-</v>
      </c>
      <c r="CE6" s="748"/>
      <c r="CF6" s="748"/>
      <c r="CG6" s="749"/>
      <c r="CH6" s="750" t="str">
        <f t="shared" ref="CH6:CH69" si="9">IF(BT6="","-",INDEX($A$5:$BP$257,MATCH(BT6,$BN$5:$BN$257,0),28))</f>
        <v>-</v>
      </c>
      <c r="CI6" s="745"/>
      <c r="CJ6" s="745"/>
      <c r="CK6" s="746"/>
      <c r="CL6" s="750" t="str">
        <f t="shared" si="1"/>
        <v>-</v>
      </c>
      <c r="CM6" s="745"/>
      <c r="CN6" s="745"/>
      <c r="CO6" s="746"/>
      <c r="CP6" s="750"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5"/>
      <c r="CR6" s="745"/>
      <c r="CS6" s="751"/>
      <c r="CT6" s="91" t="str">
        <f t="shared" ref="CT6:CT69" si="10">IF(BT6="","-",INDEX($A$5:$BP$257,MATCH(BT6,$BN$5:$BN$257,0),16))</f>
        <v>-</v>
      </c>
      <c r="CU6" s="742">
        <v>30</v>
      </c>
      <c r="CV6" s="743"/>
      <c r="CW6" s="744">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747">
        <f t="shared" ref="DA6:DA69" si="11">IF(CU6="","-",IFERROR(INDEX($A$287:$I$320,MATCH(INDEX($A$5:$BP$257,MATCH(CU6,$BN$5:$BN$257,0),60),$A$287:$A$320,0),6),IFERROR(INDEX($A$287:$I$320,MATCH(INDEX($A$5:$BP$257,MATCH(CU6,$BN$5:$BN$257,0),60),$A$287:$A$320,1),6),INDEX($A$287:$I$320,MATCH(INDEX($A$5:$BP$257,MATCH(CU6,$BN$5:$BN$257,0),60),$A$287:$A$320,-1),6))))</f>
        <v>18</v>
      </c>
      <c r="DB6" s="748"/>
      <c r="DC6" s="748"/>
      <c r="DD6" s="749"/>
      <c r="DE6" s="747">
        <f t="shared" si="2"/>
        <v>2.1060014899960531E-17</v>
      </c>
      <c r="DF6" s="748"/>
      <c r="DG6" s="748"/>
      <c r="DH6" s="749"/>
      <c r="DI6" s="750">
        <f t="shared" ref="DI6:DI69" si="12">IF(CU6="","-",INDEX($A$5:$BP$257,MATCH(CU6,$BN$5:$BN$257,0),28))</f>
        <v>0</v>
      </c>
      <c r="DJ6" s="745"/>
      <c r="DK6" s="745"/>
      <c r="DL6" s="746"/>
      <c r="DM6" s="750">
        <f t="shared" si="3"/>
        <v>139.53488372093022</v>
      </c>
      <c r="DN6" s="745"/>
      <c r="DO6" s="745"/>
      <c r="DP6" s="746"/>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5"/>
      <c r="DS6" s="745"/>
      <c r="DT6" s="751"/>
      <c r="DU6" s="91" t="str">
        <f t="shared" ref="DU6:DU69" si="13">IF(CU6="","-",INDEX($A$5:$BP$257,MATCH(CU6,$BN$5:$BN$257,0),16))</f>
        <v>n/c</v>
      </c>
      <c r="DV6" s="742"/>
      <c r="DW6" s="743"/>
      <c r="DX6" s="744"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5"/>
      <c r="DZ6" s="745"/>
      <c r="EA6" s="746"/>
      <c r="EB6" s="747" t="str">
        <f t="shared" ref="EB6:EB69" si="14">IF(DV6="","-",IFERROR(INDEX($A$287:$I$320,MATCH(INDEX($A$5:$BP$257,MATCH(DV6,$BN$5:$BN$257,0),60),$A$287:$A$320,0),6),IFERROR(INDEX($A$287:$I$320,MATCH(INDEX($A$5:$BP$257,MATCH(DV6,$BN$5:$BN$257,0),60),$A$287:$A$320,1),6),INDEX($A$287:$I$320,MATCH(INDEX($A$5:$BP$257,MATCH(DV6,$BN$5:$BN$257,0),60),$A$287:$A$320,-1),6))))</f>
        <v>-</v>
      </c>
      <c r="EC6" s="748"/>
      <c r="ED6" s="748"/>
      <c r="EE6" s="749"/>
      <c r="EF6" s="747" t="str">
        <f t="shared" si="4"/>
        <v>-</v>
      </c>
      <c r="EG6" s="748"/>
      <c r="EH6" s="748"/>
      <c r="EI6" s="749"/>
      <c r="EJ6" s="750" t="str">
        <f t="shared" ref="EJ6:EJ69" si="15">IF(DV6="","-",INDEX($A$5:$BP$257,MATCH(DV6,$BN$5:$BN$257,0),28))</f>
        <v>-</v>
      </c>
      <c r="EK6" s="745"/>
      <c r="EL6" s="745"/>
      <c r="EM6" s="746"/>
      <c r="EN6" s="750" t="str">
        <f t="shared" si="5"/>
        <v>-</v>
      </c>
      <c r="EO6" s="745"/>
      <c r="EP6" s="745"/>
      <c r="EQ6" s="746"/>
      <c r="ER6" s="750"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5"/>
      <c r="ET6" s="745"/>
      <c r="EU6" s="751"/>
      <c r="EV6" s="91" t="str">
        <f t="shared" ref="EV6:EV69" si="16">IF(DV6="","-",INDEX($A$5:$BP$257,MATCH(DV6,$BN$5:$BN$257,0),16))</f>
        <v>-</v>
      </c>
      <c r="EW6" s="742">
        <v>61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2.4414062500000009E-38</v>
      </c>
      <c r="FH6" s="748"/>
      <c r="FI6" s="748"/>
      <c r="FJ6" s="749"/>
      <c r="FK6" s="750">
        <f t="shared" ref="FK6:FK69" si="18">IF(EW6="","-",INDEX($A$5:$BP$257,MATCH(EW6,$BN$5:$BN$257,0),28))</f>
        <v>0</v>
      </c>
      <c r="FL6" s="745"/>
      <c r="FM6" s="745"/>
      <c r="FN6" s="746"/>
      <c r="FO6" s="750">
        <f t="shared" si="7"/>
        <v>12500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51"/>
      <c r="FW6" s="91" t="str">
        <f t="shared" ref="FW6:FW69" si="19">IF(EW6="","-",INDEX($A$5:$BP$257,MATCH(EW6,$BN$5:$BN$257,0),16))</f>
        <v>a2</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c r="BU7" s="743"/>
      <c r="BV7" s="790"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1"/>
      <c r="BX7" s="791"/>
      <c r="BY7" s="792"/>
      <c r="BZ7" s="793" t="str">
        <f t="shared" si="8"/>
        <v>-</v>
      </c>
      <c r="CA7" s="794"/>
      <c r="CB7" s="794"/>
      <c r="CC7" s="795"/>
      <c r="CD7" s="793" t="str">
        <f t="shared" si="0"/>
        <v>-</v>
      </c>
      <c r="CE7" s="794"/>
      <c r="CF7" s="794"/>
      <c r="CG7" s="795"/>
      <c r="CH7" s="796" t="str">
        <f t="shared" si="9"/>
        <v>-</v>
      </c>
      <c r="CI7" s="791"/>
      <c r="CJ7" s="791"/>
      <c r="CK7" s="792"/>
      <c r="CL7" s="796" t="str">
        <f t="shared" si="1"/>
        <v>-</v>
      </c>
      <c r="CM7" s="791"/>
      <c r="CN7" s="791"/>
      <c r="CO7" s="792"/>
      <c r="CP7" s="796"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1"/>
      <c r="CR7" s="791"/>
      <c r="CS7" s="797"/>
      <c r="CT7" s="91" t="str">
        <f t="shared" si="10"/>
        <v>-</v>
      </c>
      <c r="CU7" s="882">
        <v>31</v>
      </c>
      <c r="CV7" s="883"/>
      <c r="CW7" s="79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1"/>
      <c r="CY7" s="791"/>
      <c r="CZ7" s="792"/>
      <c r="DA7" s="793">
        <f t="shared" si="11"/>
        <v>1E+30</v>
      </c>
      <c r="DB7" s="794"/>
      <c r="DC7" s="794"/>
      <c r="DD7" s="795"/>
      <c r="DE7" s="793">
        <f t="shared" si="2"/>
        <v>5.062499999999998E-46</v>
      </c>
      <c r="DF7" s="794"/>
      <c r="DG7" s="794"/>
      <c r="DH7" s="795"/>
      <c r="DI7" s="796">
        <f t="shared" si="12"/>
        <v>0</v>
      </c>
      <c r="DJ7" s="791"/>
      <c r="DK7" s="791"/>
      <c r="DL7" s="792"/>
      <c r="DM7" s="796">
        <f t="shared" si="3"/>
        <v>150</v>
      </c>
      <c r="DN7" s="791"/>
      <c r="DO7" s="791"/>
      <c r="DP7" s="792"/>
      <c r="DQ7" s="79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91"/>
      <c r="DS7" s="791"/>
      <c r="DT7" s="797"/>
      <c r="DU7" s="91" t="str">
        <f t="shared" si="13"/>
        <v>n/c</v>
      </c>
      <c r="DV7" s="882"/>
      <c r="DW7" s="883"/>
      <c r="DX7" s="79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1"/>
      <c r="DZ7" s="791"/>
      <c r="EA7" s="792"/>
      <c r="EB7" s="793" t="str">
        <f t="shared" si="14"/>
        <v>-</v>
      </c>
      <c r="EC7" s="794"/>
      <c r="ED7" s="794"/>
      <c r="EE7" s="795"/>
      <c r="EF7" s="793" t="str">
        <f t="shared" si="4"/>
        <v>-</v>
      </c>
      <c r="EG7" s="794"/>
      <c r="EH7" s="794"/>
      <c r="EI7" s="795"/>
      <c r="EJ7" s="796" t="str">
        <f t="shared" si="15"/>
        <v>-</v>
      </c>
      <c r="EK7" s="791"/>
      <c r="EL7" s="791"/>
      <c r="EM7" s="792"/>
      <c r="EN7" s="796" t="str">
        <f t="shared" si="5"/>
        <v>-</v>
      </c>
      <c r="EO7" s="791"/>
      <c r="EP7" s="791"/>
      <c r="EQ7" s="792"/>
      <c r="ER7" s="79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1"/>
      <c r="ET7" s="791"/>
      <c r="EU7" s="797"/>
      <c r="EV7" s="91" t="str">
        <f t="shared" si="16"/>
        <v>-</v>
      </c>
      <c r="EW7" s="742"/>
      <c r="EX7" s="743"/>
      <c r="EY7" s="79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1"/>
      <c r="FA7" s="791"/>
      <c r="FB7" s="792"/>
      <c r="FC7" s="793" t="str">
        <f t="shared" si="17"/>
        <v>-</v>
      </c>
      <c r="FD7" s="794"/>
      <c r="FE7" s="794"/>
      <c r="FF7" s="795"/>
      <c r="FG7" s="793" t="str">
        <f t="shared" si="6"/>
        <v>-</v>
      </c>
      <c r="FH7" s="794"/>
      <c r="FI7" s="794"/>
      <c r="FJ7" s="795"/>
      <c r="FK7" s="796" t="str">
        <f t="shared" si="18"/>
        <v>-</v>
      </c>
      <c r="FL7" s="791"/>
      <c r="FM7" s="791"/>
      <c r="FN7" s="792"/>
      <c r="FO7" s="796" t="str">
        <f t="shared" si="7"/>
        <v>-</v>
      </c>
      <c r="FP7" s="791"/>
      <c r="FQ7" s="791"/>
      <c r="FR7" s="792"/>
      <c r="FS7" s="79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1"/>
      <c r="FU7" s="791"/>
      <c r="FV7" s="797"/>
      <c r="FW7" s="91" t="str">
        <f t="shared" si="19"/>
        <v>-</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c r="BU8" s="883"/>
      <c r="BV8" s="744"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5"/>
      <c r="BX8" s="745"/>
      <c r="BY8" s="746"/>
      <c r="BZ8" s="747" t="str">
        <f t="shared" si="8"/>
        <v>-</v>
      </c>
      <c r="CA8" s="748"/>
      <c r="CB8" s="748"/>
      <c r="CC8" s="749"/>
      <c r="CD8" s="747" t="str">
        <f t="shared" si="0"/>
        <v>-</v>
      </c>
      <c r="CE8" s="748"/>
      <c r="CF8" s="748"/>
      <c r="CG8" s="749"/>
      <c r="CH8" s="750" t="str">
        <f t="shared" si="9"/>
        <v>-</v>
      </c>
      <c r="CI8" s="745"/>
      <c r="CJ8" s="745"/>
      <c r="CK8" s="746"/>
      <c r="CL8" s="750" t="str">
        <f t="shared" si="1"/>
        <v>-</v>
      </c>
      <c r="CM8" s="745"/>
      <c r="CN8" s="745"/>
      <c r="CO8" s="746"/>
      <c r="CP8" s="750"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5"/>
      <c r="CR8" s="745"/>
      <c r="CS8" s="751"/>
      <c r="CT8" s="91" t="str">
        <f t="shared" si="10"/>
        <v>-</v>
      </c>
      <c r="CU8" s="742">
        <v>32</v>
      </c>
      <c r="CV8" s="743"/>
      <c r="CW8" s="744">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747">
        <f t="shared" si="11"/>
        <v>56</v>
      </c>
      <c r="DB8" s="748"/>
      <c r="DC8" s="748"/>
      <c r="DD8" s="749"/>
      <c r="DE8" s="747">
        <f t="shared" si="2"/>
        <v>8.1899556058906448E-18</v>
      </c>
      <c r="DF8" s="748"/>
      <c r="DG8" s="748"/>
      <c r="DH8" s="749"/>
      <c r="DI8" s="750">
        <f t="shared" si="12"/>
        <v>0</v>
      </c>
      <c r="DJ8" s="745"/>
      <c r="DK8" s="745"/>
      <c r="DL8" s="746"/>
      <c r="DM8" s="750">
        <f t="shared" si="3"/>
        <v>146.34146341463415</v>
      </c>
      <c r="DN8" s="745"/>
      <c r="DO8" s="745"/>
      <c r="DP8" s="746"/>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5"/>
      <c r="DS8" s="745"/>
      <c r="DT8" s="751"/>
      <c r="DU8" s="91" t="str">
        <f t="shared" si="13"/>
        <v>n/c</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c r="EX8" s="743"/>
      <c r="EY8" s="744"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5"/>
      <c r="FA8" s="745"/>
      <c r="FB8" s="746"/>
      <c r="FC8" s="747" t="str">
        <f t="shared" si="17"/>
        <v>-</v>
      </c>
      <c r="FD8" s="748"/>
      <c r="FE8" s="748"/>
      <c r="FF8" s="749"/>
      <c r="FG8" s="747" t="str">
        <f t="shared" si="6"/>
        <v>-</v>
      </c>
      <c r="FH8" s="748"/>
      <c r="FI8" s="748"/>
      <c r="FJ8" s="749"/>
      <c r="FK8" s="750" t="str">
        <f t="shared" si="18"/>
        <v>-</v>
      </c>
      <c r="FL8" s="745"/>
      <c r="FM8" s="745"/>
      <c r="FN8" s="746"/>
      <c r="FO8" s="750" t="str">
        <f t="shared" si="7"/>
        <v>-</v>
      </c>
      <c r="FP8" s="745"/>
      <c r="FQ8" s="745"/>
      <c r="FR8" s="746"/>
      <c r="FS8" s="75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5"/>
      <c r="FU8" s="745"/>
      <c r="FV8" s="751"/>
      <c r="FW8" s="91" t="str">
        <f t="shared" si="19"/>
        <v>-</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c r="BU9" s="743"/>
      <c r="BV9" s="790"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1"/>
      <c r="BX9" s="791"/>
      <c r="BY9" s="792"/>
      <c r="BZ9" s="793" t="str">
        <f t="shared" si="8"/>
        <v>-</v>
      </c>
      <c r="CA9" s="794"/>
      <c r="CB9" s="794"/>
      <c r="CC9" s="795"/>
      <c r="CD9" s="793" t="str">
        <f t="shared" si="0"/>
        <v>-</v>
      </c>
      <c r="CE9" s="794"/>
      <c r="CF9" s="794"/>
      <c r="CG9" s="795"/>
      <c r="CH9" s="796" t="str">
        <f t="shared" si="9"/>
        <v>-</v>
      </c>
      <c r="CI9" s="791"/>
      <c r="CJ9" s="791"/>
      <c r="CK9" s="792"/>
      <c r="CL9" s="796" t="str">
        <f t="shared" si="1"/>
        <v>-</v>
      </c>
      <c r="CM9" s="791"/>
      <c r="CN9" s="791"/>
      <c r="CO9" s="792"/>
      <c r="CP9" s="796"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1"/>
      <c r="CR9" s="791"/>
      <c r="CS9" s="797"/>
      <c r="CT9" s="91" t="str">
        <f t="shared" si="10"/>
        <v>-</v>
      </c>
      <c r="CU9" s="882">
        <v>33</v>
      </c>
      <c r="CV9" s="883"/>
      <c r="CW9" s="79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1"/>
      <c r="CY9" s="791"/>
      <c r="CZ9" s="792"/>
      <c r="DA9" s="793">
        <f t="shared" si="11"/>
        <v>56</v>
      </c>
      <c r="DB9" s="794"/>
      <c r="DC9" s="794"/>
      <c r="DD9" s="795"/>
      <c r="DE9" s="793">
        <f t="shared" si="2"/>
        <v>8.1899556058906448E-18</v>
      </c>
      <c r="DF9" s="794"/>
      <c r="DG9" s="794"/>
      <c r="DH9" s="795"/>
      <c r="DI9" s="796">
        <f t="shared" si="12"/>
        <v>0</v>
      </c>
      <c r="DJ9" s="791"/>
      <c r="DK9" s="791"/>
      <c r="DL9" s="792"/>
      <c r="DM9" s="796">
        <f t="shared" si="3"/>
        <v>146.34146341463415</v>
      </c>
      <c r="DN9" s="791"/>
      <c r="DO9" s="791"/>
      <c r="DP9" s="792"/>
      <c r="DQ9" s="79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91"/>
      <c r="DS9" s="791"/>
      <c r="DT9" s="797"/>
      <c r="DU9" s="91" t="str">
        <f t="shared" si="13"/>
        <v>n/c</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c r="EX9" s="743"/>
      <c r="EY9" s="79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1"/>
      <c r="FA9" s="791"/>
      <c r="FB9" s="792"/>
      <c r="FC9" s="793" t="str">
        <f t="shared" si="17"/>
        <v>-</v>
      </c>
      <c r="FD9" s="794"/>
      <c r="FE9" s="794"/>
      <c r="FF9" s="795"/>
      <c r="FG9" s="793" t="str">
        <f t="shared" si="6"/>
        <v>-</v>
      </c>
      <c r="FH9" s="794"/>
      <c r="FI9" s="794"/>
      <c r="FJ9" s="795"/>
      <c r="FK9" s="796" t="str">
        <f t="shared" si="18"/>
        <v>-</v>
      </c>
      <c r="FL9" s="791"/>
      <c r="FM9" s="791"/>
      <c r="FN9" s="792"/>
      <c r="FO9" s="796" t="str">
        <f t="shared" si="7"/>
        <v>-</v>
      </c>
      <c r="FP9" s="791"/>
      <c r="FQ9" s="791"/>
      <c r="FR9" s="792"/>
      <c r="FS9" s="79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1"/>
      <c r="FU9" s="791"/>
      <c r="FV9" s="797"/>
      <c r="FW9" s="91" t="str">
        <f t="shared" si="19"/>
        <v>-</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v>34</v>
      </c>
      <c r="CV10" s="743"/>
      <c r="CW10" s="744">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747">
        <f t="shared" si="11"/>
        <v>18</v>
      </c>
      <c r="DB10" s="748"/>
      <c r="DC10" s="748"/>
      <c r="DD10" s="749"/>
      <c r="DE10" s="747">
        <f t="shared" si="2"/>
        <v>2.1060014899960531E-17</v>
      </c>
      <c r="DF10" s="748"/>
      <c r="DG10" s="748"/>
      <c r="DH10" s="749"/>
      <c r="DI10" s="750">
        <f t="shared" si="12"/>
        <v>0</v>
      </c>
      <c r="DJ10" s="745"/>
      <c r="DK10" s="745"/>
      <c r="DL10" s="746"/>
      <c r="DM10" s="750">
        <f t="shared" si="3"/>
        <v>139.53488372093022</v>
      </c>
      <c r="DN10" s="745"/>
      <c r="DO10" s="745"/>
      <c r="DP10" s="746"/>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5"/>
      <c r="DS10" s="745"/>
      <c r="DT10" s="751"/>
      <c r="DU10" s="91" t="str">
        <f t="shared" si="13"/>
        <v>n/c</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v>35</v>
      </c>
      <c r="CV11" s="883"/>
      <c r="CW11" s="790">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1"/>
      <c r="CY11" s="791"/>
      <c r="CZ11" s="792"/>
      <c r="DA11" s="793">
        <f t="shared" si="11"/>
        <v>1E+30</v>
      </c>
      <c r="DB11" s="794"/>
      <c r="DC11" s="794"/>
      <c r="DD11" s="795"/>
      <c r="DE11" s="793">
        <f t="shared" si="2"/>
        <v>1E-46</v>
      </c>
      <c r="DF11" s="794"/>
      <c r="DG11" s="794"/>
      <c r="DH11" s="795"/>
      <c r="DI11" s="796">
        <f t="shared" si="12"/>
        <v>0</v>
      </c>
      <c r="DJ11" s="791"/>
      <c r="DK11" s="791"/>
      <c r="DL11" s="792"/>
      <c r="DM11" s="796">
        <f t="shared" si="3"/>
        <v>100</v>
      </c>
      <c r="DN11" s="791"/>
      <c r="DO11" s="791"/>
      <c r="DP11" s="792"/>
      <c r="DQ11" s="796">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91"/>
      <c r="DS11" s="791"/>
      <c r="DT11" s="797"/>
      <c r="DU11" s="91">
        <f t="shared" si="13"/>
        <v>1</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v>36</v>
      </c>
      <c r="CV12" s="883"/>
      <c r="CW12" s="744">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747">
        <f t="shared" si="11"/>
        <v>8</v>
      </c>
      <c r="DB12" s="748"/>
      <c r="DC12" s="748"/>
      <c r="DD12" s="749"/>
      <c r="DE12" s="747">
        <f t="shared" si="2"/>
        <v>2.0057724655309451E-18</v>
      </c>
      <c r="DF12" s="748"/>
      <c r="DG12" s="748"/>
      <c r="DH12" s="749"/>
      <c r="DI12" s="750">
        <f t="shared" si="12"/>
        <v>0</v>
      </c>
      <c r="DJ12" s="745"/>
      <c r="DK12" s="745"/>
      <c r="DL12" s="746"/>
      <c r="DM12" s="750">
        <f t="shared" si="3"/>
        <v>63.291139240506325</v>
      </c>
      <c r="DN12" s="745"/>
      <c r="DO12" s="745"/>
      <c r="DP12" s="746"/>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5"/>
      <c r="DS12" s="745"/>
      <c r="DT12" s="751"/>
      <c r="DU12" s="91">
        <f t="shared" si="13"/>
        <v>2</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v>37</v>
      </c>
      <c r="CV13" s="743"/>
      <c r="CW13" s="790">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1"/>
      <c r="CY13" s="791"/>
      <c r="CZ13" s="792"/>
      <c r="DA13" s="793">
        <f t="shared" si="11"/>
        <v>1E+30</v>
      </c>
      <c r="DB13" s="794"/>
      <c r="DC13" s="794"/>
      <c r="DD13" s="795"/>
      <c r="DE13" s="793">
        <f t="shared" si="2"/>
        <v>5.062499999999998E-46</v>
      </c>
      <c r="DF13" s="794"/>
      <c r="DG13" s="794"/>
      <c r="DH13" s="795"/>
      <c r="DI13" s="796">
        <f t="shared" si="12"/>
        <v>0</v>
      </c>
      <c r="DJ13" s="791"/>
      <c r="DK13" s="791"/>
      <c r="DL13" s="792"/>
      <c r="DM13" s="796">
        <f t="shared" si="3"/>
        <v>150</v>
      </c>
      <c r="DN13" s="791"/>
      <c r="DO13" s="791"/>
      <c r="DP13" s="792"/>
      <c r="DQ13" s="796">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91"/>
      <c r="DS13" s="791"/>
      <c r="DT13" s="797"/>
      <c r="DU13" s="91">
        <f t="shared" si="13"/>
        <v>3</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v>38</v>
      </c>
      <c r="CV14" s="883"/>
      <c r="CW14" s="744">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747">
        <f t="shared" si="11"/>
        <v>1E+30</v>
      </c>
      <c r="DB14" s="748"/>
      <c r="DC14" s="748"/>
      <c r="DD14" s="749"/>
      <c r="DE14" s="747">
        <f t="shared" si="2"/>
        <v>5.062499999999998E-46</v>
      </c>
      <c r="DF14" s="748"/>
      <c r="DG14" s="748"/>
      <c r="DH14" s="749"/>
      <c r="DI14" s="750">
        <f t="shared" si="12"/>
        <v>0</v>
      </c>
      <c r="DJ14" s="745"/>
      <c r="DK14" s="745"/>
      <c r="DL14" s="746"/>
      <c r="DM14" s="750">
        <f t="shared" si="3"/>
        <v>150</v>
      </c>
      <c r="DN14" s="745"/>
      <c r="DO14" s="745"/>
      <c r="DP14" s="746"/>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5"/>
      <c r="DS14" s="745"/>
      <c r="DT14" s="751"/>
      <c r="DU14" s="91">
        <f t="shared" si="13"/>
        <v>4</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v>39</v>
      </c>
      <c r="CV15" s="883"/>
      <c r="CW15" s="790">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91"/>
      <c r="CY15" s="791"/>
      <c r="CZ15" s="792"/>
      <c r="DA15" s="793">
        <f t="shared" si="11"/>
        <v>1E+30</v>
      </c>
      <c r="DB15" s="794"/>
      <c r="DC15" s="794"/>
      <c r="DD15" s="823"/>
      <c r="DE15" s="824">
        <f t="shared" si="2"/>
        <v>5.062499999999998E-46</v>
      </c>
      <c r="DF15" s="794"/>
      <c r="DG15" s="794"/>
      <c r="DH15" s="823"/>
      <c r="DI15" s="790">
        <f t="shared" si="12"/>
        <v>0</v>
      </c>
      <c r="DJ15" s="791"/>
      <c r="DK15" s="791"/>
      <c r="DL15" s="792"/>
      <c r="DM15" s="796">
        <f t="shared" si="3"/>
        <v>150</v>
      </c>
      <c r="DN15" s="791"/>
      <c r="DO15" s="791"/>
      <c r="DP15" s="792"/>
      <c r="DQ15" s="796">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91"/>
      <c r="DS15" s="791"/>
      <c r="DT15" s="797"/>
      <c r="DU15" s="91">
        <f t="shared" si="13"/>
        <v>5</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v>40</v>
      </c>
      <c r="CV16" s="743"/>
      <c r="CW16" s="744">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5"/>
      <c r="CY16" s="745"/>
      <c r="CZ16" s="746"/>
      <c r="DA16" s="747">
        <f t="shared" si="11"/>
        <v>1E+30</v>
      </c>
      <c r="DB16" s="748"/>
      <c r="DC16" s="748"/>
      <c r="DD16" s="749"/>
      <c r="DE16" s="747">
        <f t="shared" si="2"/>
        <v>5.062499999999998E-46</v>
      </c>
      <c r="DF16" s="748"/>
      <c r="DG16" s="748"/>
      <c r="DH16" s="749"/>
      <c r="DI16" s="750">
        <f t="shared" si="12"/>
        <v>0</v>
      </c>
      <c r="DJ16" s="745"/>
      <c r="DK16" s="745"/>
      <c r="DL16" s="746"/>
      <c r="DM16" s="750">
        <f t="shared" si="3"/>
        <v>150</v>
      </c>
      <c r="DN16" s="745"/>
      <c r="DO16" s="745"/>
      <c r="DP16" s="746"/>
      <c r="DQ16" s="750">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5"/>
      <c r="DS16" s="745"/>
      <c r="DT16" s="751"/>
      <c r="DU16" s="91">
        <f t="shared" si="13"/>
        <v>6</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v>41</v>
      </c>
      <c r="CV17" s="883"/>
      <c r="CW17" s="790">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91"/>
      <c r="CY17" s="791"/>
      <c r="CZ17" s="792"/>
      <c r="DA17" s="793">
        <f t="shared" si="11"/>
        <v>1E+30</v>
      </c>
      <c r="DB17" s="794"/>
      <c r="DC17" s="794"/>
      <c r="DD17" s="795"/>
      <c r="DE17" s="793">
        <f t="shared" si="2"/>
        <v>5.062499999999998E-46</v>
      </c>
      <c r="DF17" s="794"/>
      <c r="DG17" s="794"/>
      <c r="DH17" s="795"/>
      <c r="DI17" s="796">
        <f t="shared" si="12"/>
        <v>0</v>
      </c>
      <c r="DJ17" s="791"/>
      <c r="DK17" s="791"/>
      <c r="DL17" s="792"/>
      <c r="DM17" s="796">
        <f t="shared" si="3"/>
        <v>150</v>
      </c>
      <c r="DN17" s="791"/>
      <c r="DO17" s="791"/>
      <c r="DP17" s="792"/>
      <c r="DQ17" s="796">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91"/>
      <c r="DS17" s="791"/>
      <c r="DT17" s="797"/>
      <c r="DU17" s="91">
        <f t="shared" si="13"/>
        <v>7</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20000.03</v>
      </c>
      <c r="AN22" s="949"/>
      <c r="AO22" s="949"/>
      <c r="AP22" s="949"/>
      <c r="AQ22" s="949"/>
      <c r="AR22" s="949"/>
      <c r="AS22" s="950"/>
      <c r="AT22" s="951">
        <v>0.03</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20000.05</v>
      </c>
      <c r="AN23" s="949"/>
      <c r="AO23" s="949"/>
      <c r="AP23" s="949"/>
      <c r="AQ23" s="949"/>
      <c r="AR23" s="949"/>
      <c r="AS23" s="950"/>
      <c r="AT23" s="979">
        <v>0.05</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50000.08</v>
      </c>
      <c r="AN24" s="949"/>
      <c r="AO24" s="949"/>
      <c r="AP24" s="949"/>
      <c r="AQ24" s="949"/>
      <c r="AR24" s="949"/>
      <c r="AS24" s="950"/>
      <c r="AT24" s="951">
        <v>0.08</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100000.05</v>
      </c>
      <c r="AN25" s="949"/>
      <c r="AO25" s="949"/>
      <c r="AP25" s="949"/>
      <c r="AQ25" s="949"/>
      <c r="AR25" s="949"/>
      <c r="AS25" s="950"/>
      <c r="AT25" s="979">
        <v>0.05</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200000.23</v>
      </c>
      <c r="AN26" s="949"/>
      <c r="AO26" s="949"/>
      <c r="AP26" s="949"/>
      <c r="AQ26" s="949"/>
      <c r="AR26" s="949"/>
      <c r="AS26" s="950"/>
      <c r="AT26" s="951">
        <v>0.23</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200000.17</v>
      </c>
      <c r="AN27" s="949"/>
      <c r="AO27" s="949"/>
      <c r="AP27" s="949"/>
      <c r="AQ27" s="949"/>
      <c r="AR27" s="949"/>
      <c r="AS27" s="950"/>
      <c r="AT27" s="979">
        <v>0.17</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404</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404</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346</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346</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346</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346</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346</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3.8866154544740828E-22</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9.3896713615023471E-6</v>
      </c>
      <c r="CM258" s="769"/>
      <c r="CN258" s="769"/>
      <c r="CO258" s="770"/>
      <c r="CP258" s="778">
        <f ca="1">IF(BT5="","-",IF(BT259="micrograma (µg)",SUM(CP5:CS257)*1000,IF(BT259="miligrama (mg)",SUM(CP5:CS257),IF(BT259="grama (g)",SUM(CP5:CS257)/1000,IF(BT259="quilograma (kg)",SUM(CP5:CS257)/1000000,IF(BT259="tonelada (t)",SUM(CP5:CS257)/1000000000))))))</f>
        <v>10.000010421870325</v>
      </c>
      <c r="CQ258" s="779"/>
      <c r="CR258" s="779"/>
      <c r="CS258" s="780"/>
      <c r="CU258" s="784" t="s">
        <v>34</v>
      </c>
      <c r="CV258" s="785"/>
      <c r="CW258" s="785"/>
      <c r="CX258" s="785"/>
      <c r="CY258" s="785"/>
      <c r="CZ258" s="786" t="s">
        <v>29</v>
      </c>
      <c r="DA258" s="762" t="s">
        <v>114</v>
      </c>
      <c r="DB258" s="763"/>
      <c r="DC258" s="763"/>
      <c r="DD258" s="764"/>
      <c r="DE258" s="762">
        <f>IF(CU5="","-",SUM(DE5:DH257))</f>
        <v>6.050610213877875E-17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1.6444335048731375E-3</v>
      </c>
      <c r="DN258" s="769"/>
      <c r="DO258" s="769"/>
      <c r="DP258" s="770"/>
      <c r="DQ258" s="778">
        <f ca="1">IF(CU5="","-",IF(CU259="micrograma (µg)",SUM(DQ5:DT257)*1000,IF(CU259="miligrama (mg)",SUM(DQ5:DT257),IF(CU259="grama (g)",SUM(DQ5:DT257)/1000,IF(CU259="quilograma (kg)",SUM(DQ5:DT257)/1000000,IF(CU259="tonelada (t)",SUM(DQ5:DT257)/1000000000))))))</f>
        <v>250.00167314393323</v>
      </c>
      <c r="DR258" s="779"/>
      <c r="DS258" s="779"/>
      <c r="DT258" s="780"/>
      <c r="DV258" s="784" t="s">
        <v>34</v>
      </c>
      <c r="DW258" s="785"/>
      <c r="DX258" s="785"/>
      <c r="DY258" s="785"/>
      <c r="DZ258" s="785"/>
      <c r="EA258" s="786" t="s">
        <v>29</v>
      </c>
      <c r="EB258" s="762" t="s">
        <v>114</v>
      </c>
      <c r="EC258" s="763"/>
      <c r="ED258" s="763"/>
      <c r="EE258" s="764"/>
      <c r="EF258" s="762">
        <f>IF(DV5="","-",SUM(EF5:EI257))</f>
        <v>2.4414062500000009E-38</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1.2500000000000001E-2</v>
      </c>
      <c r="EO258" s="769"/>
      <c r="EP258" s="769"/>
      <c r="EQ258" s="770"/>
      <c r="ER258" s="778">
        <f ca="1">IF(DV5="","-",IF(DV259="micrograma (µg)",SUM(ER5:EU257)*1000,IF(DV259="miligrama (mg)",SUM(ER5:EU257),IF(DV259="grama (g)",SUM(ER5:EU257)/1000,IF(DV259="quilograma (kg)",SUM(ER5:EU257)/1000000,IF(DV259="tonelada (t)",SUM(ER5:EU257)/1000000000))))))</f>
        <v>500.00013067009343</v>
      </c>
      <c r="ES258" s="779"/>
      <c r="ET258" s="779"/>
      <c r="EU258" s="780"/>
      <c r="EW258" s="784" t="s">
        <v>34</v>
      </c>
      <c r="EX258" s="785"/>
      <c r="EY258" s="785"/>
      <c r="EZ258" s="785"/>
      <c r="FA258" s="785"/>
      <c r="FB258" s="786" t="s">
        <v>29</v>
      </c>
      <c r="FC258" s="762" t="s">
        <v>114</v>
      </c>
      <c r="FD258" s="763"/>
      <c r="FE258" s="763"/>
      <c r="FF258" s="764"/>
      <c r="FG258" s="762">
        <f>IF(EW5="","-",SUM(FG5:FJ257))</f>
        <v>4.8828125000000017E-38</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2.5000000000000001E-2</v>
      </c>
      <c r="FP258" s="769"/>
      <c r="FQ258" s="769"/>
      <c r="FR258" s="770"/>
      <c r="FS258" s="778">
        <f ca="1">IF(EW5="","-",IF(EW259="micrograma (µg)",SUM(FS5:FV257)*1000,IF(EW259="miligrama (mg)",SUM(FS5:FV257),IF(EW259="grama (g)",SUM(FS5:FV257)/1000,IF(EW259="quilograma (kg)",SUM(FS5:FV257)/1000000,IF(EW259="tonelada (t)",SUM(FS5:FV257)/1000000000))))))</f>
        <v>1000.0052613414936</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0.5</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0.5</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0.5</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0.5</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5.7735026918962588E-10</v>
      </c>
      <c r="CQ260" s="866"/>
      <c r="CR260" s="866"/>
      <c r="CS260" s="867"/>
      <c r="CT260" s="65">
        <f t="shared" ref="CT260:CT266" ca="1" si="84">IF(CP260="-","-",CP260/CP$266)</f>
        <v>3.9999999883360646E-9</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3.9997384261243146E-9</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3.9850759402767351E-9</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3.9412865005199507E-9</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9.3896713615023471E-6</v>
      </c>
      <c r="CQ261" s="776"/>
      <c r="CR261" s="776"/>
      <c r="CS261" s="777"/>
      <c r="CT261" s="65">
        <f t="shared" ca="1" si="84"/>
        <v>6.5053551268290879E-5</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1.6444335048731375E-3</v>
      </c>
      <c r="DR261" s="776"/>
      <c r="DS261" s="776"/>
      <c r="DT261" s="777"/>
      <c r="DU261" s="65">
        <f t="shared" ca="1" si="85"/>
        <v>1.1392224494637089E-2</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1.2500000000000001E-2</v>
      </c>
      <c r="ES261" s="776"/>
      <c r="ET261" s="776"/>
      <c r="EU261" s="777"/>
      <c r="EV261" s="65">
        <f t="shared" ca="1" si="86"/>
        <v>8.6279425007245267E-2</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2.5000000000000001E-2</v>
      </c>
      <c r="FT261" s="776"/>
      <c r="FU261" s="776"/>
      <c r="FV261" s="777"/>
      <c r="FW261" s="65">
        <f t="shared" ca="1" si="87"/>
        <v>0.17066271165214733</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0.14433756729740646</v>
      </c>
      <c r="CQ262" s="776"/>
      <c r="CR262" s="776"/>
      <c r="CS262" s="777"/>
      <c r="CT262" s="65">
        <f t="shared" ca="1" si="84"/>
        <v>0.9999999970840161</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0.14433756729740646</v>
      </c>
      <c r="DR262" s="776"/>
      <c r="DS262" s="776"/>
      <c r="DT262" s="777"/>
      <c r="DU262" s="65">
        <f t="shared" ca="1" si="85"/>
        <v>0.99993460653107857</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0.14433756729740646</v>
      </c>
      <c r="ES262" s="776"/>
      <c r="ET262" s="776"/>
      <c r="EU262" s="777"/>
      <c r="EV262" s="65">
        <f t="shared" ca="1" si="86"/>
        <v>0.99626898506918382</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0.14433756729740646</v>
      </c>
      <c r="FT262" s="776"/>
      <c r="FU262" s="776"/>
      <c r="FV262" s="777"/>
      <c r="FW262" s="65">
        <f t="shared" ca="1" si="87"/>
        <v>0.98532162512998755</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5.7735087089658951E-6</v>
      </c>
      <c r="CQ264" s="776"/>
      <c r="CR264" s="776"/>
      <c r="CS264" s="777"/>
      <c r="CT264" s="65">
        <f t="shared" ca="1" si="84"/>
        <v>4.0000041570841817E-5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1.443385332875067E-4</v>
      </c>
      <c r="DR264" s="776"/>
      <c r="DS264" s="776"/>
      <c r="DT264" s="777"/>
      <c r="DU264" s="65">
        <f t="shared" ca="1" si="85"/>
        <v>9.9994129866916065E-4</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2.8867521003722645E-4</v>
      </c>
      <c r="ES264" s="776"/>
      <c r="ET264" s="776"/>
      <c r="EU264" s="777"/>
      <c r="EV264" s="65">
        <f t="shared" ca="1" si="86"/>
        <v>1.9925384908686125E-3</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5.7735330682655338E-4</v>
      </c>
      <c r="FT264" s="776"/>
      <c r="FU264" s="776"/>
      <c r="FV264" s="777"/>
      <c r="FW264" s="65">
        <f t="shared" ca="1" si="87"/>
        <v>3.9413072369741528E-3</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0.14433756771829248</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0.14434700664889966</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0.14487810968780007</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0.14648776969485966</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0.28867513543658496</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0.28869401329779931</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0.28975621937560014</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0.29297553938971932</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400</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401</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402</v>
      </c>
      <c r="C8" s="791"/>
      <c r="D8" s="791"/>
      <c r="E8" s="791"/>
      <c r="F8" s="792"/>
      <c r="G8" s="1212" t="s">
        <v>403</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c r="C11" s="791"/>
      <c r="D11" s="791"/>
      <c r="E11" s="791"/>
      <c r="F11" s="792"/>
      <c r="G11" s="1212"/>
      <c r="H11" s="1213"/>
      <c r="I11" s="1213"/>
      <c r="J11" s="1213"/>
      <c r="K11" s="1213"/>
      <c r="L11" s="1214"/>
      <c r="M11" s="1215"/>
      <c r="N11" s="1216"/>
      <c r="O11" s="1216"/>
      <c r="P11" s="1216"/>
      <c r="Q11" s="1217"/>
      <c r="R11" s="1215"/>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v>
      </c>
      <c r="C8" s="1265" t="str">
        <f>IF('Entrada de Dados'!$R$9="","-",IF('Entrada de Dados'!$R$9&lt;1,FIXED(A3*'Entrada de Dados'!$R$10,LEN('Entrada de Dados'!$R$9)-SEARCH(",",'Entrada de Dados'!$R$9)),FIXED(A3*'Entrada de Dados'!$R$10,LEN('Entrada de Dados'!$R$9))))</f>
        <v>0,5</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v>
      </c>
      <c r="C9" s="1267" t="str">
        <f>IF('Entrada de Dados'!$R$9="","-",IF('Entrada de Dados'!$R$9&lt;1,FIXED(A4*'Entrada de Dados'!$R$10,LEN('Entrada de Dados'!$R$9)-SEARCH(",",'Entrada de Dados'!$R$9)),FIXED(A4*'Entrada de Dados'!$R$10,LEN('Entrada de Dados'!$R$9))))</f>
        <v>1,0</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v>
      </c>
      <c r="C10" s="1268" t="str">
        <f>IF('Entrada de Dados'!$R$9="","-",IF('Entrada de Dados'!$R$9&lt;1,FIXED(A5*'Entrada de Dados'!$R$10,LEN('Entrada de Dados'!$R$9)-SEARCH(",",'Entrada de Dados'!$R$9)),FIXED(A5*'Entrada de Dados'!$R$10,LEN('Entrada de Dados'!$R$9))))</f>
        <v>1,5</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0.5</v>
      </c>
      <c r="J12" s="61" t="str">
        <f ca="1">E14</f>
        <v>0,5</v>
      </c>
      <c r="K12" s="63" t="str">
        <f ca="1">F14</f>
        <v>Aprovado</v>
      </c>
    </row>
    <row r="13" spans="1:14" ht="14.25" customHeight="1" x14ac:dyDescent="0.2">
      <c r="A13" s="1258"/>
      <c r="B13" s="1259"/>
      <c r="C13" s="357" t="s">
        <v>87</v>
      </c>
      <c r="D13" s="357" t="s">
        <v>86</v>
      </c>
      <c r="E13" s="1260"/>
      <c r="F13" s="1261"/>
      <c r="H13" s="355" t="s">
        <v>86</v>
      </c>
      <c r="I13" s="62">
        <f ca="1">D14</f>
        <v>-0.5</v>
      </c>
      <c r="J13" s="61" t="str">
        <f ca="1">J12</f>
        <v>0,5</v>
      </c>
      <c r="K13" s="63" t="str">
        <f ca="1">K12</f>
        <v>Aprovado</v>
      </c>
    </row>
    <row r="14" spans="1:14" x14ac:dyDescent="0.2">
      <c r="A14" s="15">
        <v>1</v>
      </c>
      <c r="B14" s="19">
        <f ca="1">IF('Sem ajuste+Declaração'!D44="-","-",VALUE('Sem ajuste+Declaração'!D44))</f>
        <v>10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E14" s="56" t="str">
        <f ca="1">IF(B14="-","-",IF(B14&lt;=$B$8,$C$8,IF(B14&lt;=$B$9,$C$9,IF(B14&lt;=$B$10,$C$10))))</f>
        <v>0,5</v>
      </c>
      <c r="F14" s="18" t="str">
        <f ca="1">IF(B14="-","-",IF(OR(VALUE(ABS(C14))&gt;VALUE(E14),VALUE(ABS(D14))&gt;VALUE(E14)),"Reprovado","Aprovado"))</f>
        <v>Aprovado</v>
      </c>
      <c r="H14" s="355" t="s">
        <v>87</v>
      </c>
      <c r="I14" s="60">
        <f ca="1">C15</f>
        <v>0.5</v>
      </c>
      <c r="J14" s="61" t="str">
        <f ca="1">E15</f>
        <v>0,5</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E15" s="54" t="str">
        <f ca="1">IF(B15="-","-",IF(B15&lt;=$B$8,$C$8,IF(B15&lt;=$B$9,$C$9,IF(B15&lt;=$B$10,$C$10))))</f>
        <v>0,5</v>
      </c>
      <c r="F15" s="18" t="str">
        <f ca="1">IF(B15="-","-",IF(OR(VALUE(ABS(C15))&gt;VALUE(E15),VALUE(ABS(D15))&gt;VALUE(E15)),"Reprovado","Aprovado"))</f>
        <v>Aprovado</v>
      </c>
      <c r="H15" s="355" t="s">
        <v>86</v>
      </c>
      <c r="I15" s="62">
        <f ca="1">D15</f>
        <v>-0.5</v>
      </c>
      <c r="J15" s="61" t="str">
        <f ca="1">J14</f>
        <v>0,5</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E16" s="54" t="str">
        <f ca="1">IF(B16="-","-",IF(B16&lt;=$B$8,$C$8,IF(B16&lt;=$B$9,$C$9,IF(B16&lt;=$B$10,$C$10))))</f>
        <v>1,0</v>
      </c>
      <c r="F16" s="18" t="str">
        <f ca="1">IF(B16="-","-",IF(OR(VALUE(ABS(C16))&gt;VALUE(E16),VALUE(ABS(D16))&gt;VALUE(E16)),"Reprovado","Aprovado"))</f>
        <v>Aprovado</v>
      </c>
      <c r="H16" s="355" t="s">
        <v>87</v>
      </c>
      <c r="I16" s="60">
        <f ca="1">C16</f>
        <v>0.5</v>
      </c>
      <c r="J16" s="61" t="str">
        <f ca="1">E16</f>
        <v>1,0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E17" s="57" t="str">
        <f ca="1">IF(B17="-","-",IF(B17&lt;=$B$8,$C$8,IF(B17&lt;=$B$9,$C$9,IF(B17&lt;=$B$10,$C$10))))</f>
        <v>1,0</v>
      </c>
      <c r="F17" s="43" t="str">
        <f ca="1">IF(B17="-","-",IF(OR(VALUE(ABS(C17))&gt;VALUE(E17),VALUE(ABS(D17))&gt;VALUE(E17)),"Reprovado","Aprovado"))</f>
        <v>Aprovado</v>
      </c>
      <c r="H17" s="355" t="s">
        <v>86</v>
      </c>
      <c r="I17" s="62">
        <f ca="1">D16</f>
        <v>-0.5</v>
      </c>
      <c r="J17" s="61" t="str">
        <f ca="1">J16</f>
        <v>1,0</v>
      </c>
      <c r="K17" s="63" t="str">
        <f ca="1">K16</f>
        <v>Aprovado</v>
      </c>
    </row>
    <row r="18" spans="1:11" x14ac:dyDescent="0.2">
      <c r="H18" s="355" t="s">
        <v>87</v>
      </c>
      <c r="I18" s="60">
        <f ca="1">C17</f>
        <v>0.5</v>
      </c>
      <c r="J18" s="61" t="str">
        <f ca="1">E17</f>
        <v>1,0</v>
      </c>
      <c r="K18" s="63" t="str">
        <f ca="1">F17</f>
        <v>Aprovado</v>
      </c>
    </row>
    <row r="19" spans="1:11" ht="23.25" customHeight="1" x14ac:dyDescent="0.2">
      <c r="A19" s="1244" t="s">
        <v>72</v>
      </c>
      <c r="B19" s="1246" t="s">
        <v>73</v>
      </c>
      <c r="C19" s="360" t="s">
        <v>80</v>
      </c>
      <c r="D19" s="1248" t="s">
        <v>88</v>
      </c>
      <c r="E19" s="1250" t="s">
        <v>81</v>
      </c>
      <c r="H19" s="355" t="s">
        <v>86</v>
      </c>
      <c r="I19" s="62">
        <f ca="1">D17</f>
        <v>-0.5</v>
      </c>
      <c r="J19" s="61" t="str">
        <f ca="1">J18</f>
        <v>1,0</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0.5</v>
      </c>
      <c r="D21" s="49" t="str">
        <f ca="1">INDEX($A$14:$F$17,MATCH(C21,$C$14:$C$17,0),5)</f>
        <v>0,5</v>
      </c>
      <c r="E21" s="23" t="str">
        <f ca="1">IF(B14="-","-",IF((VALUE(ABS(C21))&gt;VALUE(D21)),"Reprovado","Aprovado"))</f>
        <v>Aprovado</v>
      </c>
    </row>
    <row r="22" spans="1:11" x14ac:dyDescent="0.2">
      <c r="A22" s="22">
        <v>2</v>
      </c>
      <c r="B22" s="5">
        <f ca="1">IF(C22="-","-",INDEX($A$14:$F$17,MATCH(C22,$C$14:$C$17,0),1))</f>
        <v>1</v>
      </c>
      <c r="C22" s="28">
        <f ca="1">IF(C15="-","-",LARGE($C$14:$C$17,A22))</f>
        <v>0.5</v>
      </c>
      <c r="D22" s="49" t="str">
        <f ca="1">INDEX($A$14:$F$17,MATCH(C22,$C$14:$C$17,0),5)</f>
        <v>0,5</v>
      </c>
      <c r="E22" s="23" t="str">
        <f ca="1">IF(B15="-","-",IF((VALUE(ABS(C22))&gt;VALUE(D22)),"Reprovado","Aprovado"))</f>
        <v>Aprovado</v>
      </c>
    </row>
    <row r="23" spans="1:11" x14ac:dyDescent="0.2">
      <c r="A23" s="22">
        <v>3</v>
      </c>
      <c r="B23" s="5">
        <f ca="1">IF(C23="-","-",INDEX($A$14:$F$17,MATCH(C23,$C$14:$C$17,0),1))</f>
        <v>1</v>
      </c>
      <c r="C23" s="28">
        <f ca="1">IF(C16="-","-",LARGE($C$14:$C$17,A23))</f>
        <v>0.5</v>
      </c>
      <c r="D23" s="5" t="str">
        <f ca="1">INDEX($A$14:$F$17,MATCH(C23,$C$14:$C$17,0),5)</f>
        <v>0,5</v>
      </c>
      <c r="E23" s="23" t="str">
        <f ca="1">IF(B16="-","-",IF((VALUE(ABS(C23))&gt;VALUE(D23)),"Reprovado","Aprovado"))</f>
        <v>Aprovado</v>
      </c>
    </row>
    <row r="24" spans="1:11" x14ac:dyDescent="0.2">
      <c r="A24" s="44">
        <v>4</v>
      </c>
      <c r="B24" s="45">
        <f ca="1">IF(C24="-","-",INDEX($A$14:$F$17,MATCH(C24,$C$14:$C$17,0),1))</f>
        <v>1</v>
      </c>
      <c r="C24" s="46">
        <f ca="1">IF(C17="-","-",LARGE($C$14:$C$17,A24))</f>
        <v>0.5</v>
      </c>
      <c r="D24" s="45" t="str">
        <f ca="1">INDEX($A$14:$F$17,MATCH(C24,$C$14:$C$17,0),5)</f>
        <v>0,5</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-0.5</v>
      </c>
      <c r="D28" s="5" t="str">
        <f ca="1">INDEX($A$14:$F$17,MATCH(C28,$D$14:$D$17,0),5)</f>
        <v>0,5</v>
      </c>
      <c r="E28" s="23" t="str">
        <f ca="1">IF(B14="-","-",IF(VALUE(ABS(C28))&gt;VALUE(D28),"Reprovado","Aprovado"))</f>
        <v>Aprovado</v>
      </c>
    </row>
    <row r="29" spans="1:11" x14ac:dyDescent="0.2">
      <c r="A29" s="22">
        <v>2</v>
      </c>
      <c r="B29" s="5">
        <f ca="1">IF(C29="-","-",INDEX($A$14:$F$17,MATCH(C29,$D$14:$D$17,0),1))</f>
        <v>1</v>
      </c>
      <c r="C29" s="28">
        <f ca="1">IF(D15="-","-",SMALL($D$14:$D$17,A22))</f>
        <v>-0.5</v>
      </c>
      <c r="D29" s="49" t="str">
        <f ca="1">INDEX($A$14:$F$17,MATCH(C29,$D$14:$D$17,0),5)</f>
        <v>0,5</v>
      </c>
      <c r="E29" s="23" t="str">
        <f ca="1">IF(B15="-","-",IF(VALUE(ABS(C29))&gt;VALUE(D29),"Reprovado","Aprovado"))</f>
        <v>Aprovado</v>
      </c>
    </row>
    <row r="30" spans="1:11" x14ac:dyDescent="0.2">
      <c r="A30" s="22">
        <v>3</v>
      </c>
      <c r="B30" s="5">
        <f ca="1">IF(C30="-","-",INDEX($A$14:$F$17,MATCH(C30,$D$14:$D$17,0),1))</f>
        <v>1</v>
      </c>
      <c r="C30" s="28">
        <f ca="1">IF(D16="-","-",SMALL($D$14:$D$17,A23))</f>
        <v>-0.5</v>
      </c>
      <c r="D30" s="5" t="str">
        <f ca="1">INDEX($A$14:$F$17,MATCH(C30,$D$14:$D$17,0),5)</f>
        <v>0,5</v>
      </c>
      <c r="E30" s="23" t="str">
        <f ca="1">IF(B16="-","-",IF(VALUE(ABS(C30))&gt;VALUE(D30),"Reprovado","Aprovado"))</f>
        <v>Aprovado</v>
      </c>
    </row>
    <row r="31" spans="1:11" x14ac:dyDescent="0.2">
      <c r="A31" s="44">
        <v>4</v>
      </c>
      <c r="B31" s="45">
        <f ca="1">IF(C31="-","-",INDEX($A$14:$F$17,MATCH(C31,$D$14:$D$17,0),1))</f>
        <v>1</v>
      </c>
      <c r="C31" s="46">
        <f ca="1">IF(D17="-","-",SMALL($D$14:$D$17,A24))</f>
        <v>-0.5</v>
      </c>
      <c r="D31" s="45" t="str">
        <f ca="1">INDEX($A$14:$F$17,MATCH(C31,$D$14:$D$17,0),5)</f>
        <v>0,5</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2024-07-24T11:46:20Z</cp:lastPrinted>
  <dcterms:created xsi:type="dcterms:W3CDTF">2003-10-31T17:20:01Z</dcterms:created>
  <dcterms:modified xsi:type="dcterms:W3CDTF">2024-07-24T11:46:25Z</dcterms:modified>
</cp:coreProperties>
</file>