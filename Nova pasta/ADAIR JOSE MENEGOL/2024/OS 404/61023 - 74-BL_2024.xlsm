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5.xml" ContentType="application/vnd.openxmlformats-officedocument.drawing+xml"/>
  <Override PartName="/xl/ctrlProps/ctrlProp8.xml" ContentType="application/vnd.ms-excel.controlproperties+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7.xml" ContentType="application/vnd.openxmlformats-officedocument.drawing+xml"/>
  <Override PartName="/xl/ctrlProps/ctrlProp11.xml" ContentType="application/vnd.ms-excel.controlproperties+xml"/>
  <Override PartName="/xl/drawings/drawing8.xml" ContentType="application/vnd.openxmlformats-officedocument.drawing+xml"/>
  <Override PartName="/xl/ctrlProps/ctrlProp12.xml" ContentType="application/vnd.ms-excel.controlpropertie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3.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126" codeName="{E757BCB4-07E6-AE0B-56E0-F0EEF7A6E26C}"/>
  <workbookPr codeName="EstaPasta_de_trabalho"/>
  <mc:AlternateContent xmlns:mc="http://schemas.openxmlformats.org/markup-compatibility/2006">
    <mc:Choice Requires="x15">
      <x15ac:absPath xmlns:x15ac="http://schemas.microsoft.com/office/spreadsheetml/2010/11/ac" url="https://d.docs.live.net/b8e610fad16b7c9b/PASTA COMPARTILHADA SOLUTION/CERTIFICADO/ADAIR JOSE MENEGOL/2024/OS 404/"/>
    </mc:Choice>
  </mc:AlternateContent>
  <xr:revisionPtr revIDLastSave="3" documentId="8_{B4458352-C4BF-43AB-8D54-22B1804C76DB}" xr6:coauthVersionLast="47" xr6:coauthVersionMax="47" xr10:uidLastSave="{EF553B24-EFBF-4410-AB26-2431658A7BAE}"/>
  <bookViews>
    <workbookView xWindow="-120" yWindow="-120" windowWidth="20730" windowHeight="11160" tabRatio="815" activeTab="1" xr2:uid="{00000000-000D-0000-FFFF-FFFF00000000}"/>
  </bookViews>
  <sheets>
    <sheet name="Definições" sheetId="23" r:id="rId1"/>
    <sheet name="Entrada de Dados" sheetId="16" r:id="rId2"/>
    <sheet name="Sem ajuste" sheetId="18" r:id="rId3"/>
    <sheet name="Sem ajuste+Declaração" sheetId="3" r:id="rId4"/>
    <sheet name="Com ajuste" sheetId="19" r:id="rId5"/>
    <sheet name="Com ajuste+Declaração" sheetId="17" state="hidden" r:id="rId6"/>
    <sheet name="Anexo 1" sheetId="14" state="hidden" r:id="rId7"/>
    <sheet name="Anexo 1_2" sheetId="21" state="hidden" r:id="rId8"/>
    <sheet name="Cálculo" sheetId="2" state="hidden" r:id="rId9"/>
    <sheet name="Densidade do AR" sheetId="8" state="hidden" r:id="rId10"/>
    <sheet name="Dados dos Padrões" sheetId="4" state="hidden" r:id="rId11"/>
    <sheet name="Gráficos" sheetId="20" state="hidden" r:id="rId12"/>
    <sheet name="Desvio Permissível" sheetId="24" r:id="rId13"/>
    <sheet name="Clientes" sheetId="15" state="hidden" r:id="rId14"/>
  </sheets>
  <definedNames>
    <definedName name="_xlnm._FilterDatabase" localSheetId="8" hidden="1">Cálculo!$A$2:$BL$257</definedName>
    <definedName name="_xlnm.Print_Area" localSheetId="6">'Anexo 1'!$B$2:$W$19</definedName>
    <definedName name="_xlnm.Print_Area" localSheetId="7">'Anexo 1_2'!$B$2:$W$19</definedName>
    <definedName name="_xlnm.Print_Area" localSheetId="4">'Com ajuste'!$B$2:$W$84</definedName>
    <definedName name="_xlnm.Print_Area" localSheetId="5">'Com ajuste+Declaração'!$B$2:$W$95</definedName>
    <definedName name="_xlnm.Print_Area" localSheetId="10">'Dados dos Padrões'!$A$1:$A$243</definedName>
    <definedName name="_xlnm.Print_Area" localSheetId="1">'Entrada de Dados'!$B$2:$W$64</definedName>
    <definedName name="_xlnm.Print_Area" localSheetId="2">'Sem ajuste'!$B$2:$W$83</definedName>
    <definedName name="_xlnm.Print_Area" localSheetId="3">'Sem ajuste+Declaração'!$B$2:$W$94</definedName>
    <definedName name="Circular">'Entrada de Dados'!$K$40</definedName>
    <definedName name="DesenhoPlataformas">'Entrada de Dados'!$I$40:$N$46</definedName>
    <definedName name="grupo">Cálculo!$BT$218:$BU$222</definedName>
    <definedName name="Medidas">Cálculo!$BT$218:$BT$222</definedName>
    <definedName name="Plataforma" localSheetId="7">INDIRECT('Anexo 1_2'!$L$14)</definedName>
    <definedName name="Plataforma">INDIRECT('Anexo 1'!$L$14)</definedName>
    <definedName name="Retângular">'Entrada de Dados'!$K$44</definedName>
    <definedName name="_xlnm.Print_Titles" localSheetId="6">'Anexo 1'!$1:$6</definedName>
    <definedName name="_xlnm.Print_Titles" localSheetId="7">'Anexo 1_2'!$1:$6</definedName>
    <definedName name="_xlnm.Print_Titles" localSheetId="4">'Com ajuste'!$2:$7</definedName>
    <definedName name="_xlnm.Print_Titles" localSheetId="5">'Com ajuste+Declaração'!$2:$7</definedName>
    <definedName name="_xlnm.Print_Titles" localSheetId="2">'Sem ajuste'!$2:$7</definedName>
    <definedName name="_xlnm.Print_Titles" localSheetId="3">'Sem ajuste+Declaração'!$2:$7</definedName>
    <definedName name="Unidades">Cálculo!$BT$218:$BU$222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32" i="16" l="1"/>
  <c r="L31" i="16"/>
  <c r="D29" i="16"/>
  <c r="L29" i="16" s="1"/>
  <c r="F8" i="23"/>
  <c r="R10" i="17"/>
  <c r="R10" i="19"/>
  <c r="R10" i="3"/>
  <c r="R10" i="18"/>
  <c r="AT85" i="2"/>
  <c r="AT84" i="2"/>
  <c r="A1" i="16"/>
  <c r="C10" i="24"/>
  <c r="C9" i="24"/>
  <c r="C8" i="24"/>
  <c r="A6" i="16"/>
  <c r="J32" i="16" l="1"/>
  <c r="H30" i="16"/>
  <c r="J29" i="16"/>
  <c r="J30" i="16"/>
  <c r="L30" i="16"/>
  <c r="H32" i="16"/>
  <c r="H31" i="16"/>
  <c r="J31" i="16"/>
  <c r="H29" i="16"/>
  <c r="A2" i="16"/>
  <c r="F10" i="23"/>
  <c r="A5" i="16" s="1"/>
  <c r="F9" i="23"/>
  <c r="A3" i="16" s="1"/>
  <c r="S20" i="18" l="1"/>
  <c r="M20" i="18"/>
  <c r="S20" i="3"/>
  <c r="M20" i="3"/>
  <c r="S20" i="19"/>
  <c r="M20" i="19"/>
  <c r="B9" i="8" l="1" a="1"/>
  <c r="B9" i="8" s="1"/>
  <c r="D9" i="8" s="1" a="1"/>
  <c r="D9" i="8" s="1"/>
  <c r="B6" i="8" a="1"/>
  <c r="B6" i="8" s="1"/>
  <c r="D6" i="8" s="1" a="1"/>
  <c r="D6" i="8" s="1"/>
  <c r="B3" i="8" a="1"/>
  <c r="B3" i="8" s="1"/>
  <c r="D3" i="8" s="1" a="1"/>
  <c r="D3" i="8" s="1"/>
  <c r="D34" i="19"/>
  <c r="D35" i="19"/>
  <c r="D36" i="19"/>
  <c r="E12" i="17"/>
  <c r="B12" i="17"/>
  <c r="R11" i="17"/>
  <c r="E11" i="17"/>
  <c r="E10" i="17"/>
  <c r="E12" i="19"/>
  <c r="B12" i="19"/>
  <c r="R11" i="19"/>
  <c r="E11" i="19"/>
  <c r="E10" i="19"/>
  <c r="E12" i="3"/>
  <c r="B12" i="3"/>
  <c r="R11" i="3"/>
  <c r="E11" i="3"/>
  <c r="E10" i="3"/>
  <c r="B12" i="18"/>
  <c r="R11" i="18"/>
  <c r="M7" i="18"/>
  <c r="M7" i="21" s="1"/>
  <c r="M7" i="19" l="1"/>
  <c r="M7" i="14"/>
  <c r="M7" i="3"/>
  <c r="M7" i="17"/>
  <c r="FW257" i="2"/>
  <c r="FW256" i="2"/>
  <c r="FW255" i="2"/>
  <c r="FW254" i="2"/>
  <c r="FW253" i="2"/>
  <c r="FW252" i="2"/>
  <c r="FW251" i="2"/>
  <c r="FW250" i="2"/>
  <c r="FW249" i="2"/>
  <c r="FW248" i="2"/>
  <c r="FW247" i="2"/>
  <c r="FW246" i="2"/>
  <c r="FW245" i="2"/>
  <c r="FW244" i="2"/>
  <c r="FW243" i="2"/>
  <c r="FW242" i="2"/>
  <c r="FW241" i="2"/>
  <c r="FW240" i="2"/>
  <c r="FW239" i="2"/>
  <c r="FW238" i="2"/>
  <c r="FW237" i="2"/>
  <c r="FW236" i="2"/>
  <c r="FW235" i="2"/>
  <c r="FW234" i="2"/>
  <c r="FW233" i="2"/>
  <c r="FW232" i="2"/>
  <c r="FW231" i="2"/>
  <c r="FW230" i="2"/>
  <c r="FW229" i="2"/>
  <c r="FW228" i="2"/>
  <c r="FW227" i="2"/>
  <c r="FW226" i="2"/>
  <c r="FW225" i="2"/>
  <c r="FW224" i="2"/>
  <c r="FW223" i="2"/>
  <c r="FW222" i="2"/>
  <c r="FW221" i="2"/>
  <c r="FW220" i="2"/>
  <c r="FW219" i="2"/>
  <c r="FW218" i="2"/>
  <c r="FW217" i="2"/>
  <c r="FW216" i="2"/>
  <c r="FW215" i="2"/>
  <c r="FW214" i="2"/>
  <c r="FW213" i="2"/>
  <c r="FW212" i="2"/>
  <c r="FW211" i="2"/>
  <c r="FW210" i="2"/>
  <c r="FW209" i="2"/>
  <c r="FW208" i="2"/>
  <c r="FW207" i="2"/>
  <c r="FW206" i="2"/>
  <c r="FW205" i="2"/>
  <c r="FW204" i="2"/>
  <c r="FW203" i="2"/>
  <c r="FW202" i="2"/>
  <c r="FW201" i="2"/>
  <c r="FW200" i="2"/>
  <c r="FW199" i="2"/>
  <c r="FW198" i="2"/>
  <c r="FW197" i="2"/>
  <c r="FW196" i="2"/>
  <c r="FW195" i="2"/>
  <c r="FW194" i="2"/>
  <c r="FW193" i="2"/>
  <c r="FW192" i="2"/>
  <c r="FW191" i="2"/>
  <c r="FW190" i="2"/>
  <c r="FW189" i="2"/>
  <c r="FW188" i="2"/>
  <c r="FW187" i="2"/>
  <c r="FW186" i="2"/>
  <c r="FW185" i="2"/>
  <c r="FW184" i="2"/>
  <c r="FW183" i="2"/>
  <c r="FW182" i="2"/>
  <c r="FW181" i="2"/>
  <c r="FW180" i="2"/>
  <c r="FW179" i="2"/>
  <c r="FW178" i="2"/>
  <c r="FW177" i="2"/>
  <c r="FW176" i="2"/>
  <c r="FW175" i="2"/>
  <c r="FW174" i="2"/>
  <c r="FW173" i="2"/>
  <c r="FW172" i="2"/>
  <c r="FW171" i="2"/>
  <c r="FW170" i="2"/>
  <c r="FW169" i="2"/>
  <c r="FW168" i="2"/>
  <c r="FW167" i="2"/>
  <c r="FW166" i="2"/>
  <c r="FW165" i="2"/>
  <c r="FW164" i="2"/>
  <c r="FW163" i="2"/>
  <c r="FW162" i="2"/>
  <c r="FW161" i="2"/>
  <c r="FW160" i="2"/>
  <c r="FW159" i="2"/>
  <c r="FW158" i="2"/>
  <c r="FW157" i="2"/>
  <c r="FW156" i="2"/>
  <c r="FW155" i="2"/>
  <c r="FW154" i="2"/>
  <c r="FW153" i="2"/>
  <c r="FW152" i="2"/>
  <c r="FW151" i="2"/>
  <c r="FW150" i="2"/>
  <c r="FW149" i="2"/>
  <c r="FW148" i="2"/>
  <c r="FW147" i="2"/>
  <c r="FW146" i="2"/>
  <c r="FW145" i="2"/>
  <c r="FW144" i="2"/>
  <c r="FW143" i="2"/>
  <c r="FW142" i="2"/>
  <c r="FW141" i="2"/>
  <c r="FW140" i="2"/>
  <c r="FW139" i="2"/>
  <c r="FW138" i="2"/>
  <c r="FW137" i="2"/>
  <c r="FW136" i="2"/>
  <c r="FW135" i="2"/>
  <c r="FW134" i="2"/>
  <c r="FW133" i="2"/>
  <c r="FW132" i="2"/>
  <c r="FW131" i="2"/>
  <c r="FW130" i="2"/>
  <c r="FW129" i="2"/>
  <c r="FW128" i="2"/>
  <c r="FW127" i="2"/>
  <c r="FW126" i="2"/>
  <c r="FW125" i="2"/>
  <c r="FW124" i="2"/>
  <c r="FW123" i="2"/>
  <c r="FW122" i="2"/>
  <c r="FW121" i="2"/>
  <c r="FW120" i="2"/>
  <c r="FW119" i="2"/>
  <c r="FW118" i="2"/>
  <c r="FW117" i="2"/>
  <c r="FW116" i="2"/>
  <c r="FW115" i="2"/>
  <c r="FW114" i="2"/>
  <c r="FW113" i="2"/>
  <c r="FW112" i="2"/>
  <c r="FW111" i="2"/>
  <c r="FW110" i="2"/>
  <c r="FW109" i="2"/>
  <c r="FW108" i="2"/>
  <c r="FW107" i="2"/>
  <c r="FW106" i="2"/>
  <c r="FW105" i="2"/>
  <c r="FW104" i="2"/>
  <c r="FW103" i="2"/>
  <c r="FW102" i="2"/>
  <c r="FW101" i="2"/>
  <c r="FW100" i="2"/>
  <c r="FW99" i="2"/>
  <c r="FW98" i="2"/>
  <c r="FW97" i="2"/>
  <c r="FW96" i="2"/>
  <c r="FW95" i="2"/>
  <c r="FW94" i="2"/>
  <c r="FW93" i="2"/>
  <c r="FW92" i="2"/>
  <c r="FW91" i="2"/>
  <c r="FW90" i="2"/>
  <c r="FW89" i="2"/>
  <c r="FW88" i="2"/>
  <c r="FW87" i="2"/>
  <c r="FW86" i="2"/>
  <c r="FW85" i="2"/>
  <c r="FW84" i="2"/>
  <c r="FW83" i="2"/>
  <c r="FW82" i="2"/>
  <c r="FW81" i="2"/>
  <c r="FW80" i="2"/>
  <c r="FW79" i="2"/>
  <c r="FW78" i="2"/>
  <c r="FW77" i="2"/>
  <c r="FW76" i="2"/>
  <c r="FW75" i="2"/>
  <c r="FW74" i="2"/>
  <c r="FW73" i="2"/>
  <c r="FW72" i="2"/>
  <c r="FW71" i="2"/>
  <c r="FW70" i="2"/>
  <c r="FW69" i="2"/>
  <c r="FW68" i="2"/>
  <c r="FW67" i="2"/>
  <c r="FW66" i="2"/>
  <c r="FW65" i="2"/>
  <c r="FW64" i="2"/>
  <c r="FW63" i="2"/>
  <c r="FW62" i="2"/>
  <c r="FW61" i="2"/>
  <c r="FW60" i="2"/>
  <c r="FW59" i="2"/>
  <c r="FW58" i="2"/>
  <c r="FW57" i="2"/>
  <c r="FW56" i="2"/>
  <c r="FW55" i="2"/>
  <c r="FW54" i="2"/>
  <c r="FW53" i="2"/>
  <c r="FW52" i="2"/>
  <c r="FW51" i="2"/>
  <c r="FW50" i="2"/>
  <c r="FW49" i="2"/>
  <c r="FW48" i="2"/>
  <c r="FW47" i="2"/>
  <c r="FW46" i="2"/>
  <c r="FW45" i="2"/>
  <c r="FW44" i="2"/>
  <c r="FW43" i="2"/>
  <c r="FW42" i="2"/>
  <c r="FW41" i="2"/>
  <c r="FW40" i="2"/>
  <c r="FW39" i="2"/>
  <c r="FW38" i="2"/>
  <c r="FW37" i="2"/>
  <c r="FW36" i="2"/>
  <c r="FW35" i="2"/>
  <c r="FW34" i="2"/>
  <c r="FW33" i="2"/>
  <c r="FW32" i="2"/>
  <c r="FW31" i="2"/>
  <c r="FW30" i="2"/>
  <c r="FW29" i="2"/>
  <c r="FW28" i="2"/>
  <c r="FW27" i="2"/>
  <c r="FW26" i="2"/>
  <c r="FW25" i="2"/>
  <c r="FW24" i="2"/>
  <c r="FW23" i="2"/>
  <c r="FW22" i="2"/>
  <c r="FW21" i="2"/>
  <c r="FW20" i="2"/>
  <c r="FW19" i="2"/>
  <c r="FW18" i="2"/>
  <c r="FW17" i="2"/>
  <c r="FW16" i="2"/>
  <c r="FW15" i="2"/>
  <c r="FW14" i="2"/>
  <c r="FW13" i="2"/>
  <c r="FW12" i="2"/>
  <c r="FW11" i="2"/>
  <c r="FW10" i="2"/>
  <c r="FW9" i="2"/>
  <c r="FW8" i="2"/>
  <c r="FW7" i="2"/>
  <c r="FW6" i="2"/>
  <c r="FW5" i="2"/>
  <c r="EV257" i="2"/>
  <c r="EV256" i="2"/>
  <c r="EV255" i="2"/>
  <c r="EV254" i="2"/>
  <c r="EV253" i="2"/>
  <c r="EV252" i="2"/>
  <c r="EV251" i="2"/>
  <c r="EV250" i="2"/>
  <c r="EV249" i="2"/>
  <c r="EV248" i="2"/>
  <c r="EV247" i="2"/>
  <c r="EV246" i="2"/>
  <c r="EV245" i="2"/>
  <c r="EV244" i="2"/>
  <c r="EV243" i="2"/>
  <c r="EV242" i="2"/>
  <c r="EV241" i="2"/>
  <c r="EV240" i="2"/>
  <c r="EV239" i="2"/>
  <c r="EV238" i="2"/>
  <c r="EV237" i="2"/>
  <c r="EV236" i="2"/>
  <c r="EV235" i="2"/>
  <c r="EV234" i="2"/>
  <c r="EV233" i="2"/>
  <c r="EV232" i="2"/>
  <c r="EV231" i="2"/>
  <c r="EV230" i="2"/>
  <c r="EV229" i="2"/>
  <c r="EV228" i="2"/>
  <c r="EV227" i="2"/>
  <c r="EV226" i="2"/>
  <c r="EV225" i="2"/>
  <c r="EV224" i="2"/>
  <c r="EV223" i="2"/>
  <c r="EV222" i="2"/>
  <c r="EV221" i="2"/>
  <c r="EV220" i="2"/>
  <c r="EV219" i="2"/>
  <c r="EV218" i="2"/>
  <c r="EV217" i="2"/>
  <c r="EV216" i="2"/>
  <c r="EV215" i="2"/>
  <c r="EV214" i="2"/>
  <c r="EV213" i="2"/>
  <c r="EV212" i="2"/>
  <c r="EV211" i="2"/>
  <c r="EV210" i="2"/>
  <c r="EV209" i="2"/>
  <c r="EV208" i="2"/>
  <c r="EV207" i="2"/>
  <c r="EV206" i="2"/>
  <c r="EV205" i="2"/>
  <c r="EV204" i="2"/>
  <c r="EV203" i="2"/>
  <c r="EV202" i="2"/>
  <c r="EV201" i="2"/>
  <c r="EV200" i="2"/>
  <c r="EV199" i="2"/>
  <c r="EV198" i="2"/>
  <c r="EV197" i="2"/>
  <c r="EV196" i="2"/>
  <c r="EV195" i="2"/>
  <c r="EV194" i="2"/>
  <c r="EV193" i="2"/>
  <c r="EV192" i="2"/>
  <c r="EV191" i="2"/>
  <c r="EV190" i="2"/>
  <c r="EV189" i="2"/>
  <c r="EV188" i="2"/>
  <c r="EV187" i="2"/>
  <c r="EV186" i="2"/>
  <c r="EV185" i="2"/>
  <c r="EV184" i="2"/>
  <c r="EV183" i="2"/>
  <c r="EV182" i="2"/>
  <c r="EV181" i="2"/>
  <c r="EV180" i="2"/>
  <c r="EV179" i="2"/>
  <c r="EV178" i="2"/>
  <c r="EV177" i="2"/>
  <c r="EV176" i="2"/>
  <c r="EV175" i="2"/>
  <c r="EV174" i="2"/>
  <c r="EV173" i="2"/>
  <c r="EV172" i="2"/>
  <c r="EV171" i="2"/>
  <c r="EV170" i="2"/>
  <c r="EV169" i="2"/>
  <c r="EV168" i="2"/>
  <c r="EV167" i="2"/>
  <c r="EV166" i="2"/>
  <c r="EV165" i="2"/>
  <c r="EV164" i="2"/>
  <c r="EV163" i="2"/>
  <c r="EV162" i="2"/>
  <c r="EV161" i="2"/>
  <c r="EV160" i="2"/>
  <c r="EV159" i="2"/>
  <c r="EV158" i="2"/>
  <c r="EV157" i="2"/>
  <c r="EV156" i="2"/>
  <c r="EV155" i="2"/>
  <c r="EV154" i="2"/>
  <c r="EV153" i="2"/>
  <c r="EV152" i="2"/>
  <c r="EV151" i="2"/>
  <c r="EV150" i="2"/>
  <c r="EV149" i="2"/>
  <c r="EV148" i="2"/>
  <c r="EV147" i="2"/>
  <c r="EV146" i="2"/>
  <c r="EV145" i="2"/>
  <c r="EV144" i="2"/>
  <c r="EV143" i="2"/>
  <c r="EV142" i="2"/>
  <c r="EV141" i="2"/>
  <c r="EV140" i="2"/>
  <c r="EV139" i="2"/>
  <c r="EV138" i="2"/>
  <c r="EV137" i="2"/>
  <c r="EV136" i="2"/>
  <c r="EV135" i="2"/>
  <c r="EV134" i="2"/>
  <c r="EV133" i="2"/>
  <c r="EV132" i="2"/>
  <c r="EV131" i="2"/>
  <c r="EV130" i="2"/>
  <c r="EV129" i="2"/>
  <c r="EV128" i="2"/>
  <c r="EV127" i="2"/>
  <c r="EV126" i="2"/>
  <c r="EV125" i="2"/>
  <c r="EV124" i="2"/>
  <c r="EV123" i="2"/>
  <c r="EV122" i="2"/>
  <c r="EV121" i="2"/>
  <c r="EV120" i="2"/>
  <c r="EV119" i="2"/>
  <c r="EV118" i="2"/>
  <c r="EV117" i="2"/>
  <c r="EV116" i="2"/>
  <c r="EV115" i="2"/>
  <c r="EV114" i="2"/>
  <c r="EV113" i="2"/>
  <c r="EV112" i="2"/>
  <c r="EV111" i="2"/>
  <c r="EV110" i="2"/>
  <c r="EV109" i="2"/>
  <c r="EV108" i="2"/>
  <c r="EV107" i="2"/>
  <c r="EV106" i="2"/>
  <c r="EV105" i="2"/>
  <c r="EV104" i="2"/>
  <c r="EV103" i="2"/>
  <c r="EV102" i="2"/>
  <c r="EV101" i="2"/>
  <c r="EV100" i="2"/>
  <c r="EV99" i="2"/>
  <c r="EV98" i="2"/>
  <c r="EV97" i="2"/>
  <c r="EV96" i="2"/>
  <c r="EV95" i="2"/>
  <c r="EV94" i="2"/>
  <c r="EV93" i="2"/>
  <c r="EV92" i="2"/>
  <c r="EV91" i="2"/>
  <c r="EV90" i="2"/>
  <c r="EV89" i="2"/>
  <c r="EV88" i="2"/>
  <c r="EV87" i="2"/>
  <c r="EV86" i="2"/>
  <c r="EV85" i="2"/>
  <c r="EV84" i="2"/>
  <c r="EV83" i="2"/>
  <c r="EV82" i="2"/>
  <c r="EV81" i="2"/>
  <c r="EV80" i="2"/>
  <c r="EV79" i="2"/>
  <c r="EV78" i="2"/>
  <c r="EV77" i="2"/>
  <c r="EV76" i="2"/>
  <c r="EV75" i="2"/>
  <c r="EV74" i="2"/>
  <c r="EV73" i="2"/>
  <c r="EV72" i="2"/>
  <c r="EV71" i="2"/>
  <c r="EV70" i="2"/>
  <c r="EV69" i="2"/>
  <c r="EV68" i="2"/>
  <c r="EV67" i="2"/>
  <c r="EV66" i="2"/>
  <c r="EV65" i="2"/>
  <c r="EV64" i="2"/>
  <c r="EV63" i="2"/>
  <c r="EV62" i="2"/>
  <c r="EV61" i="2"/>
  <c r="EV60" i="2"/>
  <c r="EV59" i="2"/>
  <c r="EV58" i="2"/>
  <c r="EV57" i="2"/>
  <c r="EV56" i="2"/>
  <c r="EV55" i="2"/>
  <c r="EV54" i="2"/>
  <c r="EV53" i="2"/>
  <c r="EV52" i="2"/>
  <c r="EV51" i="2"/>
  <c r="EV50" i="2"/>
  <c r="EV49" i="2"/>
  <c r="EV48" i="2"/>
  <c r="EV47" i="2"/>
  <c r="EV46" i="2"/>
  <c r="EV45" i="2"/>
  <c r="EV44" i="2"/>
  <c r="EV43" i="2"/>
  <c r="EV42" i="2"/>
  <c r="EV41" i="2"/>
  <c r="EV40" i="2"/>
  <c r="EV39" i="2"/>
  <c r="EV38" i="2"/>
  <c r="EV37" i="2"/>
  <c r="EV36" i="2"/>
  <c r="EV35" i="2"/>
  <c r="EV34" i="2"/>
  <c r="EV33" i="2"/>
  <c r="EV32" i="2"/>
  <c r="EV31" i="2"/>
  <c r="EV30" i="2"/>
  <c r="EV29" i="2"/>
  <c r="EV28" i="2"/>
  <c r="EV27" i="2"/>
  <c r="EV26" i="2"/>
  <c r="EV25" i="2"/>
  <c r="EV24" i="2"/>
  <c r="EV23" i="2"/>
  <c r="EV22" i="2"/>
  <c r="EV21" i="2"/>
  <c r="EV20" i="2"/>
  <c r="EV19" i="2"/>
  <c r="EV18" i="2"/>
  <c r="EV17" i="2"/>
  <c r="EV16" i="2"/>
  <c r="EV15" i="2"/>
  <c r="EV14" i="2"/>
  <c r="EV13" i="2"/>
  <c r="EV12" i="2"/>
  <c r="EV11" i="2"/>
  <c r="EV10" i="2"/>
  <c r="EV9" i="2"/>
  <c r="EV8" i="2"/>
  <c r="EV7" i="2"/>
  <c r="EV6" i="2"/>
  <c r="EV5" i="2"/>
  <c r="DU257" i="2"/>
  <c r="DU256" i="2"/>
  <c r="DU255" i="2"/>
  <c r="DU254" i="2"/>
  <c r="DU253" i="2"/>
  <c r="DU252" i="2"/>
  <c r="DU251" i="2"/>
  <c r="DU250" i="2"/>
  <c r="DU249" i="2"/>
  <c r="DU248" i="2"/>
  <c r="DU247" i="2"/>
  <c r="DU246" i="2"/>
  <c r="DU245" i="2"/>
  <c r="DU244" i="2"/>
  <c r="DU243" i="2"/>
  <c r="DU242" i="2"/>
  <c r="DU241" i="2"/>
  <c r="DU240" i="2"/>
  <c r="DU239" i="2"/>
  <c r="DU238" i="2"/>
  <c r="DU237" i="2"/>
  <c r="DU236" i="2"/>
  <c r="DU235" i="2"/>
  <c r="DU234" i="2"/>
  <c r="DU233" i="2"/>
  <c r="DU232" i="2"/>
  <c r="DU231" i="2"/>
  <c r="DU230" i="2"/>
  <c r="DU229" i="2"/>
  <c r="DU228" i="2"/>
  <c r="DU227" i="2"/>
  <c r="DU226" i="2"/>
  <c r="DU225" i="2"/>
  <c r="DU224" i="2"/>
  <c r="DU223" i="2"/>
  <c r="DU222" i="2"/>
  <c r="DU221" i="2"/>
  <c r="DU220" i="2"/>
  <c r="DU219" i="2"/>
  <c r="DU218" i="2"/>
  <c r="DU217" i="2"/>
  <c r="DU216" i="2"/>
  <c r="DU215" i="2"/>
  <c r="DU214" i="2"/>
  <c r="DU213" i="2"/>
  <c r="DU212" i="2"/>
  <c r="DU211" i="2"/>
  <c r="DU210" i="2"/>
  <c r="DU209" i="2"/>
  <c r="DU208" i="2"/>
  <c r="DU207" i="2"/>
  <c r="DU206" i="2"/>
  <c r="DU205" i="2"/>
  <c r="DU204" i="2"/>
  <c r="DU203" i="2"/>
  <c r="DU202" i="2"/>
  <c r="DU201" i="2"/>
  <c r="DU200" i="2"/>
  <c r="DU199" i="2"/>
  <c r="DU198" i="2"/>
  <c r="DU197" i="2"/>
  <c r="DU196" i="2"/>
  <c r="DU195" i="2"/>
  <c r="DU194" i="2"/>
  <c r="DU193" i="2"/>
  <c r="DU192" i="2"/>
  <c r="DU191" i="2"/>
  <c r="DU190" i="2"/>
  <c r="DU189" i="2"/>
  <c r="DU188" i="2"/>
  <c r="DU187" i="2"/>
  <c r="DU186" i="2"/>
  <c r="DU185" i="2"/>
  <c r="DU184" i="2"/>
  <c r="DU183" i="2"/>
  <c r="DU182" i="2"/>
  <c r="DU181" i="2"/>
  <c r="DU180" i="2"/>
  <c r="DU179" i="2"/>
  <c r="DU178" i="2"/>
  <c r="DU177" i="2"/>
  <c r="DU176" i="2"/>
  <c r="DU175" i="2"/>
  <c r="DU174" i="2"/>
  <c r="DU173" i="2"/>
  <c r="DU172" i="2"/>
  <c r="DU171" i="2"/>
  <c r="DU170" i="2"/>
  <c r="DU169" i="2"/>
  <c r="DU168" i="2"/>
  <c r="DU167" i="2"/>
  <c r="DU166" i="2"/>
  <c r="DU165" i="2"/>
  <c r="DU164" i="2"/>
  <c r="DU163" i="2"/>
  <c r="DU162" i="2"/>
  <c r="DU161" i="2"/>
  <c r="DU160" i="2"/>
  <c r="DU159" i="2"/>
  <c r="DU158" i="2"/>
  <c r="DU157" i="2"/>
  <c r="DU156" i="2"/>
  <c r="DU155" i="2"/>
  <c r="DU154" i="2"/>
  <c r="DU153" i="2"/>
  <c r="DU152" i="2"/>
  <c r="DU151" i="2"/>
  <c r="DU150" i="2"/>
  <c r="DU149" i="2"/>
  <c r="DU148" i="2"/>
  <c r="DU147" i="2"/>
  <c r="DU146" i="2"/>
  <c r="DU145" i="2"/>
  <c r="DU144" i="2"/>
  <c r="DU143" i="2"/>
  <c r="DU142" i="2"/>
  <c r="DU141" i="2"/>
  <c r="DU140" i="2"/>
  <c r="DU139" i="2"/>
  <c r="DU138" i="2"/>
  <c r="DU137" i="2"/>
  <c r="DU136" i="2"/>
  <c r="DU135" i="2"/>
  <c r="DU134" i="2"/>
  <c r="DU133" i="2"/>
  <c r="DU132" i="2"/>
  <c r="DU131" i="2"/>
  <c r="DU130" i="2"/>
  <c r="DU129" i="2"/>
  <c r="DU128" i="2"/>
  <c r="DU127" i="2"/>
  <c r="DU126" i="2"/>
  <c r="DU125" i="2"/>
  <c r="DU124" i="2"/>
  <c r="DU123" i="2"/>
  <c r="DU122" i="2"/>
  <c r="DU121" i="2"/>
  <c r="DU120" i="2"/>
  <c r="DU119" i="2"/>
  <c r="DU118" i="2"/>
  <c r="DU117" i="2"/>
  <c r="DU116" i="2"/>
  <c r="DU115" i="2"/>
  <c r="DU114" i="2"/>
  <c r="DU113" i="2"/>
  <c r="DU112" i="2"/>
  <c r="DU111" i="2"/>
  <c r="DU110" i="2"/>
  <c r="DU109" i="2"/>
  <c r="DU108" i="2"/>
  <c r="DU107" i="2"/>
  <c r="DU106" i="2"/>
  <c r="DU105" i="2"/>
  <c r="DU104" i="2"/>
  <c r="DU103" i="2"/>
  <c r="DU102" i="2"/>
  <c r="DU101" i="2"/>
  <c r="DU100" i="2"/>
  <c r="DU99" i="2"/>
  <c r="DU98" i="2"/>
  <c r="DU97" i="2"/>
  <c r="DU96" i="2"/>
  <c r="DU95" i="2"/>
  <c r="DU94" i="2"/>
  <c r="DU93" i="2"/>
  <c r="DU92" i="2"/>
  <c r="DU91" i="2"/>
  <c r="DU90" i="2"/>
  <c r="DU89" i="2"/>
  <c r="DU88" i="2"/>
  <c r="DU87" i="2"/>
  <c r="DU86" i="2"/>
  <c r="DU85" i="2"/>
  <c r="DU84" i="2"/>
  <c r="DU83" i="2"/>
  <c r="DU82" i="2"/>
  <c r="DU81" i="2"/>
  <c r="DU80" i="2"/>
  <c r="DU79" i="2"/>
  <c r="DU78" i="2"/>
  <c r="DU77" i="2"/>
  <c r="DU76" i="2"/>
  <c r="DU75" i="2"/>
  <c r="DU74" i="2"/>
  <c r="DU73" i="2"/>
  <c r="DU72" i="2"/>
  <c r="DU71" i="2"/>
  <c r="DU70" i="2"/>
  <c r="DU69" i="2"/>
  <c r="DU68" i="2"/>
  <c r="DU67" i="2"/>
  <c r="DU66" i="2"/>
  <c r="DU65" i="2"/>
  <c r="DU64" i="2"/>
  <c r="DU63" i="2"/>
  <c r="DU62" i="2"/>
  <c r="DU61" i="2"/>
  <c r="DU60" i="2"/>
  <c r="DU59" i="2"/>
  <c r="DU58" i="2"/>
  <c r="DU57" i="2"/>
  <c r="DU56" i="2"/>
  <c r="DU55" i="2"/>
  <c r="DU54" i="2"/>
  <c r="DU53" i="2"/>
  <c r="DU52" i="2"/>
  <c r="DU51" i="2"/>
  <c r="DU50" i="2"/>
  <c r="DU49" i="2"/>
  <c r="DU48" i="2"/>
  <c r="DU47" i="2"/>
  <c r="DU46" i="2"/>
  <c r="DU45" i="2"/>
  <c r="DU44" i="2"/>
  <c r="DU43" i="2"/>
  <c r="DU42" i="2"/>
  <c r="DU41" i="2"/>
  <c r="DU40" i="2"/>
  <c r="DU39" i="2"/>
  <c r="DU38" i="2"/>
  <c r="DU37" i="2"/>
  <c r="DU36" i="2"/>
  <c r="DU35" i="2"/>
  <c r="DU34" i="2"/>
  <c r="DU33" i="2"/>
  <c r="DU32" i="2"/>
  <c r="DU31" i="2"/>
  <c r="DU30" i="2"/>
  <c r="DU29" i="2"/>
  <c r="DU28" i="2"/>
  <c r="DU27" i="2"/>
  <c r="DU26" i="2"/>
  <c r="DU25" i="2"/>
  <c r="DU24" i="2"/>
  <c r="DU23" i="2"/>
  <c r="DU22" i="2"/>
  <c r="DU21" i="2"/>
  <c r="DU20" i="2"/>
  <c r="DU19" i="2"/>
  <c r="DU18" i="2"/>
  <c r="DU17" i="2"/>
  <c r="DU16" i="2"/>
  <c r="DU15" i="2"/>
  <c r="DU14" i="2"/>
  <c r="DU13" i="2"/>
  <c r="DU12" i="2"/>
  <c r="DU11" i="2"/>
  <c r="DU10" i="2"/>
  <c r="DU9" i="2"/>
  <c r="DU8" i="2"/>
  <c r="DU7" i="2"/>
  <c r="DU6" i="2"/>
  <c r="DU5" i="2"/>
  <c r="CT5" i="2"/>
  <c r="CT257" i="2"/>
  <c r="CT256" i="2"/>
  <c r="CT255" i="2"/>
  <c r="CT254" i="2"/>
  <c r="CT253" i="2"/>
  <c r="CT252" i="2"/>
  <c r="CT251" i="2"/>
  <c r="CT250" i="2"/>
  <c r="CT249" i="2"/>
  <c r="CT248" i="2"/>
  <c r="CT247" i="2"/>
  <c r="CT246" i="2"/>
  <c r="CT245" i="2"/>
  <c r="CT244" i="2"/>
  <c r="CT243" i="2"/>
  <c r="CT242" i="2"/>
  <c r="CT241" i="2"/>
  <c r="CT240" i="2"/>
  <c r="CT239" i="2"/>
  <c r="CT238" i="2"/>
  <c r="CT237" i="2"/>
  <c r="CT236" i="2"/>
  <c r="CT235" i="2"/>
  <c r="CT234" i="2"/>
  <c r="CT233" i="2"/>
  <c r="CT232" i="2"/>
  <c r="CT231" i="2"/>
  <c r="CT230" i="2"/>
  <c r="CT229" i="2"/>
  <c r="CT228" i="2"/>
  <c r="CT227" i="2"/>
  <c r="CT226" i="2"/>
  <c r="CT225" i="2"/>
  <c r="CT224" i="2"/>
  <c r="CT223" i="2"/>
  <c r="CT222" i="2"/>
  <c r="CT221" i="2"/>
  <c r="CT220" i="2"/>
  <c r="CT219" i="2"/>
  <c r="CT218" i="2"/>
  <c r="CT217" i="2"/>
  <c r="CT216" i="2"/>
  <c r="CT215" i="2"/>
  <c r="CT214" i="2"/>
  <c r="CT213" i="2"/>
  <c r="CT212" i="2"/>
  <c r="CT211" i="2"/>
  <c r="CT210" i="2"/>
  <c r="CT209" i="2"/>
  <c r="CT208" i="2"/>
  <c r="CT207" i="2"/>
  <c r="CT206" i="2"/>
  <c r="CT205" i="2"/>
  <c r="CT204" i="2"/>
  <c r="CT203" i="2"/>
  <c r="CT202" i="2"/>
  <c r="CT201" i="2"/>
  <c r="CT200" i="2"/>
  <c r="CT199" i="2"/>
  <c r="CT198" i="2"/>
  <c r="CT197" i="2"/>
  <c r="CT196" i="2"/>
  <c r="CT195" i="2"/>
  <c r="CT194" i="2"/>
  <c r="CT193" i="2"/>
  <c r="CT192" i="2"/>
  <c r="CT191" i="2"/>
  <c r="CT190" i="2"/>
  <c r="CT189" i="2"/>
  <c r="CT188" i="2"/>
  <c r="CT187" i="2"/>
  <c r="CT186" i="2"/>
  <c r="CT185" i="2"/>
  <c r="CT184" i="2"/>
  <c r="CT183" i="2"/>
  <c r="CT182" i="2"/>
  <c r="CT181" i="2"/>
  <c r="CT180" i="2"/>
  <c r="CT179" i="2"/>
  <c r="CT178" i="2"/>
  <c r="CT177" i="2"/>
  <c r="CT176" i="2"/>
  <c r="CT175" i="2"/>
  <c r="CT174" i="2"/>
  <c r="CT173" i="2"/>
  <c r="CT172" i="2"/>
  <c r="CT171" i="2"/>
  <c r="CT170" i="2"/>
  <c r="CT169" i="2"/>
  <c r="CT168" i="2"/>
  <c r="CT167" i="2"/>
  <c r="CT166" i="2"/>
  <c r="CT165" i="2"/>
  <c r="CT164" i="2"/>
  <c r="CT163" i="2"/>
  <c r="CT162" i="2"/>
  <c r="CT161" i="2"/>
  <c r="CT160" i="2"/>
  <c r="CT159" i="2"/>
  <c r="CT158" i="2"/>
  <c r="CT157" i="2"/>
  <c r="CT156" i="2"/>
  <c r="CT155" i="2"/>
  <c r="CT154" i="2"/>
  <c r="CT153" i="2"/>
  <c r="CT152" i="2"/>
  <c r="CT151" i="2"/>
  <c r="CT150" i="2"/>
  <c r="CT149" i="2"/>
  <c r="CT148" i="2"/>
  <c r="CT147" i="2"/>
  <c r="CT146" i="2"/>
  <c r="CT145" i="2"/>
  <c r="CT144" i="2"/>
  <c r="CT143" i="2"/>
  <c r="CT142" i="2"/>
  <c r="CT141" i="2"/>
  <c r="CT140" i="2"/>
  <c r="CT139" i="2"/>
  <c r="CT138" i="2"/>
  <c r="CT137" i="2"/>
  <c r="CT136" i="2"/>
  <c r="CT135" i="2"/>
  <c r="CT134" i="2"/>
  <c r="CT133" i="2"/>
  <c r="CT132" i="2"/>
  <c r="CT131" i="2"/>
  <c r="CT130" i="2"/>
  <c r="CT129" i="2"/>
  <c r="CT128" i="2"/>
  <c r="CT127" i="2"/>
  <c r="CT126" i="2"/>
  <c r="CT125" i="2"/>
  <c r="CT124" i="2"/>
  <c r="CT123" i="2"/>
  <c r="CT122" i="2"/>
  <c r="CT121" i="2"/>
  <c r="CT120" i="2"/>
  <c r="CT119" i="2"/>
  <c r="CT118" i="2"/>
  <c r="CT117" i="2"/>
  <c r="CT116" i="2"/>
  <c r="CT115" i="2"/>
  <c r="CT114" i="2"/>
  <c r="CT113" i="2"/>
  <c r="CT112" i="2"/>
  <c r="CT111" i="2"/>
  <c r="CT110" i="2"/>
  <c r="CT109" i="2"/>
  <c r="CT108" i="2"/>
  <c r="CT107" i="2"/>
  <c r="CT106" i="2"/>
  <c r="CT105" i="2"/>
  <c r="CT104" i="2"/>
  <c r="CT103" i="2"/>
  <c r="CT102" i="2"/>
  <c r="CT101" i="2"/>
  <c r="CT100" i="2"/>
  <c r="CT99" i="2"/>
  <c r="CT98" i="2"/>
  <c r="CT97" i="2"/>
  <c r="CT96" i="2"/>
  <c r="CT95" i="2"/>
  <c r="CT94" i="2"/>
  <c r="CT93" i="2"/>
  <c r="CT92" i="2"/>
  <c r="CT91" i="2"/>
  <c r="CT90" i="2"/>
  <c r="CT89" i="2"/>
  <c r="CT88" i="2"/>
  <c r="CT87" i="2"/>
  <c r="CT86" i="2"/>
  <c r="CT85" i="2"/>
  <c r="CT84" i="2"/>
  <c r="CT83" i="2"/>
  <c r="CT82" i="2"/>
  <c r="CT81" i="2"/>
  <c r="CT80" i="2"/>
  <c r="CT79" i="2"/>
  <c r="CT78" i="2"/>
  <c r="CT77" i="2"/>
  <c r="CT76" i="2"/>
  <c r="CT75" i="2"/>
  <c r="CT74" i="2"/>
  <c r="CT73" i="2"/>
  <c r="CT72" i="2"/>
  <c r="CT71" i="2"/>
  <c r="CT70" i="2"/>
  <c r="CT69" i="2"/>
  <c r="CT68" i="2"/>
  <c r="CT67" i="2"/>
  <c r="CT66" i="2"/>
  <c r="CT65" i="2"/>
  <c r="CT64" i="2"/>
  <c r="CT63" i="2"/>
  <c r="CT62" i="2"/>
  <c r="CT61" i="2"/>
  <c r="CT60" i="2"/>
  <c r="CT59" i="2"/>
  <c r="CT58" i="2"/>
  <c r="CT57" i="2"/>
  <c r="CT56" i="2"/>
  <c r="CT55" i="2"/>
  <c r="CT54" i="2"/>
  <c r="CT53" i="2"/>
  <c r="CT52" i="2"/>
  <c r="CT51" i="2"/>
  <c r="CT50" i="2"/>
  <c r="CT49" i="2"/>
  <c r="CT48" i="2"/>
  <c r="CT47" i="2"/>
  <c r="CT46" i="2"/>
  <c r="CT45" i="2"/>
  <c r="CT44" i="2"/>
  <c r="CT43" i="2"/>
  <c r="CT42" i="2"/>
  <c r="CT41" i="2"/>
  <c r="CT40" i="2"/>
  <c r="CT39" i="2"/>
  <c r="CT38" i="2"/>
  <c r="CT37" i="2"/>
  <c r="CT36" i="2"/>
  <c r="CT35" i="2"/>
  <c r="CT34" i="2"/>
  <c r="CT33" i="2"/>
  <c r="CT32" i="2"/>
  <c r="CT31" i="2"/>
  <c r="CT30" i="2"/>
  <c r="CT29" i="2"/>
  <c r="CT28" i="2"/>
  <c r="CT27" i="2"/>
  <c r="CT26" i="2"/>
  <c r="CT25" i="2"/>
  <c r="CT24" i="2"/>
  <c r="CT23" i="2"/>
  <c r="CT22" i="2"/>
  <c r="CT21" i="2"/>
  <c r="CT20" i="2"/>
  <c r="CT19" i="2"/>
  <c r="CT18" i="2"/>
  <c r="CT17" i="2"/>
  <c r="CT16" i="2"/>
  <c r="CT15" i="2"/>
  <c r="CT14" i="2"/>
  <c r="CT13" i="2"/>
  <c r="CT12" i="2"/>
  <c r="CT11" i="2"/>
  <c r="CT10" i="2"/>
  <c r="CT9" i="2"/>
  <c r="CT8" i="2"/>
  <c r="CT7" i="2"/>
  <c r="CT6" i="2"/>
  <c r="AT40" i="2" l="1"/>
  <c r="CH5" i="2" l="1"/>
  <c r="T13" i="16"/>
  <c r="L14" i="21" l="1"/>
  <c r="I13" i="21"/>
  <c r="F11" i="21"/>
  <c r="C40" i="16" l="1"/>
  <c r="T14" i="16"/>
  <c r="FK257" i="2"/>
  <c r="FK256" i="2"/>
  <c r="FK255" i="2"/>
  <c r="FK254" i="2"/>
  <c r="FK253" i="2"/>
  <c r="FK252" i="2"/>
  <c r="FK251" i="2"/>
  <c r="FK250" i="2"/>
  <c r="FK249" i="2"/>
  <c r="FK248" i="2"/>
  <c r="FK247" i="2"/>
  <c r="FK246" i="2"/>
  <c r="FK245" i="2"/>
  <c r="FK244" i="2"/>
  <c r="FK243" i="2"/>
  <c r="FK242" i="2"/>
  <c r="FK241" i="2"/>
  <c r="FK240" i="2"/>
  <c r="FK239" i="2"/>
  <c r="FK238" i="2"/>
  <c r="FK237" i="2"/>
  <c r="FK236" i="2"/>
  <c r="FK235" i="2"/>
  <c r="FK234" i="2"/>
  <c r="FK233" i="2"/>
  <c r="FK232" i="2"/>
  <c r="FK231" i="2"/>
  <c r="FK230" i="2"/>
  <c r="FK229" i="2"/>
  <c r="FK228" i="2"/>
  <c r="FK227" i="2"/>
  <c r="FK226" i="2"/>
  <c r="FK225" i="2"/>
  <c r="FK224" i="2"/>
  <c r="FK223" i="2"/>
  <c r="FK222" i="2"/>
  <c r="FK221" i="2"/>
  <c r="FK220" i="2"/>
  <c r="FK219" i="2"/>
  <c r="FK218" i="2"/>
  <c r="FK217" i="2"/>
  <c r="FK216" i="2"/>
  <c r="FK215" i="2"/>
  <c r="FK214" i="2"/>
  <c r="FK213" i="2"/>
  <c r="FK212" i="2"/>
  <c r="FK211" i="2"/>
  <c r="FK210" i="2"/>
  <c r="FK209" i="2"/>
  <c r="FK208" i="2"/>
  <c r="FK207" i="2"/>
  <c r="FK206" i="2"/>
  <c r="FK205" i="2"/>
  <c r="FK204" i="2"/>
  <c r="FK203" i="2"/>
  <c r="FK202" i="2"/>
  <c r="FK201" i="2"/>
  <c r="FK200" i="2"/>
  <c r="FK199" i="2"/>
  <c r="FK198" i="2"/>
  <c r="FK197" i="2"/>
  <c r="FK196" i="2"/>
  <c r="FK195" i="2"/>
  <c r="FK194" i="2"/>
  <c r="FK193" i="2"/>
  <c r="FK192" i="2"/>
  <c r="FK191" i="2"/>
  <c r="FK190" i="2"/>
  <c r="FK189" i="2"/>
  <c r="FK188" i="2"/>
  <c r="FK187" i="2"/>
  <c r="FK186" i="2"/>
  <c r="FK185" i="2"/>
  <c r="FK184" i="2"/>
  <c r="FK183" i="2"/>
  <c r="FK182" i="2"/>
  <c r="FK181" i="2"/>
  <c r="FK180" i="2"/>
  <c r="FK179" i="2"/>
  <c r="FK178" i="2"/>
  <c r="FK177" i="2"/>
  <c r="FK176" i="2"/>
  <c r="FK175" i="2"/>
  <c r="FK174" i="2"/>
  <c r="FK173" i="2"/>
  <c r="FK172" i="2"/>
  <c r="FK171" i="2"/>
  <c r="FK170" i="2"/>
  <c r="FK169" i="2"/>
  <c r="FK168" i="2"/>
  <c r="FK167" i="2"/>
  <c r="FK166" i="2"/>
  <c r="FK165" i="2"/>
  <c r="FK164" i="2"/>
  <c r="FK163" i="2"/>
  <c r="FK162" i="2"/>
  <c r="FK161" i="2"/>
  <c r="FK160" i="2"/>
  <c r="FK159" i="2"/>
  <c r="FK158" i="2"/>
  <c r="FK157" i="2"/>
  <c r="FK156" i="2"/>
  <c r="FK155" i="2"/>
  <c r="FK154" i="2"/>
  <c r="FK153" i="2"/>
  <c r="FK152" i="2"/>
  <c r="FK151" i="2"/>
  <c r="FK150" i="2"/>
  <c r="FK149" i="2"/>
  <c r="FK148" i="2"/>
  <c r="FK147" i="2"/>
  <c r="FK146" i="2"/>
  <c r="FK145" i="2"/>
  <c r="FK144" i="2"/>
  <c r="FK143" i="2"/>
  <c r="FK142" i="2"/>
  <c r="FK141" i="2"/>
  <c r="FK140" i="2"/>
  <c r="FK139" i="2"/>
  <c r="FK138" i="2"/>
  <c r="FK137" i="2"/>
  <c r="FK136" i="2"/>
  <c r="FK135" i="2"/>
  <c r="FK134" i="2"/>
  <c r="FK133" i="2"/>
  <c r="FK132" i="2"/>
  <c r="FK131" i="2"/>
  <c r="FK130" i="2"/>
  <c r="FK129" i="2"/>
  <c r="FK128" i="2"/>
  <c r="FK127" i="2"/>
  <c r="FK126" i="2"/>
  <c r="FK125" i="2"/>
  <c r="FK124" i="2"/>
  <c r="FK123" i="2"/>
  <c r="FK122" i="2"/>
  <c r="FK121" i="2"/>
  <c r="FK120" i="2"/>
  <c r="FK119" i="2"/>
  <c r="FK118" i="2"/>
  <c r="FK117" i="2"/>
  <c r="FK116" i="2"/>
  <c r="FK115" i="2"/>
  <c r="FK114" i="2"/>
  <c r="FK113" i="2"/>
  <c r="FK112" i="2"/>
  <c r="FK111" i="2"/>
  <c r="FK110" i="2"/>
  <c r="FK109" i="2"/>
  <c r="FK108" i="2"/>
  <c r="FK107" i="2"/>
  <c r="FK106" i="2"/>
  <c r="FK105" i="2"/>
  <c r="FK104" i="2"/>
  <c r="FK103" i="2"/>
  <c r="FK102" i="2"/>
  <c r="FK101" i="2"/>
  <c r="FK100" i="2"/>
  <c r="FK99" i="2"/>
  <c r="FK98" i="2"/>
  <c r="FK97" i="2"/>
  <c r="FK96" i="2"/>
  <c r="FK95" i="2"/>
  <c r="FK94" i="2"/>
  <c r="FK93" i="2"/>
  <c r="FK92" i="2"/>
  <c r="FK91" i="2"/>
  <c r="FK90" i="2"/>
  <c r="FK89" i="2"/>
  <c r="FK88" i="2"/>
  <c r="FK87" i="2"/>
  <c r="FK86" i="2"/>
  <c r="FK85" i="2"/>
  <c r="FK84" i="2"/>
  <c r="FK83" i="2"/>
  <c r="FK82" i="2"/>
  <c r="FK81" i="2"/>
  <c r="FK80" i="2"/>
  <c r="FK79" i="2"/>
  <c r="FK78" i="2"/>
  <c r="FK77" i="2"/>
  <c r="FK76" i="2"/>
  <c r="FK75" i="2"/>
  <c r="FK74" i="2"/>
  <c r="FK73" i="2"/>
  <c r="FK72" i="2"/>
  <c r="FK71" i="2"/>
  <c r="FK70" i="2"/>
  <c r="FK69" i="2"/>
  <c r="FK68" i="2"/>
  <c r="FK67" i="2"/>
  <c r="FK66" i="2"/>
  <c r="FK65" i="2"/>
  <c r="FK64" i="2"/>
  <c r="FK63" i="2"/>
  <c r="FK62" i="2"/>
  <c r="FK61" i="2"/>
  <c r="FK60" i="2"/>
  <c r="FK59" i="2"/>
  <c r="FK58" i="2"/>
  <c r="FK57" i="2"/>
  <c r="FK56" i="2"/>
  <c r="FK55" i="2"/>
  <c r="FK54" i="2"/>
  <c r="FK53" i="2"/>
  <c r="FK52" i="2"/>
  <c r="FK51" i="2"/>
  <c r="FK50" i="2"/>
  <c r="FK49" i="2"/>
  <c r="FK48" i="2"/>
  <c r="FK47" i="2"/>
  <c r="FK46" i="2"/>
  <c r="FK45" i="2"/>
  <c r="FK44" i="2"/>
  <c r="FK43" i="2"/>
  <c r="FK42" i="2"/>
  <c r="FK41" i="2"/>
  <c r="FK40" i="2"/>
  <c r="FK39" i="2"/>
  <c r="FK38" i="2"/>
  <c r="FK37" i="2"/>
  <c r="FK36" i="2"/>
  <c r="FK35" i="2"/>
  <c r="FK34" i="2"/>
  <c r="FK33" i="2"/>
  <c r="FK32" i="2"/>
  <c r="FK31" i="2"/>
  <c r="FK30" i="2"/>
  <c r="FK29" i="2"/>
  <c r="FK28" i="2"/>
  <c r="FK27" i="2"/>
  <c r="FK26" i="2"/>
  <c r="FK25" i="2"/>
  <c r="FK24" i="2"/>
  <c r="FK23" i="2"/>
  <c r="FK22" i="2"/>
  <c r="FK21" i="2"/>
  <c r="FK20" i="2"/>
  <c r="FK19" i="2"/>
  <c r="FK18" i="2"/>
  <c r="FK17" i="2"/>
  <c r="FK16" i="2"/>
  <c r="FK15" i="2"/>
  <c r="FK14" i="2"/>
  <c r="FK13" i="2"/>
  <c r="FK12" i="2"/>
  <c r="FK11" i="2"/>
  <c r="FK10" i="2"/>
  <c r="FK9" i="2"/>
  <c r="FK8" i="2"/>
  <c r="FK7" i="2"/>
  <c r="FK6" i="2"/>
  <c r="FK5" i="2"/>
  <c r="EJ257" i="2"/>
  <c r="EJ256" i="2"/>
  <c r="EJ255" i="2"/>
  <c r="EJ254" i="2"/>
  <c r="EJ253" i="2"/>
  <c r="EJ252" i="2"/>
  <c r="EJ251" i="2"/>
  <c r="EJ250" i="2"/>
  <c r="EJ249" i="2"/>
  <c r="EJ248" i="2"/>
  <c r="EJ247" i="2"/>
  <c r="EJ246" i="2"/>
  <c r="EJ245" i="2"/>
  <c r="EJ244" i="2"/>
  <c r="EJ243" i="2"/>
  <c r="EJ242" i="2"/>
  <c r="EJ241" i="2"/>
  <c r="EJ240" i="2"/>
  <c r="EJ239" i="2"/>
  <c r="EJ238" i="2"/>
  <c r="EJ237" i="2"/>
  <c r="EJ236" i="2"/>
  <c r="EJ235" i="2"/>
  <c r="EJ234" i="2"/>
  <c r="EJ233" i="2"/>
  <c r="EJ232" i="2"/>
  <c r="EJ231" i="2"/>
  <c r="EJ230" i="2"/>
  <c r="EJ229" i="2"/>
  <c r="EJ228" i="2"/>
  <c r="EJ227" i="2"/>
  <c r="EJ226" i="2"/>
  <c r="EJ225" i="2"/>
  <c r="EJ224" i="2"/>
  <c r="EJ223" i="2"/>
  <c r="EJ222" i="2"/>
  <c r="EJ221" i="2"/>
  <c r="EJ220" i="2"/>
  <c r="EJ219" i="2"/>
  <c r="EJ218" i="2"/>
  <c r="EJ217" i="2"/>
  <c r="EJ216" i="2"/>
  <c r="EJ215" i="2"/>
  <c r="EJ214" i="2"/>
  <c r="EJ213" i="2"/>
  <c r="EJ212" i="2"/>
  <c r="EJ211" i="2"/>
  <c r="EJ210" i="2"/>
  <c r="EJ209" i="2"/>
  <c r="EJ208" i="2"/>
  <c r="EJ207" i="2"/>
  <c r="EJ206" i="2"/>
  <c r="EJ205" i="2"/>
  <c r="EJ204" i="2"/>
  <c r="EJ203" i="2"/>
  <c r="EJ202" i="2"/>
  <c r="EJ201" i="2"/>
  <c r="EJ200" i="2"/>
  <c r="EJ199" i="2"/>
  <c r="EJ198" i="2"/>
  <c r="EJ197" i="2"/>
  <c r="EJ196" i="2"/>
  <c r="EJ195" i="2"/>
  <c r="EJ194" i="2"/>
  <c r="EJ193" i="2"/>
  <c r="EJ192" i="2"/>
  <c r="EJ191" i="2"/>
  <c r="EJ190" i="2"/>
  <c r="EJ189" i="2"/>
  <c r="EJ188" i="2"/>
  <c r="EJ187" i="2"/>
  <c r="EJ186" i="2"/>
  <c r="EJ185" i="2"/>
  <c r="EJ184" i="2"/>
  <c r="EJ183" i="2"/>
  <c r="EJ182" i="2"/>
  <c r="EJ181" i="2"/>
  <c r="EJ180" i="2"/>
  <c r="EJ179" i="2"/>
  <c r="EJ178" i="2"/>
  <c r="EJ177" i="2"/>
  <c r="EJ176" i="2"/>
  <c r="EJ175" i="2"/>
  <c r="EJ174" i="2"/>
  <c r="EJ173" i="2"/>
  <c r="EJ172" i="2"/>
  <c r="EJ171" i="2"/>
  <c r="EJ170" i="2"/>
  <c r="EJ169" i="2"/>
  <c r="EJ168" i="2"/>
  <c r="EJ167" i="2"/>
  <c r="EJ166" i="2"/>
  <c r="EJ165" i="2"/>
  <c r="EJ164" i="2"/>
  <c r="EJ163" i="2"/>
  <c r="EJ162" i="2"/>
  <c r="EJ161" i="2"/>
  <c r="EJ160" i="2"/>
  <c r="EJ159" i="2"/>
  <c r="EJ158" i="2"/>
  <c r="EJ157" i="2"/>
  <c r="EJ156" i="2"/>
  <c r="EJ155" i="2"/>
  <c r="EJ154" i="2"/>
  <c r="EJ153" i="2"/>
  <c r="EJ152" i="2"/>
  <c r="EJ151" i="2"/>
  <c r="EJ150" i="2"/>
  <c r="EJ149" i="2"/>
  <c r="EJ148" i="2"/>
  <c r="EJ147" i="2"/>
  <c r="EJ146" i="2"/>
  <c r="EJ145" i="2"/>
  <c r="EJ144" i="2"/>
  <c r="EJ143" i="2"/>
  <c r="EJ142" i="2"/>
  <c r="EJ141" i="2"/>
  <c r="EJ140" i="2"/>
  <c r="EJ139" i="2"/>
  <c r="EJ138" i="2"/>
  <c r="EJ137" i="2"/>
  <c r="EJ136" i="2"/>
  <c r="EJ135" i="2"/>
  <c r="EJ134" i="2"/>
  <c r="EJ133" i="2"/>
  <c r="EJ132" i="2"/>
  <c r="EJ131" i="2"/>
  <c r="EJ130" i="2"/>
  <c r="EJ129" i="2"/>
  <c r="EJ128" i="2"/>
  <c r="EJ127" i="2"/>
  <c r="EJ126" i="2"/>
  <c r="EJ125" i="2"/>
  <c r="EJ124" i="2"/>
  <c r="EJ123" i="2"/>
  <c r="EJ122" i="2"/>
  <c r="EJ121" i="2"/>
  <c r="EJ120" i="2"/>
  <c r="EJ119" i="2"/>
  <c r="EJ118" i="2"/>
  <c r="EJ117" i="2"/>
  <c r="EJ116" i="2"/>
  <c r="EJ115" i="2"/>
  <c r="EJ114" i="2"/>
  <c r="EJ113" i="2"/>
  <c r="EJ112" i="2"/>
  <c r="EJ111" i="2"/>
  <c r="EJ110" i="2"/>
  <c r="EJ109" i="2"/>
  <c r="EJ108" i="2"/>
  <c r="EJ107" i="2"/>
  <c r="EJ106" i="2"/>
  <c r="EJ105" i="2"/>
  <c r="EJ104" i="2"/>
  <c r="EJ103" i="2"/>
  <c r="EJ102" i="2"/>
  <c r="EJ101" i="2"/>
  <c r="EJ100" i="2"/>
  <c r="EJ99" i="2"/>
  <c r="EJ98" i="2"/>
  <c r="EJ97" i="2"/>
  <c r="EJ96" i="2"/>
  <c r="EJ95" i="2"/>
  <c r="EJ94" i="2"/>
  <c r="EJ93" i="2"/>
  <c r="EJ92" i="2"/>
  <c r="EJ91" i="2"/>
  <c r="EJ90" i="2"/>
  <c r="EJ89" i="2"/>
  <c r="EJ88" i="2"/>
  <c r="EJ87" i="2"/>
  <c r="EJ86" i="2"/>
  <c r="EJ85" i="2"/>
  <c r="EJ84" i="2"/>
  <c r="EJ83" i="2"/>
  <c r="EJ82" i="2"/>
  <c r="EJ81" i="2"/>
  <c r="EJ80" i="2"/>
  <c r="EJ79" i="2"/>
  <c r="EJ78" i="2"/>
  <c r="EJ77" i="2"/>
  <c r="EJ76" i="2"/>
  <c r="EJ75" i="2"/>
  <c r="EJ74" i="2"/>
  <c r="EJ73" i="2"/>
  <c r="EJ72" i="2"/>
  <c r="EJ71" i="2"/>
  <c r="EJ70" i="2"/>
  <c r="EJ69" i="2"/>
  <c r="EJ68" i="2"/>
  <c r="EJ67" i="2"/>
  <c r="EJ66" i="2"/>
  <c r="EJ65" i="2"/>
  <c r="EJ64" i="2"/>
  <c r="EJ63" i="2"/>
  <c r="EJ62" i="2"/>
  <c r="EJ61" i="2"/>
  <c r="EJ60" i="2"/>
  <c r="EJ59" i="2"/>
  <c r="EJ58" i="2"/>
  <c r="EJ57" i="2"/>
  <c r="EJ56" i="2"/>
  <c r="EJ55" i="2"/>
  <c r="EJ54" i="2"/>
  <c r="EJ53" i="2"/>
  <c r="EJ52" i="2"/>
  <c r="EJ51" i="2"/>
  <c r="EJ50" i="2"/>
  <c r="EJ49" i="2"/>
  <c r="EJ48" i="2"/>
  <c r="EJ47" i="2"/>
  <c r="EJ46" i="2"/>
  <c r="EJ45" i="2"/>
  <c r="EJ44" i="2"/>
  <c r="EJ43" i="2"/>
  <c r="EJ42" i="2"/>
  <c r="EJ41" i="2"/>
  <c r="EJ40" i="2"/>
  <c r="EJ39" i="2"/>
  <c r="EJ38" i="2"/>
  <c r="EJ37" i="2"/>
  <c r="EJ36" i="2"/>
  <c r="EJ35" i="2"/>
  <c r="EJ34" i="2"/>
  <c r="EJ33" i="2"/>
  <c r="EJ32" i="2"/>
  <c r="EJ31" i="2"/>
  <c r="EJ30" i="2"/>
  <c r="EJ29" i="2"/>
  <c r="EJ28" i="2"/>
  <c r="EJ27" i="2"/>
  <c r="EJ26" i="2"/>
  <c r="EJ25" i="2"/>
  <c r="EJ24" i="2"/>
  <c r="EJ23" i="2"/>
  <c r="EJ22" i="2"/>
  <c r="EJ21" i="2"/>
  <c r="EJ20" i="2"/>
  <c r="EJ19" i="2"/>
  <c r="EJ18" i="2"/>
  <c r="EJ17" i="2"/>
  <c r="EJ16" i="2"/>
  <c r="EJ15" i="2"/>
  <c r="EJ14" i="2"/>
  <c r="EJ13" i="2"/>
  <c r="EJ12" i="2"/>
  <c r="EJ11" i="2"/>
  <c r="EJ10" i="2"/>
  <c r="EJ9" i="2"/>
  <c r="EJ8" i="2"/>
  <c r="EJ7" i="2"/>
  <c r="EJ6" i="2"/>
  <c r="EJ5" i="2"/>
  <c r="DI257" i="2"/>
  <c r="DI256" i="2"/>
  <c r="DI255" i="2"/>
  <c r="DI254" i="2"/>
  <c r="DI253" i="2"/>
  <c r="DI252" i="2"/>
  <c r="DI251" i="2"/>
  <c r="DI250" i="2"/>
  <c r="DI249" i="2"/>
  <c r="DI248" i="2"/>
  <c r="DI247" i="2"/>
  <c r="DI246" i="2"/>
  <c r="DI245" i="2"/>
  <c r="DI244" i="2"/>
  <c r="DI243" i="2"/>
  <c r="DI242" i="2"/>
  <c r="DI241" i="2"/>
  <c r="DI240" i="2"/>
  <c r="DI239" i="2"/>
  <c r="DI238" i="2"/>
  <c r="DI237" i="2"/>
  <c r="DI236" i="2"/>
  <c r="DI235" i="2"/>
  <c r="DI234" i="2"/>
  <c r="DI233" i="2"/>
  <c r="DI232" i="2"/>
  <c r="DI231" i="2"/>
  <c r="DI230" i="2"/>
  <c r="DI229" i="2"/>
  <c r="DI228" i="2"/>
  <c r="DI227" i="2"/>
  <c r="DI226" i="2"/>
  <c r="DI225" i="2"/>
  <c r="DI224" i="2"/>
  <c r="DI223" i="2"/>
  <c r="DI222" i="2"/>
  <c r="DI221" i="2"/>
  <c r="DI220" i="2"/>
  <c r="DI219" i="2"/>
  <c r="DI218" i="2"/>
  <c r="DI217" i="2"/>
  <c r="DI216" i="2"/>
  <c r="DI215" i="2"/>
  <c r="DI214" i="2"/>
  <c r="DI213" i="2"/>
  <c r="DI212" i="2"/>
  <c r="DI211" i="2"/>
  <c r="DI210" i="2"/>
  <c r="DI209" i="2"/>
  <c r="DI208" i="2"/>
  <c r="DI207" i="2"/>
  <c r="DI206" i="2"/>
  <c r="DI205" i="2"/>
  <c r="DI204" i="2"/>
  <c r="DI203" i="2"/>
  <c r="DI202" i="2"/>
  <c r="DI201" i="2"/>
  <c r="DI200" i="2"/>
  <c r="DI199" i="2"/>
  <c r="DI198" i="2"/>
  <c r="DI197" i="2"/>
  <c r="DI196" i="2"/>
  <c r="DI195" i="2"/>
  <c r="DI194" i="2"/>
  <c r="DI193" i="2"/>
  <c r="DI192" i="2"/>
  <c r="DI191" i="2"/>
  <c r="DI190" i="2"/>
  <c r="DI189" i="2"/>
  <c r="DI188" i="2"/>
  <c r="DI187" i="2"/>
  <c r="DI186" i="2"/>
  <c r="DI185" i="2"/>
  <c r="DI184" i="2"/>
  <c r="DI183" i="2"/>
  <c r="DI182" i="2"/>
  <c r="DI181" i="2"/>
  <c r="DI180" i="2"/>
  <c r="DI179" i="2"/>
  <c r="DI178" i="2"/>
  <c r="DI177" i="2"/>
  <c r="DI176" i="2"/>
  <c r="DI175" i="2"/>
  <c r="DI174" i="2"/>
  <c r="DI173" i="2"/>
  <c r="DI172" i="2"/>
  <c r="DI171" i="2"/>
  <c r="DI170" i="2"/>
  <c r="DI169" i="2"/>
  <c r="DI168" i="2"/>
  <c r="DI167" i="2"/>
  <c r="DI166" i="2"/>
  <c r="DI165" i="2"/>
  <c r="DI164" i="2"/>
  <c r="DI163" i="2"/>
  <c r="DI162" i="2"/>
  <c r="DI161" i="2"/>
  <c r="DI160" i="2"/>
  <c r="DI159" i="2"/>
  <c r="DI158" i="2"/>
  <c r="DI157" i="2"/>
  <c r="DI156" i="2"/>
  <c r="DI155" i="2"/>
  <c r="DI154" i="2"/>
  <c r="DI153" i="2"/>
  <c r="DI152" i="2"/>
  <c r="DI151" i="2"/>
  <c r="DI150" i="2"/>
  <c r="DI149" i="2"/>
  <c r="DI148" i="2"/>
  <c r="DI147" i="2"/>
  <c r="DI146" i="2"/>
  <c r="DI145" i="2"/>
  <c r="DI144" i="2"/>
  <c r="DI143" i="2"/>
  <c r="DI142" i="2"/>
  <c r="DI141" i="2"/>
  <c r="DI140" i="2"/>
  <c r="DI139" i="2"/>
  <c r="DI138" i="2"/>
  <c r="DI137" i="2"/>
  <c r="DI136" i="2"/>
  <c r="DI135" i="2"/>
  <c r="DI134" i="2"/>
  <c r="DI133" i="2"/>
  <c r="DI132" i="2"/>
  <c r="DI131" i="2"/>
  <c r="DI130" i="2"/>
  <c r="DI129" i="2"/>
  <c r="DI128" i="2"/>
  <c r="DI127" i="2"/>
  <c r="DI126" i="2"/>
  <c r="DI125" i="2"/>
  <c r="DI124" i="2"/>
  <c r="DI123" i="2"/>
  <c r="DI122" i="2"/>
  <c r="DI121" i="2"/>
  <c r="DI120" i="2"/>
  <c r="DI119" i="2"/>
  <c r="DI118" i="2"/>
  <c r="DI117" i="2"/>
  <c r="DI116" i="2"/>
  <c r="DI115" i="2"/>
  <c r="DI114" i="2"/>
  <c r="DI113" i="2"/>
  <c r="DI112" i="2"/>
  <c r="DI111" i="2"/>
  <c r="DI110" i="2"/>
  <c r="DI109" i="2"/>
  <c r="DI108" i="2"/>
  <c r="DI107" i="2"/>
  <c r="DI106" i="2"/>
  <c r="DI105" i="2"/>
  <c r="DI104" i="2"/>
  <c r="DI103" i="2"/>
  <c r="DI102" i="2"/>
  <c r="DI101" i="2"/>
  <c r="DI100" i="2"/>
  <c r="DI99" i="2"/>
  <c r="DI98" i="2"/>
  <c r="DI97" i="2"/>
  <c r="DI96" i="2"/>
  <c r="DI95" i="2"/>
  <c r="DI94" i="2"/>
  <c r="DI93" i="2"/>
  <c r="DI92" i="2"/>
  <c r="DI91" i="2"/>
  <c r="DI90" i="2"/>
  <c r="DI89" i="2"/>
  <c r="DI88" i="2"/>
  <c r="DI87" i="2"/>
  <c r="DI86" i="2"/>
  <c r="DI85" i="2"/>
  <c r="DI84" i="2"/>
  <c r="DI83" i="2"/>
  <c r="DI82" i="2"/>
  <c r="DI81" i="2"/>
  <c r="DI80" i="2"/>
  <c r="DI79" i="2"/>
  <c r="DI78" i="2"/>
  <c r="DI77" i="2"/>
  <c r="DI76" i="2"/>
  <c r="DI75" i="2"/>
  <c r="DI74" i="2"/>
  <c r="DI73" i="2"/>
  <c r="DI72" i="2"/>
  <c r="DI71" i="2"/>
  <c r="DI70" i="2"/>
  <c r="DI69" i="2"/>
  <c r="DI68" i="2"/>
  <c r="DI67" i="2"/>
  <c r="DI66" i="2"/>
  <c r="DI65" i="2"/>
  <c r="DI64" i="2"/>
  <c r="DI63" i="2"/>
  <c r="DI62" i="2"/>
  <c r="DI61" i="2"/>
  <c r="DI60" i="2"/>
  <c r="DI59" i="2"/>
  <c r="DI58" i="2"/>
  <c r="DI57" i="2"/>
  <c r="DI56" i="2"/>
  <c r="DI55" i="2"/>
  <c r="DI54" i="2"/>
  <c r="DI53" i="2"/>
  <c r="DI52" i="2"/>
  <c r="DI51" i="2"/>
  <c r="DI50" i="2"/>
  <c r="DI49" i="2"/>
  <c r="DI48" i="2"/>
  <c r="DI47" i="2"/>
  <c r="DI46" i="2"/>
  <c r="DI45" i="2"/>
  <c r="DI44" i="2"/>
  <c r="DI43" i="2"/>
  <c r="DI42" i="2"/>
  <c r="DI41" i="2"/>
  <c r="DI40" i="2"/>
  <c r="DI39" i="2"/>
  <c r="DI38" i="2"/>
  <c r="DI37" i="2"/>
  <c r="DI36" i="2"/>
  <c r="DI35" i="2"/>
  <c r="DI34" i="2"/>
  <c r="DI33" i="2"/>
  <c r="DI32" i="2"/>
  <c r="DI31" i="2"/>
  <c r="DI30" i="2"/>
  <c r="DI29" i="2"/>
  <c r="DI28" i="2"/>
  <c r="DI27" i="2"/>
  <c r="DI26" i="2"/>
  <c r="DI25" i="2"/>
  <c r="DI24" i="2"/>
  <c r="DI23" i="2"/>
  <c r="DI22" i="2"/>
  <c r="DI21" i="2"/>
  <c r="DI20" i="2"/>
  <c r="DI19" i="2"/>
  <c r="DI18" i="2"/>
  <c r="DI17" i="2"/>
  <c r="DI16" i="2"/>
  <c r="DI15" i="2"/>
  <c r="DI14" i="2"/>
  <c r="DI13" i="2"/>
  <c r="DI12" i="2"/>
  <c r="DI11" i="2"/>
  <c r="DI10" i="2"/>
  <c r="DI9" i="2"/>
  <c r="DI8" i="2"/>
  <c r="DI7" i="2"/>
  <c r="DI6" i="2"/>
  <c r="DI5" i="2"/>
  <c r="CH6" i="2"/>
  <c r="CH7" i="2"/>
  <c r="CH8" i="2"/>
  <c r="CH9" i="2"/>
  <c r="CH10" i="2"/>
  <c r="CH11" i="2"/>
  <c r="CH12" i="2"/>
  <c r="CH13" i="2"/>
  <c r="CH14" i="2"/>
  <c r="CH15" i="2"/>
  <c r="CH16" i="2"/>
  <c r="CH17" i="2"/>
  <c r="CH18" i="2"/>
  <c r="CH19" i="2"/>
  <c r="CH20" i="2"/>
  <c r="CH21" i="2"/>
  <c r="CH22" i="2"/>
  <c r="CH23" i="2"/>
  <c r="CH24" i="2"/>
  <c r="CH25" i="2"/>
  <c r="CH26" i="2"/>
  <c r="CH27" i="2"/>
  <c r="CH28" i="2"/>
  <c r="CH29" i="2"/>
  <c r="CH30" i="2"/>
  <c r="CH31" i="2"/>
  <c r="CH32" i="2"/>
  <c r="CH33" i="2"/>
  <c r="CH34" i="2"/>
  <c r="CH35" i="2"/>
  <c r="CH36" i="2"/>
  <c r="CH37" i="2"/>
  <c r="CH38" i="2"/>
  <c r="CH39" i="2"/>
  <c r="CH40" i="2"/>
  <c r="CH41" i="2"/>
  <c r="CH42" i="2"/>
  <c r="CH43" i="2"/>
  <c r="CH44" i="2"/>
  <c r="CH45" i="2"/>
  <c r="CH46" i="2"/>
  <c r="CH47" i="2"/>
  <c r="CH48" i="2"/>
  <c r="CH49" i="2"/>
  <c r="CH50" i="2"/>
  <c r="CH51" i="2"/>
  <c r="CH52" i="2"/>
  <c r="CH53" i="2"/>
  <c r="CH54" i="2"/>
  <c r="CH55" i="2"/>
  <c r="CH56" i="2"/>
  <c r="CH57" i="2"/>
  <c r="CH58" i="2"/>
  <c r="CH59" i="2"/>
  <c r="CH60" i="2"/>
  <c r="CH61" i="2"/>
  <c r="CH62" i="2"/>
  <c r="CH63" i="2"/>
  <c r="CH64" i="2"/>
  <c r="CH65" i="2"/>
  <c r="CH66" i="2"/>
  <c r="CH67" i="2"/>
  <c r="CH68" i="2"/>
  <c r="CH69" i="2"/>
  <c r="CH70" i="2"/>
  <c r="CH71" i="2"/>
  <c r="CH72" i="2"/>
  <c r="CH73" i="2"/>
  <c r="CH74" i="2"/>
  <c r="CH75" i="2"/>
  <c r="CH76" i="2"/>
  <c r="CH77" i="2"/>
  <c r="CH78" i="2"/>
  <c r="CH79" i="2"/>
  <c r="CH80" i="2"/>
  <c r="CH81" i="2"/>
  <c r="CH82" i="2"/>
  <c r="CH83" i="2"/>
  <c r="CH84" i="2"/>
  <c r="CH85" i="2"/>
  <c r="CH86" i="2"/>
  <c r="CH87" i="2"/>
  <c r="CH88" i="2"/>
  <c r="CH89" i="2"/>
  <c r="CH90" i="2"/>
  <c r="CH91" i="2"/>
  <c r="CH92" i="2"/>
  <c r="CH93" i="2"/>
  <c r="CH94" i="2"/>
  <c r="CH95" i="2"/>
  <c r="CH96" i="2"/>
  <c r="CH97" i="2"/>
  <c r="CH98" i="2"/>
  <c r="CH99" i="2"/>
  <c r="CH100" i="2"/>
  <c r="CH101" i="2"/>
  <c r="CH102" i="2"/>
  <c r="CH103" i="2"/>
  <c r="CH104" i="2"/>
  <c r="CH105" i="2"/>
  <c r="CH106" i="2"/>
  <c r="CH107" i="2"/>
  <c r="CH108" i="2"/>
  <c r="CH109" i="2"/>
  <c r="CH110" i="2"/>
  <c r="CH111" i="2"/>
  <c r="CH112" i="2"/>
  <c r="CH113" i="2"/>
  <c r="CH114" i="2"/>
  <c r="CH115" i="2"/>
  <c r="CH116" i="2"/>
  <c r="CH117" i="2"/>
  <c r="CH118" i="2"/>
  <c r="CH119" i="2"/>
  <c r="CH120" i="2"/>
  <c r="CH121" i="2"/>
  <c r="CH122" i="2"/>
  <c r="CH123" i="2"/>
  <c r="CH124" i="2"/>
  <c r="CH125" i="2"/>
  <c r="CH126" i="2"/>
  <c r="CH127" i="2"/>
  <c r="CH128" i="2"/>
  <c r="CH129" i="2"/>
  <c r="CH130" i="2"/>
  <c r="CH131" i="2"/>
  <c r="CH132" i="2"/>
  <c r="CH133" i="2"/>
  <c r="CH134" i="2"/>
  <c r="CH135" i="2"/>
  <c r="CH136" i="2"/>
  <c r="CH137" i="2"/>
  <c r="CH138" i="2"/>
  <c r="CH139" i="2"/>
  <c r="CH140" i="2"/>
  <c r="CH141" i="2"/>
  <c r="CH142" i="2"/>
  <c r="CH143" i="2"/>
  <c r="CH144" i="2"/>
  <c r="CH145" i="2"/>
  <c r="CH146" i="2"/>
  <c r="CH147" i="2"/>
  <c r="CH148" i="2"/>
  <c r="CH149" i="2"/>
  <c r="CH150" i="2"/>
  <c r="CH151" i="2"/>
  <c r="CH152" i="2"/>
  <c r="CH153" i="2"/>
  <c r="CH154" i="2"/>
  <c r="CH155" i="2"/>
  <c r="CH156" i="2"/>
  <c r="CH157" i="2"/>
  <c r="CH158" i="2"/>
  <c r="CH159" i="2"/>
  <c r="CH160" i="2"/>
  <c r="CH161" i="2"/>
  <c r="CH162" i="2"/>
  <c r="CH163" i="2"/>
  <c r="CH164" i="2"/>
  <c r="CH165" i="2"/>
  <c r="CH166" i="2"/>
  <c r="CH167" i="2"/>
  <c r="CH168" i="2"/>
  <c r="CH169" i="2"/>
  <c r="CH170" i="2"/>
  <c r="CH171" i="2"/>
  <c r="CH172" i="2"/>
  <c r="CH173" i="2"/>
  <c r="CH174" i="2"/>
  <c r="CH175" i="2"/>
  <c r="CH176" i="2"/>
  <c r="CH177" i="2"/>
  <c r="CH178" i="2"/>
  <c r="CH179" i="2"/>
  <c r="CH180" i="2"/>
  <c r="CH181" i="2"/>
  <c r="CH182" i="2"/>
  <c r="CH183" i="2"/>
  <c r="CH184" i="2"/>
  <c r="CH185" i="2"/>
  <c r="CH186" i="2"/>
  <c r="CH187" i="2"/>
  <c r="CH188" i="2"/>
  <c r="CH189" i="2"/>
  <c r="CH190" i="2"/>
  <c r="CH191" i="2"/>
  <c r="CH192" i="2"/>
  <c r="CH193" i="2"/>
  <c r="CH194" i="2"/>
  <c r="CH195" i="2"/>
  <c r="CH196" i="2"/>
  <c r="CH197" i="2"/>
  <c r="CH198" i="2"/>
  <c r="CH199" i="2"/>
  <c r="CH200" i="2"/>
  <c r="CH201" i="2"/>
  <c r="CH202" i="2"/>
  <c r="CH203" i="2"/>
  <c r="CH204" i="2"/>
  <c r="CH205" i="2"/>
  <c r="CH206" i="2"/>
  <c r="CH207" i="2"/>
  <c r="CH208" i="2"/>
  <c r="CH209" i="2"/>
  <c r="CH210" i="2"/>
  <c r="CH211" i="2"/>
  <c r="CH212" i="2"/>
  <c r="CH213" i="2"/>
  <c r="CH214" i="2"/>
  <c r="CH215" i="2"/>
  <c r="CH216" i="2"/>
  <c r="CH217" i="2"/>
  <c r="CH218" i="2"/>
  <c r="CH219" i="2"/>
  <c r="CH220" i="2"/>
  <c r="CH221" i="2"/>
  <c r="CH222" i="2"/>
  <c r="CH223" i="2"/>
  <c r="CH224" i="2"/>
  <c r="CH225" i="2"/>
  <c r="CH226" i="2"/>
  <c r="CH227" i="2"/>
  <c r="CH228" i="2"/>
  <c r="CH229" i="2"/>
  <c r="CH230" i="2"/>
  <c r="CH231" i="2"/>
  <c r="CH232" i="2"/>
  <c r="CH233" i="2"/>
  <c r="CH234" i="2"/>
  <c r="CH235" i="2"/>
  <c r="CH236" i="2"/>
  <c r="CH237" i="2"/>
  <c r="CH238" i="2"/>
  <c r="CH239" i="2"/>
  <c r="CH240" i="2"/>
  <c r="CH241" i="2"/>
  <c r="CH242" i="2"/>
  <c r="CH243" i="2"/>
  <c r="CH244" i="2"/>
  <c r="CH245" i="2"/>
  <c r="CH246" i="2"/>
  <c r="CH247" i="2"/>
  <c r="CH248" i="2"/>
  <c r="CH249" i="2"/>
  <c r="CH250" i="2"/>
  <c r="CH251" i="2"/>
  <c r="CH252" i="2"/>
  <c r="CH253" i="2"/>
  <c r="CH254" i="2"/>
  <c r="CH255" i="2"/>
  <c r="CH256" i="2"/>
  <c r="CH257" i="2"/>
  <c r="E11" i="18" l="1"/>
  <c r="E10" i="18"/>
  <c r="J84" i="19" l="1"/>
  <c r="J95" i="17"/>
  <c r="J83" i="18"/>
  <c r="J94" i="3"/>
  <c r="E12" i="18"/>
  <c r="EW259" i="2" l="1"/>
  <c r="DV259" i="2"/>
  <c r="CU259" i="2"/>
  <c r="BT259" i="2"/>
  <c r="FG257" i="2"/>
  <c r="EF257" i="2"/>
  <c r="DE257" i="2"/>
  <c r="CD257" i="2"/>
  <c r="FG256" i="2"/>
  <c r="EF256" i="2"/>
  <c r="DE256" i="2"/>
  <c r="CD256" i="2"/>
  <c r="FG255" i="2"/>
  <c r="EF255" i="2"/>
  <c r="DE255" i="2"/>
  <c r="CD255" i="2"/>
  <c r="FG254" i="2"/>
  <c r="EF254" i="2"/>
  <c r="DE254" i="2"/>
  <c r="CD254" i="2"/>
  <c r="FG253" i="2"/>
  <c r="EF253" i="2"/>
  <c r="DE253" i="2"/>
  <c r="CD253" i="2"/>
  <c r="FG252" i="2"/>
  <c r="EF252" i="2"/>
  <c r="DE252" i="2"/>
  <c r="CD252" i="2"/>
  <c r="FG251" i="2"/>
  <c r="EF251" i="2"/>
  <c r="DE251" i="2"/>
  <c r="CD251" i="2"/>
  <c r="FG250" i="2"/>
  <c r="EF250" i="2"/>
  <c r="DE250" i="2"/>
  <c r="CD250" i="2"/>
  <c r="FG249" i="2"/>
  <c r="EF249" i="2"/>
  <c r="DE249" i="2"/>
  <c r="CD249" i="2"/>
  <c r="FG248" i="2"/>
  <c r="EF248" i="2"/>
  <c r="DE248" i="2"/>
  <c r="CD248" i="2"/>
  <c r="FG247" i="2"/>
  <c r="EF247" i="2"/>
  <c r="DE247" i="2"/>
  <c r="CD247" i="2"/>
  <c r="FG246" i="2"/>
  <c r="EF246" i="2"/>
  <c r="DE246" i="2"/>
  <c r="CD246" i="2"/>
  <c r="FG245" i="2"/>
  <c r="EF245" i="2"/>
  <c r="DE245" i="2"/>
  <c r="CD245" i="2"/>
  <c r="FG244" i="2"/>
  <c r="EF244" i="2"/>
  <c r="DE244" i="2"/>
  <c r="CD244" i="2"/>
  <c r="FG243" i="2"/>
  <c r="EF243" i="2"/>
  <c r="DE243" i="2"/>
  <c r="CD243" i="2"/>
  <c r="FG242" i="2"/>
  <c r="EF242" i="2"/>
  <c r="DE242" i="2"/>
  <c r="CD242" i="2"/>
  <c r="FG241" i="2"/>
  <c r="EF241" i="2"/>
  <c r="DE241" i="2"/>
  <c r="CD241" i="2"/>
  <c r="FG240" i="2"/>
  <c r="EF240" i="2"/>
  <c r="DE240" i="2"/>
  <c r="CD240" i="2"/>
  <c r="FG239" i="2"/>
  <c r="EF239" i="2"/>
  <c r="DE239" i="2"/>
  <c r="CD239" i="2"/>
  <c r="FG238" i="2"/>
  <c r="EF238" i="2"/>
  <c r="DE238" i="2"/>
  <c r="CD238" i="2"/>
  <c r="FG237" i="2"/>
  <c r="EF237" i="2"/>
  <c r="DE237" i="2"/>
  <c r="CD237" i="2"/>
  <c r="FG236" i="2"/>
  <c r="EF236" i="2"/>
  <c r="DE236" i="2"/>
  <c r="CD236" i="2"/>
  <c r="FG235" i="2"/>
  <c r="EF235" i="2"/>
  <c r="DE235" i="2"/>
  <c r="CD235" i="2"/>
  <c r="FG234" i="2"/>
  <c r="EF234" i="2"/>
  <c r="DE234" i="2"/>
  <c r="CD234" i="2"/>
  <c r="FG233" i="2"/>
  <c r="EF233" i="2"/>
  <c r="DE233" i="2"/>
  <c r="CD233" i="2"/>
  <c r="FG232" i="2"/>
  <c r="EF232" i="2"/>
  <c r="DE232" i="2"/>
  <c r="CD232" i="2"/>
  <c r="FG231" i="2"/>
  <c r="EF231" i="2"/>
  <c r="DE231" i="2"/>
  <c r="CD231" i="2"/>
  <c r="FG230" i="2"/>
  <c r="EF230" i="2"/>
  <c r="DE230" i="2"/>
  <c r="CD230" i="2"/>
  <c r="FG229" i="2"/>
  <c r="EF229" i="2"/>
  <c r="DE229" i="2"/>
  <c r="CD229" i="2"/>
  <c r="FG228" i="2"/>
  <c r="EF228" i="2"/>
  <c r="DE228" i="2"/>
  <c r="CD228" i="2"/>
  <c r="FG227" i="2"/>
  <c r="EF227" i="2"/>
  <c r="DE227" i="2"/>
  <c r="CD227" i="2"/>
  <c r="FG226" i="2"/>
  <c r="EF226" i="2"/>
  <c r="DE226" i="2"/>
  <c r="CD226" i="2"/>
  <c r="FG225" i="2"/>
  <c r="EF225" i="2"/>
  <c r="DE225" i="2"/>
  <c r="CD225" i="2"/>
  <c r="FG224" i="2"/>
  <c r="EF224" i="2"/>
  <c r="DE224" i="2"/>
  <c r="CD224" i="2"/>
  <c r="FG223" i="2"/>
  <c r="EF223" i="2"/>
  <c r="DE223" i="2"/>
  <c r="CD223" i="2"/>
  <c r="FG222" i="2"/>
  <c r="EF222" i="2"/>
  <c r="DE222" i="2"/>
  <c r="CD222" i="2"/>
  <c r="FG221" i="2"/>
  <c r="EF221" i="2"/>
  <c r="DE221" i="2"/>
  <c r="CD221" i="2"/>
  <c r="FG220" i="2"/>
  <c r="EF220" i="2"/>
  <c r="DE220" i="2"/>
  <c r="CD220" i="2"/>
  <c r="FG219" i="2"/>
  <c r="EF219" i="2"/>
  <c r="DE219" i="2"/>
  <c r="CD219" i="2"/>
  <c r="FG218" i="2"/>
  <c r="EF218" i="2"/>
  <c r="DE218" i="2"/>
  <c r="CD218" i="2"/>
  <c r="FG217" i="2"/>
  <c r="EF217" i="2"/>
  <c r="DE217" i="2"/>
  <c r="CD217" i="2"/>
  <c r="FG216" i="2"/>
  <c r="EF216" i="2"/>
  <c r="DE216" i="2"/>
  <c r="CD216" i="2"/>
  <c r="FG215" i="2"/>
  <c r="EF215" i="2"/>
  <c r="DE215" i="2"/>
  <c r="CD215" i="2"/>
  <c r="FG214" i="2"/>
  <c r="EF214" i="2"/>
  <c r="DE214" i="2"/>
  <c r="CD214" i="2"/>
  <c r="FG213" i="2"/>
  <c r="EF213" i="2"/>
  <c r="DE213" i="2"/>
  <c r="CD213" i="2"/>
  <c r="FG212" i="2"/>
  <c r="EF212" i="2"/>
  <c r="DE212" i="2"/>
  <c r="CD212" i="2"/>
  <c r="FG211" i="2"/>
  <c r="EF211" i="2"/>
  <c r="DE211" i="2"/>
  <c r="CD211" i="2"/>
  <c r="FG210" i="2"/>
  <c r="EF210" i="2"/>
  <c r="DE210" i="2"/>
  <c r="CD210" i="2"/>
  <c r="FG209" i="2"/>
  <c r="EF209" i="2"/>
  <c r="DE209" i="2"/>
  <c r="CD209" i="2"/>
  <c r="FG208" i="2"/>
  <c r="EF208" i="2"/>
  <c r="DE208" i="2"/>
  <c r="CD208" i="2"/>
  <c r="FG207" i="2"/>
  <c r="EF207" i="2"/>
  <c r="DE207" i="2"/>
  <c r="CD207" i="2"/>
  <c r="FG206" i="2"/>
  <c r="EF206" i="2"/>
  <c r="DE206" i="2"/>
  <c r="CD206" i="2"/>
  <c r="FG205" i="2"/>
  <c r="EF205" i="2"/>
  <c r="DE205" i="2"/>
  <c r="CD205" i="2"/>
  <c r="FG204" i="2"/>
  <c r="EF204" i="2"/>
  <c r="DE204" i="2"/>
  <c r="CD204" i="2"/>
  <c r="FG203" i="2"/>
  <c r="EF203" i="2"/>
  <c r="DE203" i="2"/>
  <c r="CD203" i="2"/>
  <c r="FG202" i="2"/>
  <c r="EF202" i="2"/>
  <c r="DE202" i="2"/>
  <c r="CD202" i="2"/>
  <c r="FG201" i="2"/>
  <c r="EF201" i="2"/>
  <c r="DE201" i="2"/>
  <c r="CD201" i="2"/>
  <c r="FG200" i="2"/>
  <c r="EF200" i="2"/>
  <c r="DE200" i="2"/>
  <c r="CD200" i="2"/>
  <c r="FG199" i="2"/>
  <c r="EF199" i="2"/>
  <c r="DE199" i="2"/>
  <c r="CD199" i="2"/>
  <c r="FG198" i="2"/>
  <c r="EF198" i="2"/>
  <c r="DE198" i="2"/>
  <c r="CD198" i="2"/>
  <c r="FG197" i="2"/>
  <c r="EF197" i="2"/>
  <c r="DE197" i="2"/>
  <c r="CD197" i="2"/>
  <c r="FG196" i="2"/>
  <c r="EF196" i="2"/>
  <c r="DE196" i="2"/>
  <c r="CD196" i="2"/>
  <c r="FG195" i="2"/>
  <c r="EF195" i="2"/>
  <c r="DE195" i="2"/>
  <c r="CD195" i="2"/>
  <c r="FG194" i="2"/>
  <c r="EF194" i="2"/>
  <c r="DE194" i="2"/>
  <c r="CD194" i="2"/>
  <c r="FG193" i="2"/>
  <c r="EF193" i="2"/>
  <c r="DE193" i="2"/>
  <c r="CD193" i="2"/>
  <c r="FG192" i="2"/>
  <c r="EF192" i="2"/>
  <c r="DE192" i="2"/>
  <c r="CD192" i="2"/>
  <c r="FG191" i="2"/>
  <c r="EF191" i="2"/>
  <c r="DE191" i="2"/>
  <c r="CD191" i="2"/>
  <c r="FG190" i="2"/>
  <c r="EF190" i="2"/>
  <c r="DE190" i="2"/>
  <c r="CD190" i="2"/>
  <c r="FG189" i="2"/>
  <c r="EF189" i="2"/>
  <c r="DE189" i="2"/>
  <c r="CD189" i="2"/>
  <c r="FG188" i="2"/>
  <c r="EF188" i="2"/>
  <c r="DE188" i="2"/>
  <c r="CD188" i="2"/>
  <c r="FG187" i="2"/>
  <c r="EF187" i="2"/>
  <c r="DE187" i="2"/>
  <c r="CD187" i="2"/>
  <c r="FG186" i="2"/>
  <c r="EF186" i="2"/>
  <c r="DE186" i="2"/>
  <c r="CD186" i="2"/>
  <c r="FG185" i="2"/>
  <c r="EF185" i="2"/>
  <c r="DE185" i="2"/>
  <c r="CD185" i="2"/>
  <c r="FG184" i="2"/>
  <c r="EF184" i="2"/>
  <c r="DE184" i="2"/>
  <c r="CD184" i="2"/>
  <c r="FG183" i="2"/>
  <c r="EF183" i="2"/>
  <c r="DE183" i="2"/>
  <c r="CD183" i="2"/>
  <c r="FG182" i="2"/>
  <c r="EF182" i="2"/>
  <c r="DE182" i="2"/>
  <c r="CD182" i="2"/>
  <c r="FG181" i="2"/>
  <c r="EF181" i="2"/>
  <c r="DE181" i="2"/>
  <c r="CD181" i="2"/>
  <c r="FG180" i="2"/>
  <c r="EF180" i="2"/>
  <c r="DE180" i="2"/>
  <c r="CD180" i="2"/>
  <c r="FG179" i="2"/>
  <c r="EF179" i="2"/>
  <c r="DE179" i="2"/>
  <c r="CD179" i="2"/>
  <c r="FG178" i="2"/>
  <c r="EF178" i="2"/>
  <c r="DE178" i="2"/>
  <c r="CD178" i="2"/>
  <c r="FG177" i="2"/>
  <c r="EF177" i="2"/>
  <c r="DE177" i="2"/>
  <c r="CD177" i="2"/>
  <c r="FG176" i="2"/>
  <c r="EF176" i="2"/>
  <c r="DE176" i="2"/>
  <c r="CD176" i="2"/>
  <c r="FG175" i="2"/>
  <c r="EF175" i="2"/>
  <c r="DE175" i="2"/>
  <c r="CD175" i="2"/>
  <c r="FG174" i="2"/>
  <c r="EF174" i="2"/>
  <c r="DE174" i="2"/>
  <c r="CD174" i="2"/>
  <c r="FG173" i="2"/>
  <c r="EF173" i="2"/>
  <c r="DE173" i="2"/>
  <c r="CD173" i="2"/>
  <c r="FG172" i="2"/>
  <c r="EF172" i="2"/>
  <c r="DE172" i="2"/>
  <c r="CD172" i="2"/>
  <c r="FG171" i="2"/>
  <c r="EF171" i="2"/>
  <c r="DE171" i="2"/>
  <c r="CD171" i="2"/>
  <c r="FG170" i="2"/>
  <c r="EF170" i="2"/>
  <c r="DE170" i="2"/>
  <c r="CD170" i="2"/>
  <c r="FG169" i="2"/>
  <c r="EF169" i="2"/>
  <c r="DE169" i="2"/>
  <c r="CD169" i="2"/>
  <c r="FG168" i="2"/>
  <c r="EF168" i="2"/>
  <c r="DE168" i="2"/>
  <c r="CD168" i="2"/>
  <c r="FG167" i="2"/>
  <c r="EF167" i="2"/>
  <c r="DE167" i="2"/>
  <c r="CD167" i="2"/>
  <c r="FG166" i="2"/>
  <c r="EF166" i="2"/>
  <c r="DE166" i="2"/>
  <c r="CD166" i="2"/>
  <c r="FG165" i="2"/>
  <c r="EF165" i="2"/>
  <c r="DE165" i="2"/>
  <c r="CD165" i="2"/>
  <c r="FG164" i="2"/>
  <c r="EF164" i="2"/>
  <c r="DE164" i="2"/>
  <c r="CD164" i="2"/>
  <c r="FG163" i="2"/>
  <c r="EF163" i="2"/>
  <c r="DE163" i="2"/>
  <c r="CD163" i="2"/>
  <c r="FG162" i="2"/>
  <c r="EF162" i="2"/>
  <c r="DE162" i="2"/>
  <c r="CD162" i="2"/>
  <c r="FG161" i="2"/>
  <c r="EF161" i="2"/>
  <c r="DE161" i="2"/>
  <c r="CD161" i="2"/>
  <c r="FG160" i="2"/>
  <c r="EF160" i="2"/>
  <c r="DE160" i="2"/>
  <c r="CD160" i="2"/>
  <c r="FG159" i="2"/>
  <c r="EF159" i="2"/>
  <c r="DE159" i="2"/>
  <c r="CD159" i="2"/>
  <c r="FG158" i="2"/>
  <c r="EF158" i="2"/>
  <c r="DE158" i="2"/>
  <c r="CD158" i="2"/>
  <c r="FG157" i="2"/>
  <c r="EF157" i="2"/>
  <c r="DE157" i="2"/>
  <c r="CD157" i="2"/>
  <c r="FG156" i="2"/>
  <c r="EF156" i="2"/>
  <c r="DE156" i="2"/>
  <c r="CD156" i="2"/>
  <c r="FG155" i="2"/>
  <c r="EF155" i="2"/>
  <c r="DE155" i="2"/>
  <c r="CD155" i="2"/>
  <c r="FG154" i="2"/>
  <c r="EF154" i="2"/>
  <c r="DE154" i="2"/>
  <c r="CD154" i="2"/>
  <c r="FG153" i="2"/>
  <c r="EF153" i="2"/>
  <c r="DE153" i="2"/>
  <c r="CD153" i="2"/>
  <c r="FG152" i="2"/>
  <c r="EF152" i="2"/>
  <c r="DE152" i="2"/>
  <c r="CD152" i="2"/>
  <c r="FG151" i="2"/>
  <c r="EF151" i="2"/>
  <c r="DE151" i="2"/>
  <c r="CD151" i="2"/>
  <c r="FG150" i="2"/>
  <c r="EF150" i="2"/>
  <c r="DE150" i="2"/>
  <c r="CD150" i="2"/>
  <c r="FG149" i="2"/>
  <c r="EF149" i="2"/>
  <c r="DE149" i="2"/>
  <c r="CD149" i="2"/>
  <c r="FG148" i="2"/>
  <c r="EF148" i="2"/>
  <c r="DE148" i="2"/>
  <c r="CD148" i="2"/>
  <c r="FG147" i="2"/>
  <c r="EF147" i="2"/>
  <c r="DE147" i="2"/>
  <c r="CD147" i="2"/>
  <c r="FG146" i="2"/>
  <c r="EF146" i="2"/>
  <c r="DE146" i="2"/>
  <c r="CD146" i="2"/>
  <c r="FG145" i="2"/>
  <c r="EF145" i="2"/>
  <c r="DE145" i="2"/>
  <c r="CD145" i="2"/>
  <c r="FG144" i="2"/>
  <c r="EF144" i="2"/>
  <c r="DE144" i="2"/>
  <c r="CD144" i="2"/>
  <c r="FG143" i="2"/>
  <c r="EF143" i="2"/>
  <c r="DE143" i="2"/>
  <c r="CD143" i="2"/>
  <c r="FG142" i="2"/>
  <c r="EF142" i="2"/>
  <c r="DE142" i="2"/>
  <c r="CD142" i="2"/>
  <c r="FG141" i="2"/>
  <c r="EF141" i="2"/>
  <c r="DE141" i="2"/>
  <c r="CD141" i="2"/>
  <c r="FG140" i="2"/>
  <c r="EF140" i="2"/>
  <c r="DE140" i="2"/>
  <c r="CD140" i="2"/>
  <c r="FG139" i="2"/>
  <c r="EF139" i="2"/>
  <c r="DE139" i="2"/>
  <c r="CD139" i="2"/>
  <c r="FG138" i="2"/>
  <c r="EF138" i="2"/>
  <c r="DE138" i="2"/>
  <c r="CD138" i="2"/>
  <c r="FG137" i="2"/>
  <c r="EF137" i="2"/>
  <c r="DE137" i="2"/>
  <c r="CD137" i="2"/>
  <c r="FG136" i="2"/>
  <c r="EF136" i="2"/>
  <c r="DE136" i="2"/>
  <c r="CD136" i="2"/>
  <c r="FG135" i="2"/>
  <c r="EF135" i="2"/>
  <c r="DE135" i="2"/>
  <c r="CD135" i="2"/>
  <c r="FG134" i="2"/>
  <c r="EF134" i="2"/>
  <c r="DE134" i="2"/>
  <c r="CD134" i="2"/>
  <c r="FG133" i="2"/>
  <c r="EF133" i="2"/>
  <c r="DE133" i="2"/>
  <c r="CD133" i="2"/>
  <c r="FG132" i="2"/>
  <c r="EF132" i="2"/>
  <c r="DE132" i="2"/>
  <c r="CD132" i="2"/>
  <c r="FG131" i="2"/>
  <c r="EF131" i="2"/>
  <c r="DE131" i="2"/>
  <c r="CD131" i="2"/>
  <c r="FG130" i="2"/>
  <c r="EF130" i="2"/>
  <c r="DE130" i="2"/>
  <c r="CD130" i="2"/>
  <c r="FG129" i="2"/>
  <c r="EF129" i="2"/>
  <c r="DE129" i="2"/>
  <c r="CD129" i="2"/>
  <c r="FG128" i="2"/>
  <c r="EF128" i="2"/>
  <c r="DE128" i="2"/>
  <c r="CD128" i="2"/>
  <c r="FG127" i="2"/>
  <c r="EF127" i="2"/>
  <c r="DE127" i="2"/>
  <c r="CD127" i="2"/>
  <c r="FG126" i="2"/>
  <c r="EF126" i="2"/>
  <c r="DE126" i="2"/>
  <c r="CD126" i="2"/>
  <c r="FG125" i="2"/>
  <c r="EF125" i="2"/>
  <c r="DE125" i="2"/>
  <c r="CD125" i="2"/>
  <c r="FG124" i="2"/>
  <c r="EF124" i="2"/>
  <c r="DE124" i="2"/>
  <c r="CD124" i="2"/>
  <c r="FG123" i="2"/>
  <c r="EF123" i="2"/>
  <c r="DE123" i="2"/>
  <c r="CD123" i="2"/>
  <c r="FG122" i="2"/>
  <c r="EF122" i="2"/>
  <c r="DE122" i="2"/>
  <c r="CD122" i="2"/>
  <c r="FG121" i="2"/>
  <c r="EF121" i="2"/>
  <c r="DE121" i="2"/>
  <c r="CD121" i="2"/>
  <c r="FG120" i="2"/>
  <c r="EF120" i="2"/>
  <c r="DE120" i="2"/>
  <c r="CD120" i="2"/>
  <c r="FG119" i="2"/>
  <c r="EF119" i="2"/>
  <c r="DE119" i="2"/>
  <c r="CD119" i="2"/>
  <c r="FG118" i="2"/>
  <c r="EF118" i="2"/>
  <c r="DE118" i="2"/>
  <c r="CD118" i="2"/>
  <c r="FG117" i="2"/>
  <c r="EF117" i="2"/>
  <c r="DE117" i="2"/>
  <c r="CD117" i="2"/>
  <c r="FG116" i="2"/>
  <c r="EF116" i="2"/>
  <c r="DE116" i="2"/>
  <c r="CD116" i="2"/>
  <c r="FG115" i="2"/>
  <c r="EF115" i="2"/>
  <c r="DE115" i="2"/>
  <c r="CD115" i="2"/>
  <c r="FG114" i="2"/>
  <c r="EF114" i="2"/>
  <c r="DE114" i="2"/>
  <c r="CD114" i="2"/>
  <c r="FG113" i="2"/>
  <c r="EF113" i="2"/>
  <c r="DE113" i="2"/>
  <c r="CD113" i="2"/>
  <c r="FG112" i="2"/>
  <c r="EF112" i="2"/>
  <c r="DE112" i="2"/>
  <c r="CD112" i="2"/>
  <c r="FG111" i="2"/>
  <c r="EF111" i="2"/>
  <c r="DE111" i="2"/>
  <c r="CD111" i="2"/>
  <c r="FG110" i="2"/>
  <c r="EF110" i="2"/>
  <c r="DE110" i="2"/>
  <c r="CD110" i="2"/>
  <c r="FG109" i="2"/>
  <c r="EF109" i="2"/>
  <c r="DE109" i="2"/>
  <c r="CD109" i="2"/>
  <c r="FG108" i="2"/>
  <c r="EF108" i="2"/>
  <c r="DE108" i="2"/>
  <c r="CD108" i="2"/>
  <c r="FG107" i="2"/>
  <c r="EF107" i="2"/>
  <c r="DE107" i="2"/>
  <c r="CD107" i="2"/>
  <c r="FG106" i="2"/>
  <c r="EF106" i="2"/>
  <c r="DE106" i="2"/>
  <c r="CD106" i="2"/>
  <c r="FG105" i="2"/>
  <c r="EF105" i="2"/>
  <c r="DE105" i="2"/>
  <c r="CD105" i="2"/>
  <c r="FG104" i="2"/>
  <c r="EF104" i="2"/>
  <c r="DE104" i="2"/>
  <c r="CD104" i="2"/>
  <c r="FG103" i="2"/>
  <c r="EF103" i="2"/>
  <c r="DE103" i="2"/>
  <c r="CD103" i="2"/>
  <c r="FG102" i="2"/>
  <c r="EF102" i="2"/>
  <c r="DE102" i="2"/>
  <c r="CD102" i="2"/>
  <c r="FG101" i="2"/>
  <c r="EF101" i="2"/>
  <c r="DE101" i="2"/>
  <c r="CD101" i="2"/>
  <c r="FG100" i="2"/>
  <c r="EF100" i="2"/>
  <c r="DE100" i="2"/>
  <c r="CD100" i="2"/>
  <c r="FG99" i="2"/>
  <c r="EF99" i="2"/>
  <c r="DE99" i="2"/>
  <c r="CD99" i="2"/>
  <c r="FG98" i="2"/>
  <c r="EF98" i="2"/>
  <c r="DE98" i="2"/>
  <c r="CD98" i="2"/>
  <c r="FG97" i="2"/>
  <c r="EF97" i="2"/>
  <c r="DE97" i="2"/>
  <c r="CD97" i="2"/>
  <c r="FG96" i="2"/>
  <c r="EF96" i="2"/>
  <c r="DE96" i="2"/>
  <c r="CD96" i="2"/>
  <c r="FG95" i="2"/>
  <c r="EF95" i="2"/>
  <c r="DE95" i="2"/>
  <c r="CD95" i="2"/>
  <c r="FG94" i="2"/>
  <c r="EF94" i="2"/>
  <c r="DE94" i="2"/>
  <c r="CD94" i="2"/>
  <c r="FG93" i="2"/>
  <c r="EF93" i="2"/>
  <c r="DE93" i="2"/>
  <c r="CD93" i="2"/>
  <c r="FG92" i="2"/>
  <c r="EF92" i="2"/>
  <c r="DE92" i="2"/>
  <c r="CD92" i="2"/>
  <c r="FG91" i="2"/>
  <c r="EF91" i="2"/>
  <c r="DE91" i="2"/>
  <c r="CD91" i="2"/>
  <c r="FG90" i="2"/>
  <c r="EF90" i="2"/>
  <c r="DE90" i="2"/>
  <c r="CD90" i="2"/>
  <c r="FG89" i="2"/>
  <c r="DE89" i="2"/>
  <c r="CD89" i="2"/>
  <c r="FG88" i="2"/>
  <c r="DE88" i="2"/>
  <c r="CD88" i="2"/>
  <c r="FG87" i="2"/>
  <c r="DE87" i="2"/>
  <c r="CD87" i="2"/>
  <c r="FG86" i="2"/>
  <c r="DE86" i="2"/>
  <c r="CD86" i="2"/>
  <c r="FG85" i="2"/>
  <c r="DE85" i="2"/>
  <c r="CD85" i="2"/>
  <c r="DE84" i="2"/>
  <c r="CD84" i="2"/>
  <c r="DE83" i="2"/>
  <c r="CD83" i="2"/>
  <c r="DE82" i="2"/>
  <c r="CD82" i="2"/>
  <c r="DE81" i="2"/>
  <c r="CD81" i="2"/>
  <c r="DE80" i="2"/>
  <c r="CD80" i="2"/>
  <c r="DE79" i="2"/>
  <c r="CD79" i="2"/>
  <c r="DE78" i="2"/>
  <c r="CD78" i="2"/>
  <c r="DE77" i="2"/>
  <c r="CD77" i="2"/>
  <c r="DE76" i="2"/>
  <c r="CD76" i="2"/>
  <c r="DE75" i="2"/>
  <c r="CD75" i="2"/>
  <c r="DE74" i="2"/>
  <c r="CD74" i="2"/>
  <c r="DE73" i="2"/>
  <c r="CD73" i="2"/>
  <c r="DE72" i="2"/>
  <c r="CD72" i="2"/>
  <c r="DE71" i="2"/>
  <c r="CD71" i="2"/>
  <c r="DE70" i="2"/>
  <c r="CD70" i="2"/>
  <c r="DE69" i="2"/>
  <c r="CD69" i="2"/>
  <c r="DE68" i="2"/>
  <c r="CD68" i="2"/>
  <c r="DE67" i="2"/>
  <c r="CD67" i="2"/>
  <c r="DE66" i="2"/>
  <c r="CD66" i="2"/>
  <c r="DE65" i="2"/>
  <c r="CD65" i="2"/>
  <c r="DE64" i="2"/>
  <c r="CD64" i="2"/>
  <c r="DE63" i="2"/>
  <c r="CD63" i="2"/>
  <c r="DE62" i="2"/>
  <c r="DE61" i="2"/>
  <c r="CD61" i="2"/>
  <c r="DE60" i="2"/>
  <c r="CD60" i="2"/>
  <c r="DE59" i="2"/>
  <c r="CD59" i="2"/>
  <c r="DE58" i="2"/>
  <c r="CD58" i="2"/>
  <c r="DE57" i="2"/>
  <c r="CD57" i="2"/>
  <c r="DE56" i="2"/>
  <c r="CD56" i="2"/>
  <c r="DE55" i="2"/>
  <c r="CD55" i="2"/>
  <c r="DE54" i="2"/>
  <c r="CD54" i="2"/>
  <c r="DE53" i="2"/>
  <c r="CD53" i="2"/>
  <c r="DE52" i="2"/>
  <c r="CD52" i="2"/>
  <c r="DE51" i="2"/>
  <c r="CD51" i="2"/>
  <c r="DE50" i="2"/>
  <c r="CD50" i="2"/>
  <c r="DE49" i="2"/>
  <c r="CD49" i="2"/>
  <c r="DE48" i="2"/>
  <c r="CD48" i="2"/>
  <c r="DE47" i="2"/>
  <c r="CD47" i="2"/>
  <c r="DE46" i="2"/>
  <c r="CD46" i="2"/>
  <c r="DE45" i="2"/>
  <c r="CD45" i="2"/>
  <c r="DE44" i="2"/>
  <c r="CD44" i="2"/>
  <c r="DE43" i="2"/>
  <c r="CD43" i="2"/>
  <c r="DE42" i="2"/>
  <c r="CD42" i="2"/>
  <c r="DE41" i="2"/>
  <c r="CD41" i="2"/>
  <c r="CD40" i="2"/>
  <c r="CD39" i="2"/>
  <c r="CD38" i="2"/>
  <c r="CD37" i="2"/>
  <c r="CD36" i="2"/>
  <c r="CD35" i="2"/>
  <c r="CD34" i="2"/>
  <c r="CD33" i="2"/>
  <c r="CD32" i="2"/>
  <c r="CD31" i="2"/>
  <c r="CD30" i="2"/>
  <c r="CD29" i="2"/>
  <c r="CD28" i="2"/>
  <c r="CD27" i="2"/>
  <c r="CD26" i="2"/>
  <c r="CD25" i="2"/>
  <c r="S41" i="16"/>
  <c r="P41" i="16"/>
  <c r="T10" i="16"/>
  <c r="T9" i="16"/>
  <c r="T8" i="16"/>
  <c r="M21" i="3" l="1"/>
  <c r="M21" i="18"/>
  <c r="S20" i="17"/>
  <c r="M20" i="17"/>
  <c r="M21" i="17" s="1"/>
  <c r="M21" i="19"/>
  <c r="G90" i="17"/>
  <c r="M90" i="17"/>
  <c r="I13" i="14"/>
  <c r="F11" i="14"/>
  <c r="U90" i="17" l="1"/>
  <c r="L8" i="19"/>
  <c r="L8" i="17"/>
  <c r="L8" i="18"/>
  <c r="L8" i="3"/>
  <c r="FS257" i="2"/>
  <c r="FO257" i="2"/>
  <c r="FC257" i="2"/>
  <c r="EY257" i="2"/>
  <c r="FS256" i="2"/>
  <c r="FO256" i="2"/>
  <c r="FC256" i="2"/>
  <c r="EY256" i="2"/>
  <c r="FS255" i="2"/>
  <c r="FO255" i="2"/>
  <c r="FC255" i="2"/>
  <c r="EY255" i="2"/>
  <c r="FS254" i="2"/>
  <c r="FO254" i="2"/>
  <c r="FC254" i="2"/>
  <c r="EY254" i="2"/>
  <c r="FS253" i="2"/>
  <c r="FO253" i="2"/>
  <c r="FC253" i="2"/>
  <c r="EY253" i="2"/>
  <c r="FS252" i="2"/>
  <c r="FO252" i="2"/>
  <c r="FC252" i="2"/>
  <c r="EY252" i="2"/>
  <c r="FS251" i="2"/>
  <c r="FO251" i="2"/>
  <c r="FC251" i="2"/>
  <c r="EY251" i="2"/>
  <c r="FS250" i="2"/>
  <c r="FO250" i="2"/>
  <c r="FC250" i="2"/>
  <c r="EY250" i="2"/>
  <c r="FS249" i="2"/>
  <c r="FO249" i="2"/>
  <c r="FC249" i="2"/>
  <c r="EY249" i="2"/>
  <c r="FS248" i="2"/>
  <c r="FO248" i="2"/>
  <c r="FC248" i="2"/>
  <c r="EY248" i="2"/>
  <c r="FS247" i="2"/>
  <c r="FO247" i="2"/>
  <c r="FC247" i="2"/>
  <c r="EY247" i="2"/>
  <c r="FS246" i="2"/>
  <c r="FO246" i="2"/>
  <c r="FC246" i="2"/>
  <c r="EY246" i="2"/>
  <c r="FS245" i="2"/>
  <c r="FO245" i="2"/>
  <c r="FC245" i="2"/>
  <c r="EY245" i="2"/>
  <c r="FS244" i="2"/>
  <c r="FO244" i="2"/>
  <c r="FC244" i="2"/>
  <c r="EY244" i="2"/>
  <c r="FS243" i="2"/>
  <c r="FO243" i="2"/>
  <c r="FC243" i="2"/>
  <c r="EY243" i="2"/>
  <c r="FS242" i="2"/>
  <c r="FO242" i="2"/>
  <c r="FC242" i="2"/>
  <c r="EY242" i="2"/>
  <c r="FS241" i="2"/>
  <c r="FO241" i="2"/>
  <c r="FC241" i="2"/>
  <c r="EY241" i="2"/>
  <c r="FS240" i="2"/>
  <c r="FO240" i="2"/>
  <c r="FC240" i="2"/>
  <c r="EY240" i="2"/>
  <c r="FS239" i="2"/>
  <c r="FO239" i="2"/>
  <c r="FC239" i="2"/>
  <c r="EY239" i="2"/>
  <c r="FS238" i="2"/>
  <c r="FO238" i="2"/>
  <c r="FC238" i="2"/>
  <c r="EY238" i="2"/>
  <c r="FS237" i="2"/>
  <c r="FO237" i="2"/>
  <c r="FC237" i="2"/>
  <c r="EY237" i="2"/>
  <c r="FS236" i="2"/>
  <c r="FO236" i="2"/>
  <c r="FC236" i="2"/>
  <c r="EY236" i="2"/>
  <c r="FS235" i="2"/>
  <c r="FO235" i="2"/>
  <c r="FC235" i="2"/>
  <c r="EY235" i="2"/>
  <c r="FS234" i="2"/>
  <c r="FO234" i="2"/>
  <c r="FC234" i="2"/>
  <c r="EY234" i="2"/>
  <c r="FS233" i="2"/>
  <c r="FO233" i="2"/>
  <c r="FC233" i="2"/>
  <c r="EY233" i="2"/>
  <c r="FS232" i="2"/>
  <c r="FO232" i="2"/>
  <c r="FC232" i="2"/>
  <c r="EY232" i="2"/>
  <c r="FS231" i="2"/>
  <c r="FO231" i="2"/>
  <c r="FC231" i="2"/>
  <c r="EY231" i="2"/>
  <c r="FS230" i="2"/>
  <c r="FO230" i="2"/>
  <c r="FC230" i="2"/>
  <c r="EY230" i="2"/>
  <c r="FS229" i="2"/>
  <c r="FO229" i="2"/>
  <c r="FC229" i="2"/>
  <c r="EY229" i="2"/>
  <c r="FS228" i="2"/>
  <c r="FO228" i="2"/>
  <c r="FC228" i="2"/>
  <c r="EY228" i="2"/>
  <c r="FS227" i="2"/>
  <c r="FO227" i="2"/>
  <c r="FC227" i="2"/>
  <c r="EY227" i="2"/>
  <c r="FS226" i="2"/>
  <c r="FO226" i="2"/>
  <c r="FC226" i="2"/>
  <c r="EY226" i="2"/>
  <c r="FS225" i="2"/>
  <c r="FO225" i="2"/>
  <c r="FC225" i="2"/>
  <c r="EY225" i="2"/>
  <c r="FS224" i="2"/>
  <c r="FO224" i="2"/>
  <c r="FC224" i="2"/>
  <c r="EY224" i="2"/>
  <c r="FS223" i="2"/>
  <c r="FO223" i="2"/>
  <c r="FC223" i="2"/>
  <c r="EY223" i="2"/>
  <c r="FS222" i="2"/>
  <c r="FO222" i="2"/>
  <c r="FC222" i="2"/>
  <c r="EY222" i="2"/>
  <c r="FS221" i="2"/>
  <c r="FO221" i="2"/>
  <c r="FC221" i="2"/>
  <c r="EY221" i="2"/>
  <c r="FS220" i="2"/>
  <c r="FO220" i="2"/>
  <c r="FC220" i="2"/>
  <c r="EY220" i="2"/>
  <c r="FS219" i="2"/>
  <c r="FO219" i="2"/>
  <c r="FC219" i="2"/>
  <c r="EY219" i="2"/>
  <c r="FS218" i="2"/>
  <c r="FO218" i="2"/>
  <c r="FC218" i="2"/>
  <c r="EY218" i="2"/>
  <c r="FS217" i="2"/>
  <c r="FO217" i="2"/>
  <c r="FC217" i="2"/>
  <c r="EY217" i="2"/>
  <c r="FS216" i="2"/>
  <c r="FO216" i="2"/>
  <c r="FC216" i="2"/>
  <c r="EY216" i="2"/>
  <c r="FS215" i="2"/>
  <c r="FO215" i="2"/>
  <c r="FC215" i="2"/>
  <c r="EY215" i="2"/>
  <c r="FS214" i="2"/>
  <c r="FO214" i="2"/>
  <c r="FC214" i="2"/>
  <c r="EY214" i="2"/>
  <c r="FS213" i="2"/>
  <c r="FO213" i="2"/>
  <c r="FC213" i="2"/>
  <c r="EY213" i="2"/>
  <c r="FS212" i="2"/>
  <c r="FO212" i="2"/>
  <c r="FC212" i="2"/>
  <c r="EY212" i="2"/>
  <c r="FS211" i="2"/>
  <c r="FO211" i="2"/>
  <c r="FC211" i="2"/>
  <c r="EY211" i="2"/>
  <c r="FS210" i="2"/>
  <c r="FO210" i="2"/>
  <c r="FC210" i="2"/>
  <c r="EY210" i="2"/>
  <c r="FS209" i="2"/>
  <c r="FO209" i="2"/>
  <c r="FC209" i="2"/>
  <c r="EY209" i="2"/>
  <c r="FS208" i="2"/>
  <c r="FO208" i="2"/>
  <c r="FC208" i="2"/>
  <c r="EY208" i="2"/>
  <c r="FS207" i="2"/>
  <c r="FO207" i="2"/>
  <c r="FC207" i="2"/>
  <c r="EY207" i="2"/>
  <c r="FS206" i="2"/>
  <c r="FO206" i="2"/>
  <c r="FC206" i="2"/>
  <c r="EY206" i="2"/>
  <c r="FS205" i="2"/>
  <c r="FO205" i="2"/>
  <c r="FC205" i="2"/>
  <c r="EY205" i="2"/>
  <c r="FS204" i="2"/>
  <c r="FO204" i="2"/>
  <c r="FC204" i="2"/>
  <c r="EY204" i="2"/>
  <c r="FS203" i="2"/>
  <c r="FO203" i="2"/>
  <c r="FC203" i="2"/>
  <c r="EY203" i="2"/>
  <c r="FS202" i="2"/>
  <c r="FO202" i="2"/>
  <c r="FC202" i="2"/>
  <c r="EY202" i="2"/>
  <c r="FS201" i="2"/>
  <c r="FO201" i="2"/>
  <c r="FC201" i="2"/>
  <c r="EY201" i="2"/>
  <c r="FS200" i="2"/>
  <c r="FO200" i="2"/>
  <c r="FC200" i="2"/>
  <c r="EY200" i="2"/>
  <c r="FS199" i="2"/>
  <c r="FO199" i="2"/>
  <c r="FC199" i="2"/>
  <c r="EY199" i="2"/>
  <c r="FS198" i="2"/>
  <c r="FO198" i="2"/>
  <c r="FC198" i="2"/>
  <c r="EY198" i="2"/>
  <c r="FS197" i="2"/>
  <c r="FO197" i="2"/>
  <c r="FC197" i="2"/>
  <c r="EY197" i="2"/>
  <c r="FS196" i="2"/>
  <c r="FO196" i="2"/>
  <c r="FC196" i="2"/>
  <c r="EY196" i="2"/>
  <c r="FS195" i="2"/>
  <c r="FO195" i="2"/>
  <c r="FC195" i="2"/>
  <c r="EY195" i="2"/>
  <c r="FS194" i="2"/>
  <c r="FO194" i="2"/>
  <c r="FC194" i="2"/>
  <c r="EY194" i="2"/>
  <c r="FS193" i="2"/>
  <c r="FO193" i="2"/>
  <c r="FC193" i="2"/>
  <c r="EY193" i="2"/>
  <c r="FS192" i="2"/>
  <c r="FO192" i="2"/>
  <c r="FC192" i="2"/>
  <c r="EY192" i="2"/>
  <c r="FS191" i="2"/>
  <c r="FO191" i="2"/>
  <c r="FC191" i="2"/>
  <c r="EY191" i="2"/>
  <c r="FS190" i="2"/>
  <c r="FO190" i="2"/>
  <c r="FC190" i="2"/>
  <c r="EY190" i="2"/>
  <c r="FS189" i="2"/>
  <c r="FO189" i="2"/>
  <c r="FC189" i="2"/>
  <c r="EY189" i="2"/>
  <c r="FS188" i="2"/>
  <c r="FO188" i="2"/>
  <c r="FC188" i="2"/>
  <c r="EY188" i="2"/>
  <c r="FS187" i="2"/>
  <c r="FO187" i="2"/>
  <c r="FC187" i="2"/>
  <c r="EY187" i="2"/>
  <c r="FS186" i="2"/>
  <c r="FO186" i="2"/>
  <c r="FC186" i="2"/>
  <c r="EY186" i="2"/>
  <c r="FS185" i="2"/>
  <c r="FO185" i="2"/>
  <c r="FC185" i="2"/>
  <c r="EY185" i="2"/>
  <c r="FS184" i="2"/>
  <c r="FO184" i="2"/>
  <c r="FC184" i="2"/>
  <c r="EY184" i="2"/>
  <c r="FS183" i="2"/>
  <c r="FO183" i="2"/>
  <c r="FC183" i="2"/>
  <c r="EY183" i="2"/>
  <c r="FS182" i="2"/>
  <c r="FO182" i="2"/>
  <c r="FC182" i="2"/>
  <c r="EY182" i="2"/>
  <c r="FS181" i="2"/>
  <c r="FO181" i="2"/>
  <c r="FC181" i="2"/>
  <c r="EY181" i="2"/>
  <c r="FS180" i="2"/>
  <c r="FO180" i="2"/>
  <c r="FC180" i="2"/>
  <c r="EY180" i="2"/>
  <c r="FS179" i="2"/>
  <c r="FO179" i="2"/>
  <c r="FC179" i="2"/>
  <c r="EY179" i="2"/>
  <c r="FS178" i="2"/>
  <c r="FO178" i="2"/>
  <c r="FC178" i="2"/>
  <c r="EY178" i="2"/>
  <c r="FS177" i="2"/>
  <c r="FO177" i="2"/>
  <c r="FC177" i="2"/>
  <c r="EY177" i="2"/>
  <c r="FS176" i="2"/>
  <c r="FO176" i="2"/>
  <c r="FC176" i="2"/>
  <c r="EY176" i="2"/>
  <c r="FS175" i="2"/>
  <c r="FO175" i="2"/>
  <c r="FC175" i="2"/>
  <c r="EY175" i="2"/>
  <c r="FS174" i="2"/>
  <c r="FO174" i="2"/>
  <c r="FC174" i="2"/>
  <c r="EY174" i="2"/>
  <c r="FS173" i="2"/>
  <c r="FO173" i="2"/>
  <c r="FC173" i="2"/>
  <c r="EY173" i="2"/>
  <c r="FS172" i="2"/>
  <c r="FO172" i="2"/>
  <c r="FC172" i="2"/>
  <c r="EY172" i="2"/>
  <c r="FS171" i="2"/>
  <c r="FO171" i="2"/>
  <c r="FC171" i="2"/>
  <c r="EY171" i="2"/>
  <c r="FS170" i="2"/>
  <c r="FO170" i="2"/>
  <c r="FC170" i="2"/>
  <c r="EY170" i="2"/>
  <c r="FS169" i="2"/>
  <c r="FO169" i="2"/>
  <c r="FC169" i="2"/>
  <c r="EY169" i="2"/>
  <c r="FS168" i="2"/>
  <c r="FO168" i="2"/>
  <c r="FC168" i="2"/>
  <c r="EY168" i="2"/>
  <c r="FS167" i="2"/>
  <c r="FO167" i="2"/>
  <c r="FC167" i="2"/>
  <c r="EY167" i="2"/>
  <c r="FS166" i="2"/>
  <c r="FO166" i="2"/>
  <c r="FC166" i="2"/>
  <c r="EY166" i="2"/>
  <c r="FS165" i="2"/>
  <c r="FO165" i="2"/>
  <c r="FC165" i="2"/>
  <c r="EY165" i="2"/>
  <c r="FS164" i="2"/>
  <c r="FO164" i="2"/>
  <c r="FC164" i="2"/>
  <c r="EY164" i="2"/>
  <c r="FS163" i="2"/>
  <c r="FO163" i="2"/>
  <c r="FC163" i="2"/>
  <c r="EY163" i="2"/>
  <c r="FS162" i="2"/>
  <c r="FO162" i="2"/>
  <c r="FC162" i="2"/>
  <c r="EY162" i="2"/>
  <c r="FS161" i="2"/>
  <c r="FO161" i="2"/>
  <c r="FC161" i="2"/>
  <c r="EY161" i="2"/>
  <c r="FS160" i="2"/>
  <c r="FO160" i="2"/>
  <c r="FC160" i="2"/>
  <c r="EY160" i="2"/>
  <c r="FS159" i="2"/>
  <c r="FO159" i="2"/>
  <c r="FC159" i="2"/>
  <c r="EY159" i="2"/>
  <c r="FS158" i="2"/>
  <c r="FO158" i="2"/>
  <c r="FC158" i="2"/>
  <c r="EY158" i="2"/>
  <c r="FS157" i="2"/>
  <c r="FO157" i="2"/>
  <c r="FC157" i="2"/>
  <c r="EY157" i="2"/>
  <c r="FS156" i="2"/>
  <c r="FO156" i="2"/>
  <c r="FC156" i="2"/>
  <c r="EY156" i="2"/>
  <c r="FS155" i="2"/>
  <c r="FO155" i="2"/>
  <c r="FC155" i="2"/>
  <c r="EY155" i="2"/>
  <c r="FS154" i="2"/>
  <c r="FO154" i="2"/>
  <c r="FC154" i="2"/>
  <c r="EY154" i="2"/>
  <c r="FS153" i="2"/>
  <c r="FO153" i="2"/>
  <c r="FC153" i="2"/>
  <c r="EY153" i="2"/>
  <c r="FS152" i="2"/>
  <c r="FO152" i="2"/>
  <c r="FC152" i="2"/>
  <c r="EY152" i="2"/>
  <c r="FS151" i="2"/>
  <c r="FO151" i="2"/>
  <c r="FC151" i="2"/>
  <c r="EY151" i="2"/>
  <c r="FS150" i="2"/>
  <c r="FO150" i="2"/>
  <c r="FC150" i="2"/>
  <c r="EY150" i="2"/>
  <c r="FS149" i="2"/>
  <c r="FO149" i="2"/>
  <c r="FC149" i="2"/>
  <c r="EY149" i="2"/>
  <c r="FS148" i="2"/>
  <c r="FO148" i="2"/>
  <c r="FC148" i="2"/>
  <c r="EY148" i="2"/>
  <c r="FS147" i="2"/>
  <c r="FO147" i="2"/>
  <c r="FC147" i="2"/>
  <c r="EY147" i="2"/>
  <c r="FS146" i="2"/>
  <c r="FO146" i="2"/>
  <c r="FC146" i="2"/>
  <c r="EY146" i="2"/>
  <c r="FS145" i="2"/>
  <c r="FO145" i="2"/>
  <c r="FC145" i="2"/>
  <c r="EY145" i="2"/>
  <c r="FS144" i="2"/>
  <c r="FO144" i="2"/>
  <c r="FC144" i="2"/>
  <c r="EY144" i="2"/>
  <c r="FS143" i="2"/>
  <c r="FO143" i="2"/>
  <c r="FC143" i="2"/>
  <c r="EY143" i="2"/>
  <c r="FS142" i="2"/>
  <c r="FO142" i="2"/>
  <c r="FC142" i="2"/>
  <c r="EY142" i="2"/>
  <c r="FS141" i="2"/>
  <c r="FO141" i="2"/>
  <c r="FC141" i="2"/>
  <c r="EY141" i="2"/>
  <c r="FS140" i="2"/>
  <c r="FO140" i="2"/>
  <c r="FC140" i="2"/>
  <c r="EY140" i="2"/>
  <c r="FS139" i="2"/>
  <c r="FO139" i="2"/>
  <c r="FC139" i="2"/>
  <c r="EY139" i="2"/>
  <c r="FS138" i="2"/>
  <c r="FO138" i="2"/>
  <c r="FC138" i="2"/>
  <c r="EY138" i="2"/>
  <c r="FS137" i="2"/>
  <c r="FO137" i="2"/>
  <c r="FC137" i="2"/>
  <c r="EY137" i="2"/>
  <c r="FS136" i="2"/>
  <c r="FO136" i="2"/>
  <c r="FC136" i="2"/>
  <c r="EY136" i="2"/>
  <c r="FS135" i="2"/>
  <c r="FO135" i="2"/>
  <c r="FC135" i="2"/>
  <c r="EY135" i="2"/>
  <c r="FS134" i="2"/>
  <c r="FO134" i="2"/>
  <c r="FC134" i="2"/>
  <c r="EY134" i="2"/>
  <c r="FS133" i="2"/>
  <c r="FO133" i="2"/>
  <c r="FC133" i="2"/>
  <c r="EY133" i="2"/>
  <c r="FS132" i="2"/>
  <c r="FO132" i="2"/>
  <c r="FC132" i="2"/>
  <c r="EY132" i="2"/>
  <c r="FS131" i="2"/>
  <c r="FO131" i="2"/>
  <c r="FC131" i="2"/>
  <c r="EY131" i="2"/>
  <c r="FS130" i="2"/>
  <c r="FO130" i="2"/>
  <c r="FC130" i="2"/>
  <c r="EY130" i="2"/>
  <c r="FS129" i="2"/>
  <c r="FO129" i="2"/>
  <c r="FC129" i="2"/>
  <c r="EY129" i="2"/>
  <c r="FS128" i="2"/>
  <c r="FO128" i="2"/>
  <c r="FC128" i="2"/>
  <c r="EY128" i="2"/>
  <c r="FS127" i="2"/>
  <c r="FO127" i="2"/>
  <c r="FC127" i="2"/>
  <c r="EY127" i="2"/>
  <c r="FS126" i="2"/>
  <c r="FO126" i="2"/>
  <c r="FC126" i="2"/>
  <c r="EY126" i="2"/>
  <c r="FS125" i="2"/>
  <c r="FO125" i="2"/>
  <c r="FC125" i="2"/>
  <c r="EY125" i="2"/>
  <c r="FS124" i="2"/>
  <c r="FO124" i="2"/>
  <c r="FC124" i="2"/>
  <c r="EY124" i="2"/>
  <c r="FS123" i="2"/>
  <c r="FO123" i="2"/>
  <c r="FC123" i="2"/>
  <c r="EY123" i="2"/>
  <c r="FS122" i="2"/>
  <c r="FO122" i="2"/>
  <c r="FC122" i="2"/>
  <c r="EY122" i="2"/>
  <c r="FS121" i="2"/>
  <c r="FO121" i="2"/>
  <c r="FC121" i="2"/>
  <c r="EY121" i="2"/>
  <c r="FS120" i="2"/>
  <c r="FO120" i="2"/>
  <c r="FC120" i="2"/>
  <c r="EY120" i="2"/>
  <c r="FS119" i="2"/>
  <c r="FO119" i="2"/>
  <c r="FC119" i="2"/>
  <c r="EY119" i="2"/>
  <c r="FS118" i="2"/>
  <c r="FO118" i="2"/>
  <c r="FC118" i="2"/>
  <c r="EY118" i="2"/>
  <c r="FS117" i="2"/>
  <c r="FO117" i="2"/>
  <c r="FC117" i="2"/>
  <c r="EY117" i="2"/>
  <c r="FS116" i="2"/>
  <c r="FO116" i="2"/>
  <c r="FC116" i="2"/>
  <c r="EY116" i="2"/>
  <c r="FS115" i="2"/>
  <c r="FO115" i="2"/>
  <c r="FC115" i="2"/>
  <c r="EY115" i="2"/>
  <c r="FS114" i="2"/>
  <c r="FO114" i="2"/>
  <c r="FC114" i="2"/>
  <c r="EY114" i="2"/>
  <c r="FS113" i="2"/>
  <c r="FO113" i="2"/>
  <c r="FC113" i="2"/>
  <c r="EY113" i="2"/>
  <c r="FS112" i="2"/>
  <c r="FO112" i="2"/>
  <c r="FC112" i="2"/>
  <c r="EY112" i="2"/>
  <c r="FS111" i="2"/>
  <c r="FO111" i="2"/>
  <c r="FC111" i="2"/>
  <c r="EY111" i="2"/>
  <c r="FS110" i="2"/>
  <c r="FO110" i="2"/>
  <c r="FC110" i="2"/>
  <c r="EY110" i="2"/>
  <c r="FS109" i="2"/>
  <c r="FO109" i="2"/>
  <c r="FC109" i="2"/>
  <c r="EY109" i="2"/>
  <c r="FS108" i="2"/>
  <c r="FO108" i="2"/>
  <c r="FC108" i="2"/>
  <c r="EY108" i="2"/>
  <c r="FS107" i="2"/>
  <c r="FO107" i="2"/>
  <c r="FC107" i="2"/>
  <c r="EY107" i="2"/>
  <c r="FS106" i="2"/>
  <c r="FO106" i="2"/>
  <c r="FC106" i="2"/>
  <c r="EY106" i="2"/>
  <c r="FS105" i="2"/>
  <c r="FO105" i="2"/>
  <c r="FC105" i="2"/>
  <c r="EY105" i="2"/>
  <c r="FS104" i="2"/>
  <c r="FO104" i="2"/>
  <c r="FC104" i="2"/>
  <c r="EY104" i="2"/>
  <c r="FS103" i="2"/>
  <c r="FO103" i="2"/>
  <c r="FC103" i="2"/>
  <c r="EY103" i="2"/>
  <c r="FS102" i="2"/>
  <c r="FO102" i="2"/>
  <c r="FC102" i="2"/>
  <c r="EY102" i="2"/>
  <c r="FS101" i="2"/>
  <c r="FO101" i="2"/>
  <c r="FC101" i="2"/>
  <c r="EY101" i="2"/>
  <c r="FS100" i="2"/>
  <c r="FO100" i="2"/>
  <c r="FC100" i="2"/>
  <c r="EY100" i="2"/>
  <c r="FS99" i="2"/>
  <c r="FO99" i="2"/>
  <c r="FC99" i="2"/>
  <c r="EY99" i="2"/>
  <c r="FS98" i="2"/>
  <c r="FO98" i="2"/>
  <c r="FC98" i="2"/>
  <c r="EY98" i="2"/>
  <c r="FS97" i="2"/>
  <c r="FO97" i="2"/>
  <c r="FC97" i="2"/>
  <c r="EY97" i="2"/>
  <c r="FS96" i="2"/>
  <c r="FO96" i="2"/>
  <c r="FC96" i="2"/>
  <c r="EY96" i="2"/>
  <c r="FS95" i="2"/>
  <c r="FO95" i="2"/>
  <c r="FC95" i="2"/>
  <c r="EY95" i="2"/>
  <c r="FS94" i="2"/>
  <c r="FO94" i="2"/>
  <c r="FC94" i="2"/>
  <c r="EY94" i="2"/>
  <c r="FS93" i="2"/>
  <c r="FO93" i="2"/>
  <c r="FC93" i="2"/>
  <c r="EY93" i="2"/>
  <c r="FS92" i="2"/>
  <c r="FO92" i="2"/>
  <c r="FC92" i="2"/>
  <c r="EY92" i="2"/>
  <c r="FS91" i="2"/>
  <c r="FO91" i="2"/>
  <c r="FC91" i="2"/>
  <c r="EY91" i="2"/>
  <c r="FS90" i="2"/>
  <c r="FO90" i="2"/>
  <c r="FC90" i="2"/>
  <c r="EY90" i="2"/>
  <c r="FS89" i="2"/>
  <c r="FO89" i="2"/>
  <c r="FC89" i="2"/>
  <c r="EY89" i="2"/>
  <c r="FS88" i="2"/>
  <c r="FO88" i="2"/>
  <c r="FC88" i="2"/>
  <c r="EY88" i="2"/>
  <c r="FS87" i="2"/>
  <c r="FO87" i="2"/>
  <c r="FC87" i="2"/>
  <c r="EY87" i="2"/>
  <c r="FS86" i="2"/>
  <c r="FO86" i="2"/>
  <c r="FC86" i="2"/>
  <c r="EY86" i="2"/>
  <c r="FS85" i="2"/>
  <c r="FO85" i="2"/>
  <c r="FC85" i="2"/>
  <c r="EY85" i="2"/>
  <c r="FO84" i="2"/>
  <c r="FC84" i="2"/>
  <c r="FG84" i="2" s="1"/>
  <c r="EY84" i="2"/>
  <c r="FO83" i="2"/>
  <c r="FC83" i="2"/>
  <c r="FG83" i="2" s="1"/>
  <c r="EY83" i="2"/>
  <c r="FO82" i="2"/>
  <c r="FC82" i="2"/>
  <c r="FG82" i="2" s="1"/>
  <c r="EY82" i="2"/>
  <c r="FO81" i="2"/>
  <c r="FC81" i="2"/>
  <c r="FG81" i="2" s="1"/>
  <c r="EY81" i="2"/>
  <c r="FO80" i="2"/>
  <c r="FC80" i="2"/>
  <c r="FG80" i="2" s="1"/>
  <c r="EY80" i="2"/>
  <c r="FO79" i="2"/>
  <c r="FC79" i="2"/>
  <c r="FG79" i="2" s="1"/>
  <c r="EY79" i="2"/>
  <c r="FO78" i="2"/>
  <c r="FC78" i="2"/>
  <c r="FG78" i="2" s="1"/>
  <c r="EY78" i="2"/>
  <c r="FO77" i="2"/>
  <c r="FC77" i="2"/>
  <c r="FG77" i="2" s="1"/>
  <c r="EY77" i="2"/>
  <c r="FO76" i="2"/>
  <c r="FC76" i="2"/>
  <c r="FG76" i="2" s="1"/>
  <c r="EY76" i="2"/>
  <c r="FO75" i="2"/>
  <c r="FC75" i="2"/>
  <c r="FG75" i="2" s="1"/>
  <c r="EY75" i="2"/>
  <c r="FO74" i="2"/>
  <c r="FC74" i="2"/>
  <c r="FG74" i="2" s="1"/>
  <c r="EY74" i="2"/>
  <c r="FO73" i="2"/>
  <c r="FC73" i="2"/>
  <c r="FG73" i="2" s="1"/>
  <c r="EY73" i="2"/>
  <c r="FO72" i="2"/>
  <c r="FC72" i="2"/>
  <c r="FG72" i="2" s="1"/>
  <c r="EY72" i="2"/>
  <c r="FO71" i="2"/>
  <c r="FC71" i="2"/>
  <c r="FG71" i="2" s="1"/>
  <c r="EY71" i="2"/>
  <c r="FO70" i="2"/>
  <c r="FC70" i="2"/>
  <c r="FG70" i="2" s="1"/>
  <c r="EY70" i="2"/>
  <c r="FO69" i="2"/>
  <c r="FC69" i="2"/>
  <c r="FG69" i="2" s="1"/>
  <c r="EY69" i="2"/>
  <c r="FO68" i="2"/>
  <c r="FC68" i="2"/>
  <c r="FG68" i="2" s="1"/>
  <c r="EY68" i="2"/>
  <c r="FO67" i="2"/>
  <c r="FC67" i="2"/>
  <c r="FG67" i="2" s="1"/>
  <c r="EY67" i="2"/>
  <c r="FO66" i="2"/>
  <c r="FC66" i="2"/>
  <c r="FG66" i="2" s="1"/>
  <c r="EY66" i="2"/>
  <c r="FO65" i="2"/>
  <c r="FC65" i="2"/>
  <c r="FG65" i="2" s="1"/>
  <c r="EY65" i="2"/>
  <c r="FO64" i="2"/>
  <c r="FC64" i="2"/>
  <c r="FG64" i="2" s="1"/>
  <c r="EY64" i="2"/>
  <c r="FO63" i="2"/>
  <c r="FC63" i="2"/>
  <c r="FG63" i="2" s="1"/>
  <c r="EY63" i="2"/>
  <c r="FO62" i="2"/>
  <c r="FC62" i="2"/>
  <c r="FG62" i="2" s="1"/>
  <c r="EY62" i="2"/>
  <c r="FO61" i="2"/>
  <c r="FC61" i="2"/>
  <c r="FG61" i="2" s="1"/>
  <c r="EY61" i="2"/>
  <c r="FO60" i="2"/>
  <c r="FC60" i="2"/>
  <c r="FG60" i="2" s="1"/>
  <c r="EY60" i="2"/>
  <c r="FO59" i="2"/>
  <c r="FC59" i="2"/>
  <c r="FG59" i="2" s="1"/>
  <c r="EY59" i="2"/>
  <c r="FO58" i="2"/>
  <c r="FC58" i="2"/>
  <c r="FG58" i="2" s="1"/>
  <c r="EY58" i="2"/>
  <c r="FO57" i="2"/>
  <c r="FC57" i="2"/>
  <c r="FG57" i="2" s="1"/>
  <c r="EY57" i="2"/>
  <c r="FO56" i="2"/>
  <c r="FC56" i="2"/>
  <c r="FG56" i="2" s="1"/>
  <c r="EY56" i="2"/>
  <c r="FO55" i="2"/>
  <c r="FC55" i="2"/>
  <c r="FG55" i="2" s="1"/>
  <c r="EY55" i="2"/>
  <c r="FO54" i="2"/>
  <c r="EY54" i="2"/>
  <c r="FO53" i="2"/>
  <c r="EY53" i="2"/>
  <c r="FO52" i="2"/>
  <c r="EY52" i="2"/>
  <c r="FO51" i="2"/>
  <c r="EY51" i="2"/>
  <c r="FO50" i="2"/>
  <c r="EY50" i="2"/>
  <c r="FO49" i="2"/>
  <c r="EY49" i="2"/>
  <c r="FO48" i="2"/>
  <c r="EY48" i="2"/>
  <c r="FO47" i="2"/>
  <c r="EY47" i="2"/>
  <c r="FO46" i="2"/>
  <c r="EY46" i="2"/>
  <c r="FO45" i="2"/>
  <c r="EY45" i="2"/>
  <c r="FO44" i="2"/>
  <c r="EY44" i="2"/>
  <c r="FO43" i="2"/>
  <c r="EY43" i="2"/>
  <c r="FO42" i="2"/>
  <c r="EY42" i="2"/>
  <c r="FO41" i="2"/>
  <c r="EY41" i="2"/>
  <c r="FO40" i="2"/>
  <c r="EY40" i="2"/>
  <c r="FO39" i="2"/>
  <c r="EY39" i="2"/>
  <c r="FO38" i="2"/>
  <c r="EY38" i="2"/>
  <c r="FO37" i="2"/>
  <c r="EY37" i="2"/>
  <c r="FO36" i="2"/>
  <c r="EY36" i="2"/>
  <c r="FO35" i="2"/>
  <c r="EY35" i="2"/>
  <c r="FO34" i="2"/>
  <c r="EY34" i="2"/>
  <c r="FO33" i="2"/>
  <c r="EY33" i="2"/>
  <c r="FO32" i="2"/>
  <c r="EY32" i="2"/>
  <c r="FO31" i="2"/>
  <c r="EY31" i="2"/>
  <c r="FO30" i="2"/>
  <c r="EY30" i="2"/>
  <c r="FO29" i="2"/>
  <c r="EY29" i="2"/>
  <c r="FO28" i="2"/>
  <c r="EY28" i="2"/>
  <c r="FO27" i="2"/>
  <c r="EY27" i="2"/>
  <c r="FO26" i="2"/>
  <c r="EY26" i="2"/>
  <c r="FO25" i="2"/>
  <c r="EY25" i="2"/>
  <c r="FO24" i="2"/>
  <c r="EY24" i="2"/>
  <c r="FO23" i="2"/>
  <c r="EY23" i="2"/>
  <c r="FO22" i="2"/>
  <c r="EY22" i="2"/>
  <c r="FO21" i="2"/>
  <c r="EY21" i="2"/>
  <c r="FO20" i="2"/>
  <c r="EY20" i="2"/>
  <c r="FO19" i="2"/>
  <c r="EY19" i="2"/>
  <c r="FO18" i="2"/>
  <c r="EY18" i="2"/>
  <c r="FO17" i="2"/>
  <c r="EY17" i="2"/>
  <c r="FO16" i="2"/>
  <c r="EY16" i="2"/>
  <c r="FO15" i="2"/>
  <c r="EY15" i="2"/>
  <c r="FO14" i="2"/>
  <c r="EY14" i="2"/>
  <c r="FO13" i="2"/>
  <c r="EY13" i="2"/>
  <c r="FO12" i="2"/>
  <c r="EY12" i="2"/>
  <c r="FO11" i="2"/>
  <c r="EY11" i="2"/>
  <c r="FO10" i="2"/>
  <c r="EY10" i="2"/>
  <c r="FO9" i="2"/>
  <c r="EY9" i="2"/>
  <c r="FO8" i="2"/>
  <c r="EY8" i="2"/>
  <c r="FO7" i="2"/>
  <c r="EY7" i="2"/>
  <c r="FO6" i="2"/>
  <c r="EY6" i="2"/>
  <c r="FO5" i="2"/>
  <c r="FK258" i="2"/>
  <c r="EY5" i="2"/>
  <c r="ER257" i="2"/>
  <c r="EN257" i="2"/>
  <c r="EB257" i="2"/>
  <c r="DX257" i="2"/>
  <c r="ER256" i="2"/>
  <c r="EN256" i="2"/>
  <c r="EB256" i="2"/>
  <c r="DX256" i="2"/>
  <c r="ER255" i="2"/>
  <c r="EN255" i="2"/>
  <c r="EB255" i="2"/>
  <c r="DX255" i="2"/>
  <c r="ER254" i="2"/>
  <c r="EN254" i="2"/>
  <c r="EB254" i="2"/>
  <c r="DX254" i="2"/>
  <c r="ER253" i="2"/>
  <c r="EN253" i="2"/>
  <c r="EB253" i="2"/>
  <c r="DX253" i="2"/>
  <c r="ER252" i="2"/>
  <c r="EN252" i="2"/>
  <c r="EB252" i="2"/>
  <c r="DX252" i="2"/>
  <c r="ER251" i="2"/>
  <c r="EN251" i="2"/>
  <c r="EB251" i="2"/>
  <c r="DX251" i="2"/>
  <c r="ER250" i="2"/>
  <c r="EN250" i="2"/>
  <c r="EB250" i="2"/>
  <c r="DX250" i="2"/>
  <c r="ER249" i="2"/>
  <c r="EN249" i="2"/>
  <c r="EB249" i="2"/>
  <c r="DX249" i="2"/>
  <c r="ER248" i="2"/>
  <c r="EN248" i="2"/>
  <c r="EB248" i="2"/>
  <c r="DX248" i="2"/>
  <c r="ER247" i="2"/>
  <c r="EN247" i="2"/>
  <c r="EB247" i="2"/>
  <c r="DX247" i="2"/>
  <c r="ER246" i="2"/>
  <c r="EN246" i="2"/>
  <c r="EB246" i="2"/>
  <c r="DX246" i="2"/>
  <c r="ER245" i="2"/>
  <c r="EN245" i="2"/>
  <c r="EB245" i="2"/>
  <c r="DX245" i="2"/>
  <c r="ER244" i="2"/>
  <c r="EN244" i="2"/>
  <c r="EB244" i="2"/>
  <c r="DX244" i="2"/>
  <c r="ER243" i="2"/>
  <c r="EN243" i="2"/>
  <c r="EB243" i="2"/>
  <c r="DX243" i="2"/>
  <c r="ER242" i="2"/>
  <c r="EN242" i="2"/>
  <c r="EB242" i="2"/>
  <c r="DX242" i="2"/>
  <c r="ER241" i="2"/>
  <c r="EN241" i="2"/>
  <c r="EB241" i="2"/>
  <c r="DX241" i="2"/>
  <c r="ER240" i="2"/>
  <c r="EN240" i="2"/>
  <c r="EB240" i="2"/>
  <c r="DX240" i="2"/>
  <c r="ER239" i="2"/>
  <c r="EN239" i="2"/>
  <c r="EB239" i="2"/>
  <c r="DX239" i="2"/>
  <c r="ER238" i="2"/>
  <c r="EN238" i="2"/>
  <c r="EB238" i="2"/>
  <c r="DX238" i="2"/>
  <c r="ER237" i="2"/>
  <c r="EN237" i="2"/>
  <c r="EB237" i="2"/>
  <c r="DX237" i="2"/>
  <c r="ER236" i="2"/>
  <c r="EN236" i="2"/>
  <c r="EB236" i="2"/>
  <c r="DX236" i="2"/>
  <c r="ER235" i="2"/>
  <c r="EN235" i="2"/>
  <c r="EB235" i="2"/>
  <c r="DX235" i="2"/>
  <c r="ER234" i="2"/>
  <c r="EN234" i="2"/>
  <c r="EB234" i="2"/>
  <c r="DX234" i="2"/>
  <c r="ER233" i="2"/>
  <c r="EN233" i="2"/>
  <c r="EB233" i="2"/>
  <c r="DX233" i="2"/>
  <c r="ER232" i="2"/>
  <c r="EN232" i="2"/>
  <c r="EB232" i="2"/>
  <c r="DX232" i="2"/>
  <c r="ER231" i="2"/>
  <c r="EN231" i="2"/>
  <c r="EB231" i="2"/>
  <c r="DX231" i="2"/>
  <c r="ER230" i="2"/>
  <c r="EN230" i="2"/>
  <c r="EB230" i="2"/>
  <c r="DX230" i="2"/>
  <c r="ER229" i="2"/>
  <c r="EN229" i="2"/>
  <c r="EB229" i="2"/>
  <c r="DX229" i="2"/>
  <c r="ER228" i="2"/>
  <c r="EN228" i="2"/>
  <c r="EB228" i="2"/>
  <c r="DX228" i="2"/>
  <c r="ER227" i="2"/>
  <c r="EN227" i="2"/>
  <c r="EB227" i="2"/>
  <c r="DX227" i="2"/>
  <c r="ER226" i="2"/>
  <c r="EN226" i="2"/>
  <c r="EB226" i="2"/>
  <c r="DX226" i="2"/>
  <c r="ER225" i="2"/>
  <c r="EN225" i="2"/>
  <c r="EB225" i="2"/>
  <c r="DX225" i="2"/>
  <c r="ER224" i="2"/>
  <c r="EN224" i="2"/>
  <c r="EB224" i="2"/>
  <c r="DX224" i="2"/>
  <c r="ER223" i="2"/>
  <c r="EN223" i="2"/>
  <c r="EB223" i="2"/>
  <c r="DX223" i="2"/>
  <c r="ER222" i="2"/>
  <c r="EN222" i="2"/>
  <c r="EB222" i="2"/>
  <c r="DX222" i="2"/>
  <c r="ER221" i="2"/>
  <c r="EN221" i="2"/>
  <c r="EB221" i="2"/>
  <c r="DX221" i="2"/>
  <c r="ER220" i="2"/>
  <c r="EN220" i="2"/>
  <c r="EB220" i="2"/>
  <c r="DX220" i="2"/>
  <c r="ER219" i="2"/>
  <c r="EN219" i="2"/>
  <c r="EB219" i="2"/>
  <c r="DX219" i="2"/>
  <c r="ER218" i="2"/>
  <c r="EN218" i="2"/>
  <c r="EB218" i="2"/>
  <c r="DX218" i="2"/>
  <c r="ER217" i="2"/>
  <c r="EN217" i="2"/>
  <c r="EB217" i="2"/>
  <c r="DX217" i="2"/>
  <c r="ER216" i="2"/>
  <c r="EN216" i="2"/>
  <c r="EB216" i="2"/>
  <c r="DX216" i="2"/>
  <c r="ER215" i="2"/>
  <c r="EN215" i="2"/>
  <c r="EB215" i="2"/>
  <c r="DX215" i="2"/>
  <c r="ER214" i="2"/>
  <c r="EN214" i="2"/>
  <c r="EB214" i="2"/>
  <c r="DX214" i="2"/>
  <c r="ER213" i="2"/>
  <c r="EN213" i="2"/>
  <c r="EB213" i="2"/>
  <c r="DX213" i="2"/>
  <c r="ER212" i="2"/>
  <c r="EN212" i="2"/>
  <c r="EB212" i="2"/>
  <c r="DX212" i="2"/>
  <c r="ER211" i="2"/>
  <c r="EN211" i="2"/>
  <c r="EB211" i="2"/>
  <c r="DX211" i="2"/>
  <c r="ER210" i="2"/>
  <c r="EN210" i="2"/>
  <c r="EB210" i="2"/>
  <c r="DX210" i="2"/>
  <c r="ER209" i="2"/>
  <c r="EN209" i="2"/>
  <c r="EB209" i="2"/>
  <c r="DX209" i="2"/>
  <c r="ER208" i="2"/>
  <c r="EN208" i="2"/>
  <c r="EB208" i="2"/>
  <c r="DX208" i="2"/>
  <c r="ER207" i="2"/>
  <c r="EN207" i="2"/>
  <c r="EB207" i="2"/>
  <c r="DX207" i="2"/>
  <c r="ER206" i="2"/>
  <c r="EN206" i="2"/>
  <c r="EB206" i="2"/>
  <c r="DX206" i="2"/>
  <c r="ER205" i="2"/>
  <c r="EN205" i="2"/>
  <c r="EB205" i="2"/>
  <c r="DX205" i="2"/>
  <c r="ER204" i="2"/>
  <c r="EN204" i="2"/>
  <c r="EB204" i="2"/>
  <c r="DX204" i="2"/>
  <c r="ER203" i="2"/>
  <c r="EN203" i="2"/>
  <c r="EB203" i="2"/>
  <c r="DX203" i="2"/>
  <c r="ER202" i="2"/>
  <c r="EN202" i="2"/>
  <c r="EB202" i="2"/>
  <c r="DX202" i="2"/>
  <c r="ER201" i="2"/>
  <c r="EN201" i="2"/>
  <c r="EB201" i="2"/>
  <c r="DX201" i="2"/>
  <c r="ER200" i="2"/>
  <c r="EN200" i="2"/>
  <c r="EB200" i="2"/>
  <c r="DX200" i="2"/>
  <c r="ER199" i="2"/>
  <c r="EN199" i="2"/>
  <c r="EB199" i="2"/>
  <c r="DX199" i="2"/>
  <c r="ER198" i="2"/>
  <c r="EN198" i="2"/>
  <c r="EB198" i="2"/>
  <c r="DX198" i="2"/>
  <c r="ER197" i="2"/>
  <c r="EN197" i="2"/>
  <c r="EB197" i="2"/>
  <c r="DX197" i="2"/>
  <c r="ER196" i="2"/>
  <c r="EN196" i="2"/>
  <c r="EB196" i="2"/>
  <c r="DX196" i="2"/>
  <c r="ER195" i="2"/>
  <c r="EN195" i="2"/>
  <c r="EB195" i="2"/>
  <c r="DX195" i="2"/>
  <c r="ER194" i="2"/>
  <c r="EN194" i="2"/>
  <c r="EB194" i="2"/>
  <c r="DX194" i="2"/>
  <c r="ER193" i="2"/>
  <c r="EN193" i="2"/>
  <c r="EB193" i="2"/>
  <c r="DX193" i="2"/>
  <c r="ER192" i="2"/>
  <c r="EN192" i="2"/>
  <c r="EB192" i="2"/>
  <c r="DX192" i="2"/>
  <c r="ER191" i="2"/>
  <c r="EN191" i="2"/>
  <c r="EB191" i="2"/>
  <c r="DX191" i="2"/>
  <c r="ER190" i="2"/>
  <c r="EN190" i="2"/>
  <c r="EB190" i="2"/>
  <c r="DX190" i="2"/>
  <c r="ER189" i="2"/>
  <c r="EN189" i="2"/>
  <c r="EB189" i="2"/>
  <c r="DX189" i="2"/>
  <c r="ER188" i="2"/>
  <c r="EN188" i="2"/>
  <c r="EB188" i="2"/>
  <c r="DX188" i="2"/>
  <c r="ER187" i="2"/>
  <c r="EN187" i="2"/>
  <c r="EB187" i="2"/>
  <c r="DX187" i="2"/>
  <c r="ER186" i="2"/>
  <c r="EN186" i="2"/>
  <c r="EB186" i="2"/>
  <c r="DX186" i="2"/>
  <c r="ER185" i="2"/>
  <c r="EN185" i="2"/>
  <c r="EB185" i="2"/>
  <c r="DX185" i="2"/>
  <c r="ER184" i="2"/>
  <c r="EN184" i="2"/>
  <c r="EB184" i="2"/>
  <c r="DX184" i="2"/>
  <c r="ER183" i="2"/>
  <c r="EN183" i="2"/>
  <c r="EB183" i="2"/>
  <c r="DX183" i="2"/>
  <c r="ER182" i="2"/>
  <c r="EN182" i="2"/>
  <c r="EB182" i="2"/>
  <c r="DX182" i="2"/>
  <c r="ER181" i="2"/>
  <c r="EN181" i="2"/>
  <c r="EB181" i="2"/>
  <c r="DX181" i="2"/>
  <c r="ER180" i="2"/>
  <c r="EN180" i="2"/>
  <c r="EB180" i="2"/>
  <c r="DX180" i="2"/>
  <c r="ER179" i="2"/>
  <c r="EN179" i="2"/>
  <c r="EB179" i="2"/>
  <c r="DX179" i="2"/>
  <c r="ER178" i="2"/>
  <c r="EN178" i="2"/>
  <c r="EB178" i="2"/>
  <c r="DX178" i="2"/>
  <c r="ER177" i="2"/>
  <c r="EN177" i="2"/>
  <c r="EB177" i="2"/>
  <c r="DX177" i="2"/>
  <c r="ER176" i="2"/>
  <c r="EN176" i="2"/>
  <c r="EB176" i="2"/>
  <c r="DX176" i="2"/>
  <c r="ER175" i="2"/>
  <c r="EN175" i="2"/>
  <c r="EB175" i="2"/>
  <c r="DX175" i="2"/>
  <c r="ER174" i="2"/>
  <c r="EN174" i="2"/>
  <c r="EB174" i="2"/>
  <c r="DX174" i="2"/>
  <c r="ER173" i="2"/>
  <c r="EN173" i="2"/>
  <c r="EB173" i="2"/>
  <c r="DX173" i="2"/>
  <c r="ER172" i="2"/>
  <c r="EN172" i="2"/>
  <c r="EB172" i="2"/>
  <c r="DX172" i="2"/>
  <c r="ER171" i="2"/>
  <c r="EN171" i="2"/>
  <c r="EB171" i="2"/>
  <c r="DX171" i="2"/>
  <c r="ER170" i="2"/>
  <c r="EN170" i="2"/>
  <c r="EB170" i="2"/>
  <c r="DX170" i="2"/>
  <c r="ER169" i="2"/>
  <c r="EN169" i="2"/>
  <c r="EB169" i="2"/>
  <c r="DX169" i="2"/>
  <c r="ER168" i="2"/>
  <c r="EN168" i="2"/>
  <c r="EB168" i="2"/>
  <c r="DX168" i="2"/>
  <c r="ER167" i="2"/>
  <c r="EN167" i="2"/>
  <c r="EB167" i="2"/>
  <c r="DX167" i="2"/>
  <c r="ER166" i="2"/>
  <c r="EN166" i="2"/>
  <c r="EB166" i="2"/>
  <c r="DX166" i="2"/>
  <c r="ER165" i="2"/>
  <c r="EN165" i="2"/>
  <c r="EB165" i="2"/>
  <c r="DX165" i="2"/>
  <c r="ER164" i="2"/>
  <c r="EN164" i="2"/>
  <c r="EB164" i="2"/>
  <c r="DX164" i="2"/>
  <c r="ER163" i="2"/>
  <c r="EN163" i="2"/>
  <c r="EB163" i="2"/>
  <c r="DX163" i="2"/>
  <c r="ER162" i="2"/>
  <c r="EN162" i="2"/>
  <c r="EB162" i="2"/>
  <c r="DX162" i="2"/>
  <c r="ER161" i="2"/>
  <c r="EN161" i="2"/>
  <c r="EB161" i="2"/>
  <c r="DX161" i="2"/>
  <c r="ER160" i="2"/>
  <c r="EN160" i="2"/>
  <c r="EB160" i="2"/>
  <c r="DX160" i="2"/>
  <c r="ER159" i="2"/>
  <c r="EN159" i="2"/>
  <c r="EB159" i="2"/>
  <c r="DX159" i="2"/>
  <c r="ER158" i="2"/>
  <c r="EN158" i="2"/>
  <c r="EB158" i="2"/>
  <c r="DX158" i="2"/>
  <c r="ER157" i="2"/>
  <c r="EN157" i="2"/>
  <c r="EB157" i="2"/>
  <c r="DX157" i="2"/>
  <c r="ER156" i="2"/>
  <c r="EN156" i="2"/>
  <c r="EB156" i="2"/>
  <c r="DX156" i="2"/>
  <c r="ER155" i="2"/>
  <c r="EN155" i="2"/>
  <c r="EB155" i="2"/>
  <c r="DX155" i="2"/>
  <c r="ER154" i="2"/>
  <c r="EN154" i="2"/>
  <c r="EB154" i="2"/>
  <c r="DX154" i="2"/>
  <c r="ER153" i="2"/>
  <c r="EN153" i="2"/>
  <c r="EB153" i="2"/>
  <c r="DX153" i="2"/>
  <c r="ER152" i="2"/>
  <c r="EN152" i="2"/>
  <c r="EB152" i="2"/>
  <c r="DX152" i="2"/>
  <c r="ER151" i="2"/>
  <c r="EN151" i="2"/>
  <c r="EB151" i="2"/>
  <c r="DX151" i="2"/>
  <c r="ER150" i="2"/>
  <c r="EN150" i="2"/>
  <c r="EB150" i="2"/>
  <c r="DX150" i="2"/>
  <c r="ER149" i="2"/>
  <c r="EN149" i="2"/>
  <c r="EB149" i="2"/>
  <c r="DX149" i="2"/>
  <c r="ER148" i="2"/>
  <c r="EN148" i="2"/>
  <c r="EB148" i="2"/>
  <c r="DX148" i="2"/>
  <c r="ER147" i="2"/>
  <c r="EN147" i="2"/>
  <c r="EB147" i="2"/>
  <c r="DX147" i="2"/>
  <c r="ER146" i="2"/>
  <c r="EN146" i="2"/>
  <c r="EB146" i="2"/>
  <c r="DX146" i="2"/>
  <c r="ER145" i="2"/>
  <c r="EN145" i="2"/>
  <c r="EB145" i="2"/>
  <c r="DX145" i="2"/>
  <c r="ER144" i="2"/>
  <c r="EN144" i="2"/>
  <c r="EB144" i="2"/>
  <c r="DX144" i="2"/>
  <c r="ER143" i="2"/>
  <c r="EN143" i="2"/>
  <c r="EB143" i="2"/>
  <c r="DX143" i="2"/>
  <c r="ER142" i="2"/>
  <c r="EN142" i="2"/>
  <c r="EB142" i="2"/>
  <c r="DX142" i="2"/>
  <c r="ER141" i="2"/>
  <c r="EN141" i="2"/>
  <c r="EB141" i="2"/>
  <c r="DX141" i="2"/>
  <c r="ER140" i="2"/>
  <c r="EN140" i="2"/>
  <c r="EB140" i="2"/>
  <c r="DX140" i="2"/>
  <c r="ER139" i="2"/>
  <c r="EN139" i="2"/>
  <c r="EB139" i="2"/>
  <c r="DX139" i="2"/>
  <c r="ER138" i="2"/>
  <c r="EN138" i="2"/>
  <c r="EB138" i="2"/>
  <c r="DX138" i="2"/>
  <c r="ER137" i="2"/>
  <c r="EN137" i="2"/>
  <c r="EB137" i="2"/>
  <c r="DX137" i="2"/>
  <c r="ER136" i="2"/>
  <c r="EN136" i="2"/>
  <c r="EB136" i="2"/>
  <c r="DX136" i="2"/>
  <c r="ER135" i="2"/>
  <c r="EN135" i="2"/>
  <c r="EB135" i="2"/>
  <c r="DX135" i="2"/>
  <c r="ER134" i="2"/>
  <c r="EN134" i="2"/>
  <c r="EB134" i="2"/>
  <c r="DX134" i="2"/>
  <c r="ER133" i="2"/>
  <c r="EN133" i="2"/>
  <c r="EB133" i="2"/>
  <c r="DX133" i="2"/>
  <c r="ER132" i="2"/>
  <c r="EN132" i="2"/>
  <c r="EB132" i="2"/>
  <c r="DX132" i="2"/>
  <c r="ER131" i="2"/>
  <c r="EN131" i="2"/>
  <c r="EB131" i="2"/>
  <c r="DX131" i="2"/>
  <c r="ER130" i="2"/>
  <c r="EN130" i="2"/>
  <c r="EB130" i="2"/>
  <c r="DX130" i="2"/>
  <c r="ER129" i="2"/>
  <c r="EN129" i="2"/>
  <c r="EB129" i="2"/>
  <c r="DX129" i="2"/>
  <c r="ER128" i="2"/>
  <c r="EN128" i="2"/>
  <c r="EB128" i="2"/>
  <c r="DX128" i="2"/>
  <c r="ER127" i="2"/>
  <c r="EN127" i="2"/>
  <c r="EB127" i="2"/>
  <c r="DX127" i="2"/>
  <c r="ER126" i="2"/>
  <c r="EN126" i="2"/>
  <c r="EB126" i="2"/>
  <c r="DX126" i="2"/>
  <c r="ER125" i="2"/>
  <c r="EN125" i="2"/>
  <c r="EB125" i="2"/>
  <c r="DX125" i="2"/>
  <c r="ER124" i="2"/>
  <c r="EN124" i="2"/>
  <c r="EB124" i="2"/>
  <c r="DX124" i="2"/>
  <c r="ER123" i="2"/>
  <c r="EN123" i="2"/>
  <c r="EB123" i="2"/>
  <c r="DX123" i="2"/>
  <c r="ER122" i="2"/>
  <c r="EN122" i="2"/>
  <c r="EB122" i="2"/>
  <c r="DX122" i="2"/>
  <c r="ER121" i="2"/>
  <c r="EN121" i="2"/>
  <c r="EB121" i="2"/>
  <c r="DX121" i="2"/>
  <c r="ER120" i="2"/>
  <c r="EN120" i="2"/>
  <c r="EB120" i="2"/>
  <c r="DX120" i="2"/>
  <c r="ER119" i="2"/>
  <c r="EN119" i="2"/>
  <c r="EB119" i="2"/>
  <c r="DX119" i="2"/>
  <c r="ER118" i="2"/>
  <c r="EN118" i="2"/>
  <c r="EB118" i="2"/>
  <c r="DX118" i="2"/>
  <c r="ER117" i="2"/>
  <c r="EN117" i="2"/>
  <c r="EB117" i="2"/>
  <c r="DX117" i="2"/>
  <c r="ER116" i="2"/>
  <c r="EN116" i="2"/>
  <c r="EB116" i="2"/>
  <c r="DX116" i="2"/>
  <c r="ER115" i="2"/>
  <c r="EN115" i="2"/>
  <c r="EB115" i="2"/>
  <c r="DX115" i="2"/>
  <c r="ER114" i="2"/>
  <c r="EN114" i="2"/>
  <c r="EB114" i="2"/>
  <c r="DX114" i="2"/>
  <c r="ER113" i="2"/>
  <c r="EN113" i="2"/>
  <c r="EB113" i="2"/>
  <c r="DX113" i="2"/>
  <c r="ER112" i="2"/>
  <c r="EN112" i="2"/>
  <c r="EB112" i="2"/>
  <c r="DX112" i="2"/>
  <c r="ER111" i="2"/>
  <c r="EN111" i="2"/>
  <c r="EB111" i="2"/>
  <c r="DX111" i="2"/>
  <c r="ER110" i="2"/>
  <c r="EN110" i="2"/>
  <c r="EB110" i="2"/>
  <c r="DX110" i="2"/>
  <c r="ER109" i="2"/>
  <c r="EN109" i="2"/>
  <c r="EB109" i="2"/>
  <c r="DX109" i="2"/>
  <c r="ER108" i="2"/>
  <c r="EN108" i="2"/>
  <c r="EB108" i="2"/>
  <c r="DX108" i="2"/>
  <c r="ER107" i="2"/>
  <c r="EN107" i="2"/>
  <c r="EB107" i="2"/>
  <c r="DX107" i="2"/>
  <c r="ER106" i="2"/>
  <c r="EN106" i="2"/>
  <c r="EB106" i="2"/>
  <c r="DX106" i="2"/>
  <c r="ER105" i="2"/>
  <c r="EN105" i="2"/>
  <c r="EB105" i="2"/>
  <c r="DX105" i="2"/>
  <c r="ER104" i="2"/>
  <c r="EN104" i="2"/>
  <c r="EB104" i="2"/>
  <c r="DX104" i="2"/>
  <c r="ER103" i="2"/>
  <c r="EN103" i="2"/>
  <c r="EB103" i="2"/>
  <c r="DX103" i="2"/>
  <c r="ER102" i="2"/>
  <c r="EN102" i="2"/>
  <c r="EB102" i="2"/>
  <c r="DX102" i="2"/>
  <c r="ER101" i="2"/>
  <c r="EN101" i="2"/>
  <c r="EB101" i="2"/>
  <c r="DX101" i="2"/>
  <c r="ER100" i="2"/>
  <c r="EN100" i="2"/>
  <c r="EB100" i="2"/>
  <c r="DX100" i="2"/>
  <c r="ER99" i="2"/>
  <c r="EN99" i="2"/>
  <c r="EB99" i="2"/>
  <c r="DX99" i="2"/>
  <c r="ER98" i="2"/>
  <c r="EN98" i="2"/>
  <c r="EB98" i="2"/>
  <c r="DX98" i="2"/>
  <c r="ER97" i="2"/>
  <c r="EN97" i="2"/>
  <c r="EB97" i="2"/>
  <c r="DX97" i="2"/>
  <c r="ER96" i="2"/>
  <c r="EN96" i="2"/>
  <c r="EB96" i="2"/>
  <c r="DX96" i="2"/>
  <c r="ER95" i="2"/>
  <c r="EN95" i="2"/>
  <c r="EB95" i="2"/>
  <c r="DX95" i="2"/>
  <c r="ER94" i="2"/>
  <c r="EN94" i="2"/>
  <c r="EB94" i="2"/>
  <c r="DX94" i="2"/>
  <c r="ER93" i="2"/>
  <c r="EN93" i="2"/>
  <c r="EB93" i="2"/>
  <c r="DX93" i="2"/>
  <c r="ER92" i="2"/>
  <c r="EN92" i="2"/>
  <c r="EB92" i="2"/>
  <c r="DX92" i="2"/>
  <c r="ER91" i="2"/>
  <c r="EN91" i="2"/>
  <c r="EB91" i="2"/>
  <c r="DX91" i="2"/>
  <c r="ER90" i="2"/>
  <c r="EN90" i="2"/>
  <c r="EB90" i="2"/>
  <c r="DX90" i="2"/>
  <c r="EN89" i="2"/>
  <c r="EB89" i="2"/>
  <c r="EF89" i="2" s="1"/>
  <c r="DX89" i="2"/>
  <c r="EN88" i="2"/>
  <c r="EB88" i="2"/>
  <c r="EF88" i="2" s="1"/>
  <c r="DX88" i="2"/>
  <c r="EN87" i="2"/>
  <c r="EB87" i="2"/>
  <c r="EF87" i="2" s="1"/>
  <c r="DX87" i="2"/>
  <c r="EN86" i="2"/>
  <c r="EB86" i="2"/>
  <c r="EF86" i="2" s="1"/>
  <c r="DX86" i="2"/>
  <c r="EN85" i="2"/>
  <c r="EB85" i="2"/>
  <c r="EF85" i="2" s="1"/>
  <c r="DX85" i="2"/>
  <c r="EN84" i="2"/>
  <c r="EB84" i="2"/>
  <c r="EF84" i="2" s="1"/>
  <c r="DX84" i="2"/>
  <c r="EN83" i="2"/>
  <c r="EB83" i="2"/>
  <c r="EF83" i="2" s="1"/>
  <c r="DX83" i="2"/>
  <c r="EN82" i="2"/>
  <c r="EB82" i="2"/>
  <c r="EF82" i="2" s="1"/>
  <c r="DX82" i="2"/>
  <c r="EN81" i="2"/>
  <c r="EB81" i="2"/>
  <c r="EF81" i="2" s="1"/>
  <c r="DX81" i="2"/>
  <c r="EN80" i="2"/>
  <c r="EB80" i="2"/>
  <c r="EF80" i="2" s="1"/>
  <c r="DX80" i="2"/>
  <c r="EN79" i="2"/>
  <c r="EB79" i="2"/>
  <c r="EF79" i="2" s="1"/>
  <c r="DX79" i="2"/>
  <c r="EN78" i="2"/>
  <c r="EB78" i="2"/>
  <c r="EF78" i="2" s="1"/>
  <c r="DX78" i="2"/>
  <c r="EN77" i="2"/>
  <c r="EB77" i="2"/>
  <c r="EF77" i="2" s="1"/>
  <c r="DX77" i="2"/>
  <c r="EN76" i="2"/>
  <c r="EB76" i="2"/>
  <c r="EF76" i="2" s="1"/>
  <c r="DX76" i="2"/>
  <c r="EN75" i="2"/>
  <c r="EB75" i="2"/>
  <c r="EF75" i="2" s="1"/>
  <c r="DX75" i="2"/>
  <c r="EN74" i="2"/>
  <c r="EB74" i="2"/>
  <c r="EF74" i="2" s="1"/>
  <c r="DX74" i="2"/>
  <c r="EN73" i="2"/>
  <c r="EB73" i="2"/>
  <c r="EF73" i="2" s="1"/>
  <c r="DX73" i="2"/>
  <c r="EN72" i="2"/>
  <c r="EB72" i="2"/>
  <c r="EF72" i="2" s="1"/>
  <c r="DX72" i="2"/>
  <c r="EN71" i="2"/>
  <c r="EB71" i="2"/>
  <c r="EF71" i="2" s="1"/>
  <c r="DX71" i="2"/>
  <c r="EN70" i="2"/>
  <c r="EB70" i="2"/>
  <c r="EF70" i="2" s="1"/>
  <c r="DX70" i="2"/>
  <c r="EN69" i="2"/>
  <c r="EB69" i="2"/>
  <c r="EF69" i="2" s="1"/>
  <c r="DX69" i="2"/>
  <c r="EN68" i="2"/>
  <c r="EB68" i="2"/>
  <c r="EF68" i="2" s="1"/>
  <c r="DX68" i="2"/>
  <c r="EN67" i="2"/>
  <c r="EB67" i="2"/>
  <c r="EF67" i="2" s="1"/>
  <c r="DX67" i="2"/>
  <c r="EN66" i="2"/>
  <c r="EB66" i="2"/>
  <c r="EF66" i="2" s="1"/>
  <c r="DX66" i="2"/>
  <c r="EN65" i="2"/>
  <c r="EB65" i="2"/>
  <c r="EF65" i="2" s="1"/>
  <c r="DX65" i="2"/>
  <c r="EN64" i="2"/>
  <c r="EB64" i="2"/>
  <c r="EF64" i="2" s="1"/>
  <c r="DX64" i="2"/>
  <c r="EN63" i="2"/>
  <c r="EB63" i="2"/>
  <c r="EF63" i="2" s="1"/>
  <c r="DX63" i="2"/>
  <c r="EN62" i="2"/>
  <c r="EB62" i="2"/>
  <c r="EF62" i="2" s="1"/>
  <c r="DX62" i="2"/>
  <c r="EN61" i="2"/>
  <c r="EB61" i="2"/>
  <c r="EF61" i="2" s="1"/>
  <c r="DX61" i="2"/>
  <c r="EN60" i="2"/>
  <c r="EB60" i="2"/>
  <c r="EF60" i="2" s="1"/>
  <c r="DX60" i="2"/>
  <c r="EN59" i="2"/>
  <c r="EB59" i="2"/>
  <c r="EF59" i="2" s="1"/>
  <c r="DX59" i="2"/>
  <c r="EN58" i="2"/>
  <c r="EB58" i="2"/>
  <c r="EF58" i="2" s="1"/>
  <c r="DX58" i="2"/>
  <c r="EN57" i="2"/>
  <c r="EB57" i="2"/>
  <c r="EF57" i="2" s="1"/>
  <c r="DX57" i="2"/>
  <c r="EN56" i="2"/>
  <c r="EB56" i="2"/>
  <c r="EF56" i="2" s="1"/>
  <c r="DX56" i="2"/>
  <c r="EN55" i="2"/>
  <c r="EB55" i="2"/>
  <c r="EF55" i="2" s="1"/>
  <c r="DX55" i="2"/>
  <c r="EN54" i="2"/>
  <c r="EB54" i="2"/>
  <c r="EF54" i="2" s="1"/>
  <c r="DX54" i="2"/>
  <c r="EN53" i="2"/>
  <c r="EB53" i="2"/>
  <c r="EF53" i="2" s="1"/>
  <c r="DX53" i="2"/>
  <c r="EN52" i="2"/>
  <c r="EB52" i="2"/>
  <c r="EF52" i="2" s="1"/>
  <c r="DX52" i="2"/>
  <c r="EN51" i="2"/>
  <c r="EB51" i="2"/>
  <c r="EF51" i="2" s="1"/>
  <c r="DX51" i="2"/>
  <c r="EN50" i="2"/>
  <c r="EB50" i="2"/>
  <c r="EF50" i="2" s="1"/>
  <c r="DX50" i="2"/>
  <c r="EN49" i="2"/>
  <c r="EB49" i="2"/>
  <c r="EF49" i="2" s="1"/>
  <c r="DX49" i="2"/>
  <c r="EN48" i="2"/>
  <c r="EB48" i="2"/>
  <c r="EF48" i="2" s="1"/>
  <c r="DX48" i="2"/>
  <c r="EN47" i="2"/>
  <c r="EB47" i="2"/>
  <c r="EF47" i="2" s="1"/>
  <c r="DX47" i="2"/>
  <c r="EN46" i="2"/>
  <c r="EB46" i="2"/>
  <c r="EF46" i="2" s="1"/>
  <c r="DX46" i="2"/>
  <c r="EN45" i="2"/>
  <c r="EB45" i="2"/>
  <c r="EF45" i="2" s="1"/>
  <c r="DX45" i="2"/>
  <c r="EN44" i="2"/>
  <c r="EB44" i="2"/>
  <c r="EF44" i="2" s="1"/>
  <c r="DX44" i="2"/>
  <c r="EN43" i="2"/>
  <c r="EB43" i="2"/>
  <c r="EF43" i="2" s="1"/>
  <c r="DX43" i="2"/>
  <c r="EN42" i="2"/>
  <c r="EB42" i="2"/>
  <c r="EF42" i="2" s="1"/>
  <c r="DX42" i="2"/>
  <c r="EN41" i="2"/>
  <c r="EB41" i="2"/>
  <c r="EF41" i="2" s="1"/>
  <c r="DX41" i="2"/>
  <c r="EN40" i="2"/>
  <c r="EB40" i="2"/>
  <c r="EF40" i="2" s="1"/>
  <c r="DX40" i="2"/>
  <c r="EN39" i="2"/>
  <c r="DX39" i="2"/>
  <c r="EN38" i="2"/>
  <c r="DX38" i="2"/>
  <c r="EN37" i="2"/>
  <c r="DX37" i="2"/>
  <c r="EN36" i="2"/>
  <c r="DX36" i="2"/>
  <c r="EN35" i="2"/>
  <c r="DX35" i="2"/>
  <c r="EN34" i="2"/>
  <c r="DX34" i="2"/>
  <c r="EN33" i="2"/>
  <c r="DX33" i="2"/>
  <c r="EN32" i="2"/>
  <c r="DX32" i="2"/>
  <c r="EN31" i="2"/>
  <c r="DX31" i="2"/>
  <c r="EN30" i="2"/>
  <c r="DX30" i="2"/>
  <c r="EN29" i="2"/>
  <c r="DX29" i="2"/>
  <c r="EN28" i="2"/>
  <c r="DX28" i="2"/>
  <c r="EN27" i="2"/>
  <c r="DX27" i="2"/>
  <c r="EN26" i="2"/>
  <c r="DX26" i="2"/>
  <c r="EN25" i="2"/>
  <c r="DX25" i="2"/>
  <c r="EN24" i="2"/>
  <c r="DX24" i="2"/>
  <c r="EN23" i="2"/>
  <c r="DX23" i="2"/>
  <c r="EN22" i="2"/>
  <c r="DX22" i="2"/>
  <c r="EN21" i="2"/>
  <c r="DX21" i="2"/>
  <c r="EN20" i="2"/>
  <c r="DX20" i="2"/>
  <c r="EN19" i="2"/>
  <c r="DX19" i="2"/>
  <c r="EN18" i="2"/>
  <c r="DX18" i="2"/>
  <c r="EN17" i="2"/>
  <c r="DX17" i="2"/>
  <c r="EN16" i="2"/>
  <c r="DX16" i="2"/>
  <c r="EN15" i="2"/>
  <c r="DX15" i="2"/>
  <c r="EN14" i="2"/>
  <c r="DX14" i="2"/>
  <c r="EN13" i="2"/>
  <c r="DX13" i="2"/>
  <c r="EN12" i="2"/>
  <c r="DX12" i="2"/>
  <c r="EN11" i="2"/>
  <c r="DX11" i="2"/>
  <c r="EN10" i="2"/>
  <c r="DX10" i="2"/>
  <c r="EN9" i="2"/>
  <c r="DX9" i="2"/>
  <c r="EN8" i="2"/>
  <c r="DX8" i="2"/>
  <c r="EN7" i="2"/>
  <c r="DX7" i="2"/>
  <c r="EN6" i="2"/>
  <c r="DX6" i="2"/>
  <c r="EN5" i="2"/>
  <c r="EJ258" i="2"/>
  <c r="DX5" i="2"/>
  <c r="DQ257" i="2"/>
  <c r="DM257" i="2"/>
  <c r="DA257" i="2"/>
  <c r="CW257" i="2"/>
  <c r="DQ256" i="2"/>
  <c r="DM256" i="2"/>
  <c r="DA256" i="2"/>
  <c r="CW256" i="2"/>
  <c r="DQ255" i="2"/>
  <c r="DM255" i="2"/>
  <c r="DA255" i="2"/>
  <c r="CW255" i="2"/>
  <c r="DQ254" i="2"/>
  <c r="DM254" i="2"/>
  <c r="DA254" i="2"/>
  <c r="CW254" i="2"/>
  <c r="DQ253" i="2"/>
  <c r="DM253" i="2"/>
  <c r="DA253" i="2"/>
  <c r="CW253" i="2"/>
  <c r="DQ252" i="2"/>
  <c r="DM252" i="2"/>
  <c r="DA252" i="2"/>
  <c r="CW252" i="2"/>
  <c r="DQ251" i="2"/>
  <c r="DM251" i="2"/>
  <c r="DA251" i="2"/>
  <c r="CW251" i="2"/>
  <c r="DQ250" i="2"/>
  <c r="DM250" i="2"/>
  <c r="DA250" i="2"/>
  <c r="CW250" i="2"/>
  <c r="DQ249" i="2"/>
  <c r="DM249" i="2"/>
  <c r="DA249" i="2"/>
  <c r="CW249" i="2"/>
  <c r="DQ248" i="2"/>
  <c r="DM248" i="2"/>
  <c r="DA248" i="2"/>
  <c r="CW248" i="2"/>
  <c r="DQ247" i="2"/>
  <c r="DM247" i="2"/>
  <c r="DA247" i="2"/>
  <c r="CW247" i="2"/>
  <c r="DQ246" i="2"/>
  <c r="DM246" i="2"/>
  <c r="DA246" i="2"/>
  <c r="CW246" i="2"/>
  <c r="DQ245" i="2"/>
  <c r="DM245" i="2"/>
  <c r="DA245" i="2"/>
  <c r="CW245" i="2"/>
  <c r="DQ244" i="2"/>
  <c r="DM244" i="2"/>
  <c r="DA244" i="2"/>
  <c r="CW244" i="2"/>
  <c r="DQ243" i="2"/>
  <c r="DM243" i="2"/>
  <c r="DA243" i="2"/>
  <c r="CW243" i="2"/>
  <c r="DQ242" i="2"/>
  <c r="DM242" i="2"/>
  <c r="DA242" i="2"/>
  <c r="CW242" i="2"/>
  <c r="DQ241" i="2"/>
  <c r="DM241" i="2"/>
  <c r="DA241" i="2"/>
  <c r="CW241" i="2"/>
  <c r="DQ240" i="2"/>
  <c r="DM240" i="2"/>
  <c r="DA240" i="2"/>
  <c r="CW240" i="2"/>
  <c r="DQ239" i="2"/>
  <c r="DM239" i="2"/>
  <c r="DA239" i="2"/>
  <c r="CW239" i="2"/>
  <c r="DQ238" i="2"/>
  <c r="DM238" i="2"/>
  <c r="DA238" i="2"/>
  <c r="CW238" i="2"/>
  <c r="DQ237" i="2"/>
  <c r="DM237" i="2"/>
  <c r="DA237" i="2"/>
  <c r="CW237" i="2"/>
  <c r="DQ236" i="2"/>
  <c r="DM236" i="2"/>
  <c r="DA236" i="2"/>
  <c r="CW236" i="2"/>
  <c r="DQ235" i="2"/>
  <c r="DM235" i="2"/>
  <c r="DA235" i="2"/>
  <c r="CW235" i="2"/>
  <c r="DQ234" i="2"/>
  <c r="DM234" i="2"/>
  <c r="DA234" i="2"/>
  <c r="CW234" i="2"/>
  <c r="DQ233" i="2"/>
  <c r="DM233" i="2"/>
  <c r="DA233" i="2"/>
  <c r="CW233" i="2"/>
  <c r="DQ232" i="2"/>
  <c r="DM232" i="2"/>
  <c r="DA232" i="2"/>
  <c r="CW232" i="2"/>
  <c r="DQ231" i="2"/>
  <c r="DM231" i="2"/>
  <c r="DA231" i="2"/>
  <c r="CW231" i="2"/>
  <c r="DQ230" i="2"/>
  <c r="DM230" i="2"/>
  <c r="DA230" i="2"/>
  <c r="CW230" i="2"/>
  <c r="DQ229" i="2"/>
  <c r="DM229" i="2"/>
  <c r="DA229" i="2"/>
  <c r="CW229" i="2"/>
  <c r="DQ228" i="2"/>
  <c r="DM228" i="2"/>
  <c r="DA228" i="2"/>
  <c r="CW228" i="2"/>
  <c r="DQ227" i="2"/>
  <c r="DM227" i="2"/>
  <c r="DA227" i="2"/>
  <c r="CW227" i="2"/>
  <c r="DQ226" i="2"/>
  <c r="DM226" i="2"/>
  <c r="DA226" i="2"/>
  <c r="CW226" i="2"/>
  <c r="DQ225" i="2"/>
  <c r="DM225" i="2"/>
  <c r="DA225" i="2"/>
  <c r="CW225" i="2"/>
  <c r="DQ224" i="2"/>
  <c r="DM224" i="2"/>
  <c r="DA224" i="2"/>
  <c r="CW224" i="2"/>
  <c r="DQ223" i="2"/>
  <c r="DM223" i="2"/>
  <c r="DA223" i="2"/>
  <c r="CW223" i="2"/>
  <c r="DQ222" i="2"/>
  <c r="DM222" i="2"/>
  <c r="DA222" i="2"/>
  <c r="CW222" i="2"/>
  <c r="DQ221" i="2"/>
  <c r="DM221" i="2"/>
  <c r="DA221" i="2"/>
  <c r="CW221" i="2"/>
  <c r="DQ220" i="2"/>
  <c r="DM220" i="2"/>
  <c r="DA220" i="2"/>
  <c r="CW220" i="2"/>
  <c r="DQ219" i="2"/>
  <c r="DM219" i="2"/>
  <c r="DA219" i="2"/>
  <c r="CW219" i="2"/>
  <c r="DQ218" i="2"/>
  <c r="DM218" i="2"/>
  <c r="DA218" i="2"/>
  <c r="CW218" i="2"/>
  <c r="DQ217" i="2"/>
  <c r="DM217" i="2"/>
  <c r="DA217" i="2"/>
  <c r="CW217" i="2"/>
  <c r="DQ216" i="2"/>
  <c r="DM216" i="2"/>
  <c r="DA216" i="2"/>
  <c r="CW216" i="2"/>
  <c r="DQ215" i="2"/>
  <c r="DM215" i="2"/>
  <c r="DA215" i="2"/>
  <c r="CW215" i="2"/>
  <c r="DQ214" i="2"/>
  <c r="DM214" i="2"/>
  <c r="DA214" i="2"/>
  <c r="CW214" i="2"/>
  <c r="DQ213" i="2"/>
  <c r="DM213" i="2"/>
  <c r="DA213" i="2"/>
  <c r="CW213" i="2"/>
  <c r="DQ212" i="2"/>
  <c r="DM212" i="2"/>
  <c r="DA212" i="2"/>
  <c r="CW212" i="2"/>
  <c r="DQ211" i="2"/>
  <c r="DM211" i="2"/>
  <c r="DA211" i="2"/>
  <c r="CW211" i="2"/>
  <c r="DQ210" i="2"/>
  <c r="DM210" i="2"/>
  <c r="DA210" i="2"/>
  <c r="CW210" i="2"/>
  <c r="DQ209" i="2"/>
  <c r="DM209" i="2"/>
  <c r="DA209" i="2"/>
  <c r="CW209" i="2"/>
  <c r="DQ208" i="2"/>
  <c r="DM208" i="2"/>
  <c r="DA208" i="2"/>
  <c r="CW208" i="2"/>
  <c r="DQ207" i="2"/>
  <c r="DM207" i="2"/>
  <c r="DA207" i="2"/>
  <c r="CW207" i="2"/>
  <c r="DQ206" i="2"/>
  <c r="DM206" i="2"/>
  <c r="DA206" i="2"/>
  <c r="CW206" i="2"/>
  <c r="DQ205" i="2"/>
  <c r="DM205" i="2"/>
  <c r="DA205" i="2"/>
  <c r="CW205" i="2"/>
  <c r="DQ204" i="2"/>
  <c r="DM204" i="2"/>
  <c r="DA204" i="2"/>
  <c r="CW204" i="2"/>
  <c r="DQ203" i="2"/>
  <c r="DM203" i="2"/>
  <c r="DA203" i="2"/>
  <c r="CW203" i="2"/>
  <c r="DQ202" i="2"/>
  <c r="DM202" i="2"/>
  <c r="DA202" i="2"/>
  <c r="CW202" i="2"/>
  <c r="DQ201" i="2"/>
  <c r="DM201" i="2"/>
  <c r="DA201" i="2"/>
  <c r="CW201" i="2"/>
  <c r="DQ200" i="2"/>
  <c r="DM200" i="2"/>
  <c r="DA200" i="2"/>
  <c r="CW200" i="2"/>
  <c r="DQ199" i="2"/>
  <c r="DM199" i="2"/>
  <c r="DA199" i="2"/>
  <c r="CW199" i="2"/>
  <c r="DQ198" i="2"/>
  <c r="DM198" i="2"/>
  <c r="DA198" i="2"/>
  <c r="CW198" i="2"/>
  <c r="DQ197" i="2"/>
  <c r="DM197" i="2"/>
  <c r="DA197" i="2"/>
  <c r="CW197" i="2"/>
  <c r="DQ196" i="2"/>
  <c r="DM196" i="2"/>
  <c r="DA196" i="2"/>
  <c r="CW196" i="2"/>
  <c r="DQ195" i="2"/>
  <c r="DM195" i="2"/>
  <c r="DA195" i="2"/>
  <c r="CW195" i="2"/>
  <c r="DQ194" i="2"/>
  <c r="DM194" i="2"/>
  <c r="DA194" i="2"/>
  <c r="CW194" i="2"/>
  <c r="DQ193" i="2"/>
  <c r="DM193" i="2"/>
  <c r="DA193" i="2"/>
  <c r="CW193" i="2"/>
  <c r="DQ192" i="2"/>
  <c r="DM192" i="2"/>
  <c r="DA192" i="2"/>
  <c r="CW192" i="2"/>
  <c r="DQ191" i="2"/>
  <c r="DM191" i="2"/>
  <c r="DA191" i="2"/>
  <c r="CW191" i="2"/>
  <c r="DQ190" i="2"/>
  <c r="DM190" i="2"/>
  <c r="DA190" i="2"/>
  <c r="CW190" i="2"/>
  <c r="DQ189" i="2"/>
  <c r="DM189" i="2"/>
  <c r="DA189" i="2"/>
  <c r="CW189" i="2"/>
  <c r="DQ188" i="2"/>
  <c r="DM188" i="2"/>
  <c r="DA188" i="2"/>
  <c r="CW188" i="2"/>
  <c r="DQ187" i="2"/>
  <c r="DM187" i="2"/>
  <c r="DA187" i="2"/>
  <c r="CW187" i="2"/>
  <c r="DQ186" i="2"/>
  <c r="DM186" i="2"/>
  <c r="DA186" i="2"/>
  <c r="CW186" i="2"/>
  <c r="DQ185" i="2"/>
  <c r="DM185" i="2"/>
  <c r="DA185" i="2"/>
  <c r="CW185" i="2"/>
  <c r="DQ184" i="2"/>
  <c r="DM184" i="2"/>
  <c r="DA184" i="2"/>
  <c r="CW184" i="2"/>
  <c r="DQ183" i="2"/>
  <c r="DM183" i="2"/>
  <c r="DA183" i="2"/>
  <c r="CW183" i="2"/>
  <c r="DQ182" i="2"/>
  <c r="DM182" i="2"/>
  <c r="DA182" i="2"/>
  <c r="CW182" i="2"/>
  <c r="DQ181" i="2"/>
  <c r="DM181" i="2"/>
  <c r="DA181" i="2"/>
  <c r="CW181" i="2"/>
  <c r="DQ180" i="2"/>
  <c r="DM180" i="2"/>
  <c r="DA180" i="2"/>
  <c r="CW180" i="2"/>
  <c r="DQ179" i="2"/>
  <c r="DM179" i="2"/>
  <c r="DA179" i="2"/>
  <c r="CW179" i="2"/>
  <c r="DQ178" i="2"/>
  <c r="DM178" i="2"/>
  <c r="DA178" i="2"/>
  <c r="CW178" i="2"/>
  <c r="DQ177" i="2"/>
  <c r="DM177" i="2"/>
  <c r="DA177" i="2"/>
  <c r="CW177" i="2"/>
  <c r="DQ176" i="2"/>
  <c r="DM176" i="2"/>
  <c r="DA176" i="2"/>
  <c r="CW176" i="2"/>
  <c r="DQ175" i="2"/>
  <c r="DM175" i="2"/>
  <c r="DA175" i="2"/>
  <c r="CW175" i="2"/>
  <c r="DQ174" i="2"/>
  <c r="DM174" i="2"/>
  <c r="DA174" i="2"/>
  <c r="CW174" i="2"/>
  <c r="DQ173" i="2"/>
  <c r="DM173" i="2"/>
  <c r="DA173" i="2"/>
  <c r="CW173" i="2"/>
  <c r="DQ172" i="2"/>
  <c r="DM172" i="2"/>
  <c r="DA172" i="2"/>
  <c r="CW172" i="2"/>
  <c r="DQ171" i="2"/>
  <c r="DM171" i="2"/>
  <c r="DA171" i="2"/>
  <c r="CW171" i="2"/>
  <c r="DQ170" i="2"/>
  <c r="DM170" i="2"/>
  <c r="DA170" i="2"/>
  <c r="CW170" i="2"/>
  <c r="DQ169" i="2"/>
  <c r="DM169" i="2"/>
  <c r="DA169" i="2"/>
  <c r="CW169" i="2"/>
  <c r="DQ168" i="2"/>
  <c r="DM168" i="2"/>
  <c r="DA168" i="2"/>
  <c r="CW168" i="2"/>
  <c r="DQ167" i="2"/>
  <c r="DM167" i="2"/>
  <c r="DA167" i="2"/>
  <c r="CW167" i="2"/>
  <c r="DQ166" i="2"/>
  <c r="DM166" i="2"/>
  <c r="DA166" i="2"/>
  <c r="CW166" i="2"/>
  <c r="DQ165" i="2"/>
  <c r="DM165" i="2"/>
  <c r="DA165" i="2"/>
  <c r="CW165" i="2"/>
  <c r="DQ164" i="2"/>
  <c r="DM164" i="2"/>
  <c r="DA164" i="2"/>
  <c r="CW164" i="2"/>
  <c r="DQ163" i="2"/>
  <c r="DM163" i="2"/>
  <c r="DA163" i="2"/>
  <c r="CW163" i="2"/>
  <c r="DQ162" i="2"/>
  <c r="DM162" i="2"/>
  <c r="DA162" i="2"/>
  <c r="CW162" i="2"/>
  <c r="DQ161" i="2"/>
  <c r="DM161" i="2"/>
  <c r="DA161" i="2"/>
  <c r="CW161" i="2"/>
  <c r="DQ160" i="2"/>
  <c r="DM160" i="2"/>
  <c r="DA160" i="2"/>
  <c r="CW160" i="2"/>
  <c r="DQ159" i="2"/>
  <c r="DM159" i="2"/>
  <c r="DA159" i="2"/>
  <c r="CW159" i="2"/>
  <c r="DQ158" i="2"/>
  <c r="DM158" i="2"/>
  <c r="DA158" i="2"/>
  <c r="CW158" i="2"/>
  <c r="DQ157" i="2"/>
  <c r="DM157" i="2"/>
  <c r="DA157" i="2"/>
  <c r="CW157" i="2"/>
  <c r="DQ156" i="2"/>
  <c r="DM156" i="2"/>
  <c r="DA156" i="2"/>
  <c r="CW156" i="2"/>
  <c r="DQ155" i="2"/>
  <c r="DM155" i="2"/>
  <c r="DA155" i="2"/>
  <c r="CW155" i="2"/>
  <c r="DQ154" i="2"/>
  <c r="DM154" i="2"/>
  <c r="DA154" i="2"/>
  <c r="CW154" i="2"/>
  <c r="DQ153" i="2"/>
  <c r="DM153" i="2"/>
  <c r="DA153" i="2"/>
  <c r="CW153" i="2"/>
  <c r="DQ152" i="2"/>
  <c r="DM152" i="2"/>
  <c r="DA152" i="2"/>
  <c r="CW152" i="2"/>
  <c r="DQ151" i="2"/>
  <c r="DM151" i="2"/>
  <c r="DA151" i="2"/>
  <c r="CW151" i="2"/>
  <c r="DQ150" i="2"/>
  <c r="DM150" i="2"/>
  <c r="DA150" i="2"/>
  <c r="CW150" i="2"/>
  <c r="DQ149" i="2"/>
  <c r="DM149" i="2"/>
  <c r="DA149" i="2"/>
  <c r="CW149" i="2"/>
  <c r="DQ148" i="2"/>
  <c r="DM148" i="2"/>
  <c r="DA148" i="2"/>
  <c r="CW148" i="2"/>
  <c r="DQ147" i="2"/>
  <c r="DM147" i="2"/>
  <c r="DA147" i="2"/>
  <c r="CW147" i="2"/>
  <c r="DQ146" i="2"/>
  <c r="DM146" i="2"/>
  <c r="DA146" i="2"/>
  <c r="CW146" i="2"/>
  <c r="DQ145" i="2"/>
  <c r="DM145" i="2"/>
  <c r="DA145" i="2"/>
  <c r="CW145" i="2"/>
  <c r="DQ144" i="2"/>
  <c r="DM144" i="2"/>
  <c r="DA144" i="2"/>
  <c r="CW144" i="2"/>
  <c r="DQ143" i="2"/>
  <c r="DM143" i="2"/>
  <c r="DA143" i="2"/>
  <c r="CW143" i="2"/>
  <c r="DQ142" i="2"/>
  <c r="DM142" i="2"/>
  <c r="DA142" i="2"/>
  <c r="CW142" i="2"/>
  <c r="DQ141" i="2"/>
  <c r="DM141" i="2"/>
  <c r="DA141" i="2"/>
  <c r="CW141" i="2"/>
  <c r="DQ140" i="2"/>
  <c r="DM140" i="2"/>
  <c r="DA140" i="2"/>
  <c r="CW140" i="2"/>
  <c r="DQ139" i="2"/>
  <c r="DM139" i="2"/>
  <c r="DA139" i="2"/>
  <c r="CW139" i="2"/>
  <c r="DQ138" i="2"/>
  <c r="DM138" i="2"/>
  <c r="DA138" i="2"/>
  <c r="CW138" i="2"/>
  <c r="DQ137" i="2"/>
  <c r="DM137" i="2"/>
  <c r="DA137" i="2"/>
  <c r="CW137" i="2"/>
  <c r="DQ136" i="2"/>
  <c r="DM136" i="2"/>
  <c r="DA136" i="2"/>
  <c r="CW136" i="2"/>
  <c r="DQ135" i="2"/>
  <c r="DM135" i="2"/>
  <c r="DA135" i="2"/>
  <c r="CW135" i="2"/>
  <c r="DQ134" i="2"/>
  <c r="DM134" i="2"/>
  <c r="DA134" i="2"/>
  <c r="CW134" i="2"/>
  <c r="DQ133" i="2"/>
  <c r="DM133" i="2"/>
  <c r="DA133" i="2"/>
  <c r="CW133" i="2"/>
  <c r="DQ132" i="2"/>
  <c r="DM132" i="2"/>
  <c r="DA132" i="2"/>
  <c r="CW132" i="2"/>
  <c r="DQ131" i="2"/>
  <c r="DM131" i="2"/>
  <c r="DA131" i="2"/>
  <c r="CW131" i="2"/>
  <c r="DQ130" i="2"/>
  <c r="DM130" i="2"/>
  <c r="DA130" i="2"/>
  <c r="CW130" i="2"/>
  <c r="DQ129" i="2"/>
  <c r="DM129" i="2"/>
  <c r="DA129" i="2"/>
  <c r="CW129" i="2"/>
  <c r="DQ128" i="2"/>
  <c r="DM128" i="2"/>
  <c r="DA128" i="2"/>
  <c r="CW128" i="2"/>
  <c r="DQ127" i="2"/>
  <c r="DM127" i="2"/>
  <c r="DA127" i="2"/>
  <c r="CW127" i="2"/>
  <c r="DQ126" i="2"/>
  <c r="DM126" i="2"/>
  <c r="DA126" i="2"/>
  <c r="CW126" i="2"/>
  <c r="DQ125" i="2"/>
  <c r="DM125" i="2"/>
  <c r="DA125" i="2"/>
  <c r="CW125" i="2"/>
  <c r="DQ124" i="2"/>
  <c r="DM124" i="2"/>
  <c r="DA124" i="2"/>
  <c r="CW124" i="2"/>
  <c r="DQ123" i="2"/>
  <c r="DM123" i="2"/>
  <c r="DA123" i="2"/>
  <c r="CW123" i="2"/>
  <c r="DQ122" i="2"/>
  <c r="DM122" i="2"/>
  <c r="DA122" i="2"/>
  <c r="CW122" i="2"/>
  <c r="DQ121" i="2"/>
  <c r="DM121" i="2"/>
  <c r="DA121" i="2"/>
  <c r="CW121" i="2"/>
  <c r="DQ120" i="2"/>
  <c r="DM120" i="2"/>
  <c r="DA120" i="2"/>
  <c r="CW120" i="2"/>
  <c r="DQ119" i="2"/>
  <c r="DM119" i="2"/>
  <c r="DA119" i="2"/>
  <c r="CW119" i="2"/>
  <c r="DQ118" i="2"/>
  <c r="DM118" i="2"/>
  <c r="DA118" i="2"/>
  <c r="CW118" i="2"/>
  <c r="DQ117" i="2"/>
  <c r="DM117" i="2"/>
  <c r="DA117" i="2"/>
  <c r="CW117" i="2"/>
  <c r="DQ116" i="2"/>
  <c r="DM116" i="2"/>
  <c r="DA116" i="2"/>
  <c r="CW116" i="2"/>
  <c r="DQ115" i="2"/>
  <c r="DM115" i="2"/>
  <c r="DA115" i="2"/>
  <c r="CW115" i="2"/>
  <c r="DQ114" i="2"/>
  <c r="DM114" i="2"/>
  <c r="DA114" i="2"/>
  <c r="CW114" i="2"/>
  <c r="DQ113" i="2"/>
  <c r="DM113" i="2"/>
  <c r="DA113" i="2"/>
  <c r="CW113" i="2"/>
  <c r="DQ112" i="2"/>
  <c r="DM112" i="2"/>
  <c r="DA112" i="2"/>
  <c r="CW112" i="2"/>
  <c r="DQ111" i="2"/>
  <c r="DM111" i="2"/>
  <c r="DA111" i="2"/>
  <c r="CW111" i="2"/>
  <c r="DQ110" i="2"/>
  <c r="DM110" i="2"/>
  <c r="DA110" i="2"/>
  <c r="CW110" i="2"/>
  <c r="DQ109" i="2"/>
  <c r="DM109" i="2"/>
  <c r="DA109" i="2"/>
  <c r="CW109" i="2"/>
  <c r="DQ108" i="2"/>
  <c r="DM108" i="2"/>
  <c r="DA108" i="2"/>
  <c r="CW108" i="2"/>
  <c r="DQ107" i="2"/>
  <c r="DM107" i="2"/>
  <c r="DA107" i="2"/>
  <c r="CW107" i="2"/>
  <c r="DQ106" i="2"/>
  <c r="DM106" i="2"/>
  <c r="DA106" i="2"/>
  <c r="CW106" i="2"/>
  <c r="DQ105" i="2"/>
  <c r="DM105" i="2"/>
  <c r="DA105" i="2"/>
  <c r="CW105" i="2"/>
  <c r="DQ104" i="2"/>
  <c r="DM104" i="2"/>
  <c r="DA104" i="2"/>
  <c r="CW104" i="2"/>
  <c r="DQ103" i="2"/>
  <c r="DM103" i="2"/>
  <c r="DA103" i="2"/>
  <c r="CW103" i="2"/>
  <c r="DQ102" i="2"/>
  <c r="DM102" i="2"/>
  <c r="DA102" i="2"/>
  <c r="CW102" i="2"/>
  <c r="DQ101" i="2"/>
  <c r="DM101" i="2"/>
  <c r="DA101" i="2"/>
  <c r="CW101" i="2"/>
  <c r="DQ100" i="2"/>
  <c r="DM100" i="2"/>
  <c r="DA100" i="2"/>
  <c r="CW100" i="2"/>
  <c r="DQ99" i="2"/>
  <c r="DM99" i="2"/>
  <c r="DA99" i="2"/>
  <c r="CW99" i="2"/>
  <c r="DQ98" i="2"/>
  <c r="DM98" i="2"/>
  <c r="DA98" i="2"/>
  <c r="CW98" i="2"/>
  <c r="DQ97" i="2"/>
  <c r="DM97" i="2"/>
  <c r="DA97" i="2"/>
  <c r="CW97" i="2"/>
  <c r="DQ96" i="2"/>
  <c r="DM96" i="2"/>
  <c r="DA96" i="2"/>
  <c r="CW96" i="2"/>
  <c r="DQ95" i="2"/>
  <c r="DM95" i="2"/>
  <c r="DA95" i="2"/>
  <c r="CW95" i="2"/>
  <c r="DQ94" i="2"/>
  <c r="DM94" i="2"/>
  <c r="DA94" i="2"/>
  <c r="CW94" i="2"/>
  <c r="DQ93" i="2"/>
  <c r="DM93" i="2"/>
  <c r="DA93" i="2"/>
  <c r="CW93" i="2"/>
  <c r="DQ92" i="2"/>
  <c r="DM92" i="2"/>
  <c r="DA92" i="2"/>
  <c r="CW92" i="2"/>
  <c r="DQ91" i="2"/>
  <c r="DM91" i="2"/>
  <c r="DA91" i="2"/>
  <c r="CW91" i="2"/>
  <c r="DQ90" i="2"/>
  <c r="DM90" i="2"/>
  <c r="DA90" i="2"/>
  <c r="CW90" i="2"/>
  <c r="DQ89" i="2"/>
  <c r="DM89" i="2"/>
  <c r="DA89" i="2"/>
  <c r="CW89" i="2"/>
  <c r="DQ88" i="2"/>
  <c r="DM88" i="2"/>
  <c r="DA88" i="2"/>
  <c r="CW88" i="2"/>
  <c r="DQ87" i="2"/>
  <c r="DM87" i="2"/>
  <c r="DA87" i="2"/>
  <c r="CW87" i="2"/>
  <c r="DQ86" i="2"/>
  <c r="DM86" i="2"/>
  <c r="DA86" i="2"/>
  <c r="CW86" i="2"/>
  <c r="DQ85" i="2"/>
  <c r="DM85" i="2"/>
  <c r="DA85" i="2"/>
  <c r="CW85" i="2"/>
  <c r="DQ84" i="2"/>
  <c r="DM84" i="2"/>
  <c r="DA84" i="2"/>
  <c r="CW84" i="2"/>
  <c r="DQ83" i="2"/>
  <c r="DM83" i="2"/>
  <c r="DA83" i="2"/>
  <c r="CW83" i="2"/>
  <c r="DQ82" i="2"/>
  <c r="DM82" i="2"/>
  <c r="DA82" i="2"/>
  <c r="CW82" i="2"/>
  <c r="DQ81" i="2"/>
  <c r="DM81" i="2"/>
  <c r="DA81" i="2"/>
  <c r="CW81" i="2"/>
  <c r="DQ80" i="2"/>
  <c r="DM80" i="2"/>
  <c r="DA80" i="2"/>
  <c r="CW80" i="2"/>
  <c r="DQ79" i="2"/>
  <c r="DM79" i="2"/>
  <c r="DA79" i="2"/>
  <c r="CW79" i="2"/>
  <c r="DQ78" i="2"/>
  <c r="DM78" i="2"/>
  <c r="DA78" i="2"/>
  <c r="CW78" i="2"/>
  <c r="DQ77" i="2"/>
  <c r="DM77" i="2"/>
  <c r="DA77" i="2"/>
  <c r="CW77" i="2"/>
  <c r="DQ76" i="2"/>
  <c r="DM76" i="2"/>
  <c r="DA76" i="2"/>
  <c r="CW76" i="2"/>
  <c r="DQ75" i="2"/>
  <c r="DM75" i="2"/>
  <c r="DA75" i="2"/>
  <c r="CW75" i="2"/>
  <c r="DQ74" i="2"/>
  <c r="DM74" i="2"/>
  <c r="DA74" i="2"/>
  <c r="CW74" i="2"/>
  <c r="DQ73" i="2"/>
  <c r="DM73" i="2"/>
  <c r="DA73" i="2"/>
  <c r="CW73" i="2"/>
  <c r="DQ72" i="2"/>
  <c r="DM72" i="2"/>
  <c r="DA72" i="2"/>
  <c r="CW72" i="2"/>
  <c r="DQ71" i="2"/>
  <c r="DM71" i="2"/>
  <c r="DA71" i="2"/>
  <c r="CW71" i="2"/>
  <c r="DQ70" i="2"/>
  <c r="DM70" i="2"/>
  <c r="DA70" i="2"/>
  <c r="CW70" i="2"/>
  <c r="DQ69" i="2"/>
  <c r="DM69" i="2"/>
  <c r="DA69" i="2"/>
  <c r="CW69" i="2"/>
  <c r="DQ68" i="2"/>
  <c r="DM68" i="2"/>
  <c r="DA68" i="2"/>
  <c r="CW68" i="2"/>
  <c r="DQ67" i="2"/>
  <c r="DM67" i="2"/>
  <c r="DA67" i="2"/>
  <c r="CW67" i="2"/>
  <c r="DQ66" i="2"/>
  <c r="DM66" i="2"/>
  <c r="DA66" i="2"/>
  <c r="CW66" i="2"/>
  <c r="DQ65" i="2"/>
  <c r="DM65" i="2"/>
  <c r="DA65" i="2"/>
  <c r="CW65" i="2"/>
  <c r="DQ64" i="2"/>
  <c r="DM64" i="2"/>
  <c r="DA64" i="2"/>
  <c r="CW64" i="2"/>
  <c r="DQ63" i="2"/>
  <c r="DM63" i="2"/>
  <c r="DA63" i="2"/>
  <c r="CW63" i="2"/>
  <c r="DQ62" i="2"/>
  <c r="DM62" i="2"/>
  <c r="DA62" i="2"/>
  <c r="CW62" i="2"/>
  <c r="DQ61" i="2"/>
  <c r="DM61" i="2"/>
  <c r="DA61" i="2"/>
  <c r="CW61" i="2"/>
  <c r="DQ60" i="2"/>
  <c r="DM60" i="2"/>
  <c r="DA60" i="2"/>
  <c r="CW60" i="2"/>
  <c r="DQ59" i="2"/>
  <c r="DM59" i="2"/>
  <c r="DA59" i="2"/>
  <c r="CW59" i="2"/>
  <c r="DQ58" i="2"/>
  <c r="DM58" i="2"/>
  <c r="DA58" i="2"/>
  <c r="CW58" i="2"/>
  <c r="DQ57" i="2"/>
  <c r="DM57" i="2"/>
  <c r="DA57" i="2"/>
  <c r="CW57" i="2"/>
  <c r="DQ56" i="2"/>
  <c r="DM56" i="2"/>
  <c r="DA56" i="2"/>
  <c r="CW56" i="2"/>
  <c r="DQ55" i="2"/>
  <c r="DM55" i="2"/>
  <c r="DA55" i="2"/>
  <c r="CW55" i="2"/>
  <c r="DQ54" i="2"/>
  <c r="DM54" i="2"/>
  <c r="DA54" i="2"/>
  <c r="CW54" i="2"/>
  <c r="DQ53" i="2"/>
  <c r="DM53" i="2"/>
  <c r="DA53" i="2"/>
  <c r="CW53" i="2"/>
  <c r="DQ52" i="2"/>
  <c r="DM52" i="2"/>
  <c r="DA52" i="2"/>
  <c r="CW52" i="2"/>
  <c r="DQ51" i="2"/>
  <c r="DM51" i="2"/>
  <c r="DA51" i="2"/>
  <c r="CW51" i="2"/>
  <c r="DQ50" i="2"/>
  <c r="DM50" i="2"/>
  <c r="DA50" i="2"/>
  <c r="CW50" i="2"/>
  <c r="DQ49" i="2"/>
  <c r="DM49" i="2"/>
  <c r="DA49" i="2"/>
  <c r="CW49" i="2"/>
  <c r="DQ48" i="2"/>
  <c r="DM48" i="2"/>
  <c r="DA48" i="2"/>
  <c r="CW48" i="2"/>
  <c r="DQ47" i="2"/>
  <c r="DM47" i="2"/>
  <c r="DA47" i="2"/>
  <c r="CW47" i="2"/>
  <c r="DQ46" i="2"/>
  <c r="DM46" i="2"/>
  <c r="DA46" i="2"/>
  <c r="CW46" i="2"/>
  <c r="DQ45" i="2"/>
  <c r="DM45" i="2"/>
  <c r="DA45" i="2"/>
  <c r="CW45" i="2"/>
  <c r="DQ44" i="2"/>
  <c r="DM44" i="2"/>
  <c r="DA44" i="2"/>
  <c r="CW44" i="2"/>
  <c r="DQ43" i="2"/>
  <c r="DM43" i="2"/>
  <c r="DA43" i="2"/>
  <c r="CW43" i="2"/>
  <c r="DQ42" i="2"/>
  <c r="DM42" i="2"/>
  <c r="DA42" i="2"/>
  <c r="CW42" i="2"/>
  <c r="DQ41" i="2"/>
  <c r="DM41" i="2"/>
  <c r="DA41" i="2"/>
  <c r="CW41" i="2"/>
  <c r="DM40" i="2"/>
  <c r="DA40" i="2"/>
  <c r="DE40" i="2" s="1"/>
  <c r="CW40" i="2"/>
  <c r="DM39" i="2"/>
  <c r="DA39" i="2"/>
  <c r="DE39" i="2" s="1"/>
  <c r="CW39" i="2"/>
  <c r="DM38" i="2"/>
  <c r="DA38" i="2"/>
  <c r="DE38" i="2" s="1"/>
  <c r="CW38" i="2"/>
  <c r="DM37" i="2"/>
  <c r="DA37" i="2"/>
  <c r="DE37" i="2" s="1"/>
  <c r="CW37" i="2"/>
  <c r="DM36" i="2"/>
  <c r="DA36" i="2"/>
  <c r="DE36" i="2" s="1"/>
  <c r="CW36" i="2"/>
  <c r="DM35" i="2"/>
  <c r="DA35" i="2"/>
  <c r="DE35" i="2" s="1"/>
  <c r="CW35" i="2"/>
  <c r="DM34" i="2"/>
  <c r="DA34" i="2"/>
  <c r="DE34" i="2" s="1"/>
  <c r="CW34" i="2"/>
  <c r="DM33" i="2"/>
  <c r="DA33" i="2"/>
  <c r="DE33" i="2" s="1"/>
  <c r="CW33" i="2"/>
  <c r="DM32" i="2"/>
  <c r="DA32" i="2"/>
  <c r="DE32" i="2" s="1"/>
  <c r="CW32" i="2"/>
  <c r="DM31" i="2"/>
  <c r="DA31" i="2"/>
  <c r="DE31" i="2" s="1"/>
  <c r="CW31" i="2"/>
  <c r="DM30" i="2"/>
  <c r="DA30" i="2"/>
  <c r="DE30" i="2" s="1"/>
  <c r="CW30" i="2"/>
  <c r="DM29" i="2"/>
  <c r="DA29" i="2"/>
  <c r="DE29" i="2" s="1"/>
  <c r="CW29" i="2"/>
  <c r="DM28" i="2"/>
  <c r="DA28" i="2"/>
  <c r="DE28" i="2" s="1"/>
  <c r="CW28" i="2"/>
  <c r="DM27" i="2"/>
  <c r="DA27" i="2"/>
  <c r="DE27" i="2" s="1"/>
  <c r="CW27" i="2"/>
  <c r="DM26" i="2"/>
  <c r="DA26" i="2"/>
  <c r="DE26" i="2" s="1"/>
  <c r="CW26" i="2"/>
  <c r="DM25" i="2"/>
  <c r="DA25" i="2"/>
  <c r="DE25" i="2" s="1"/>
  <c r="CW25" i="2"/>
  <c r="DM24" i="2"/>
  <c r="CW24" i="2"/>
  <c r="DM23" i="2"/>
  <c r="CW23" i="2"/>
  <c r="DM22" i="2"/>
  <c r="CW22" i="2"/>
  <c r="DM21" i="2"/>
  <c r="CW21" i="2"/>
  <c r="DM20" i="2"/>
  <c r="CW20" i="2"/>
  <c r="DM19" i="2"/>
  <c r="CW19" i="2"/>
  <c r="DM18" i="2"/>
  <c r="CW18" i="2"/>
  <c r="DM17" i="2"/>
  <c r="CW17" i="2"/>
  <c r="DM16" i="2"/>
  <c r="CW16" i="2"/>
  <c r="DM15" i="2"/>
  <c r="CW15" i="2"/>
  <c r="DM14" i="2"/>
  <c r="CW14" i="2"/>
  <c r="DM13" i="2"/>
  <c r="CW13" i="2"/>
  <c r="DM12" i="2"/>
  <c r="CW12" i="2"/>
  <c r="DM11" i="2"/>
  <c r="CW11" i="2"/>
  <c r="DM10" i="2"/>
  <c r="CW10" i="2"/>
  <c r="DM9" i="2"/>
  <c r="CW9" i="2"/>
  <c r="DM8" i="2"/>
  <c r="CW8" i="2"/>
  <c r="DM7" i="2"/>
  <c r="CW7" i="2"/>
  <c r="DM6" i="2"/>
  <c r="CW6" i="2"/>
  <c r="DM5" i="2"/>
  <c r="DI258" i="2"/>
  <c r="CW5" i="2"/>
  <c r="CP257" i="2"/>
  <c r="BV257" i="2"/>
  <c r="CP256" i="2"/>
  <c r="BV256" i="2"/>
  <c r="CP255" i="2"/>
  <c r="BV255" i="2"/>
  <c r="CP254" i="2"/>
  <c r="BV254" i="2"/>
  <c r="CP253" i="2"/>
  <c r="BV253" i="2"/>
  <c r="CP252" i="2"/>
  <c r="BV252" i="2"/>
  <c r="CP251" i="2"/>
  <c r="BV251" i="2"/>
  <c r="CP250" i="2"/>
  <c r="BV250" i="2"/>
  <c r="CP249" i="2"/>
  <c r="BV249" i="2"/>
  <c r="CP248" i="2"/>
  <c r="BV248" i="2"/>
  <c r="CP247" i="2"/>
  <c r="BV247" i="2"/>
  <c r="CP246" i="2"/>
  <c r="BV246" i="2"/>
  <c r="CP245" i="2"/>
  <c r="BV245" i="2"/>
  <c r="CP244" i="2"/>
  <c r="BV244" i="2"/>
  <c r="CP243" i="2"/>
  <c r="BV243" i="2"/>
  <c r="CP242" i="2"/>
  <c r="BV242" i="2"/>
  <c r="CP241" i="2"/>
  <c r="BV241" i="2"/>
  <c r="CP240" i="2"/>
  <c r="BV240" i="2"/>
  <c r="CP239" i="2"/>
  <c r="BV239" i="2"/>
  <c r="CP238" i="2"/>
  <c r="BV238" i="2"/>
  <c r="CP237" i="2"/>
  <c r="BV237" i="2"/>
  <c r="CP236" i="2"/>
  <c r="BV236" i="2"/>
  <c r="CP235" i="2"/>
  <c r="BV235" i="2"/>
  <c r="CP234" i="2"/>
  <c r="BV234" i="2"/>
  <c r="CP233" i="2"/>
  <c r="BV233" i="2"/>
  <c r="CP232" i="2"/>
  <c r="BV232" i="2"/>
  <c r="CP231" i="2"/>
  <c r="BV231" i="2"/>
  <c r="CP230" i="2"/>
  <c r="BV230" i="2"/>
  <c r="CP229" i="2"/>
  <c r="BV229" i="2"/>
  <c r="CP228" i="2"/>
  <c r="BV228" i="2"/>
  <c r="CP227" i="2"/>
  <c r="BV227" i="2"/>
  <c r="CP226" i="2"/>
  <c r="BV226" i="2"/>
  <c r="CP225" i="2"/>
  <c r="BV225" i="2"/>
  <c r="CP224" i="2"/>
  <c r="BV224" i="2"/>
  <c r="CP223" i="2"/>
  <c r="BV223" i="2"/>
  <c r="CP222" i="2"/>
  <c r="BV222" i="2"/>
  <c r="CP221" i="2"/>
  <c r="BV221" i="2"/>
  <c r="CP220" i="2"/>
  <c r="BV220" i="2"/>
  <c r="CP219" i="2"/>
  <c r="BV219" i="2"/>
  <c r="CP218" i="2"/>
  <c r="BV218" i="2"/>
  <c r="CP217" i="2"/>
  <c r="BV217" i="2"/>
  <c r="CP216" i="2"/>
  <c r="BV216" i="2"/>
  <c r="CP215" i="2"/>
  <c r="BV215" i="2"/>
  <c r="CP214" i="2"/>
  <c r="BV214" i="2"/>
  <c r="CP213" i="2"/>
  <c r="BV213" i="2"/>
  <c r="CP212" i="2"/>
  <c r="BV212" i="2"/>
  <c r="CP211" i="2"/>
  <c r="BV211" i="2"/>
  <c r="CP210" i="2"/>
  <c r="BV210" i="2"/>
  <c r="CP209" i="2"/>
  <c r="BV209" i="2"/>
  <c r="CP208" i="2"/>
  <c r="BV208" i="2"/>
  <c r="CP207" i="2"/>
  <c r="BV207" i="2"/>
  <c r="CP206" i="2"/>
  <c r="BV206" i="2"/>
  <c r="CP205" i="2"/>
  <c r="BV205" i="2"/>
  <c r="CP204" i="2"/>
  <c r="BV204" i="2"/>
  <c r="CP203" i="2"/>
  <c r="BV203" i="2"/>
  <c r="CP202" i="2"/>
  <c r="BV202" i="2"/>
  <c r="CP201" i="2"/>
  <c r="BV201" i="2"/>
  <c r="CP200" i="2"/>
  <c r="BV200" i="2"/>
  <c r="CP199" i="2"/>
  <c r="BV199" i="2"/>
  <c r="CP198" i="2"/>
  <c r="BV198" i="2"/>
  <c r="CP197" i="2"/>
  <c r="BV197" i="2"/>
  <c r="CP196" i="2"/>
  <c r="BV196" i="2"/>
  <c r="CP195" i="2"/>
  <c r="BV195" i="2"/>
  <c r="CP194" i="2"/>
  <c r="BV194" i="2"/>
  <c r="CP193" i="2"/>
  <c r="BV193" i="2"/>
  <c r="CP192" i="2"/>
  <c r="BV192" i="2"/>
  <c r="CP191" i="2"/>
  <c r="BV191" i="2"/>
  <c r="CP190" i="2"/>
  <c r="BV190" i="2"/>
  <c r="CP189" i="2"/>
  <c r="BV189" i="2"/>
  <c r="CP188" i="2"/>
  <c r="BV188" i="2"/>
  <c r="CP187" i="2"/>
  <c r="BV187" i="2"/>
  <c r="CP186" i="2"/>
  <c r="BV186" i="2"/>
  <c r="CP185" i="2"/>
  <c r="BV185" i="2"/>
  <c r="CP184" i="2"/>
  <c r="BV184" i="2"/>
  <c r="CP183" i="2"/>
  <c r="BV183" i="2"/>
  <c r="CP182" i="2"/>
  <c r="BV182" i="2"/>
  <c r="CP181" i="2"/>
  <c r="BV181" i="2"/>
  <c r="CP180" i="2"/>
  <c r="BV180" i="2"/>
  <c r="CP179" i="2"/>
  <c r="BV179" i="2"/>
  <c r="CP178" i="2"/>
  <c r="BV178" i="2"/>
  <c r="CP177" i="2"/>
  <c r="BV177" i="2"/>
  <c r="CP176" i="2"/>
  <c r="BV176" i="2"/>
  <c r="CP175" i="2"/>
  <c r="BV175" i="2"/>
  <c r="CP174" i="2"/>
  <c r="BV174" i="2"/>
  <c r="CP173" i="2"/>
  <c r="BV173" i="2"/>
  <c r="CP172" i="2"/>
  <c r="BV172" i="2"/>
  <c r="CP171" i="2"/>
  <c r="BV171" i="2"/>
  <c r="CP170" i="2"/>
  <c r="BV170" i="2"/>
  <c r="CP169" i="2"/>
  <c r="BV169" i="2"/>
  <c r="CP168" i="2"/>
  <c r="BV168" i="2"/>
  <c r="CP167" i="2"/>
  <c r="BV167" i="2"/>
  <c r="CP166" i="2"/>
  <c r="BV166" i="2"/>
  <c r="CP165" i="2"/>
  <c r="BV165" i="2"/>
  <c r="CP164" i="2"/>
  <c r="BV164" i="2"/>
  <c r="CP163" i="2"/>
  <c r="BV163" i="2"/>
  <c r="CP162" i="2"/>
  <c r="BV162" i="2"/>
  <c r="CP161" i="2"/>
  <c r="BV161" i="2"/>
  <c r="CP160" i="2"/>
  <c r="BV160" i="2"/>
  <c r="CP159" i="2"/>
  <c r="BV159" i="2"/>
  <c r="CP158" i="2"/>
  <c r="BV158" i="2"/>
  <c r="CP157" i="2"/>
  <c r="BV157" i="2"/>
  <c r="CP156" i="2"/>
  <c r="BV156" i="2"/>
  <c r="CP155" i="2"/>
  <c r="BV155" i="2"/>
  <c r="CP154" i="2"/>
  <c r="BV154" i="2"/>
  <c r="CP153" i="2"/>
  <c r="BV153" i="2"/>
  <c r="CP152" i="2"/>
  <c r="BV152" i="2"/>
  <c r="CP151" i="2"/>
  <c r="BV151" i="2"/>
  <c r="CP150" i="2"/>
  <c r="BV150" i="2"/>
  <c r="CP149" i="2"/>
  <c r="BV149" i="2"/>
  <c r="CP148" i="2"/>
  <c r="BV148" i="2"/>
  <c r="CP147" i="2"/>
  <c r="BV147" i="2"/>
  <c r="CP146" i="2"/>
  <c r="BV146" i="2"/>
  <c r="CP145" i="2"/>
  <c r="BV145" i="2"/>
  <c r="CP144" i="2"/>
  <c r="BV144" i="2"/>
  <c r="CP143" i="2"/>
  <c r="BV143" i="2"/>
  <c r="CP142" i="2"/>
  <c r="BV142" i="2"/>
  <c r="CP141" i="2"/>
  <c r="BV141" i="2"/>
  <c r="CP140" i="2"/>
  <c r="BV140" i="2"/>
  <c r="CP139" i="2"/>
  <c r="BV139" i="2"/>
  <c r="CP138" i="2"/>
  <c r="BV138" i="2"/>
  <c r="CP137" i="2"/>
  <c r="BV137" i="2"/>
  <c r="CP136" i="2"/>
  <c r="BV136" i="2"/>
  <c r="CP135" i="2"/>
  <c r="BV135" i="2"/>
  <c r="CP134" i="2"/>
  <c r="BV134" i="2"/>
  <c r="CP133" i="2"/>
  <c r="BV133" i="2"/>
  <c r="CP132" i="2"/>
  <c r="BV132" i="2"/>
  <c r="CP131" i="2"/>
  <c r="BV131" i="2"/>
  <c r="CP130" i="2"/>
  <c r="BV130" i="2"/>
  <c r="CP129" i="2"/>
  <c r="BV129" i="2"/>
  <c r="CP128" i="2"/>
  <c r="BV128" i="2"/>
  <c r="CP127" i="2"/>
  <c r="BV127" i="2"/>
  <c r="CP126" i="2"/>
  <c r="BV126" i="2"/>
  <c r="CP125" i="2"/>
  <c r="BV125" i="2"/>
  <c r="CP124" i="2"/>
  <c r="BV124" i="2"/>
  <c r="CP123" i="2"/>
  <c r="BV123" i="2"/>
  <c r="CP122" i="2"/>
  <c r="BV122" i="2"/>
  <c r="CP121" i="2"/>
  <c r="BV121" i="2"/>
  <c r="CP120" i="2"/>
  <c r="BV120" i="2"/>
  <c r="CP119" i="2"/>
  <c r="BV119" i="2"/>
  <c r="CP118" i="2"/>
  <c r="BV118" i="2"/>
  <c r="CP117" i="2"/>
  <c r="BV117" i="2"/>
  <c r="CP116" i="2"/>
  <c r="BV116" i="2"/>
  <c r="CP115" i="2"/>
  <c r="BV115" i="2"/>
  <c r="CP114" i="2"/>
  <c r="BV114" i="2"/>
  <c r="CP113" i="2"/>
  <c r="BV113" i="2"/>
  <c r="CP112" i="2"/>
  <c r="BV112" i="2"/>
  <c r="CP111" i="2"/>
  <c r="BV111" i="2"/>
  <c r="CP110" i="2"/>
  <c r="BV110" i="2"/>
  <c r="CP109" i="2"/>
  <c r="BV109" i="2"/>
  <c r="CP108" i="2"/>
  <c r="BV108" i="2"/>
  <c r="CP107" i="2"/>
  <c r="BV107" i="2"/>
  <c r="CP106" i="2"/>
  <c r="BV106" i="2"/>
  <c r="CP105" i="2"/>
  <c r="BV105" i="2"/>
  <c r="CP104" i="2"/>
  <c r="BV104" i="2"/>
  <c r="CP103" i="2"/>
  <c r="BV103" i="2"/>
  <c r="CP102" i="2"/>
  <c r="BV102" i="2"/>
  <c r="CP101" i="2"/>
  <c r="BV101" i="2"/>
  <c r="CP100" i="2"/>
  <c r="BV100" i="2"/>
  <c r="CP99" i="2"/>
  <c r="BV99" i="2"/>
  <c r="CP98" i="2"/>
  <c r="BV98" i="2"/>
  <c r="CP97" i="2"/>
  <c r="BV97" i="2"/>
  <c r="CP96" i="2"/>
  <c r="BV96" i="2"/>
  <c r="CP95" i="2"/>
  <c r="BV95" i="2"/>
  <c r="CP94" i="2"/>
  <c r="BV94" i="2"/>
  <c r="CP93" i="2"/>
  <c r="BV93" i="2"/>
  <c r="CP92" i="2"/>
  <c r="BV92" i="2"/>
  <c r="CP91" i="2"/>
  <c r="BV91" i="2"/>
  <c r="CP90" i="2"/>
  <c r="BV90" i="2"/>
  <c r="CP89" i="2"/>
  <c r="BV89" i="2"/>
  <c r="CP88" i="2"/>
  <c r="BV88" i="2"/>
  <c r="CP87" i="2"/>
  <c r="BV87" i="2"/>
  <c r="CP86" i="2"/>
  <c r="BV86" i="2"/>
  <c r="CP85" i="2"/>
  <c r="BV85" i="2"/>
  <c r="CP84" i="2"/>
  <c r="BV84" i="2"/>
  <c r="CP83" i="2"/>
  <c r="BV83" i="2"/>
  <c r="CP82" i="2"/>
  <c r="BV82" i="2"/>
  <c r="CP81" i="2"/>
  <c r="BV81" i="2"/>
  <c r="CP80" i="2"/>
  <c r="BV80" i="2"/>
  <c r="CP79" i="2"/>
  <c r="BV79" i="2"/>
  <c r="CP78" i="2"/>
  <c r="BV78" i="2"/>
  <c r="CP77" i="2"/>
  <c r="BV77" i="2"/>
  <c r="CP76" i="2"/>
  <c r="BV76" i="2"/>
  <c r="CP75" i="2"/>
  <c r="BV75" i="2"/>
  <c r="CP74" i="2"/>
  <c r="BV74" i="2"/>
  <c r="CP73" i="2"/>
  <c r="BV73" i="2"/>
  <c r="CP72" i="2"/>
  <c r="BV72" i="2"/>
  <c r="CP71" i="2"/>
  <c r="BV71" i="2"/>
  <c r="CP70" i="2"/>
  <c r="BV70" i="2"/>
  <c r="CP69" i="2"/>
  <c r="BV69" i="2"/>
  <c r="CP68" i="2"/>
  <c r="BV68" i="2"/>
  <c r="CP67" i="2"/>
  <c r="BV67" i="2"/>
  <c r="CP66" i="2"/>
  <c r="BV66" i="2"/>
  <c r="CP65" i="2"/>
  <c r="BV65" i="2"/>
  <c r="CP64" i="2"/>
  <c r="BV64" i="2"/>
  <c r="CP63" i="2"/>
  <c r="BV63" i="2"/>
  <c r="BV62" i="2"/>
  <c r="CP61" i="2"/>
  <c r="BV61" i="2"/>
  <c r="CP60" i="2"/>
  <c r="BV60" i="2"/>
  <c r="CP59" i="2"/>
  <c r="BV59" i="2"/>
  <c r="CP58" i="2"/>
  <c r="BV58" i="2"/>
  <c r="CP57" i="2"/>
  <c r="BV57" i="2"/>
  <c r="CP56" i="2"/>
  <c r="BV56" i="2"/>
  <c r="CP55" i="2"/>
  <c r="BV55" i="2"/>
  <c r="CP54" i="2"/>
  <c r="BV54" i="2"/>
  <c r="CP53" i="2"/>
  <c r="BV53" i="2"/>
  <c r="CP52" i="2"/>
  <c r="BV52" i="2"/>
  <c r="CP51" i="2"/>
  <c r="BV51" i="2"/>
  <c r="CP50" i="2"/>
  <c r="BV50" i="2"/>
  <c r="CP49" i="2"/>
  <c r="BV49" i="2"/>
  <c r="CP48" i="2"/>
  <c r="BV48" i="2"/>
  <c r="CP47" i="2"/>
  <c r="BV47" i="2"/>
  <c r="CP46" i="2"/>
  <c r="BV46" i="2"/>
  <c r="CP45" i="2"/>
  <c r="BV45" i="2"/>
  <c r="CP44" i="2"/>
  <c r="BV44" i="2"/>
  <c r="CP43" i="2"/>
  <c r="BV43" i="2"/>
  <c r="CP42" i="2"/>
  <c r="BV42" i="2"/>
  <c r="CP41" i="2"/>
  <c r="BV41" i="2"/>
  <c r="CP40" i="2"/>
  <c r="BV40" i="2"/>
  <c r="CP39" i="2"/>
  <c r="BV39" i="2"/>
  <c r="CP38" i="2"/>
  <c r="BV38" i="2"/>
  <c r="CP37" i="2"/>
  <c r="BV37" i="2"/>
  <c r="CP36" i="2"/>
  <c r="BV36" i="2"/>
  <c r="CP35" i="2"/>
  <c r="BV35" i="2"/>
  <c r="CP34" i="2"/>
  <c r="BV34" i="2"/>
  <c r="CP33" i="2"/>
  <c r="BV33" i="2"/>
  <c r="CP32" i="2"/>
  <c r="BV32" i="2"/>
  <c r="CP31" i="2"/>
  <c r="BV31" i="2"/>
  <c r="CP30" i="2"/>
  <c r="BV30" i="2"/>
  <c r="CP29" i="2"/>
  <c r="BV29" i="2"/>
  <c r="CP28" i="2"/>
  <c r="BV28" i="2"/>
  <c r="CP27" i="2"/>
  <c r="BV27" i="2"/>
  <c r="CP26" i="2"/>
  <c r="BV26" i="2"/>
  <c r="CP25" i="2"/>
  <c r="BV25" i="2"/>
  <c r="BV24" i="2"/>
  <c r="BV23" i="2"/>
  <c r="BV22" i="2"/>
  <c r="BV21" i="2"/>
  <c r="BV20" i="2"/>
  <c r="BV19" i="2"/>
  <c r="BV18" i="2"/>
  <c r="BV17" i="2"/>
  <c r="BV16" i="2"/>
  <c r="BV15" i="2"/>
  <c r="BV14" i="2"/>
  <c r="BV13" i="2"/>
  <c r="BV12" i="2"/>
  <c r="BV11" i="2"/>
  <c r="BV10" i="2"/>
  <c r="BV9" i="2"/>
  <c r="BV8" i="2"/>
  <c r="BV7" i="2"/>
  <c r="BV6" i="2"/>
  <c r="BV5" i="2"/>
  <c r="CL257" i="2"/>
  <c r="BZ257" i="2"/>
  <c r="CL256" i="2"/>
  <c r="BZ256" i="2"/>
  <c r="CL255" i="2"/>
  <c r="BZ255" i="2"/>
  <c r="CL254" i="2"/>
  <c r="BZ254" i="2"/>
  <c r="CL253" i="2"/>
  <c r="BZ253" i="2"/>
  <c r="CL252" i="2"/>
  <c r="BZ252" i="2"/>
  <c r="CL251" i="2"/>
  <c r="BZ251" i="2"/>
  <c r="CL250" i="2"/>
  <c r="BZ250" i="2"/>
  <c r="CL249" i="2"/>
  <c r="BZ249" i="2"/>
  <c r="CL248" i="2"/>
  <c r="BZ248" i="2"/>
  <c r="CL247" i="2"/>
  <c r="BZ247" i="2"/>
  <c r="CL246" i="2"/>
  <c r="BZ246" i="2"/>
  <c r="CL245" i="2"/>
  <c r="BZ245" i="2"/>
  <c r="CL244" i="2"/>
  <c r="BZ244" i="2"/>
  <c r="CL243" i="2"/>
  <c r="BZ243" i="2"/>
  <c r="CL242" i="2"/>
  <c r="BZ242" i="2"/>
  <c r="CL241" i="2"/>
  <c r="BZ241" i="2"/>
  <c r="CL240" i="2"/>
  <c r="BZ240" i="2"/>
  <c r="CL239" i="2"/>
  <c r="BZ239" i="2"/>
  <c r="CL238" i="2"/>
  <c r="BZ238" i="2"/>
  <c r="CL237" i="2"/>
  <c r="BZ237" i="2"/>
  <c r="CL236" i="2"/>
  <c r="BZ236" i="2"/>
  <c r="CL235" i="2"/>
  <c r="BZ235" i="2"/>
  <c r="CL234" i="2"/>
  <c r="BZ234" i="2"/>
  <c r="CL233" i="2"/>
  <c r="BZ233" i="2"/>
  <c r="CL232" i="2"/>
  <c r="BZ232" i="2"/>
  <c r="CL231" i="2"/>
  <c r="BZ231" i="2"/>
  <c r="CL230" i="2"/>
  <c r="BZ230" i="2"/>
  <c r="CL229" i="2"/>
  <c r="BZ229" i="2"/>
  <c r="CL228" i="2"/>
  <c r="BZ228" i="2"/>
  <c r="CL227" i="2"/>
  <c r="BZ227" i="2"/>
  <c r="CL226" i="2"/>
  <c r="BZ226" i="2"/>
  <c r="CL225" i="2"/>
  <c r="BZ225" i="2"/>
  <c r="CL224" i="2"/>
  <c r="BZ224" i="2"/>
  <c r="CL223" i="2"/>
  <c r="BZ223" i="2"/>
  <c r="CL222" i="2"/>
  <c r="BZ222" i="2"/>
  <c r="CL221" i="2"/>
  <c r="BZ221" i="2"/>
  <c r="CL220" i="2"/>
  <c r="BZ220" i="2"/>
  <c r="CL219" i="2"/>
  <c r="BZ219" i="2"/>
  <c r="CL218" i="2"/>
  <c r="BZ218" i="2"/>
  <c r="CL217" i="2"/>
  <c r="BZ217" i="2"/>
  <c r="CL216" i="2"/>
  <c r="BZ216" i="2"/>
  <c r="CL215" i="2"/>
  <c r="BZ215" i="2"/>
  <c r="CL214" i="2"/>
  <c r="BZ214" i="2"/>
  <c r="CL213" i="2"/>
  <c r="BZ213" i="2"/>
  <c r="CL212" i="2"/>
  <c r="BZ212" i="2"/>
  <c r="CL211" i="2"/>
  <c r="BZ211" i="2"/>
  <c r="CL210" i="2"/>
  <c r="BZ210" i="2"/>
  <c r="CL209" i="2"/>
  <c r="BZ209" i="2"/>
  <c r="CL208" i="2"/>
  <c r="BZ208" i="2"/>
  <c r="CL207" i="2"/>
  <c r="BZ207" i="2"/>
  <c r="CL206" i="2"/>
  <c r="BZ206" i="2"/>
  <c r="CL205" i="2"/>
  <c r="BZ205" i="2"/>
  <c r="CL204" i="2"/>
  <c r="BZ204" i="2"/>
  <c r="CL203" i="2"/>
  <c r="BZ203" i="2"/>
  <c r="CL202" i="2"/>
  <c r="BZ202" i="2"/>
  <c r="CL201" i="2"/>
  <c r="BZ201" i="2"/>
  <c r="CL200" i="2"/>
  <c r="BZ200" i="2"/>
  <c r="CL199" i="2"/>
  <c r="BZ199" i="2"/>
  <c r="CL198" i="2"/>
  <c r="BZ198" i="2"/>
  <c r="CL197" i="2"/>
  <c r="BZ197" i="2"/>
  <c r="CL196" i="2"/>
  <c r="BZ196" i="2"/>
  <c r="CL195" i="2"/>
  <c r="BZ195" i="2"/>
  <c r="CL194" i="2"/>
  <c r="BZ194" i="2"/>
  <c r="CL193" i="2"/>
  <c r="BZ193" i="2"/>
  <c r="CL192" i="2"/>
  <c r="BZ192" i="2"/>
  <c r="CL191" i="2"/>
  <c r="BZ191" i="2"/>
  <c r="CL190" i="2"/>
  <c r="BZ190" i="2"/>
  <c r="CL189" i="2"/>
  <c r="BZ189" i="2"/>
  <c r="CL188" i="2"/>
  <c r="BZ188" i="2"/>
  <c r="CL187" i="2"/>
  <c r="BZ187" i="2"/>
  <c r="CL186" i="2"/>
  <c r="BZ186" i="2"/>
  <c r="CL185" i="2"/>
  <c r="BZ185" i="2"/>
  <c r="CL184" i="2"/>
  <c r="BZ184" i="2"/>
  <c r="CL183" i="2"/>
  <c r="BZ183" i="2"/>
  <c r="CL182" i="2"/>
  <c r="BZ182" i="2"/>
  <c r="CL181" i="2"/>
  <c r="BZ181" i="2"/>
  <c r="CL180" i="2"/>
  <c r="BZ180" i="2"/>
  <c r="CL179" i="2"/>
  <c r="BZ179" i="2"/>
  <c r="CL178" i="2"/>
  <c r="BZ178" i="2"/>
  <c r="CL177" i="2"/>
  <c r="BZ177" i="2"/>
  <c r="CL176" i="2"/>
  <c r="BZ176" i="2"/>
  <c r="CL175" i="2"/>
  <c r="BZ175" i="2"/>
  <c r="CL174" i="2"/>
  <c r="BZ174" i="2"/>
  <c r="CL173" i="2"/>
  <c r="BZ173" i="2"/>
  <c r="CL172" i="2"/>
  <c r="BZ172" i="2"/>
  <c r="CL171" i="2"/>
  <c r="BZ171" i="2"/>
  <c r="CL170" i="2"/>
  <c r="BZ170" i="2"/>
  <c r="CL169" i="2"/>
  <c r="BZ169" i="2"/>
  <c r="CL168" i="2"/>
  <c r="BZ168" i="2"/>
  <c r="CL167" i="2"/>
  <c r="BZ167" i="2"/>
  <c r="CL166" i="2"/>
  <c r="BZ166" i="2"/>
  <c r="CL165" i="2"/>
  <c r="BZ165" i="2"/>
  <c r="CL164" i="2"/>
  <c r="BZ164" i="2"/>
  <c r="CL163" i="2"/>
  <c r="BZ163" i="2"/>
  <c r="CL162" i="2"/>
  <c r="BZ162" i="2"/>
  <c r="CL161" i="2"/>
  <c r="BZ161" i="2"/>
  <c r="CL160" i="2"/>
  <c r="BZ160" i="2"/>
  <c r="CL159" i="2"/>
  <c r="BZ159" i="2"/>
  <c r="CL158" i="2"/>
  <c r="BZ158" i="2"/>
  <c r="CL157" i="2"/>
  <c r="BZ157" i="2"/>
  <c r="CL156" i="2"/>
  <c r="BZ156" i="2"/>
  <c r="CL155" i="2"/>
  <c r="BZ155" i="2"/>
  <c r="CL154" i="2"/>
  <c r="BZ154" i="2"/>
  <c r="CL153" i="2"/>
  <c r="BZ153" i="2"/>
  <c r="CL152" i="2"/>
  <c r="BZ152" i="2"/>
  <c r="CL151" i="2"/>
  <c r="BZ151" i="2"/>
  <c r="CL150" i="2"/>
  <c r="BZ150" i="2"/>
  <c r="CL149" i="2"/>
  <c r="BZ149" i="2"/>
  <c r="CL148" i="2"/>
  <c r="BZ148" i="2"/>
  <c r="CL147" i="2"/>
  <c r="BZ147" i="2"/>
  <c r="CL146" i="2"/>
  <c r="BZ146" i="2"/>
  <c r="CL145" i="2"/>
  <c r="BZ145" i="2"/>
  <c r="CL144" i="2"/>
  <c r="BZ144" i="2"/>
  <c r="CL143" i="2"/>
  <c r="BZ143" i="2"/>
  <c r="CL142" i="2"/>
  <c r="BZ142" i="2"/>
  <c r="CL141" i="2"/>
  <c r="BZ141" i="2"/>
  <c r="CL140" i="2"/>
  <c r="BZ140" i="2"/>
  <c r="CL139" i="2"/>
  <c r="BZ139" i="2"/>
  <c r="CL138" i="2"/>
  <c r="BZ138" i="2"/>
  <c r="CL137" i="2"/>
  <c r="BZ137" i="2"/>
  <c r="CL136" i="2"/>
  <c r="BZ136" i="2"/>
  <c r="CL135" i="2"/>
  <c r="BZ135" i="2"/>
  <c r="CL134" i="2"/>
  <c r="BZ134" i="2"/>
  <c r="CL133" i="2"/>
  <c r="BZ133" i="2"/>
  <c r="CL132" i="2"/>
  <c r="BZ132" i="2"/>
  <c r="CL131" i="2"/>
  <c r="BZ131" i="2"/>
  <c r="CL130" i="2"/>
  <c r="BZ130" i="2"/>
  <c r="CL129" i="2"/>
  <c r="BZ129" i="2"/>
  <c r="CL128" i="2"/>
  <c r="BZ128" i="2"/>
  <c r="CL127" i="2"/>
  <c r="BZ127" i="2"/>
  <c r="CL126" i="2"/>
  <c r="BZ126" i="2"/>
  <c r="CL125" i="2"/>
  <c r="BZ125" i="2"/>
  <c r="CL124" i="2"/>
  <c r="BZ124" i="2"/>
  <c r="CL123" i="2"/>
  <c r="BZ123" i="2"/>
  <c r="CL122" i="2"/>
  <c r="BZ122" i="2"/>
  <c r="CL121" i="2"/>
  <c r="BZ121" i="2"/>
  <c r="CL120" i="2"/>
  <c r="BZ120" i="2"/>
  <c r="CL119" i="2"/>
  <c r="BZ119" i="2"/>
  <c r="CL118" i="2"/>
  <c r="BZ118" i="2"/>
  <c r="CL117" i="2"/>
  <c r="BZ117" i="2"/>
  <c r="CL116" i="2"/>
  <c r="BZ116" i="2"/>
  <c r="CL115" i="2"/>
  <c r="BZ115" i="2"/>
  <c r="CL114" i="2"/>
  <c r="BZ114" i="2"/>
  <c r="CL113" i="2"/>
  <c r="BZ113" i="2"/>
  <c r="CL112" i="2"/>
  <c r="BZ112" i="2"/>
  <c r="CL111" i="2"/>
  <c r="BZ111" i="2"/>
  <c r="CL110" i="2"/>
  <c r="BZ110" i="2"/>
  <c r="CL109" i="2"/>
  <c r="BZ109" i="2"/>
  <c r="CL108" i="2"/>
  <c r="BZ108" i="2"/>
  <c r="CL107" i="2"/>
  <c r="BZ107" i="2"/>
  <c r="CL106" i="2"/>
  <c r="BZ106" i="2"/>
  <c r="CL105" i="2"/>
  <c r="BZ105" i="2"/>
  <c r="CL104" i="2"/>
  <c r="BZ104" i="2"/>
  <c r="CL103" i="2"/>
  <c r="BZ103" i="2"/>
  <c r="CL102" i="2"/>
  <c r="BZ102" i="2"/>
  <c r="CL101" i="2"/>
  <c r="BZ101" i="2"/>
  <c r="CL100" i="2"/>
  <c r="BZ100" i="2"/>
  <c r="CL99" i="2"/>
  <c r="BZ99" i="2"/>
  <c r="CL98" i="2"/>
  <c r="BZ98" i="2"/>
  <c r="CL97" i="2"/>
  <c r="BZ97" i="2"/>
  <c r="CL96" i="2"/>
  <c r="BZ96" i="2"/>
  <c r="CL95" i="2"/>
  <c r="BZ95" i="2"/>
  <c r="CL94" i="2"/>
  <c r="BZ94" i="2"/>
  <c r="CL93" i="2"/>
  <c r="BZ93" i="2"/>
  <c r="CL92" i="2"/>
  <c r="BZ92" i="2"/>
  <c r="CL91" i="2"/>
  <c r="BZ91" i="2"/>
  <c r="CL90" i="2"/>
  <c r="BZ90" i="2"/>
  <c r="CL89" i="2"/>
  <c r="BZ89" i="2"/>
  <c r="CL88" i="2"/>
  <c r="BZ88" i="2"/>
  <c r="CL87" i="2"/>
  <c r="BZ87" i="2"/>
  <c r="CL86" i="2"/>
  <c r="BZ86" i="2"/>
  <c r="CL85" i="2"/>
  <c r="BZ85" i="2"/>
  <c r="CL84" i="2"/>
  <c r="BZ84" i="2"/>
  <c r="CL83" i="2"/>
  <c r="BZ83" i="2"/>
  <c r="CL82" i="2"/>
  <c r="BZ82" i="2"/>
  <c r="CL81" i="2"/>
  <c r="BZ81" i="2"/>
  <c r="CL80" i="2"/>
  <c r="BZ80" i="2"/>
  <c r="CL79" i="2"/>
  <c r="BZ79" i="2"/>
  <c r="CL78" i="2"/>
  <c r="BZ78" i="2"/>
  <c r="CL77" i="2"/>
  <c r="BZ77" i="2"/>
  <c r="CL76" i="2"/>
  <c r="BZ76" i="2"/>
  <c r="CL75" i="2"/>
  <c r="BZ75" i="2"/>
  <c r="CL74" i="2"/>
  <c r="BZ74" i="2"/>
  <c r="CL73" i="2"/>
  <c r="BZ73" i="2"/>
  <c r="CL72" i="2"/>
  <c r="BZ72" i="2"/>
  <c r="CL71" i="2"/>
  <c r="BZ71" i="2"/>
  <c r="CL70" i="2"/>
  <c r="BZ70" i="2"/>
  <c r="CL69" i="2"/>
  <c r="BZ69" i="2"/>
  <c r="CL68" i="2"/>
  <c r="BZ68" i="2"/>
  <c r="CL67" i="2"/>
  <c r="BZ67" i="2"/>
  <c r="CL66" i="2"/>
  <c r="BZ66" i="2"/>
  <c r="CL65" i="2"/>
  <c r="BZ65" i="2"/>
  <c r="CL64" i="2"/>
  <c r="BZ64" i="2"/>
  <c r="CL63" i="2"/>
  <c r="BZ63" i="2"/>
  <c r="CL62" i="2"/>
  <c r="BZ62" i="2"/>
  <c r="CD62" i="2" s="1"/>
  <c r="CL61" i="2"/>
  <c r="BZ61" i="2"/>
  <c r="CL60" i="2"/>
  <c r="BZ60" i="2"/>
  <c r="CL59" i="2"/>
  <c r="BZ59" i="2"/>
  <c r="CL58" i="2"/>
  <c r="BZ58" i="2"/>
  <c r="CL57" i="2"/>
  <c r="BZ57" i="2"/>
  <c r="CL56" i="2"/>
  <c r="BZ56" i="2"/>
  <c r="CL55" i="2"/>
  <c r="BZ55" i="2"/>
  <c r="CL54" i="2"/>
  <c r="BZ54" i="2"/>
  <c r="CL53" i="2"/>
  <c r="BZ53" i="2"/>
  <c r="CL52" i="2"/>
  <c r="BZ52" i="2"/>
  <c r="CL51" i="2"/>
  <c r="BZ51" i="2"/>
  <c r="CL50" i="2"/>
  <c r="BZ50" i="2"/>
  <c r="CL49" i="2"/>
  <c r="BZ49" i="2"/>
  <c r="CL48" i="2"/>
  <c r="BZ48" i="2"/>
  <c r="CL47" i="2"/>
  <c r="BZ47" i="2"/>
  <c r="CL46" i="2"/>
  <c r="BZ46" i="2"/>
  <c r="CL45" i="2"/>
  <c r="BZ45" i="2"/>
  <c r="CL44" i="2"/>
  <c r="BZ44" i="2"/>
  <c r="CL43" i="2"/>
  <c r="BZ43" i="2"/>
  <c r="CL42" i="2"/>
  <c r="BZ42" i="2"/>
  <c r="CL41" i="2"/>
  <c r="BZ41" i="2"/>
  <c r="CL40" i="2"/>
  <c r="BZ40" i="2"/>
  <c r="CL39" i="2"/>
  <c r="BZ39" i="2"/>
  <c r="CL38" i="2"/>
  <c r="BZ38" i="2"/>
  <c r="CL37" i="2"/>
  <c r="BZ37" i="2"/>
  <c r="CL36" i="2"/>
  <c r="BZ36" i="2"/>
  <c r="CL35" i="2"/>
  <c r="BZ35" i="2"/>
  <c r="CL34" i="2"/>
  <c r="BZ34" i="2"/>
  <c r="CL33" i="2"/>
  <c r="BZ33" i="2"/>
  <c r="CL32" i="2"/>
  <c r="BZ32" i="2"/>
  <c r="CL31" i="2"/>
  <c r="BZ31" i="2"/>
  <c r="CL30" i="2"/>
  <c r="BZ30" i="2"/>
  <c r="CL29" i="2"/>
  <c r="BZ29" i="2"/>
  <c r="CL28" i="2"/>
  <c r="BZ28" i="2"/>
  <c r="CL27" i="2"/>
  <c r="BZ27" i="2"/>
  <c r="CL26" i="2"/>
  <c r="BZ26" i="2"/>
  <c r="CL25" i="2"/>
  <c r="BZ25" i="2"/>
  <c r="CL24" i="2"/>
  <c r="BZ24" i="2"/>
  <c r="CD24" i="2" s="1"/>
  <c r="CL23" i="2"/>
  <c r="BZ23" i="2"/>
  <c r="CD23" i="2" s="1"/>
  <c r="CL22" i="2"/>
  <c r="BZ22" i="2"/>
  <c r="CD22" i="2" s="1"/>
  <c r="CL21" i="2"/>
  <c r="BZ21" i="2"/>
  <c r="CD21" i="2" s="1"/>
  <c r="CL20" i="2"/>
  <c r="BZ20" i="2"/>
  <c r="CD20" i="2" s="1"/>
  <c r="CL19" i="2"/>
  <c r="BZ19" i="2"/>
  <c r="CD19" i="2" s="1"/>
  <c r="CL18" i="2"/>
  <c r="BZ18" i="2"/>
  <c r="CD18" i="2" s="1"/>
  <c r="CL17" i="2"/>
  <c r="BZ17" i="2"/>
  <c r="CD17" i="2" s="1"/>
  <c r="CL16" i="2"/>
  <c r="BZ16" i="2"/>
  <c r="CD16" i="2" s="1"/>
  <c r="CL15" i="2"/>
  <c r="BZ15" i="2"/>
  <c r="CD15" i="2" s="1"/>
  <c r="CL14" i="2"/>
  <c r="BZ14" i="2"/>
  <c r="CD14" i="2" s="1"/>
  <c r="CL13" i="2"/>
  <c r="BZ13" i="2"/>
  <c r="CD13" i="2" s="1"/>
  <c r="CL12" i="2"/>
  <c r="BZ12" i="2"/>
  <c r="CD12" i="2" s="1"/>
  <c r="CL11" i="2"/>
  <c r="BZ11" i="2"/>
  <c r="CD11" i="2" s="1"/>
  <c r="CL10" i="2"/>
  <c r="BZ10" i="2"/>
  <c r="CD10" i="2" s="1"/>
  <c r="CL9" i="2"/>
  <c r="CL8" i="2"/>
  <c r="CL7" i="2"/>
  <c r="CL6" i="2"/>
  <c r="CL5" i="2"/>
  <c r="F18" i="14"/>
  <c r="FO258" i="2" l="1"/>
  <c r="EN258" i="2"/>
  <c r="DM258" i="2"/>
  <c r="CL258" i="2"/>
  <c r="CH258" i="2"/>
  <c r="G3" i="8" l="1"/>
  <c r="G4" i="8"/>
  <c r="G5" i="8"/>
  <c r="D33" i="19" l="1"/>
  <c r="D32" i="19"/>
  <c r="D31" i="19"/>
  <c r="D36" i="17"/>
  <c r="D35" i="17"/>
  <c r="D34" i="17"/>
  <c r="D33" i="17"/>
  <c r="D32" i="17"/>
  <c r="D31" i="17"/>
  <c r="D36" i="18"/>
  <c r="D35" i="18"/>
  <c r="O35" i="18" s="1"/>
  <c r="D34" i="18"/>
  <c r="D33" i="18"/>
  <c r="D32" i="18"/>
  <c r="D31" i="18"/>
  <c r="A1" i="4"/>
  <c r="D31" i="3"/>
  <c r="K31" i="3" s="1"/>
  <c r="D32" i="3"/>
  <c r="G32" i="3" s="1"/>
  <c r="D33" i="3"/>
  <c r="O33" i="3" s="1"/>
  <c r="D34" i="3"/>
  <c r="D35" i="3"/>
  <c r="D36" i="3"/>
  <c r="G36" i="3" l="1"/>
  <c r="S36" i="19"/>
  <c r="U36" i="19"/>
  <c r="S36" i="18"/>
  <c r="S35" i="3"/>
  <c r="S35" i="19"/>
  <c r="U35" i="19"/>
  <c r="O35" i="17"/>
  <c r="S36" i="17"/>
  <c r="O35" i="19"/>
  <c r="U32" i="19"/>
  <c r="S32" i="19"/>
  <c r="S33" i="19"/>
  <c r="U33" i="19"/>
  <c r="G34" i="3"/>
  <c r="S34" i="19"/>
  <c r="U34" i="19"/>
  <c r="S34" i="18"/>
  <c r="S34" i="17"/>
  <c r="T12" i="16"/>
  <c r="B76" i="18"/>
  <c r="B88" i="17"/>
  <c r="B77" i="19"/>
  <c r="B87" i="3"/>
  <c r="C88" i="17"/>
  <c r="C87" i="3"/>
  <c r="M18" i="19"/>
  <c r="M19" i="17"/>
  <c r="M17" i="17"/>
  <c r="M18" i="18"/>
  <c r="M19" i="3"/>
  <c r="M17" i="3"/>
  <c r="C77" i="19"/>
  <c r="C76" i="18"/>
  <c r="M19" i="19"/>
  <c r="M17" i="19"/>
  <c r="M18" i="17"/>
  <c r="M19" i="18"/>
  <c r="M17" i="18"/>
  <c r="M18" i="3"/>
  <c r="R17" i="3"/>
  <c r="R18" i="19"/>
  <c r="R19" i="17"/>
  <c r="R17" i="17"/>
  <c r="R18" i="18"/>
  <c r="R19" i="3"/>
  <c r="R19" i="19"/>
  <c r="R17" i="19"/>
  <c r="R18" i="17"/>
  <c r="R19" i="18"/>
  <c r="R17" i="18"/>
  <c r="R18" i="3"/>
  <c r="O33" i="18"/>
  <c r="O33" i="17"/>
  <c r="O33" i="19"/>
  <c r="S32" i="18"/>
  <c r="S32" i="17"/>
  <c r="G34" i="17"/>
  <c r="O34" i="3"/>
  <c r="K32" i="3"/>
  <c r="G36" i="17"/>
  <c r="K35" i="3"/>
  <c r="O36" i="3"/>
  <c r="G35" i="3"/>
  <c r="K36" i="3"/>
  <c r="K34" i="3"/>
  <c r="O35" i="3"/>
  <c r="S32" i="3"/>
  <c r="S34" i="3"/>
  <c r="S36" i="3"/>
  <c r="G34" i="18"/>
  <c r="G36" i="18"/>
  <c r="G32" i="17"/>
  <c r="O34" i="17"/>
  <c r="O36" i="17"/>
  <c r="G34" i="19"/>
  <c r="G36" i="19"/>
  <c r="G32" i="18"/>
  <c r="O34" i="18"/>
  <c r="O36" i="18"/>
  <c r="G32" i="19"/>
  <c r="O34" i="19"/>
  <c r="O36" i="19"/>
  <c r="K33" i="3"/>
  <c r="S33" i="3"/>
  <c r="G33" i="3"/>
  <c r="O32" i="3"/>
  <c r="O32" i="18"/>
  <c r="O32" i="17"/>
  <c r="O32" i="19"/>
  <c r="O31" i="3"/>
  <c r="S31" i="3"/>
  <c r="G31" i="3"/>
  <c r="O31" i="18"/>
  <c r="O31" i="17"/>
  <c r="O31" i="19"/>
  <c r="K31" i="19"/>
  <c r="S31" i="19"/>
  <c r="K33" i="19"/>
  <c r="K35" i="19"/>
  <c r="G31" i="19"/>
  <c r="K32" i="19"/>
  <c r="G33" i="19"/>
  <c r="K34" i="19"/>
  <c r="G35" i="19"/>
  <c r="K36" i="19"/>
  <c r="K31" i="17"/>
  <c r="S31" i="17"/>
  <c r="K33" i="17"/>
  <c r="S33" i="17"/>
  <c r="K35" i="17"/>
  <c r="S35" i="17"/>
  <c r="G31" i="17"/>
  <c r="K32" i="17"/>
  <c r="G33" i="17"/>
  <c r="K34" i="17"/>
  <c r="G35" i="17"/>
  <c r="K36" i="17"/>
  <c r="K31" i="18"/>
  <c r="S31" i="18"/>
  <c r="K33" i="18"/>
  <c r="S33" i="18"/>
  <c r="K35" i="18"/>
  <c r="S35" i="18"/>
  <c r="G31" i="18"/>
  <c r="K32" i="18"/>
  <c r="G33" i="18"/>
  <c r="K34" i="18"/>
  <c r="G35" i="18"/>
  <c r="K36" i="18"/>
  <c r="L14" i="14" l="1"/>
  <c r="FS260" i="2" l="1"/>
  <c r="ER260" i="2"/>
  <c r="DQ260" i="2"/>
  <c r="CP260" i="2"/>
  <c r="G80" i="19" l="1"/>
  <c r="B80" i="19"/>
  <c r="M79" i="19"/>
  <c r="G79" i="19"/>
  <c r="U79" i="19" s="1"/>
  <c r="B53" i="19"/>
  <c r="I26" i="19"/>
  <c r="E19" i="19"/>
  <c r="E18" i="19"/>
  <c r="E17" i="19"/>
  <c r="R16" i="19"/>
  <c r="E16" i="19"/>
  <c r="R15" i="19"/>
  <c r="E15" i="19"/>
  <c r="G79" i="18"/>
  <c r="B79" i="18"/>
  <c r="M78" i="18"/>
  <c r="G78" i="18"/>
  <c r="U78" i="18" s="1"/>
  <c r="B53" i="18"/>
  <c r="I26" i="18"/>
  <c r="E19" i="18"/>
  <c r="E18" i="18"/>
  <c r="E17" i="18"/>
  <c r="R16" i="18"/>
  <c r="E16" i="18"/>
  <c r="R15" i="18"/>
  <c r="E15" i="18"/>
  <c r="F320" i="2"/>
  <c r="BZ5" i="2" l="1"/>
  <c r="CD5" i="2" s="1"/>
  <c r="FC50" i="2"/>
  <c r="FG50" i="2" s="1"/>
  <c r="FC18" i="2"/>
  <c r="FG18" i="2" s="1"/>
  <c r="EB38" i="2"/>
  <c r="EF38" i="2" s="1"/>
  <c r="EB34" i="2"/>
  <c r="EF34" i="2" s="1"/>
  <c r="EB6" i="2"/>
  <c r="EF6" i="2" s="1"/>
  <c r="DA13" i="2"/>
  <c r="DE13" i="2" s="1"/>
  <c r="FC51" i="2"/>
  <c r="FG51" i="2" s="1"/>
  <c r="FC47" i="2"/>
  <c r="FG47" i="2" s="1"/>
  <c r="FC43" i="2"/>
  <c r="FG43" i="2" s="1"/>
  <c r="FC39" i="2"/>
  <c r="FG39" i="2" s="1"/>
  <c r="FC35" i="2"/>
  <c r="FG35" i="2" s="1"/>
  <c r="FC31" i="2"/>
  <c r="FG31" i="2" s="1"/>
  <c r="FC27" i="2"/>
  <c r="FG27" i="2" s="1"/>
  <c r="FC23" i="2"/>
  <c r="FG23" i="2" s="1"/>
  <c r="FC19" i="2"/>
  <c r="FG19" i="2" s="1"/>
  <c r="FC15" i="2"/>
  <c r="FG15" i="2" s="1"/>
  <c r="FC11" i="2"/>
  <c r="FG11" i="2" s="1"/>
  <c r="FC7" i="2"/>
  <c r="FG7" i="2" s="1"/>
  <c r="EB39" i="2"/>
  <c r="EF39" i="2" s="1"/>
  <c r="EB35" i="2"/>
  <c r="EF35" i="2" s="1"/>
  <c r="EB31" i="2"/>
  <c r="EF31" i="2" s="1"/>
  <c r="EB27" i="2"/>
  <c r="EF27" i="2" s="1"/>
  <c r="EB23" i="2"/>
  <c r="EF23" i="2" s="1"/>
  <c r="EB19" i="2"/>
  <c r="EF19" i="2" s="1"/>
  <c r="EB15" i="2"/>
  <c r="EF15" i="2" s="1"/>
  <c r="EB11" i="2"/>
  <c r="EF11" i="2" s="1"/>
  <c r="EB7" i="2"/>
  <c r="EF7" i="2" s="1"/>
  <c r="DA22" i="2"/>
  <c r="DE22" i="2" s="1"/>
  <c r="DA18" i="2"/>
  <c r="DE18" i="2" s="1"/>
  <c r="DA14" i="2"/>
  <c r="DE14" i="2" s="1"/>
  <c r="DA10" i="2"/>
  <c r="DE10" i="2" s="1"/>
  <c r="DA6" i="2"/>
  <c r="DE6" i="2" s="1"/>
  <c r="DA5" i="2"/>
  <c r="DE5" i="2" s="1"/>
  <c r="EB13" i="2"/>
  <c r="EF13" i="2" s="1"/>
  <c r="DA24" i="2"/>
  <c r="DE24" i="2" s="1"/>
  <c r="DA20" i="2"/>
  <c r="DE20" i="2" s="1"/>
  <c r="FC54" i="2"/>
  <c r="FG54" i="2" s="1"/>
  <c r="FC34" i="2"/>
  <c r="FG34" i="2" s="1"/>
  <c r="FC30" i="2"/>
  <c r="FG30" i="2" s="1"/>
  <c r="FC14" i="2"/>
  <c r="FG14" i="2" s="1"/>
  <c r="EB30" i="2"/>
  <c r="EF30" i="2" s="1"/>
  <c r="EB26" i="2"/>
  <c r="EF26" i="2" s="1"/>
  <c r="EB10" i="2"/>
  <c r="EF10" i="2" s="1"/>
  <c r="EB5" i="2"/>
  <c r="EF5" i="2" s="1"/>
  <c r="DA21" i="2"/>
  <c r="DE21" i="2" s="1"/>
  <c r="DA17" i="2"/>
  <c r="DE17" i="2" s="1"/>
  <c r="BZ8" i="2"/>
  <c r="CD8" i="2" s="1"/>
  <c r="FC52" i="2"/>
  <c r="FG52" i="2" s="1"/>
  <c r="FC48" i="2"/>
  <c r="FG48" i="2" s="1"/>
  <c r="FC44" i="2"/>
  <c r="FG44" i="2" s="1"/>
  <c r="FC40" i="2"/>
  <c r="FG40" i="2" s="1"/>
  <c r="FC36" i="2"/>
  <c r="FG36" i="2" s="1"/>
  <c r="FC32" i="2"/>
  <c r="FG32" i="2" s="1"/>
  <c r="FC28" i="2"/>
  <c r="FG28" i="2" s="1"/>
  <c r="FC24" i="2"/>
  <c r="FG24" i="2" s="1"/>
  <c r="FC20" i="2"/>
  <c r="FG20" i="2" s="1"/>
  <c r="FC16" i="2"/>
  <c r="FG16" i="2" s="1"/>
  <c r="FC12" i="2"/>
  <c r="FG12" i="2" s="1"/>
  <c r="FC8" i="2"/>
  <c r="FG8" i="2" s="1"/>
  <c r="EB36" i="2"/>
  <c r="EF36" i="2" s="1"/>
  <c r="EB32" i="2"/>
  <c r="EF32" i="2" s="1"/>
  <c r="EB28" i="2"/>
  <c r="EF28" i="2" s="1"/>
  <c r="EB24" i="2"/>
  <c r="EF24" i="2" s="1"/>
  <c r="EB20" i="2"/>
  <c r="EF20" i="2" s="1"/>
  <c r="EB16" i="2"/>
  <c r="EF16" i="2" s="1"/>
  <c r="EB12" i="2"/>
  <c r="EF12" i="2" s="1"/>
  <c r="EB8" i="2"/>
  <c r="EF8" i="2" s="1"/>
  <c r="DA23" i="2"/>
  <c r="DE23" i="2" s="1"/>
  <c r="DA19" i="2"/>
  <c r="DE19" i="2" s="1"/>
  <c r="DA15" i="2"/>
  <c r="DE15" i="2" s="1"/>
  <c r="DA11" i="2"/>
  <c r="DE11" i="2" s="1"/>
  <c r="DA7" i="2"/>
  <c r="DE7" i="2" s="1"/>
  <c r="BZ9" i="2"/>
  <c r="CD9" i="2" s="1"/>
  <c r="BZ7" i="2"/>
  <c r="CD7" i="2" s="1"/>
  <c r="DA8" i="2"/>
  <c r="DE8" i="2" s="1"/>
  <c r="FC42" i="2"/>
  <c r="FG42" i="2" s="1"/>
  <c r="FC10" i="2"/>
  <c r="FG10" i="2" s="1"/>
  <c r="FC5" i="2"/>
  <c r="FG5" i="2" s="1"/>
  <c r="EB14" i="2"/>
  <c r="EF14" i="2" s="1"/>
  <c r="BZ6" i="2"/>
  <c r="CD6" i="2" s="1"/>
  <c r="FC53" i="2"/>
  <c r="FG53" i="2" s="1"/>
  <c r="FC49" i="2"/>
  <c r="FG49" i="2" s="1"/>
  <c r="FC45" i="2"/>
  <c r="FG45" i="2" s="1"/>
  <c r="FC41" i="2"/>
  <c r="FG41" i="2" s="1"/>
  <c r="FC37" i="2"/>
  <c r="FG37" i="2" s="1"/>
  <c r="FC33" i="2"/>
  <c r="FG33" i="2" s="1"/>
  <c r="FC29" i="2"/>
  <c r="FG29" i="2" s="1"/>
  <c r="FC25" i="2"/>
  <c r="FG25" i="2" s="1"/>
  <c r="FC21" i="2"/>
  <c r="FG21" i="2" s="1"/>
  <c r="FC17" i="2"/>
  <c r="FG17" i="2" s="1"/>
  <c r="FC13" i="2"/>
  <c r="FG13" i="2" s="1"/>
  <c r="FC9" i="2"/>
  <c r="FG9" i="2" s="1"/>
  <c r="EB37" i="2"/>
  <c r="EF37" i="2" s="1"/>
  <c r="EB33" i="2"/>
  <c r="EF33" i="2" s="1"/>
  <c r="EB29" i="2"/>
  <c r="EF29" i="2" s="1"/>
  <c r="EB25" i="2"/>
  <c r="EF25" i="2" s="1"/>
  <c r="EB21" i="2"/>
  <c r="EF21" i="2" s="1"/>
  <c r="EB17" i="2"/>
  <c r="EF17" i="2" s="1"/>
  <c r="EB9" i="2"/>
  <c r="EF9" i="2" s="1"/>
  <c r="DA16" i="2"/>
  <c r="DE16" i="2" s="1"/>
  <c r="DA12" i="2"/>
  <c r="DE12" i="2" s="1"/>
  <c r="FC46" i="2"/>
  <c r="FG46" i="2" s="1"/>
  <c r="FC38" i="2"/>
  <c r="FG38" i="2" s="1"/>
  <c r="FC26" i="2"/>
  <c r="FG26" i="2" s="1"/>
  <c r="FC22" i="2"/>
  <c r="FG22" i="2" s="1"/>
  <c r="FC6" i="2"/>
  <c r="FG6" i="2" s="1"/>
  <c r="EB22" i="2"/>
  <c r="EF22" i="2" s="1"/>
  <c r="EB18" i="2"/>
  <c r="EF18" i="2" s="1"/>
  <c r="DA9" i="2"/>
  <c r="DE9" i="2" s="1"/>
  <c r="N43" i="19"/>
  <c r="I43" i="19"/>
  <c r="D43" i="19"/>
  <c r="L43" i="19"/>
  <c r="F43" i="19"/>
  <c r="B43" i="19"/>
  <c r="J43" i="18"/>
  <c r="D43" i="18"/>
  <c r="M43" i="18"/>
  <c r="F43" i="18"/>
  <c r="B43" i="18"/>
  <c r="O80" i="19"/>
  <c r="O79" i="18"/>
  <c r="G91" i="17"/>
  <c r="B91" i="17"/>
  <c r="B64" i="17"/>
  <c r="I26" i="17"/>
  <c r="E19" i="17"/>
  <c r="E18" i="17"/>
  <c r="E17" i="17"/>
  <c r="R16" i="17"/>
  <c r="E16" i="17"/>
  <c r="R15" i="17"/>
  <c r="E15" i="17"/>
  <c r="CD258" i="2" l="1"/>
  <c r="FG258" i="2"/>
  <c r="DE258" i="2"/>
  <c r="EF258" i="2"/>
  <c r="S55" i="17"/>
  <c r="N54" i="17"/>
  <c r="N43" i="17"/>
  <c r="I43" i="17"/>
  <c r="D43" i="17"/>
  <c r="D55" i="17"/>
  <c r="I54" i="17"/>
  <c r="L43" i="17"/>
  <c r="F43" i="17"/>
  <c r="B43" i="17"/>
  <c r="O91" i="17"/>
  <c r="G90" i="3" l="1"/>
  <c r="B90" i="3"/>
  <c r="M89" i="3"/>
  <c r="G89" i="3" l="1"/>
  <c r="U89" i="3" s="1"/>
  <c r="B64" i="3" l="1"/>
  <c r="AT83" i="2" l="1"/>
  <c r="AT82" i="2"/>
  <c r="AT81" i="2"/>
  <c r="AT80" i="2"/>
  <c r="AT79" i="2"/>
  <c r="AT78" i="2"/>
  <c r="AT77" i="2"/>
  <c r="AT76" i="2"/>
  <c r="AT75" i="2"/>
  <c r="AT74" i="2"/>
  <c r="AT73" i="2"/>
  <c r="AT72" i="2"/>
  <c r="AT71" i="2"/>
  <c r="AT70" i="2"/>
  <c r="AT69" i="2"/>
  <c r="AT68" i="2"/>
  <c r="AT67" i="2"/>
  <c r="AT66" i="2"/>
  <c r="AT65" i="2"/>
  <c r="AT64" i="2"/>
  <c r="AT63" i="2"/>
  <c r="AT62" i="2"/>
  <c r="AT61" i="2"/>
  <c r="AT60" i="2"/>
  <c r="AT59" i="2"/>
  <c r="AT58" i="2"/>
  <c r="AT57" i="2"/>
  <c r="AT56" i="2"/>
  <c r="AT55" i="2"/>
  <c r="AT54" i="2"/>
  <c r="AT53" i="2"/>
  <c r="AT52" i="2"/>
  <c r="AT51" i="2"/>
  <c r="AT50" i="2"/>
  <c r="AT49" i="2"/>
  <c r="AT48" i="2"/>
  <c r="AT47" i="2"/>
  <c r="AT46" i="2"/>
  <c r="AT45" i="2"/>
  <c r="AT44" i="2"/>
  <c r="AT43" i="2"/>
  <c r="AT42" i="2"/>
  <c r="AT41" i="2"/>
  <c r="AT39" i="2"/>
  <c r="AT38" i="2"/>
  <c r="AT37" i="2"/>
  <c r="AT36" i="2"/>
  <c r="AT35" i="2"/>
  <c r="AT34" i="2"/>
  <c r="AT33" i="2"/>
  <c r="AT32" i="2"/>
  <c r="AT31" i="2"/>
  <c r="AT30" i="2"/>
  <c r="AT29" i="2"/>
  <c r="AT28" i="2"/>
  <c r="AT27" i="2"/>
  <c r="AT26" i="2"/>
  <c r="AT25" i="2"/>
  <c r="AT24" i="2"/>
  <c r="AT23" i="2"/>
  <c r="AT22" i="2"/>
  <c r="AT21" i="2"/>
  <c r="AT20" i="2"/>
  <c r="AT19" i="2"/>
  <c r="AT18" i="2"/>
  <c r="AT17" i="2"/>
  <c r="AT16" i="2"/>
  <c r="AT15" i="2"/>
  <c r="AT14" i="2"/>
  <c r="AT13" i="2"/>
  <c r="AT12" i="2"/>
  <c r="AT11" i="2"/>
  <c r="AT10" i="2"/>
  <c r="AT9" i="2"/>
  <c r="AT8" i="2"/>
  <c r="AT7" i="2"/>
  <c r="AT6" i="2"/>
  <c r="AT5" i="2"/>
  <c r="I26" i="3"/>
  <c r="R16" i="3"/>
  <c r="R15" i="3"/>
  <c r="E19" i="3"/>
  <c r="E18" i="3"/>
  <c r="E16" i="3"/>
  <c r="E17" i="3"/>
  <c r="E15" i="3"/>
  <c r="B9" i="24" l="1"/>
  <c r="B8" i="24"/>
  <c r="B10" i="24"/>
  <c r="S55" i="3"/>
  <c r="N54" i="3"/>
  <c r="M43" i="3"/>
  <c r="F43" i="3"/>
  <c r="B43" i="3"/>
  <c r="D55" i="3"/>
  <c r="I54" i="3"/>
  <c r="J43" i="3"/>
  <c r="D43" i="3"/>
  <c r="CP261" i="2" l="1"/>
  <c r="DQ263" i="2"/>
  <c r="FS263" i="2"/>
  <c r="ER263" i="2"/>
  <c r="CP263" i="2"/>
  <c r="O90" i="3"/>
  <c r="BQ1" i="2"/>
  <c r="ER261" i="2" l="1"/>
  <c r="DQ261" i="2"/>
  <c r="FS261" i="2"/>
  <c r="M24" i="17" l="1"/>
  <c r="M24" i="3"/>
  <c r="M24" i="19"/>
  <c r="M24" i="18"/>
  <c r="G7" i="8"/>
  <c r="M4" i="8" s="1"/>
  <c r="O10" i="8"/>
  <c r="F24" i="18"/>
  <c r="F24" i="3"/>
  <c r="F24" i="19"/>
  <c r="F24" i="17"/>
  <c r="N10" i="8"/>
  <c r="T24" i="3"/>
  <c r="T24" i="18"/>
  <c r="T24" i="17"/>
  <c r="T24" i="19"/>
  <c r="M10" i="8"/>
  <c r="CP5" i="2" l="1"/>
  <c r="CP23" i="2"/>
  <c r="CP21" i="2"/>
  <c r="CP19" i="2"/>
  <c r="CP17" i="2"/>
  <c r="CP15" i="2"/>
  <c r="CP13" i="2"/>
  <c r="CP24" i="2"/>
  <c r="CP20" i="2"/>
  <c r="CP16" i="2"/>
  <c r="CP22" i="2"/>
  <c r="CP18" i="2"/>
  <c r="CP14" i="2"/>
  <c r="CP62" i="2"/>
  <c r="FS84" i="2"/>
  <c r="FS83" i="2"/>
  <c r="FS82" i="2"/>
  <c r="FS81" i="2"/>
  <c r="FS80" i="2"/>
  <c r="FS79" i="2"/>
  <c r="FS78" i="2"/>
  <c r="FS77" i="2"/>
  <c r="FS76" i="2"/>
  <c r="FS75" i="2"/>
  <c r="FS74" i="2"/>
  <c r="FS73" i="2"/>
  <c r="FS72" i="2"/>
  <c r="FS71" i="2"/>
  <c r="FS70" i="2"/>
  <c r="FS69" i="2"/>
  <c r="FS68" i="2"/>
  <c r="FS67" i="2"/>
  <c r="FS66" i="2"/>
  <c r="FS65" i="2"/>
  <c r="FS64" i="2"/>
  <c r="FS63" i="2"/>
  <c r="FS62" i="2"/>
  <c r="ER89" i="2"/>
  <c r="ER88" i="2"/>
  <c r="ER87" i="2"/>
  <c r="ER86" i="2"/>
  <c r="ER85" i="2"/>
  <c r="ER84" i="2"/>
  <c r="ER83" i="2"/>
  <c r="ER82" i="2"/>
  <c r="ER81" i="2"/>
  <c r="ER80" i="2"/>
  <c r="ER79" i="2"/>
  <c r="ER78" i="2"/>
  <c r="ER77" i="2"/>
  <c r="ER76" i="2"/>
  <c r="ER75" i="2"/>
  <c r="ER74" i="2"/>
  <c r="ER73" i="2"/>
  <c r="ER72" i="2"/>
  <c r="ER71" i="2"/>
  <c r="ER70" i="2"/>
  <c r="ER69" i="2"/>
  <c r="ER68" i="2"/>
  <c r="ER67" i="2"/>
  <c r="ER66" i="2"/>
  <c r="ER65" i="2"/>
  <c r="ER64" i="2"/>
  <c r="ER63" i="2"/>
  <c r="ER62" i="2"/>
  <c r="ER61" i="2"/>
  <c r="ER60" i="2"/>
  <c r="ER59" i="2"/>
  <c r="ER58" i="2"/>
  <c r="ER57" i="2"/>
  <c r="ER56" i="2"/>
  <c r="ER55" i="2"/>
  <c r="ER54" i="2"/>
  <c r="ER53" i="2"/>
  <c r="ER52" i="2"/>
  <c r="ER51" i="2"/>
  <c r="ER50" i="2"/>
  <c r="ER49" i="2"/>
  <c r="ER48" i="2"/>
  <c r="ER47" i="2"/>
  <c r="ER46" i="2"/>
  <c r="ER45" i="2"/>
  <c r="ER44" i="2"/>
  <c r="ER43" i="2"/>
  <c r="ER42" i="2"/>
  <c r="ER41" i="2"/>
  <c r="ER40" i="2"/>
  <c r="ER39" i="2"/>
  <c r="ER38" i="2"/>
  <c r="ER37" i="2"/>
  <c r="ER36" i="2"/>
  <c r="DQ40" i="2"/>
  <c r="DQ39" i="2"/>
  <c r="DQ38" i="2"/>
  <c r="DQ37" i="2"/>
  <c r="DQ36" i="2"/>
  <c r="DQ35" i="2"/>
  <c r="DQ34" i="2"/>
  <c r="DQ33" i="2"/>
  <c r="DQ32" i="2"/>
  <c r="DQ31" i="2"/>
  <c r="DQ30" i="2"/>
  <c r="DQ29" i="2"/>
  <c r="DQ28" i="2"/>
  <c r="DQ27" i="2"/>
  <c r="DQ26" i="2"/>
  <c r="DQ25" i="2"/>
  <c r="DQ24" i="2"/>
  <c r="DQ23" i="2"/>
  <c r="DQ22" i="2"/>
  <c r="DQ21" i="2"/>
  <c r="CP11" i="2"/>
  <c r="CP12" i="2"/>
  <c r="CP9" i="2"/>
  <c r="CP10" i="2"/>
  <c r="FS61" i="2"/>
  <c r="FS60" i="2"/>
  <c r="FS59" i="2"/>
  <c r="FS58" i="2"/>
  <c r="FS57" i="2"/>
  <c r="FS56" i="2"/>
  <c r="FS55" i="2"/>
  <c r="FS54" i="2"/>
  <c r="FS53" i="2"/>
  <c r="FS52" i="2"/>
  <c r="FS51" i="2"/>
  <c r="FS50" i="2"/>
  <c r="FS49" i="2"/>
  <c r="FS48" i="2"/>
  <c r="FS47" i="2"/>
  <c r="FS46" i="2"/>
  <c r="FS45" i="2"/>
  <c r="FS44" i="2"/>
  <c r="ER35" i="2"/>
  <c r="ER34" i="2"/>
  <c r="FS43" i="2"/>
  <c r="FS42" i="2"/>
  <c r="FS41" i="2"/>
  <c r="FS40" i="2"/>
  <c r="FS39" i="2"/>
  <c r="FS38" i="2"/>
  <c r="FS37" i="2"/>
  <c r="FS36" i="2"/>
  <c r="FS35" i="2"/>
  <c r="FS34" i="2"/>
  <c r="FS33" i="2"/>
  <c r="FS32" i="2"/>
  <c r="FS31" i="2"/>
  <c r="FS30" i="2"/>
  <c r="FS29" i="2"/>
  <c r="FS28" i="2"/>
  <c r="FS27" i="2"/>
  <c r="FS26" i="2"/>
  <c r="FS25" i="2"/>
  <c r="FS24" i="2"/>
  <c r="FS23" i="2"/>
  <c r="FS22" i="2"/>
  <c r="FS21" i="2"/>
  <c r="FS20" i="2"/>
  <c r="FS19" i="2"/>
  <c r="FS18" i="2"/>
  <c r="FS17" i="2"/>
  <c r="FS16" i="2"/>
  <c r="FS15" i="2"/>
  <c r="FS14" i="2"/>
  <c r="FS13" i="2"/>
  <c r="FS12" i="2"/>
  <c r="FS11" i="2"/>
  <c r="FS10" i="2"/>
  <c r="FS9" i="2"/>
  <c r="FS8" i="2"/>
  <c r="FS7" i="2"/>
  <c r="ER33" i="2"/>
  <c r="ER32" i="2"/>
  <c r="ER31" i="2"/>
  <c r="ER30" i="2"/>
  <c r="ER29" i="2"/>
  <c r="ER28" i="2"/>
  <c r="ER27" i="2"/>
  <c r="ER26" i="2"/>
  <c r="ER25" i="2"/>
  <c r="ER24" i="2"/>
  <c r="ER23" i="2"/>
  <c r="ER22" i="2"/>
  <c r="ER21" i="2"/>
  <c r="ER20" i="2"/>
  <c r="ER19" i="2"/>
  <c r="ER18" i="2"/>
  <c r="ER17" i="2"/>
  <c r="ER16" i="2"/>
  <c r="ER15" i="2"/>
  <c r="ER14" i="2"/>
  <c r="ER13" i="2"/>
  <c r="ER12" i="2"/>
  <c r="ER11" i="2"/>
  <c r="ER10" i="2"/>
  <c r="ER9" i="2"/>
  <c r="ER8" i="2"/>
  <c r="ER7" i="2"/>
  <c r="DQ20" i="2"/>
  <c r="DQ19" i="2"/>
  <c r="DQ18" i="2"/>
  <c r="DQ17" i="2"/>
  <c r="DQ16" i="2"/>
  <c r="DQ15" i="2"/>
  <c r="DQ14" i="2"/>
  <c r="DQ13" i="2"/>
  <c r="DQ12" i="2"/>
  <c r="DQ11" i="2"/>
  <c r="DQ10" i="2"/>
  <c r="DQ9" i="2"/>
  <c r="DQ8" i="2"/>
  <c r="DQ7" i="2"/>
  <c r="CP7" i="2"/>
  <c r="CP8" i="2"/>
  <c r="FS5" i="2"/>
  <c r="FS6" i="2"/>
  <c r="ER6" i="2"/>
  <c r="ER5" i="2"/>
  <c r="DQ6" i="2"/>
  <c r="DQ5" i="2"/>
  <c r="CP6" i="2"/>
  <c r="G9" i="8"/>
  <c r="M3" i="8" s="1"/>
  <c r="FS258" i="2" l="1"/>
  <c r="AO47" i="18" s="1"/>
  <c r="DQ258" i="2"/>
  <c r="AO45" i="3" s="1"/>
  <c r="ER258" i="2"/>
  <c r="AO46" i="18" s="1"/>
  <c r="CP258" i="2"/>
  <c r="AO44" i="3" s="1"/>
  <c r="FS264" i="2" l="1"/>
  <c r="AO47" i="17"/>
  <c r="AO47" i="3"/>
  <c r="FS2" i="2"/>
  <c r="FW259" i="2" a="1"/>
  <c r="FW259" i="2" s="1"/>
  <c r="AO47" i="19"/>
  <c r="AO45" i="18"/>
  <c r="DU259" i="2" a="1"/>
  <c r="DU259" i="2" s="1"/>
  <c r="AO45" i="19"/>
  <c r="DQ2" i="2"/>
  <c r="DQ264" i="2"/>
  <c r="AO45" i="17"/>
  <c r="AO46" i="17"/>
  <c r="ER264" i="2"/>
  <c r="AO46" i="3"/>
  <c r="ER2" i="2"/>
  <c r="EV259" i="2" a="1"/>
  <c r="EV259" i="2" s="1"/>
  <c r="AO46" i="19"/>
  <c r="AO44" i="18"/>
  <c r="AO44" i="19"/>
  <c r="AO44" i="17"/>
  <c r="CT259" i="2" a="1"/>
  <c r="CT259" i="2" s="1"/>
  <c r="CP2" i="2"/>
  <c r="CP264" i="2"/>
  <c r="B45" i="17" l="1"/>
  <c r="D45" i="17" s="1"/>
  <c r="DQ262" i="2"/>
  <c r="F46" i="19"/>
  <c r="ER262" i="2"/>
  <c r="I47" i="19"/>
  <c r="AP47" i="19" s="1"/>
  <c r="FS262" i="2"/>
  <c r="F47" i="17"/>
  <c r="F47" i="19"/>
  <c r="F45" i="19"/>
  <c r="F45" i="17"/>
  <c r="F12" i="14"/>
  <c r="I14" i="14" s="1"/>
  <c r="F12" i="21"/>
  <c r="I46" i="19"/>
  <c r="AP46" i="19" s="1"/>
  <c r="B47" i="18"/>
  <c r="D47" i="18" s="1"/>
  <c r="B47" i="3"/>
  <c r="D47" i="3" s="1"/>
  <c r="B17" i="24" s="1"/>
  <c r="B47" i="17"/>
  <c r="D47" i="17" s="1"/>
  <c r="B44" i="17"/>
  <c r="D44" i="17" s="1"/>
  <c r="F44" i="3"/>
  <c r="F47" i="3"/>
  <c r="F47" i="18"/>
  <c r="AP47" i="18" s="1"/>
  <c r="I47" i="17"/>
  <c r="AP47" i="17" s="1"/>
  <c r="B47" i="19"/>
  <c r="D47" i="19" s="1"/>
  <c r="I45" i="17"/>
  <c r="AP45" i="17" s="1"/>
  <c r="B45" i="19"/>
  <c r="D45" i="19" s="1"/>
  <c r="I45" i="19"/>
  <c r="AP45" i="19" s="1"/>
  <c r="F45" i="18"/>
  <c r="AP45" i="18" s="1"/>
  <c r="F45" i="3"/>
  <c r="AP45" i="3" s="1"/>
  <c r="B45" i="18"/>
  <c r="D45" i="18" s="1"/>
  <c r="B45" i="3"/>
  <c r="D45" i="3" s="1"/>
  <c r="B15" i="24" s="1"/>
  <c r="B46" i="3"/>
  <c r="D46" i="3" s="1"/>
  <c r="B16" i="24" s="1"/>
  <c r="B46" i="18"/>
  <c r="D46" i="18" s="1"/>
  <c r="I46" i="17"/>
  <c r="AP46" i="17" s="1"/>
  <c r="F46" i="17"/>
  <c r="B46" i="19"/>
  <c r="D46" i="19" s="1"/>
  <c r="F46" i="3"/>
  <c r="AP46" i="3" s="1"/>
  <c r="F46" i="18"/>
  <c r="AP46" i="18" s="1"/>
  <c r="B46" i="17"/>
  <c r="D46" i="17" s="1"/>
  <c r="I44" i="19"/>
  <c r="AP44" i="19" s="1"/>
  <c r="F44" i="19"/>
  <c r="B44" i="19"/>
  <c r="CP262" i="2"/>
  <c r="F44" i="17"/>
  <c r="I44" i="17"/>
  <c r="F44" i="18"/>
  <c r="B44" i="3"/>
  <c r="B44" i="18"/>
  <c r="E17" i="24" l="1"/>
  <c r="J18" i="24" s="1"/>
  <c r="J19" i="24" s="1"/>
  <c r="E16" i="24"/>
  <c r="J16" i="24" s="1"/>
  <c r="J17" i="24" s="1"/>
  <c r="E15" i="24"/>
  <c r="J14" i="24" s="1"/>
  <c r="J15" i="24" s="1"/>
  <c r="L47" i="19"/>
  <c r="I17" i="14"/>
  <c r="I15" i="14"/>
  <c r="I16" i="14"/>
  <c r="I17" i="21"/>
  <c r="I15" i="21"/>
  <c r="I16" i="21"/>
  <c r="I14" i="21"/>
  <c r="L46" i="19"/>
  <c r="J47" i="3"/>
  <c r="AP47" i="3"/>
  <c r="L45" i="17"/>
  <c r="L47" i="17"/>
  <c r="J47" i="18"/>
  <c r="J45" i="3"/>
  <c r="L45" i="19"/>
  <c r="J45" i="18"/>
  <c r="J46" i="3"/>
  <c r="L46" i="17"/>
  <c r="J46" i="18"/>
  <c r="AP44" i="18"/>
  <c r="AQ44" i="18" s="1"/>
  <c r="AR44" i="18" s="1"/>
  <c r="AP44" i="3"/>
  <c r="D44" i="3"/>
  <c r="B14" i="24" s="1"/>
  <c r="D44" i="18"/>
  <c r="J44" i="18" s="1"/>
  <c r="AP44" i="17"/>
  <c r="AQ44" i="17" s="1"/>
  <c r="AR44" i="17" s="1"/>
  <c r="AQ46" i="19"/>
  <c r="D44" i="19"/>
  <c r="L44" i="17"/>
  <c r="S56" i="17" s="1"/>
  <c r="E14" i="24" l="1"/>
  <c r="J12" i="24" s="1"/>
  <c r="J13" i="24" s="1"/>
  <c r="J49" i="3"/>
  <c r="O36" i="16" s="1"/>
  <c r="DQ265" i="2"/>
  <c r="DQ266" i="2" s="1"/>
  <c r="DU260" i="2" s="1"/>
  <c r="CP265" i="2"/>
  <c r="CP266" i="2" s="1"/>
  <c r="CT263" i="2" s="1"/>
  <c r="ER265" i="2"/>
  <c r="ER266" i="2" s="1"/>
  <c r="EV265" i="2" s="1"/>
  <c r="FS265" i="2"/>
  <c r="FS266" i="2" s="1"/>
  <c r="FS267" i="2" s="1"/>
  <c r="T47" i="19" s="1"/>
  <c r="AQ46" i="3"/>
  <c r="AR46" i="3" s="1"/>
  <c r="AQ44" i="3"/>
  <c r="AR44" i="3" s="1"/>
  <c r="AQ47" i="3"/>
  <c r="AR47" i="3" s="1"/>
  <c r="AQ45" i="3"/>
  <c r="AR45" i="3" s="1"/>
  <c r="AQ45" i="18"/>
  <c r="AQ46" i="18"/>
  <c r="AQ47" i="18"/>
  <c r="J44" i="3"/>
  <c r="S56" i="3" s="1"/>
  <c r="AQ45" i="17"/>
  <c r="AR45" i="17" s="1"/>
  <c r="AQ46" i="17"/>
  <c r="AR46" i="17" s="1"/>
  <c r="AQ47" i="17"/>
  <c r="AR47" i="17" s="1"/>
  <c r="L44" i="19"/>
  <c r="AQ44" i="19"/>
  <c r="AQ47" i="19"/>
  <c r="AR47" i="19" s="1"/>
  <c r="AR46" i="19"/>
  <c r="AQ45" i="19"/>
  <c r="AR45" i="19" s="1"/>
  <c r="DU261" i="2" l="1"/>
  <c r="DU263" i="2"/>
  <c r="DU264" i="2"/>
  <c r="DQ267" i="2"/>
  <c r="T45" i="19" s="1"/>
  <c r="FW265" i="2"/>
  <c r="DU265" i="2"/>
  <c r="DU266" i="2"/>
  <c r="DU262" i="2"/>
  <c r="FS268" i="2"/>
  <c r="Q47" i="19" s="1"/>
  <c r="T47" i="3"/>
  <c r="FW266" i="2"/>
  <c r="FW260" i="2"/>
  <c r="T47" i="17"/>
  <c r="T47" i="18"/>
  <c r="FW263" i="2"/>
  <c r="FW261" i="2"/>
  <c r="FW264" i="2"/>
  <c r="FW262" i="2"/>
  <c r="ER267" i="2"/>
  <c r="EV262" i="2"/>
  <c r="EV266" i="2"/>
  <c r="EV261" i="2"/>
  <c r="EV260" i="2"/>
  <c r="EV264" i="2"/>
  <c r="EV263" i="2"/>
  <c r="U49" i="3"/>
  <c r="CT265" i="2"/>
  <c r="CT262" i="2"/>
  <c r="CT261" i="2"/>
  <c r="CT260" i="2"/>
  <c r="CT266" i="2"/>
  <c r="CP267" i="2"/>
  <c r="T44" i="19" s="1"/>
  <c r="CT264" i="2"/>
  <c r="AR44" i="19"/>
  <c r="T45" i="18" l="1"/>
  <c r="T45" i="17"/>
  <c r="T45" i="3"/>
  <c r="DQ268" i="2"/>
  <c r="Q45" i="19" s="1"/>
  <c r="Q47" i="17"/>
  <c r="Q47" i="18"/>
  <c r="FS269" i="2"/>
  <c r="N47" i="19" s="1"/>
  <c r="Q47" i="3"/>
  <c r="T46" i="19"/>
  <c r="T46" i="18"/>
  <c r="T46" i="3"/>
  <c r="ER268" i="2"/>
  <c r="T46" i="17"/>
  <c r="U49" i="18"/>
  <c r="U49" i="19"/>
  <c r="U49" i="17"/>
  <c r="T44" i="18"/>
  <c r="T44" i="17"/>
  <c r="T44" i="3"/>
  <c r="CP268" i="2"/>
  <c r="Q44" i="19" s="1"/>
  <c r="Q45" i="3" l="1"/>
  <c r="N47" i="17"/>
  <c r="DQ269" i="2"/>
  <c r="N45" i="19" s="1"/>
  <c r="Q45" i="17"/>
  <c r="Q45" i="18"/>
  <c r="M47" i="18"/>
  <c r="FW269" i="2"/>
  <c r="M47" i="3"/>
  <c r="Q46" i="19"/>
  <c r="Q46" i="18"/>
  <c r="Q46" i="17"/>
  <c r="Q46" i="3"/>
  <c r="ER269" i="2"/>
  <c r="Q44" i="18"/>
  <c r="Q44" i="3"/>
  <c r="CP269" i="2"/>
  <c r="N44" i="19" s="1"/>
  <c r="Q44" i="17"/>
  <c r="D17" i="24" l="1"/>
  <c r="C17" i="24"/>
  <c r="M45" i="18"/>
  <c r="DU269" i="2"/>
  <c r="N45" i="17"/>
  <c r="M45" i="3"/>
  <c r="N44" i="17"/>
  <c r="N46" i="19"/>
  <c r="N46" i="17"/>
  <c r="EV269" i="2"/>
  <c r="M46" i="3"/>
  <c r="M46" i="18"/>
  <c r="M44" i="3"/>
  <c r="CT269" i="2"/>
  <c r="M44" i="18"/>
  <c r="F17" i="24" l="1"/>
  <c r="K18" i="24" s="1"/>
  <c r="K19" i="24" s="1"/>
  <c r="I18" i="24"/>
  <c r="I19" i="24"/>
  <c r="C16" i="24"/>
  <c r="D16" i="24"/>
  <c r="C15" i="24"/>
  <c r="D15" i="24"/>
  <c r="C14" i="24"/>
  <c r="D14" i="24"/>
  <c r="H56" i="17"/>
  <c r="D56" i="17"/>
  <c r="D56" i="3"/>
  <c r="H56" i="3"/>
  <c r="C31" i="24" l="1"/>
  <c r="B31" i="24" s="1"/>
  <c r="C24" i="24"/>
  <c r="D24" i="24" s="1"/>
  <c r="E24" i="24" s="1"/>
  <c r="C30" i="24"/>
  <c r="I17" i="24"/>
  <c r="F16" i="24"/>
  <c r="K16" i="24" s="1"/>
  <c r="K17" i="24" s="1"/>
  <c r="C23" i="24"/>
  <c r="I16" i="24"/>
  <c r="C29" i="24"/>
  <c r="I15" i="24"/>
  <c r="F15" i="24"/>
  <c r="K14" i="24" s="1"/>
  <c r="K15" i="24" s="1"/>
  <c r="I14" i="24"/>
  <c r="C22" i="24"/>
  <c r="F14" i="24"/>
  <c r="K12" i="24" s="1"/>
  <c r="K13" i="24" s="1"/>
  <c r="C21" i="24"/>
  <c r="I12" i="24"/>
  <c r="I56" i="3"/>
  <c r="I56" i="17"/>
  <c r="L56" i="3"/>
  <c r="L56" i="17"/>
  <c r="C28" i="24"/>
  <c r="I13" i="24"/>
  <c r="AR45" i="18"/>
  <c r="AR46" i="18"/>
  <c r="AR47" i="18"/>
  <c r="N56" i="3" l="1"/>
  <c r="Q56" i="3"/>
  <c r="Q56" i="17"/>
  <c r="D31" i="24"/>
  <c r="E31" i="24" s="1"/>
  <c r="B24" i="24"/>
  <c r="N56" i="17"/>
  <c r="D23" i="24"/>
  <c r="E23" i="24" s="1"/>
  <c r="B23" i="24"/>
  <c r="D30" i="24"/>
  <c r="E30" i="24" s="1"/>
  <c r="B30" i="24"/>
  <c r="D22" i="24"/>
  <c r="E22" i="24" s="1"/>
  <c r="B22" i="24"/>
  <c r="B29" i="24"/>
  <c r="D29" i="24"/>
  <c r="E29" i="24" s="1"/>
  <c r="B28" i="24"/>
  <c r="D28" i="24"/>
  <c r="E28" i="24" s="1"/>
  <c r="D21" i="24"/>
  <c r="E21" i="24" s="1"/>
  <c r="B21" i="24"/>
  <c r="D58" i="17" l="1"/>
  <c r="D58" i="3"/>
  <c r="J49" i="19"/>
  <c r="J49" i="18" l="1"/>
  <c r="J49"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SGQ Técnica Metrologia</author>
  </authors>
  <commentList>
    <comment ref="F7" authorId="0" shapeId="0" xr:uid="{00000000-0006-0000-0000-000001000000}">
      <text>
        <r>
          <rPr>
            <b/>
            <sz val="9"/>
            <color indexed="81"/>
            <rFont val="Segoe UI"/>
            <family val="2"/>
          </rPr>
          <t>Thayná C. Veríssimo:</t>
        </r>
        <r>
          <rPr>
            <sz val="9"/>
            <color indexed="81"/>
            <rFont val="Segoe UI"/>
            <family val="2"/>
          </rPr>
          <t xml:space="preserve">
SEMPRE colocar o "\" no final.
</t>
        </r>
        <r>
          <rPr>
            <b/>
            <sz val="9"/>
            <color indexed="81"/>
            <rFont val="Segoe UI"/>
            <family val="2"/>
          </rPr>
          <t>Não esqueça</t>
        </r>
        <r>
          <rPr>
            <sz val="9"/>
            <color indexed="81"/>
            <rFont val="Segoe UI"/>
            <family val="2"/>
          </rPr>
          <t>, se não dará erro na macro.</t>
        </r>
      </text>
    </comment>
    <comment ref="F9" authorId="0" shapeId="0" xr:uid="{00000000-0006-0000-0000-000002000000}">
      <text>
        <r>
          <rPr>
            <b/>
            <sz val="9"/>
            <color indexed="81"/>
            <rFont val="Segoe UI"/>
            <family val="2"/>
          </rPr>
          <t>Thayná C. Veríssimo:</t>
        </r>
        <r>
          <rPr>
            <sz val="9"/>
            <color indexed="81"/>
            <rFont val="Segoe UI"/>
            <family val="2"/>
          </rPr>
          <t xml:space="preserve">
SEMPRE colocar o "\" no final.
</t>
        </r>
        <r>
          <rPr>
            <b/>
            <sz val="9"/>
            <color indexed="81"/>
            <rFont val="Segoe UI"/>
            <family val="2"/>
          </rPr>
          <t>Não esqueça</t>
        </r>
        <r>
          <rPr>
            <sz val="9"/>
            <color indexed="81"/>
            <rFont val="Segoe UI"/>
            <family val="2"/>
          </rPr>
          <t>, se não dará erro na macro.</t>
        </r>
      </text>
    </comment>
    <comment ref="F10" authorId="0" shapeId="0" xr:uid="{00000000-0006-0000-0000-000003000000}">
      <text>
        <r>
          <rPr>
            <b/>
            <sz val="9"/>
            <color indexed="81"/>
            <rFont val="Segoe UI"/>
            <family val="2"/>
          </rPr>
          <t>Thayná C. Veríssimo:</t>
        </r>
        <r>
          <rPr>
            <sz val="9"/>
            <color indexed="81"/>
            <rFont val="Segoe UI"/>
            <family val="2"/>
          </rPr>
          <t xml:space="preserve">
SEMPRE colocar o "\" no final.
</t>
        </r>
        <r>
          <rPr>
            <b/>
            <sz val="9"/>
            <color indexed="81"/>
            <rFont val="Segoe UI"/>
            <family val="2"/>
          </rPr>
          <t>Não esqueça</t>
        </r>
        <r>
          <rPr>
            <sz val="9"/>
            <color indexed="81"/>
            <rFont val="Segoe UI"/>
            <family val="2"/>
          </rPr>
          <t>, se não dará erro na macro.
Se for usar o número da ordem der serviço da calibração, a formula aqui já esta pronta, não precisa alterar. Mas se quiser outra pasta, pode alterar.</t>
        </r>
      </text>
    </comment>
    <comment ref="B30" authorId="0" shapeId="0" xr:uid="{00000000-0006-0000-0000-000004000000}">
      <text>
        <r>
          <rPr>
            <b/>
            <sz val="9"/>
            <color indexed="81"/>
            <rFont val="Segoe UI"/>
            <family val="2"/>
          </rPr>
          <t>Thayná C. Veríssimo:</t>
        </r>
        <r>
          <rPr>
            <sz val="9"/>
            <color indexed="81"/>
            <rFont val="Segoe UI"/>
            <family val="2"/>
          </rPr>
          <t xml:space="preserve">
Não inserir nomes com "pontos" (.), nem barras (/;-;_, etc). Evite qualquer tipo de caractere no nome do cliente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Usuário do Windows</author>
  </authors>
  <commentList>
    <comment ref="F2" authorId="0" shapeId="0" xr:uid="{00000000-0006-0000-0100-000001000000}">
      <text>
        <r>
          <rPr>
            <b/>
            <sz val="9"/>
            <color indexed="81"/>
            <rFont val="Segoe UI"/>
            <family val="2"/>
          </rPr>
          <t>Thayná:</t>
        </r>
        <r>
          <rPr>
            <sz val="9"/>
            <color indexed="81"/>
            <rFont val="Segoe UI"/>
            <family val="2"/>
          </rPr>
          <t xml:space="preserve">
Cuidado ao colocar caracteries nesse campo. Ele será copiado para o nome do arquivo.
Se contiver caracteries tais como: \ / * ! ? : " &lt; &gt; | a planilha apresentará um erro.
</t>
        </r>
        <r>
          <rPr>
            <b/>
            <u/>
            <sz val="9"/>
            <color indexed="81"/>
            <rFont val="Segoe UI"/>
            <family val="2"/>
          </rPr>
          <t>Prefira carecteries como: ( ) - _ = + &amp; #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SG Técnica</author>
  </authors>
  <commentList>
    <comment ref="CP3" authorId="0" shapeId="0" xr:uid="{00000000-0006-0000-0800-000001000000}">
      <text>
        <r>
          <rPr>
            <b/>
            <sz val="9"/>
            <color indexed="81"/>
            <rFont val="Segoe UI"/>
            <family val="2"/>
          </rPr>
          <t>SG Técnica:</t>
        </r>
        <r>
          <rPr>
            <sz val="9"/>
            <color indexed="81"/>
            <rFont val="Segoe UI"/>
            <family val="2"/>
          </rPr>
          <t xml:space="preserve">
Massa Corrigida
</t>
        </r>
      </text>
    </comment>
    <comment ref="DQ3" authorId="0" shapeId="0" xr:uid="{00000000-0006-0000-0800-000002000000}">
      <text>
        <r>
          <rPr>
            <b/>
            <sz val="9"/>
            <color indexed="81"/>
            <rFont val="Segoe UI"/>
            <family val="2"/>
          </rPr>
          <t>SG Técnica:</t>
        </r>
        <r>
          <rPr>
            <sz val="9"/>
            <color indexed="81"/>
            <rFont val="Segoe UI"/>
            <family val="2"/>
          </rPr>
          <t xml:space="preserve">
Massa Corrigida
</t>
        </r>
      </text>
    </comment>
    <comment ref="ER3" authorId="0" shapeId="0" xr:uid="{00000000-0006-0000-0800-000003000000}">
      <text>
        <r>
          <rPr>
            <b/>
            <sz val="9"/>
            <color indexed="81"/>
            <rFont val="Segoe UI"/>
            <family val="2"/>
          </rPr>
          <t>SG Técnica:</t>
        </r>
        <r>
          <rPr>
            <sz val="9"/>
            <color indexed="81"/>
            <rFont val="Segoe UI"/>
            <family val="2"/>
          </rPr>
          <t xml:space="preserve">
Massa Corrigida
</t>
        </r>
      </text>
    </comment>
    <comment ref="FS3" authorId="0" shapeId="0" xr:uid="{00000000-0006-0000-0800-000004000000}">
      <text>
        <r>
          <rPr>
            <b/>
            <sz val="9"/>
            <color indexed="81"/>
            <rFont val="Segoe UI"/>
            <family val="2"/>
          </rPr>
          <t>SG Técnica:</t>
        </r>
        <r>
          <rPr>
            <sz val="9"/>
            <color indexed="81"/>
            <rFont val="Segoe UI"/>
            <family val="2"/>
          </rPr>
          <t xml:space="preserve">
Massa Corrigida
</t>
        </r>
      </text>
    </comment>
  </commentList>
</comments>
</file>

<file path=xl/sharedStrings.xml><?xml version="1.0" encoding="utf-8"?>
<sst xmlns="http://schemas.openxmlformats.org/spreadsheetml/2006/main" count="1122" uniqueCount="394">
  <si>
    <t>Leitura</t>
  </si>
  <si>
    <t>Erro</t>
  </si>
  <si>
    <t>Técnico Responsável</t>
  </si>
  <si>
    <t>ITEM</t>
  </si>
  <si>
    <t>MARCAÇÃO</t>
  </si>
  <si>
    <t>IDENTIFICAÇÃO</t>
  </si>
  <si>
    <t>MATERIAL</t>
  </si>
  <si>
    <t xml:space="preserve">MASSA CONVENCIONAL (mg) </t>
  </si>
  <si>
    <t>INCERTEZA (mg)</t>
  </si>
  <si>
    <t>Aço Inoxidável</t>
  </si>
  <si>
    <t>ERRO                    (mg)</t>
  </si>
  <si>
    <t>Não Consta</t>
  </si>
  <si>
    <t>MASSA NOMINAL                                 (g)</t>
  </si>
  <si>
    <t>Ferro Fundido</t>
  </si>
  <si>
    <t>CERTIFICADO DE CALIBRAÇÃO N°</t>
  </si>
  <si>
    <t>DADOS DE CALIBRAÇÃO DOS PADRÕES</t>
  </si>
  <si>
    <t>Solicitante:</t>
  </si>
  <si>
    <t>Endereço:</t>
  </si>
  <si>
    <t>Cidade/UF:</t>
  </si>
  <si>
    <t>Fabricante:</t>
  </si>
  <si>
    <t>N° de série:</t>
  </si>
  <si>
    <t>Modelo:</t>
  </si>
  <si>
    <t>Cadastro:</t>
  </si>
  <si>
    <t>COLUNA AUXILIAR</t>
  </si>
  <si>
    <t>FATOR DE ABRANGÊNCIA</t>
  </si>
  <si>
    <t>Tipo de Plataforma</t>
  </si>
  <si>
    <t>PADRÕES UTILIZADOS</t>
  </si>
  <si>
    <t>CARGA 1</t>
  </si>
  <si>
    <t>N° AUX.</t>
  </si>
  <si>
    <t>S</t>
  </si>
  <si>
    <t>CARGA 2</t>
  </si>
  <si>
    <t>CARGA 3</t>
  </si>
  <si>
    <t>CARGA 4</t>
  </si>
  <si>
    <t xml:space="preserve">Carga </t>
  </si>
  <si>
    <t>UNIDADE DE CÁLCULO:</t>
  </si>
  <si>
    <t>Técnico Executante</t>
  </si>
  <si>
    <t>Classe de Exatidão:</t>
  </si>
  <si>
    <t>I</t>
  </si>
  <si>
    <t>Tipo de Instrumento:</t>
  </si>
  <si>
    <t>Calibração:</t>
  </si>
  <si>
    <t>Umidade:</t>
  </si>
  <si>
    <t>Pressão:</t>
  </si>
  <si>
    <t>DATA CALIBRAÇÃO:</t>
  </si>
  <si>
    <t>hPa</t>
  </si>
  <si>
    <t>%UR</t>
  </si>
  <si>
    <t>°C</t>
  </si>
  <si>
    <t>p =</t>
  </si>
  <si>
    <t>mbar ou hPa</t>
  </si>
  <si>
    <t>h =</t>
  </si>
  <si>
    <t>t =</t>
  </si>
  <si>
    <t>Resultado</t>
  </si>
  <si>
    <t>DA =</t>
  </si>
  <si>
    <t>Kg/m³</t>
  </si>
  <si>
    <t>Legenda</t>
  </si>
  <si>
    <t>p = Pressão atmosférica em mbar ou hPa.</t>
  </si>
  <si>
    <t>h = Umidade relativa em %.</t>
  </si>
  <si>
    <t>t = Temperatura em °C.</t>
  </si>
  <si>
    <t>Condições Ambientais</t>
  </si>
  <si>
    <t xml:space="preserve">DA = </t>
  </si>
  <si>
    <t>TEMP</t>
  </si>
  <si>
    <t>UMI</t>
  </si>
  <si>
    <t>PRES</t>
  </si>
  <si>
    <t>Mín</t>
  </si>
  <si>
    <t>Máx</t>
  </si>
  <si>
    <t>mg/m³</t>
  </si>
  <si>
    <t>UDA=</t>
  </si>
  <si>
    <t>Erros Máximos Permitidos</t>
  </si>
  <si>
    <t>Classes de Exatidão</t>
  </si>
  <si>
    <t>II</t>
  </si>
  <si>
    <t>III</t>
  </si>
  <si>
    <t>IIII</t>
  </si>
  <si>
    <t>e</t>
  </si>
  <si>
    <t>Pontos</t>
  </si>
  <si>
    <t>Carga</t>
  </si>
  <si>
    <t>1ª faixa</t>
  </si>
  <si>
    <t>2ª faixa</t>
  </si>
  <si>
    <t>3ª faixa</t>
  </si>
  <si>
    <t>Faixa</t>
  </si>
  <si>
    <t>Limite da faixa</t>
  </si>
  <si>
    <t>Unidade de massa utilizada:</t>
  </si>
  <si>
    <t>Desvio máximo</t>
  </si>
  <si>
    <t>Análise</t>
  </si>
  <si>
    <t>≤ m ≤</t>
  </si>
  <si>
    <t xml:space="preserve"> ≤ m ≤</t>
  </si>
  <si>
    <t>&lt; m ≤</t>
  </si>
  <si>
    <t xml:space="preserve">&lt; m   </t>
  </si>
  <si>
    <t>Inferior</t>
  </si>
  <si>
    <t>Superior</t>
  </si>
  <si>
    <t>Desvio Permissível</t>
  </si>
  <si>
    <t>Validade</t>
  </si>
  <si>
    <t>VALIDADE</t>
  </si>
  <si>
    <t>ºC</t>
  </si>
  <si>
    <t>CERTIFICADO DE CALIBRAÇÃO</t>
  </si>
  <si>
    <t>Setor:</t>
  </si>
  <si>
    <t>Condições Ambientais:</t>
  </si>
  <si>
    <t>Leitura 1</t>
  </si>
  <si>
    <t>Leitura 2</t>
  </si>
  <si>
    <t>Leitura 3</t>
  </si>
  <si>
    <t>Incerteza Expandida</t>
  </si>
  <si>
    <t>Temperatura:</t>
  </si>
  <si>
    <t>Maior Incerteza Expandida Calculada</t>
  </si>
  <si>
    <t>Maior Erro Sistemático Calculado</t>
  </si>
  <si>
    <t xml:space="preserve">  * Desvios = Erros Sistemáticos ± Incertezas </t>
  </si>
  <si>
    <t>DATA EMISSÃO:</t>
  </si>
  <si>
    <t>CNPJ:</t>
  </si>
  <si>
    <t>Leitura
Preliminar</t>
  </si>
  <si>
    <t>Anexo 1 - Teste Complementar</t>
  </si>
  <si>
    <t>PADRÕES UTILIZADOS / CARGA EM ZERO</t>
  </si>
  <si>
    <t>Desvio Máximo
Calculado *</t>
  </si>
  <si>
    <t>Incerteza da deriva do padrão (Ud) =</t>
  </si>
  <si>
    <t>CLASSE</t>
  </si>
  <si>
    <t>F1</t>
  </si>
  <si>
    <t>M1</t>
  </si>
  <si>
    <t>Limites das Condições Ambientais</t>
  </si>
  <si>
    <t>-</t>
  </si>
  <si>
    <t>UDA = Incarteza da Densidade do Ar (kg/m³).</t>
  </si>
  <si>
    <t>DA = Densidade do Ar (kg/m³).</t>
  </si>
  <si>
    <t>DADOS DO PADRÃO PARA CONDIÇÕES AMBIENTAIS</t>
  </si>
  <si>
    <t>GRANDEZAS</t>
  </si>
  <si>
    <t>TEMPERATURA</t>
  </si>
  <si>
    <t>UMIDADE</t>
  </si>
  <si>
    <t>PRESSÃO</t>
  </si>
  <si>
    <t>TU-003</t>
  </si>
  <si>
    <t>ERRO</t>
  </si>
  <si>
    <t>RAZÃO SOCIAL</t>
  </si>
  <si>
    <t>NOME FATASIA</t>
  </si>
  <si>
    <t>UNIDADE</t>
  </si>
  <si>
    <t>ENDEREÇO</t>
  </si>
  <si>
    <t>CIDADE</t>
  </si>
  <si>
    <t>UF</t>
  </si>
  <si>
    <t>CNPJ</t>
  </si>
  <si>
    <t>FONE</t>
  </si>
  <si>
    <t>EMAIL</t>
  </si>
  <si>
    <t>Variação</t>
  </si>
  <si>
    <t>% UR</t>
  </si>
  <si>
    <t>Desvio Adotado</t>
  </si>
  <si>
    <t>UrDA=</t>
  </si>
  <si>
    <t>Desvio Permissível
Adotado</t>
  </si>
  <si>
    <t>Certificado Gerado:</t>
  </si>
  <si>
    <t>Certificado Substituido:</t>
  </si>
  <si>
    <t>1. DADOS DO CLIENTE</t>
  </si>
  <si>
    <t>2. DADOS DO INSTRUMENTO</t>
  </si>
  <si>
    <t>3. INFORMAÇÕES SOBRE O PROCEDIMENTO</t>
  </si>
  <si>
    <t>Padrão de Referência:</t>
  </si>
  <si>
    <t>4. TESTE DE ERROS DE INDICAÇÃO</t>
  </si>
  <si>
    <t>Conjunto de Pesos Utilizados</t>
  </si>
  <si>
    <t>Pontos de Ensaio</t>
  </si>
  <si>
    <t>Circular</t>
  </si>
  <si>
    <t>6. DESVIO PERMISSÍVEL</t>
  </si>
  <si>
    <t>7. OBSERVAÇÕES</t>
  </si>
  <si>
    <t>4. RASTREABILIDADE DOS PADRÕES DE REFERÊNCIA</t>
  </si>
  <si>
    <t xml:space="preserve">  Identificação</t>
  </si>
  <si>
    <t>Descrição</t>
  </si>
  <si>
    <t>Nº Certificado</t>
  </si>
  <si>
    <t>Acreditação</t>
  </si>
  <si>
    <t>CONJUNTO</t>
  </si>
  <si>
    <t>CERTIFICADO ATUAL</t>
  </si>
  <si>
    <t>5. APRESENTAÇÃO DOS RESULTADOS</t>
  </si>
  <si>
    <t>[U]</t>
  </si>
  <si>
    <t>[k]</t>
  </si>
  <si>
    <t>[Veff]</t>
  </si>
  <si>
    <t>Leitura Preliminar</t>
  </si>
  <si>
    <t>Média das Leituras</t>
  </si>
  <si>
    <t>Fator de Abrangência</t>
  </si>
  <si>
    <t>Graus de Liberdade Efetivo</t>
  </si>
  <si>
    <t>6. DECLARAÇÃO DA CONFORMIDADE</t>
  </si>
  <si>
    <t>Depois do Ajuste</t>
  </si>
  <si>
    <t>Incerteza</t>
  </si>
  <si>
    <t>(Valor de Referência)</t>
  </si>
  <si>
    <t>Data Calibração:</t>
  </si>
  <si>
    <t>Incerteza estimada por meios estatísticos (uR) =</t>
  </si>
  <si>
    <t>Incerteza do peso padrão (uP) =</t>
  </si>
  <si>
    <t>Incerteza da resolução do Instrumento (uRE) =</t>
  </si>
  <si>
    <t>Incerteza do empuxo (uE) =</t>
  </si>
  <si>
    <t>Incerteza da excentricidade (uEX) =</t>
  </si>
  <si>
    <t>Incerteza Padrão Combinada (uC) =</t>
  </si>
  <si>
    <t>Graus de Liberdade Efetivo (Veff) =</t>
  </si>
  <si>
    <t>Fator de Abrangência (k) =</t>
  </si>
  <si>
    <t>Incerteza Expandida (U) =</t>
  </si>
  <si>
    <t>k</t>
  </si>
  <si>
    <t>Veff</t>
  </si>
  <si>
    <t>Tabela de Massa Específica Estimada</t>
  </si>
  <si>
    <t>Material</t>
  </si>
  <si>
    <t>Massa Específica</t>
  </si>
  <si>
    <t>Alumínio</t>
  </si>
  <si>
    <t>Níquel</t>
  </si>
  <si>
    <t>Aço inoxidável</t>
  </si>
  <si>
    <t>Latão/Bronze</t>
  </si>
  <si>
    <t>Ferro fundido ou similar</t>
  </si>
  <si>
    <t>Referencia</t>
  </si>
  <si>
    <t>AR</t>
  </si>
  <si>
    <t>VALOR DE REFERÊNCIA (mg)</t>
  </si>
  <si>
    <t>MASSA ESPECÍFICA (Du) (mg/m^3)</t>
  </si>
  <si>
    <t>Vff PESO PADRÃO (Vi)</t>
  </si>
  <si>
    <t>PARCELA Vff
(uP)^4 / Vi</t>
  </si>
  <si>
    <t>INCERTEZA DA DERIVA (uD) (mg)</t>
  </si>
  <si>
    <t>INCERTEZA DO PESO
uPi / kci (mg)</t>
  </si>
  <si>
    <t>Antes do Ajuste</t>
  </si>
  <si>
    <t>6. OBSERVAÇÕES</t>
  </si>
  <si>
    <t xml:space="preserve">Umidade:  </t>
  </si>
  <si>
    <t xml:space="preserve">Temperatura:  </t>
  </si>
  <si>
    <t xml:space="preserve">      Pressão:</t>
  </si>
  <si>
    <t>DADOS DOS PADRÕES</t>
  </si>
  <si>
    <t>ACREDITAÇÃO</t>
  </si>
  <si>
    <t>TABELA VALOR DE k</t>
  </si>
  <si>
    <t>LEITURA</t>
  </si>
  <si>
    <t>Condições Ambientais Corrigidas</t>
  </si>
  <si>
    <t>Equação da Temperatura</t>
  </si>
  <si>
    <t>x         +</t>
  </si>
  <si>
    <t>Equação da Umidade</t>
  </si>
  <si>
    <t>Equação da Pressão</t>
  </si>
  <si>
    <t>Unidade:</t>
  </si>
  <si>
    <t>Periodicidade:</t>
  </si>
  <si>
    <t>Capacidade 1:</t>
  </si>
  <si>
    <t>Divisão real 1:</t>
  </si>
  <si>
    <t>Div. verificação 1:</t>
  </si>
  <si>
    <t>Capacidade 2:</t>
  </si>
  <si>
    <t>Divisão Real 2:</t>
  </si>
  <si>
    <t>Div. Verificação 2:</t>
  </si>
  <si>
    <t>Retangular</t>
  </si>
  <si>
    <t>7. LEGENDA</t>
  </si>
  <si>
    <t>[VN]</t>
  </si>
  <si>
    <t>- Valor Nominal do ponto de calibração;</t>
  </si>
  <si>
    <t>[VR]</t>
  </si>
  <si>
    <t>- Valor de Referência do(s) padrão(ões) utilizado(s);</t>
  </si>
  <si>
    <t>- Erro Sistemático obtido através da diferença entre o Valor Médio e o Valor de Referência;</t>
  </si>
  <si>
    <t>- Incerteza Expandida;</t>
  </si>
  <si>
    <t>- Fator de Abrangência;</t>
  </si>
  <si>
    <t>- Graus de Liberdade Efetivo da Incerteza Padrão;</t>
  </si>
  <si>
    <t>8. LEGENDA</t>
  </si>
  <si>
    <t>- Valor Médio de 3 (três) leituras;</t>
  </si>
  <si>
    <t>[Epi]*</t>
  </si>
  <si>
    <t>IMPRIMIR</t>
  </si>
  <si>
    <t>[Td]</t>
  </si>
  <si>
    <t>Tendência</t>
  </si>
  <si>
    <t>[VML]</t>
  </si>
  <si>
    <t>VN</t>
  </si>
  <si>
    <t>VR</t>
  </si>
  <si>
    <t>VML</t>
  </si>
  <si>
    <t>Td</t>
  </si>
  <si>
    <t>U</t>
  </si>
  <si>
    <t>[LP]</t>
  </si>
  <si>
    <t>LP</t>
  </si>
  <si>
    <t>- Leitura Preliminar ao ajuste;</t>
  </si>
  <si>
    <t>DADOS IMPORTANTES</t>
  </si>
  <si>
    <t>y</t>
  </si>
  <si>
    <t>x</t>
  </si>
  <si>
    <t>y cal</t>
  </si>
  <si>
    <t>Curva de calibração e erro de linearidade:</t>
  </si>
  <si>
    <t>Cuva de calibração</t>
  </si>
  <si>
    <t xml:space="preserve">VR = </t>
  </si>
  <si>
    <t>ELin</t>
  </si>
  <si>
    <t>- Erro de Linearidade da equação da curva de calibração;</t>
  </si>
  <si>
    <t>TESTE DE EXCENTRICIDADE</t>
  </si>
  <si>
    <t xml:space="preserve">* VML </t>
  </si>
  <si>
    <t xml:space="preserve">* VML^2 </t>
  </si>
  <si>
    <t xml:space="preserve">* VML^3 </t>
  </si>
  <si>
    <t>[P2] - [P1]</t>
  </si>
  <si>
    <t>[P3] - [P1]</t>
  </si>
  <si>
    <t>[P4] - [P1]</t>
  </si>
  <si>
    <t>[P5] - [P1]</t>
  </si>
  <si>
    <t>*Erro Aleatório obtido através da diferença entre as leituras de cada ponto de excentricidade, em relação ao ponto de centro (P1).</t>
  </si>
  <si>
    <t>ENSAIO DE SEÇÃO</t>
  </si>
  <si>
    <t>5. TESTE DE EXCENTRICIDADE / SEÇÃO</t>
  </si>
  <si>
    <t>P1 / A</t>
  </si>
  <si>
    <t>P2 / B</t>
  </si>
  <si>
    <t>P3 / C</t>
  </si>
  <si>
    <t>P4 / D</t>
  </si>
  <si>
    <t>P5 / E</t>
  </si>
  <si>
    <t>Plataforma rodoviária</t>
  </si>
  <si>
    <t>[A] - [C]</t>
  </si>
  <si>
    <t>[B] - [C]</t>
  </si>
  <si>
    <t>[D] - [C]</t>
  </si>
  <si>
    <t>[E] - [C]</t>
  </si>
  <si>
    <t>*Erro Aleatório obtido através da diferença entre as leituras de cada ponto de seção em relação ao ponto central "C".</t>
  </si>
  <si>
    <t>=E40;E42;E43;E44;E45;E46</t>
  </si>
  <si>
    <t>INCERTEZA DA DERIVA uD
(mg)</t>
  </si>
  <si>
    <t>Definições</t>
  </si>
  <si>
    <t>Caminho principal onde armazenará os certificados:</t>
  </si>
  <si>
    <t>Signatário 2</t>
  </si>
  <si>
    <t>Signatário 3</t>
  </si>
  <si>
    <r>
      <t xml:space="preserve">Nome da próxima pasta a ser criada </t>
    </r>
    <r>
      <rPr>
        <b/>
        <sz val="10"/>
        <color theme="0"/>
        <rFont val="Arial"/>
        <family val="2"/>
      </rPr>
      <t>(nome do cliente)</t>
    </r>
  </si>
  <si>
    <r>
      <t>Nome da próxima pasta a ser criada (</t>
    </r>
    <r>
      <rPr>
        <b/>
        <sz val="10"/>
        <color theme="0"/>
        <rFont val="Arial"/>
        <family val="2"/>
      </rPr>
      <t>ano atual</t>
    </r>
    <r>
      <rPr>
        <sz val="10"/>
        <color theme="0"/>
        <rFont val="Arial"/>
        <family val="2"/>
      </rPr>
      <t>)</t>
    </r>
  </si>
  <si>
    <r>
      <t xml:space="preserve">Nome da próxima pasta a ser criada </t>
    </r>
    <r>
      <rPr>
        <b/>
        <sz val="10"/>
        <color theme="0"/>
        <rFont val="Arial"/>
        <family val="2"/>
      </rPr>
      <t>(n° Ordem de Serviço)</t>
    </r>
  </si>
  <si>
    <t>Técnico 4</t>
  </si>
  <si>
    <t>1. Pasta para Salvar Como automaticamente</t>
  </si>
  <si>
    <t>3. Nomes de Signatários autorizados</t>
  </si>
  <si>
    <t>2. Nomes de Técnicos executantes</t>
  </si>
  <si>
    <t>Nossa planilha tem o recurso automático de "Salvar Como" seu certificado iniciado, em uma pasta já pre definida e que pode ser nomeada com o nome do cliente de forma a melhorar a organização.
Dessa forma, ao clicar em "Salvar Como" na aba "Entrada de Dados", o arquivo irá automaticamente para a pasta principal que selecionar em 1, depois procurara uma pasta com nome do Cleinte (2), e se não tiver, ele criará uma. Depois, dentro da pasta do Cliente, ele cria outra pasta do ano atual (3), em seguida um outra para a Ordem de Serviço (4) deste Certificado específico!
 Se forem mais de um certificado, não tem problema, ele salvará uma cópia sempre na mesma pasta.</t>
  </si>
  <si>
    <t>Se você tiver algum conhecimento mais avançado em Excel e quiser mudar os padrões das pastas, pode, basta definir o nome desejado nas celulas F8, F9 e F10. Sempre tomando o cuidado de inserir o "\" no final, só assim o Windowns reconhece como um caminho de arquivo válido.</t>
  </si>
  <si>
    <t>C:\Users\Roldão Batista\OneDrive\PASTA COMPARTILHADA SOLUTION\CERTIFICADO\</t>
  </si>
  <si>
    <t>Roldão Batista da Silva Filho</t>
  </si>
  <si>
    <t>Hugo Alexandre Souza Petezold</t>
  </si>
  <si>
    <t>JBS S/A</t>
  </si>
  <si>
    <t>COUROS</t>
  </si>
  <si>
    <t>Av. Principal 01 nº 354 , Nucleo industrial</t>
  </si>
  <si>
    <t>Campo Grande</t>
  </si>
  <si>
    <t>MS</t>
  </si>
  <si>
    <t>dario.rosa@jbs.com.br</t>
  </si>
  <si>
    <t>1mg à 500mg</t>
  </si>
  <si>
    <t>WL217/2022</t>
  </si>
  <si>
    <t>CAL 0682</t>
  </si>
  <si>
    <t>1g à 2kg</t>
  </si>
  <si>
    <t>WL218/2022</t>
  </si>
  <si>
    <t>WL219/2022</t>
  </si>
  <si>
    <t>25 x 20kg</t>
  </si>
  <si>
    <t>P-421</t>
  </si>
  <si>
    <t>CAL 0460</t>
  </si>
  <si>
    <t>n/c</t>
  </si>
  <si>
    <t>ponto</t>
  </si>
  <si>
    <t>2*</t>
  </si>
  <si>
    <t>20*</t>
  </si>
  <si>
    <t>200*</t>
  </si>
  <si>
    <t>2</t>
  </si>
  <si>
    <t>m 5kg</t>
  </si>
  <si>
    <t>m 10kg</t>
  </si>
  <si>
    <t>m 20kg</t>
  </si>
  <si>
    <t>a1</t>
  </si>
  <si>
    <t>MA-00083</t>
  </si>
  <si>
    <t>CAL 0268</t>
  </si>
  <si>
    <t>22 X 500kg</t>
  </si>
  <si>
    <t>22 x 500kg</t>
  </si>
  <si>
    <t>a2</t>
  </si>
  <si>
    <t>M3</t>
  </si>
  <si>
    <t>a3</t>
  </si>
  <si>
    <t>a4</t>
  </si>
  <si>
    <t>a5</t>
  </si>
  <si>
    <t>a8</t>
  </si>
  <si>
    <t>a10</t>
  </si>
  <si>
    <t>a17</t>
  </si>
  <si>
    <t>a18</t>
  </si>
  <si>
    <t>a19</t>
  </si>
  <si>
    <t>a21</t>
  </si>
  <si>
    <t>a24</t>
  </si>
  <si>
    <t>a25</t>
  </si>
  <si>
    <t>Balança</t>
  </si>
  <si>
    <t>CAL 0XXX</t>
  </si>
  <si>
    <t>X</t>
  </si>
  <si>
    <r>
      <t xml:space="preserve">• A calibração foi realizada através do método de comparação direta de massa, descrito na Instrução de Trabalho IT.LAB.003 </t>
    </r>
    <r>
      <rPr>
        <sz val="8"/>
        <color theme="7"/>
        <rFont val="Arial"/>
        <family val="2"/>
      </rPr>
      <t>Rev 0;</t>
    </r>
    <r>
      <rPr>
        <sz val="8"/>
        <rFont val="Arial"/>
        <family val="2"/>
      </rPr>
      <t xml:space="preserve">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t>
    </r>
    <r>
      <rPr>
        <sz val="8"/>
        <color rgb="FF00447C"/>
        <rFont val="Arial"/>
        <family val="2"/>
      </rPr>
      <t xml:space="preserve"> </t>
    </r>
    <r>
      <rPr>
        <sz val="8"/>
        <rFont val="Arial"/>
        <family val="2"/>
      </rPr>
      <t xml:space="preserve">anos;
• Tempo de climatização dos Pesos Padrões: 20 minutos;
• Os pontos de medição, foram acordados com o cliente;
</t>
    </r>
    <r>
      <rPr>
        <sz val="8"/>
        <color rgb="FF7030A0"/>
        <rFont val="Arial"/>
        <family val="2"/>
      </rPr>
      <t>• A validade deste certificado está submetida à periodicidade fornecida pelo cliente, a Balanças Solution se isenta de qualquer relação com a validade estipulada neste certificado;</t>
    </r>
    <r>
      <rPr>
        <sz val="8"/>
        <rFont val="Arial"/>
        <family val="2"/>
      </rPr>
      <t xml:space="preserve">
</t>
    </r>
    <r>
      <rPr>
        <b/>
        <sz val="8"/>
        <color rgb="FFC00000"/>
        <rFont val="Arial"/>
        <family val="2"/>
      </rPr>
      <t>• Acordos com o cliente:</t>
    </r>
    <r>
      <rPr>
        <sz val="8"/>
        <color rgb="FFC00000"/>
        <rFont val="Arial"/>
        <family val="2"/>
      </rPr>
      <t xml:space="preserve"> </t>
    </r>
    <r>
      <rPr>
        <sz val="8"/>
        <color rgb="FF7030A0"/>
        <rFont val="Arial"/>
        <family val="2"/>
      </rPr>
      <t>periodicidade de 6 meses</t>
    </r>
    <r>
      <rPr>
        <sz val="8"/>
        <color rgb="FFC00000"/>
        <rFont val="Arial"/>
        <family val="2"/>
      </rPr>
      <t xml:space="preserve"> </t>
    </r>
    <r>
      <rPr>
        <b/>
        <sz val="8"/>
        <color rgb="FFC00000"/>
        <rFont val="Arial"/>
        <family val="2"/>
      </rPr>
      <t>adotada pelo Cliente.</t>
    </r>
  </si>
  <si>
    <t>OS</t>
  </si>
  <si>
    <t>Av. Conde da Boa vista, 548. Campo Grande-MS - CEP 79094-050
Telefone: (067) 99696-9960 / www.balancassolution.com.br
E-mail: contato@balancassolution.com.br</t>
  </si>
  <si>
    <t>02.916.265/0074-15</t>
  </si>
  <si>
    <t>JBS S.A</t>
  </si>
  <si>
    <t>FRIGOLON FRIGORIFICO LTDA</t>
  </si>
  <si>
    <t>ROD MS-338, sn, PROL AV RENI C. ARA</t>
  </si>
  <si>
    <t>SANTA RITA DO PARDO</t>
  </si>
  <si>
    <t>13.392.293/0001-41</t>
  </si>
  <si>
    <t>2611.08/23</t>
  </si>
  <si>
    <t>MC-3186224</t>
  </si>
  <si>
    <t>5kg e 10kg e 5x20kg</t>
  </si>
  <si>
    <t>PETROPLUS SUL COM. EXT. LTDA</t>
  </si>
  <si>
    <t>CAMPO GRANDE</t>
  </si>
  <si>
    <t>AV. Jamil Nahas 741</t>
  </si>
  <si>
    <t>02.328.237/0001-21</t>
  </si>
  <si>
    <t>Wesley Jose Mariano de Oliveira</t>
  </si>
  <si>
    <t>LOUIS DREYFUS COMPANY BRASIL S.A</t>
  </si>
  <si>
    <t>NOVA MUTUM</t>
  </si>
  <si>
    <t>AV PERIMETRAL DAS SAMAMBAIAS 3378</t>
  </si>
  <si>
    <t>MT</t>
  </si>
  <si>
    <t>47.067.525/0215-39</t>
  </si>
  <si>
    <t>NUCTRAMIX LTDA</t>
  </si>
  <si>
    <t>RONDONOPOLIS</t>
  </si>
  <si>
    <t>RUA RIO PRETO 1031</t>
  </si>
  <si>
    <t>21.437.316/0009-72</t>
  </si>
  <si>
    <t>CERAMFIX INDUSTRIA COMERCIO DE ARGAMASSAS E REJUNTES SA</t>
  </si>
  <si>
    <t>AV EDGAR LOPES DE FARIAS 129</t>
  </si>
  <si>
    <t>07.293.000/0010-67</t>
  </si>
  <si>
    <t>quilograma (kg)</t>
  </si>
  <si>
    <t>CERAMFIX IND. COM. DE ARGAMASSAS E REJUNTES</t>
  </si>
  <si>
    <t>SEARA ALIMENTOS LTDA</t>
  </si>
  <si>
    <t>TANGARA DA SERRA</t>
  </si>
  <si>
    <t>AV. LIONS INTERNACIONAL 1480</t>
  </si>
  <si>
    <t>02.914.460/0295-66</t>
  </si>
  <si>
    <t>(65) 99269-7727</t>
  </si>
  <si>
    <t>COBRAZEM AGROINDUSTRIAL LTDA</t>
  </si>
  <si>
    <t>CUIABA</t>
  </si>
  <si>
    <t>ROD. DOS IMIGRANTES 156</t>
  </si>
  <si>
    <t>01.823.580/0008-56</t>
  </si>
  <si>
    <t>AGROPASTORIL JOTABASSO LTDA</t>
  </si>
  <si>
    <t>FAZENDA VERDE</t>
  </si>
  <si>
    <t>ROD. BR 163 KM 102, ZONA RURAL</t>
  </si>
  <si>
    <t>87.700.746/0012-49</t>
  </si>
  <si>
    <t>Meses</t>
  </si>
  <si>
    <t>74</t>
  </si>
  <si>
    <t>ADAIR JOSE MENEGOL</t>
  </si>
  <si>
    <t>GLEBA IQUE, LOTE RURAL 23, SETOR TENENTE</t>
  </si>
  <si>
    <t>VILHENA</t>
  </si>
  <si>
    <t>FAZ. RETIRO</t>
  </si>
  <si>
    <t>RO</t>
  </si>
  <si>
    <t>953.801.080-91</t>
  </si>
  <si>
    <t>CIANORTE</t>
  </si>
  <si>
    <t>BRO</t>
  </si>
  <si>
    <t>061023</t>
  </si>
  <si>
    <t>FATURAMENTO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</si>
</sst>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3">
    <numFmt numFmtId="164" formatCode="_(&quot;R$&quot;* #,##0.00_);_(&quot;R$&quot;* \(#,##0.00\);_(&quot;R$&quot;* &quot;-&quot;??_);_(@_)"/>
    <numFmt numFmtId="165" formatCode="_(* #,##0.00_);_(* \(#,##0.00\);_(* &quot;-&quot;??_);_(@_)"/>
    <numFmt numFmtId="166" formatCode="0.0"/>
    <numFmt numFmtId="167" formatCode="0.000"/>
    <numFmt numFmtId="168" formatCode="0.0000"/>
    <numFmt numFmtId="169" formatCode="0.00000"/>
    <numFmt numFmtId="170" formatCode="0.000000"/>
    <numFmt numFmtId="171" formatCode="0.000000000"/>
    <numFmt numFmtId="172" formatCode="0.00000000"/>
    <numFmt numFmtId="173" formatCode="0.000000000000000"/>
    <numFmt numFmtId="174" formatCode="\(00\)\ 0000\-0000"/>
    <numFmt numFmtId="175" formatCode="00,000,000,000,0\-00"/>
    <numFmt numFmtId="176" formatCode="&quot;&quot;00&quot;.&quot;\ 000&quot;.&quot;000&quot;/&quot;0000\-00"/>
    <numFmt numFmtId="177" formatCode="#,##0.00000"/>
    <numFmt numFmtId="178" formatCode="0.0000000E+00"/>
    <numFmt numFmtId="179" formatCode="0.00000000000"/>
    <numFmt numFmtId="180" formatCode="000"/>
    <numFmt numFmtId="181" formatCode="\±\ 0.00000"/>
    <numFmt numFmtId="182" formatCode="0\ &quot;kg/m3&quot;"/>
    <numFmt numFmtId="183" formatCode="0.00\ &quot;kg/m3&quot;"/>
    <numFmt numFmtId="184" formatCode="0.0E+00"/>
    <numFmt numFmtId="185" formatCode="\±\ 0.00"/>
    <numFmt numFmtId="186" formatCode="\(00\)\ 00000\-0000"/>
  </numFmts>
  <fonts count="75" x14ac:knownFonts="1">
    <font>
      <sz val="10"/>
      <name val="Arial"/>
    </font>
    <font>
      <sz val="11"/>
      <color theme="1"/>
      <name val="Calibri"/>
      <family val="2"/>
      <scheme val="minor"/>
    </font>
    <font>
      <sz val="10"/>
      <name val="Arial"/>
      <family val="2"/>
    </font>
    <font>
      <sz val="10"/>
      <name val="Arial"/>
      <family val="2"/>
    </font>
    <font>
      <b/>
      <sz val="10"/>
      <name val="Arial"/>
      <family val="2"/>
    </font>
    <font>
      <b/>
      <sz val="8"/>
      <name val="Arial"/>
      <family val="2"/>
    </font>
    <font>
      <sz val="9"/>
      <name val="Arial"/>
      <family val="2"/>
    </font>
    <font>
      <b/>
      <sz val="9"/>
      <name val="Arial"/>
      <family val="2"/>
    </font>
    <font>
      <sz val="8"/>
      <name val="Arial"/>
      <family val="2"/>
    </font>
    <font>
      <sz val="10"/>
      <name val="Symbol"/>
      <family val="1"/>
      <charset val="2"/>
    </font>
    <font>
      <sz val="11"/>
      <name val="Arial"/>
      <family val="2"/>
    </font>
    <font>
      <b/>
      <sz val="12"/>
      <name val="Arial"/>
      <family val="2"/>
    </font>
    <font>
      <b/>
      <sz val="11"/>
      <name val="Arial"/>
      <family val="2"/>
    </font>
    <font>
      <b/>
      <sz val="18"/>
      <name val="Arial"/>
      <family val="2"/>
    </font>
    <font>
      <b/>
      <sz val="16"/>
      <name val="Arial"/>
      <family val="2"/>
    </font>
    <font>
      <b/>
      <sz val="7"/>
      <name val="Arial"/>
      <family val="2"/>
    </font>
    <font>
      <sz val="9.5"/>
      <name val="Arial"/>
      <family val="2"/>
    </font>
    <font>
      <sz val="9.5"/>
      <name val="Symbol"/>
      <family val="1"/>
      <charset val="2"/>
    </font>
    <font>
      <sz val="6"/>
      <name val="Arial"/>
      <family val="2"/>
    </font>
    <font>
      <sz val="7"/>
      <name val="Arial"/>
      <family val="2"/>
    </font>
    <font>
      <sz val="11"/>
      <color theme="1"/>
      <name val="Calibri"/>
      <family val="2"/>
      <scheme val="minor"/>
    </font>
    <font>
      <sz val="10"/>
      <color theme="6" tint="0.79998168889431442"/>
      <name val="Arial"/>
      <family val="2"/>
    </font>
    <font>
      <b/>
      <sz val="9"/>
      <color rgb="FFE07515"/>
      <name val="Georgia"/>
      <family val="1"/>
    </font>
    <font>
      <b/>
      <sz val="10"/>
      <color rgb="FFE07515"/>
      <name val="Arial"/>
      <family val="2"/>
    </font>
    <font>
      <sz val="10"/>
      <color rgb="FFE07515"/>
      <name val="Arial"/>
      <family val="2"/>
    </font>
    <font>
      <b/>
      <sz val="10"/>
      <color theme="0"/>
      <name val="Arial"/>
      <family val="2"/>
    </font>
    <font>
      <b/>
      <sz val="12"/>
      <color theme="0"/>
      <name val="Arial"/>
      <family val="2"/>
    </font>
    <font>
      <sz val="11"/>
      <color theme="1"/>
      <name val="Arial"/>
      <family val="2"/>
    </font>
    <font>
      <sz val="10"/>
      <color rgb="FF000000"/>
      <name val="Arial"/>
      <family val="2"/>
    </font>
    <font>
      <b/>
      <sz val="12"/>
      <color rgb="FFFFFFFF"/>
      <name val="Arial"/>
      <family val="2"/>
    </font>
    <font>
      <sz val="9"/>
      <color rgb="FF000000"/>
      <name val="Arial"/>
      <family val="2"/>
    </font>
    <font>
      <b/>
      <sz val="10"/>
      <color theme="0" tint="-0.499984740745262"/>
      <name val="Arial"/>
      <family val="2"/>
    </font>
    <font>
      <sz val="10"/>
      <color theme="0" tint="-0.499984740745262"/>
      <name val="Arial"/>
      <family val="2"/>
    </font>
    <font>
      <b/>
      <sz val="10"/>
      <color theme="2" tint="-0.749992370372631"/>
      <name val="Arial"/>
      <family val="2"/>
    </font>
    <font>
      <b/>
      <sz val="10"/>
      <color theme="1" tint="0.499984740745262"/>
      <name val="Arial"/>
      <family val="2"/>
    </font>
    <font>
      <sz val="10"/>
      <color theme="1" tint="0.499984740745262"/>
      <name val="Arial"/>
      <family val="2"/>
    </font>
    <font>
      <b/>
      <sz val="10"/>
      <color rgb="FF000000"/>
      <name val="Arial"/>
      <family val="2"/>
    </font>
    <font>
      <sz val="10"/>
      <color theme="2"/>
      <name val="Arial"/>
      <family val="2"/>
    </font>
    <font>
      <sz val="9"/>
      <color indexed="81"/>
      <name val="Segoe UI"/>
      <family val="2"/>
    </font>
    <font>
      <b/>
      <sz val="9"/>
      <color indexed="81"/>
      <name val="Segoe UI"/>
      <family val="2"/>
    </font>
    <font>
      <b/>
      <sz val="14"/>
      <name val="Arial"/>
      <family val="2"/>
    </font>
    <font>
      <sz val="9"/>
      <name val="Symbol"/>
      <family val="1"/>
      <charset val="2"/>
    </font>
    <font>
      <b/>
      <sz val="9"/>
      <color rgb="FFE07515"/>
      <name val="Arial"/>
      <family val="2"/>
    </font>
    <font>
      <b/>
      <sz val="9"/>
      <color rgb="FF000000"/>
      <name val="Bradley Hand ITC"/>
      <family val="4"/>
    </font>
    <font>
      <b/>
      <sz val="9"/>
      <name val="Bradley Hand ITC"/>
      <family val="4"/>
    </font>
    <font>
      <b/>
      <sz val="14"/>
      <name val="Bradley Hand ITC"/>
      <family val="4"/>
    </font>
    <font>
      <sz val="9.5"/>
      <color theme="0"/>
      <name val="Arial"/>
      <family val="2"/>
    </font>
    <font>
      <sz val="10"/>
      <color theme="0"/>
      <name val="Arial"/>
      <family val="2"/>
    </font>
    <font>
      <b/>
      <sz val="10"/>
      <color rgb="FFFFFFFF"/>
      <name val="Arial"/>
      <family val="2"/>
    </font>
    <font>
      <sz val="10"/>
      <color theme="1"/>
      <name val="Arial"/>
      <family val="2"/>
    </font>
    <font>
      <b/>
      <sz val="10"/>
      <color theme="1"/>
      <name val="Arial"/>
      <family val="2"/>
    </font>
    <font>
      <b/>
      <sz val="11"/>
      <color rgb="FFFFFFFF"/>
      <name val="Arial"/>
      <family val="2"/>
    </font>
    <font>
      <sz val="8"/>
      <color theme="7"/>
      <name val="Arial"/>
      <family val="2"/>
    </font>
    <font>
      <b/>
      <sz val="10"/>
      <color theme="2" tint="-0.499984740745262"/>
      <name val="Arial"/>
      <family val="2"/>
    </font>
    <font>
      <sz val="5"/>
      <color rgb="FF000000"/>
      <name val="Arial"/>
      <family val="2"/>
    </font>
    <font>
      <b/>
      <sz val="9"/>
      <color rgb="FF000000"/>
      <name val="Arial"/>
      <family val="2"/>
    </font>
    <font>
      <b/>
      <sz val="9"/>
      <color theme="1" tint="0.499984740745262"/>
      <name val="Arial"/>
      <family val="2"/>
    </font>
    <font>
      <sz val="9"/>
      <color theme="1" tint="0.499984740745262"/>
      <name val="Arial"/>
      <family val="2"/>
    </font>
    <font>
      <sz val="9"/>
      <color theme="0"/>
      <name val="Arial"/>
      <family val="2"/>
    </font>
    <font>
      <b/>
      <sz val="16"/>
      <color theme="0"/>
      <name val="Arial"/>
      <family val="2"/>
    </font>
    <font>
      <b/>
      <sz val="8"/>
      <color theme="0" tint="-0.499984740745262"/>
      <name val="Arial"/>
      <family val="2"/>
    </font>
    <font>
      <b/>
      <sz val="8"/>
      <color rgb="FFC00000"/>
      <name val="Arial"/>
      <family val="2"/>
    </font>
    <font>
      <sz val="8"/>
      <color rgb="FF7030A0"/>
      <name val="Arial"/>
      <family val="2"/>
    </font>
    <font>
      <sz val="8"/>
      <color rgb="FFC00000"/>
      <name val="Arial"/>
      <family val="2"/>
    </font>
    <font>
      <b/>
      <sz val="10"/>
      <color rgb="FF00447C"/>
      <name val="Arial"/>
      <family val="2"/>
    </font>
    <font>
      <sz val="10"/>
      <color rgb="FF00447C"/>
      <name val="Arial"/>
      <family val="2"/>
    </font>
    <font>
      <b/>
      <sz val="11"/>
      <color rgb="FF00447C"/>
      <name val="Georgia"/>
      <family val="1"/>
    </font>
    <font>
      <sz val="8"/>
      <color rgb="FF00447C"/>
      <name val="Arial"/>
      <family val="2"/>
    </font>
    <font>
      <u/>
      <sz val="10"/>
      <color theme="10"/>
      <name val="Arial"/>
      <family val="2"/>
    </font>
    <font>
      <b/>
      <sz val="14"/>
      <color theme="0"/>
      <name val="Arial"/>
      <family val="2"/>
    </font>
    <font>
      <b/>
      <sz val="11"/>
      <color theme="0"/>
      <name val="Arial"/>
      <family val="2"/>
    </font>
    <font>
      <sz val="8"/>
      <color theme="0" tint="-4.9989318521683403E-2"/>
      <name val="Arial"/>
      <family val="2"/>
    </font>
    <font>
      <sz val="10"/>
      <color theme="0" tint="-4.9989318521683403E-2"/>
      <name val="Arial"/>
      <family val="2"/>
    </font>
    <font>
      <b/>
      <u/>
      <sz val="9"/>
      <color indexed="81"/>
      <name val="Segoe UI"/>
      <family val="2"/>
    </font>
    <font>
      <sz val="10"/>
      <name val="Arial"/>
    </font>
  </fonts>
  <fills count="25">
    <fill>
      <patternFill patternType="none"/>
    </fill>
    <fill>
      <patternFill patternType="gray125"/>
    </fill>
    <fill>
      <patternFill patternType="solid">
        <fgColor theme="0" tint="-0.14999847407452621"/>
        <bgColor indexed="64"/>
      </patternFill>
    </fill>
    <fill>
      <patternFill patternType="solid">
        <fgColor rgb="FFFFC381"/>
        <bgColor indexed="64"/>
      </patternFill>
    </fill>
    <fill>
      <patternFill patternType="solid">
        <fgColor theme="5" tint="-0.249977111117893"/>
        <bgColor indexed="64"/>
      </patternFill>
    </fill>
    <fill>
      <patternFill patternType="solid">
        <fgColor rgb="FFED7D31"/>
        <bgColor rgb="FFED7D31"/>
      </patternFill>
    </fill>
    <fill>
      <patternFill patternType="solid">
        <fgColor rgb="FFFF6600"/>
        <bgColor rgb="FFFF6600"/>
      </patternFill>
    </fill>
    <fill>
      <patternFill patternType="solid">
        <fgColor theme="0" tint="-0.499984740745262"/>
        <bgColor indexed="64"/>
      </patternFill>
    </fill>
    <fill>
      <patternFill patternType="solid">
        <fgColor theme="0" tint="-0.249977111117893"/>
        <bgColor indexed="64"/>
      </patternFill>
    </fill>
    <fill>
      <patternFill patternType="solid">
        <fgColor rgb="FFBFBFBF"/>
        <bgColor rgb="FFBFBFBF"/>
      </patternFill>
    </fill>
    <fill>
      <patternFill patternType="solid">
        <fgColor rgb="FFD8D8D8"/>
        <bgColor rgb="FFD8D8D8"/>
      </patternFill>
    </fill>
    <fill>
      <patternFill patternType="solid">
        <fgColor rgb="FFFFAD53"/>
        <bgColor indexed="64"/>
      </patternFill>
    </fill>
    <fill>
      <patternFill patternType="solid">
        <fgColor rgb="FF833C0B"/>
        <bgColor rgb="FF833C0B"/>
      </patternFill>
    </fill>
    <fill>
      <patternFill patternType="solid">
        <fgColor rgb="FF757070"/>
        <bgColor rgb="FF757070"/>
      </patternFill>
    </fill>
    <fill>
      <patternFill patternType="solid">
        <fgColor rgb="FFE07515"/>
        <bgColor indexed="64"/>
      </patternFill>
    </fill>
    <fill>
      <patternFill patternType="solid">
        <fgColor rgb="FFFFCC99"/>
        <bgColor rgb="FFFFCC99"/>
      </patternFill>
    </fill>
    <fill>
      <patternFill patternType="solid">
        <fgColor rgb="FFF2F2F2"/>
        <bgColor rgb="FFF2F2F2"/>
      </patternFill>
    </fill>
    <fill>
      <patternFill patternType="solid">
        <fgColor theme="0" tint="-4.9989318521683403E-2"/>
        <bgColor indexed="64"/>
      </patternFill>
    </fill>
    <fill>
      <patternFill patternType="solid">
        <fgColor theme="2"/>
        <bgColor indexed="64"/>
      </patternFill>
    </fill>
    <fill>
      <patternFill patternType="solid">
        <fgColor theme="7"/>
        <bgColor indexed="64"/>
      </patternFill>
    </fill>
    <fill>
      <patternFill patternType="solid">
        <fgColor theme="6"/>
        <bgColor indexed="64"/>
      </patternFill>
    </fill>
    <fill>
      <patternFill patternType="solid">
        <fgColor theme="0"/>
        <bgColor indexed="64"/>
      </patternFill>
    </fill>
    <fill>
      <patternFill patternType="solid">
        <fgColor rgb="FF00447C"/>
        <bgColor indexed="64"/>
      </patternFill>
    </fill>
    <fill>
      <patternFill patternType="solid">
        <fgColor rgb="FF8BD7EE"/>
        <bgColor indexed="64"/>
      </patternFill>
    </fill>
    <fill>
      <patternFill patternType="solid">
        <fgColor theme="0" tint="-4.9989318521683403E-2"/>
        <bgColor rgb="FFFFFFFF"/>
      </patternFill>
    </fill>
  </fills>
  <borders count="315">
    <border>
      <left/>
      <right/>
      <top/>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medium">
        <color indexed="64"/>
      </right>
      <top/>
      <bottom/>
      <diagonal/>
    </border>
    <border>
      <left style="thin">
        <color indexed="64"/>
      </left>
      <right/>
      <top/>
      <bottom/>
      <diagonal/>
    </border>
    <border>
      <left/>
      <right style="thin">
        <color indexed="64"/>
      </right>
      <top/>
      <bottom/>
      <diagonal/>
    </border>
    <border>
      <left/>
      <right/>
      <top style="thin">
        <color indexed="64"/>
      </top>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right style="medium">
        <color indexed="64"/>
      </right>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right style="medium">
        <color indexed="64"/>
      </right>
      <top style="hair">
        <color indexed="64"/>
      </top>
      <bottom style="medium">
        <color indexed="64"/>
      </bottom>
      <diagonal/>
    </border>
    <border>
      <left style="medium">
        <color indexed="64"/>
      </left>
      <right style="thin">
        <color indexed="64"/>
      </right>
      <top style="medium">
        <color indexed="64"/>
      </top>
      <bottom style="hair">
        <color indexed="64"/>
      </bottom>
      <diagonal/>
    </border>
    <border>
      <left style="medium">
        <color indexed="64"/>
      </left>
      <right style="thin">
        <color indexed="64"/>
      </right>
      <top/>
      <bottom style="hair">
        <color indexed="64"/>
      </bottom>
      <diagonal/>
    </border>
    <border>
      <left style="medium">
        <color indexed="64"/>
      </left>
      <right style="thin">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right/>
      <top style="hair">
        <color indexed="64"/>
      </top>
      <bottom style="hair">
        <color indexed="64"/>
      </bottom>
      <diagonal/>
    </border>
    <border>
      <left style="thin">
        <color indexed="64"/>
      </left>
      <right/>
      <top style="thin">
        <color indexed="64"/>
      </top>
      <bottom/>
      <diagonal/>
    </border>
    <border>
      <left/>
      <right/>
      <top/>
      <bottom style="hair">
        <color indexed="64"/>
      </bottom>
      <diagonal/>
    </border>
    <border>
      <left style="thin">
        <color indexed="64"/>
      </left>
      <right/>
      <top style="hair">
        <color indexed="64"/>
      </top>
      <bottom style="hair">
        <color indexed="64"/>
      </bottom>
      <diagonal/>
    </border>
    <border>
      <left/>
      <right style="thin">
        <color indexed="64"/>
      </right>
      <top style="thin">
        <color indexed="64"/>
      </top>
      <bottom/>
      <diagonal/>
    </border>
    <border>
      <left style="thin">
        <color indexed="64"/>
      </left>
      <right style="thin">
        <color indexed="64"/>
      </right>
      <top style="hair">
        <color indexed="64"/>
      </top>
      <bottom/>
      <diagonal/>
    </border>
    <border>
      <left style="medium">
        <color indexed="64"/>
      </left>
      <right/>
      <top/>
      <bottom style="medium">
        <color indexed="64"/>
      </bottom>
      <diagonal/>
    </border>
    <border>
      <left/>
      <right style="thin">
        <color indexed="64"/>
      </right>
      <top/>
      <bottom style="medium">
        <color indexed="64"/>
      </bottom>
      <diagonal/>
    </border>
    <border>
      <left style="medium">
        <color indexed="64"/>
      </left>
      <right/>
      <top/>
      <bottom style="hair">
        <color indexed="64"/>
      </bottom>
      <diagonal/>
    </border>
    <border>
      <left style="medium">
        <color indexed="64"/>
      </left>
      <right/>
      <top style="medium">
        <color indexed="64"/>
      </top>
      <bottom/>
      <diagonal/>
    </border>
    <border>
      <left style="medium">
        <color indexed="64"/>
      </left>
      <right style="thin">
        <color indexed="64"/>
      </right>
      <top style="hair">
        <color indexed="64"/>
      </top>
      <bottom/>
      <diagonal/>
    </border>
    <border>
      <left style="medium">
        <color indexed="64"/>
      </left>
      <right/>
      <top style="hair">
        <color indexed="64"/>
      </top>
      <bottom style="hair">
        <color indexed="64"/>
      </bottom>
      <diagonal/>
    </border>
    <border>
      <left style="medium">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bottom style="medium">
        <color indexed="64"/>
      </bottom>
      <diagonal/>
    </border>
    <border>
      <left style="thin">
        <color indexed="64"/>
      </left>
      <right/>
      <top/>
      <bottom style="hair">
        <color indexed="64"/>
      </bottom>
      <diagonal/>
    </border>
    <border>
      <left style="thin">
        <color indexed="64"/>
      </left>
      <right/>
      <top style="medium">
        <color indexed="64"/>
      </top>
      <bottom style="hair">
        <color indexed="64"/>
      </bottom>
      <diagonal/>
    </border>
    <border>
      <left/>
      <right/>
      <top style="medium">
        <color indexed="64"/>
      </top>
      <bottom style="hair">
        <color indexed="64"/>
      </bottom>
      <diagonal/>
    </border>
    <border>
      <left/>
      <right style="thin">
        <color indexed="64"/>
      </right>
      <top style="medium">
        <color indexed="64"/>
      </top>
      <bottom style="hair">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hair">
        <color rgb="FFE07515"/>
      </left>
      <right/>
      <top/>
      <bottom/>
      <diagonal/>
    </border>
    <border>
      <left/>
      <right style="hair">
        <color rgb="FFE07515"/>
      </right>
      <top/>
      <bottom/>
      <diagonal/>
    </border>
    <border>
      <left style="hair">
        <color rgb="FFE07515"/>
      </left>
      <right/>
      <top/>
      <bottom style="hair">
        <color rgb="FFE07515"/>
      </bottom>
      <diagonal/>
    </border>
    <border>
      <left/>
      <right style="hair">
        <color rgb="FFE07515"/>
      </right>
      <top/>
      <bottom style="hair">
        <color rgb="FFE07515"/>
      </bottom>
      <diagonal/>
    </border>
    <border>
      <left/>
      <right/>
      <top/>
      <bottom style="hair">
        <color rgb="FFE07515"/>
      </bottom>
      <diagonal/>
    </border>
    <border>
      <left style="thin">
        <color theme="1"/>
      </left>
      <right style="thin">
        <color theme="1"/>
      </right>
      <top style="thin">
        <color theme="1"/>
      </top>
      <bottom/>
      <diagonal/>
    </border>
    <border>
      <left style="thin">
        <color theme="1"/>
      </left>
      <right style="thin">
        <color theme="1"/>
      </right>
      <top/>
      <bottom/>
      <diagonal/>
    </border>
    <border>
      <left style="thin">
        <color theme="1"/>
      </left>
      <right style="thin">
        <color theme="1"/>
      </right>
      <top/>
      <bottom style="thin">
        <color theme="1"/>
      </bottom>
      <diagonal/>
    </border>
    <border>
      <left/>
      <right style="thin">
        <color theme="1"/>
      </right>
      <top/>
      <bottom/>
      <diagonal/>
    </border>
    <border>
      <left style="thin">
        <color theme="1"/>
      </left>
      <right style="thin">
        <color theme="1"/>
      </right>
      <top/>
      <bottom style="thin">
        <color indexed="64"/>
      </bottom>
      <diagonal/>
    </border>
    <border>
      <left/>
      <right style="thin">
        <color theme="1"/>
      </right>
      <top/>
      <bottom style="thin">
        <color indexed="64"/>
      </bottom>
      <diagonal/>
    </border>
    <border>
      <left style="thin">
        <color theme="1"/>
      </left>
      <right/>
      <top style="thin">
        <color theme="1"/>
      </top>
      <bottom style="thin">
        <color theme="1"/>
      </bottom>
      <diagonal/>
    </border>
    <border>
      <left/>
      <right/>
      <top style="thin">
        <color theme="1"/>
      </top>
      <bottom style="thin">
        <color theme="1"/>
      </bottom>
      <diagonal/>
    </border>
    <border>
      <left/>
      <right/>
      <top/>
      <bottom style="thin">
        <color theme="1"/>
      </bottom>
      <diagonal/>
    </border>
    <border>
      <left/>
      <right/>
      <top style="thin">
        <color theme="1"/>
      </top>
      <bottom/>
      <diagonal/>
    </border>
    <border>
      <left style="medium">
        <color indexed="64"/>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medium">
        <color indexed="64"/>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style="medium">
        <color indexed="64"/>
      </right>
      <top style="thin">
        <color rgb="FF000000"/>
      </top>
      <bottom style="medium">
        <color indexed="64"/>
      </bottom>
      <diagonal/>
    </border>
    <border>
      <left style="medium">
        <color rgb="FF000000"/>
      </left>
      <right/>
      <top/>
      <bottom/>
      <diagonal/>
    </border>
    <border>
      <left style="medium">
        <color rgb="FF000000"/>
      </left>
      <right/>
      <top/>
      <bottom style="medium">
        <color rgb="FF000000"/>
      </bottom>
      <diagonal/>
    </border>
    <border>
      <left/>
      <right/>
      <top style="hair">
        <color rgb="FF000000"/>
      </top>
      <bottom style="hair">
        <color indexed="64"/>
      </bottom>
      <diagonal/>
    </border>
    <border>
      <left/>
      <right style="thin">
        <color rgb="FF000000"/>
      </right>
      <top style="hair">
        <color rgb="FF000000"/>
      </top>
      <bottom style="hair">
        <color indexed="64"/>
      </bottom>
      <diagonal/>
    </border>
    <border>
      <left style="thin">
        <color rgb="FF000000"/>
      </left>
      <right/>
      <top style="hair">
        <color rgb="FF000000"/>
      </top>
      <bottom style="medium">
        <color indexed="64"/>
      </bottom>
      <diagonal/>
    </border>
    <border>
      <left/>
      <right/>
      <top style="hair">
        <color rgb="FF000000"/>
      </top>
      <bottom style="medium">
        <color indexed="64"/>
      </bottom>
      <diagonal/>
    </border>
    <border>
      <left style="medium">
        <color indexed="64"/>
      </left>
      <right/>
      <top style="medium">
        <color rgb="FF000000"/>
      </top>
      <bottom/>
      <diagonal/>
    </border>
    <border>
      <left/>
      <right style="thin">
        <color indexed="64"/>
      </right>
      <top style="medium">
        <color rgb="FF000000"/>
      </top>
      <bottom/>
      <diagonal/>
    </border>
    <border>
      <left style="thin">
        <color indexed="64"/>
      </left>
      <right/>
      <top style="medium">
        <color rgb="FF000000"/>
      </top>
      <bottom/>
      <diagonal/>
    </border>
    <border>
      <left/>
      <right/>
      <top style="medium">
        <color rgb="FF000000"/>
      </top>
      <bottom/>
      <diagonal/>
    </border>
    <border>
      <left/>
      <right/>
      <top/>
      <bottom style="hair">
        <color rgb="FF000000"/>
      </bottom>
      <diagonal/>
    </border>
    <border>
      <left style="thin">
        <color indexed="64"/>
      </left>
      <right/>
      <top style="medium">
        <color rgb="FF000000"/>
      </top>
      <bottom style="hair">
        <color indexed="64"/>
      </bottom>
      <diagonal/>
    </border>
    <border>
      <left/>
      <right style="thin">
        <color indexed="64"/>
      </right>
      <top style="medium">
        <color rgb="FF000000"/>
      </top>
      <bottom style="hair">
        <color indexed="64"/>
      </bottom>
      <diagonal/>
    </border>
    <border>
      <left/>
      <right/>
      <top style="medium">
        <color rgb="FF000000"/>
      </top>
      <bottom style="hair">
        <color indexed="64"/>
      </bottom>
      <diagonal/>
    </border>
    <border>
      <left/>
      <right style="medium">
        <color indexed="64"/>
      </right>
      <top style="medium">
        <color rgb="FF000000"/>
      </top>
      <bottom style="hair">
        <color indexed="64"/>
      </bottom>
      <diagonal/>
    </border>
    <border>
      <left style="thin">
        <color rgb="FF000000"/>
      </left>
      <right/>
      <top/>
      <bottom/>
      <diagonal/>
    </border>
    <border>
      <left/>
      <right style="thin">
        <color rgb="FF000000"/>
      </right>
      <top/>
      <bottom/>
      <diagonal/>
    </border>
    <border>
      <left style="thin">
        <color rgb="FF000000"/>
      </left>
      <right/>
      <top/>
      <bottom style="medium">
        <color rgb="FF000000"/>
      </bottom>
      <diagonal/>
    </border>
    <border>
      <left/>
      <right/>
      <top/>
      <bottom style="medium">
        <color rgb="FF000000"/>
      </bottom>
      <diagonal/>
    </border>
    <border>
      <left/>
      <right style="thin">
        <color rgb="FF000000"/>
      </right>
      <top/>
      <bottom style="medium">
        <color rgb="FF000000"/>
      </bottom>
      <diagonal/>
    </border>
    <border>
      <left/>
      <right style="medium">
        <color indexed="64"/>
      </right>
      <top/>
      <bottom style="medium">
        <color rgb="FF000000"/>
      </bottom>
      <diagonal/>
    </border>
    <border>
      <left/>
      <right/>
      <top style="medium">
        <color rgb="FF000000"/>
      </top>
      <bottom style="thin">
        <color rgb="FF000000"/>
      </bottom>
      <diagonal/>
    </border>
    <border>
      <left style="medium">
        <color rgb="FF000000"/>
      </left>
      <right/>
      <top style="thin">
        <color rgb="FF000000"/>
      </top>
      <bottom/>
      <diagonal/>
    </border>
    <border>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style="thin">
        <color rgb="FF000000"/>
      </left>
      <right/>
      <top style="thin">
        <color rgb="FF000000"/>
      </top>
      <bottom style="thin">
        <color indexed="64"/>
      </bottom>
      <diagonal/>
    </border>
    <border>
      <left/>
      <right/>
      <top style="thin">
        <color rgb="FF000000"/>
      </top>
      <bottom style="thin">
        <color indexed="64"/>
      </bottom>
      <diagonal/>
    </border>
    <border>
      <left/>
      <right style="medium">
        <color indexed="64"/>
      </right>
      <top style="thin">
        <color rgb="FF000000"/>
      </top>
      <bottom style="thin">
        <color indexed="64"/>
      </bottom>
      <diagonal/>
    </border>
    <border>
      <left style="medium">
        <color rgb="FF000000"/>
      </left>
      <right/>
      <top style="medium">
        <color rgb="FF000000"/>
      </top>
      <bottom style="thin">
        <color rgb="FF000000"/>
      </bottom>
      <diagonal/>
    </border>
    <border>
      <left/>
      <right style="medium">
        <color rgb="FF000000"/>
      </right>
      <top style="medium">
        <color rgb="FF000000"/>
      </top>
      <bottom style="thin">
        <color rgb="FF000000"/>
      </bottom>
      <diagonal/>
    </border>
    <border>
      <left style="thin">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right style="medium">
        <color rgb="FF000000"/>
      </right>
      <top style="thin">
        <color rgb="FF000000"/>
      </top>
      <bottom style="medium">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style="medium">
        <color rgb="FF000000"/>
      </right>
      <top style="thin">
        <color rgb="FF000000"/>
      </top>
      <bottom style="thin">
        <color rgb="FF000000"/>
      </bottom>
      <diagonal/>
    </border>
    <border>
      <left style="medium">
        <color rgb="FF000000"/>
      </left>
      <right/>
      <top style="medium">
        <color rgb="FF000000"/>
      </top>
      <bottom/>
      <diagonal/>
    </border>
    <border>
      <left style="medium">
        <color rgb="FF000000"/>
      </left>
      <right/>
      <top/>
      <bottom style="hair">
        <color rgb="FF000000"/>
      </bottom>
      <diagonal/>
    </border>
    <border>
      <left/>
      <right style="medium">
        <color rgb="FF000000"/>
      </right>
      <top/>
      <bottom style="medium">
        <color rgb="FF000000"/>
      </bottom>
      <diagonal/>
    </border>
    <border>
      <left/>
      <right style="medium">
        <color rgb="FF000000"/>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right style="medium">
        <color rgb="FF000000"/>
      </right>
      <top/>
      <bottom/>
      <diagonal/>
    </border>
    <border>
      <left/>
      <right style="thin">
        <color theme="1"/>
      </right>
      <top style="thin">
        <color theme="1"/>
      </top>
      <bottom style="thin">
        <color theme="1"/>
      </bottom>
      <diagonal/>
    </border>
    <border>
      <left style="thin">
        <color theme="1"/>
      </left>
      <right/>
      <top/>
      <bottom/>
      <diagonal/>
    </border>
    <border>
      <left/>
      <right style="thin">
        <color theme="1"/>
      </right>
      <top style="thin">
        <color theme="1"/>
      </top>
      <bottom/>
      <diagonal/>
    </border>
    <border>
      <left/>
      <right style="thin">
        <color theme="1"/>
      </right>
      <top/>
      <bottom style="thin">
        <color theme="1"/>
      </bottom>
      <diagonal/>
    </border>
    <border>
      <left style="thin">
        <color theme="1"/>
      </left>
      <right/>
      <top style="thin">
        <color theme="1"/>
      </top>
      <bottom/>
      <diagonal/>
    </border>
    <border>
      <left style="hair">
        <color rgb="FFE07515"/>
      </left>
      <right/>
      <top style="hair">
        <color rgb="FFE07515"/>
      </top>
      <bottom/>
      <diagonal/>
    </border>
    <border>
      <left/>
      <right style="hair">
        <color rgb="FFE07515"/>
      </right>
      <top style="hair">
        <color rgb="FFE07515"/>
      </top>
      <bottom/>
      <diagonal/>
    </border>
    <border>
      <left style="thin">
        <color theme="1"/>
      </left>
      <right/>
      <top/>
      <bottom style="thin">
        <color theme="1"/>
      </bottom>
      <diagonal/>
    </border>
    <border>
      <left/>
      <right/>
      <top style="hair">
        <color rgb="FFE07515"/>
      </top>
      <bottom/>
      <diagonal/>
    </border>
    <border>
      <left/>
      <right style="medium">
        <color rgb="FF000000"/>
      </right>
      <top/>
      <bottom style="hair">
        <color rgb="FF000000"/>
      </bottom>
      <diagonal/>
    </border>
    <border>
      <left style="medium">
        <color rgb="FF000000"/>
      </left>
      <right/>
      <top style="hair">
        <color rgb="FF000000"/>
      </top>
      <bottom style="hair">
        <color rgb="FF000000"/>
      </bottom>
      <diagonal/>
    </border>
    <border>
      <left/>
      <right/>
      <top style="hair">
        <color rgb="FF000000"/>
      </top>
      <bottom style="hair">
        <color rgb="FF000000"/>
      </bottom>
      <diagonal/>
    </border>
    <border>
      <left/>
      <right style="medium">
        <color rgb="FF000000"/>
      </right>
      <top style="hair">
        <color rgb="FF000000"/>
      </top>
      <bottom style="hair">
        <color rgb="FF000000"/>
      </bottom>
      <diagonal/>
    </border>
    <border>
      <left style="medium">
        <color rgb="FF000000"/>
      </left>
      <right/>
      <top style="hair">
        <color rgb="FF000000"/>
      </top>
      <bottom style="medium">
        <color rgb="FF000000"/>
      </bottom>
      <diagonal/>
    </border>
    <border>
      <left/>
      <right/>
      <top style="hair">
        <color rgb="FF000000"/>
      </top>
      <bottom style="medium">
        <color rgb="FF000000"/>
      </bottom>
      <diagonal/>
    </border>
    <border>
      <left/>
      <right style="medium">
        <color rgb="FF000000"/>
      </right>
      <top style="hair">
        <color rgb="FF000000"/>
      </top>
      <bottom style="medium">
        <color rgb="FF000000"/>
      </bottom>
      <diagonal/>
    </border>
    <border>
      <left/>
      <right style="medium">
        <color rgb="FF000000"/>
      </right>
      <top style="thin">
        <color rgb="FF000000"/>
      </top>
      <bottom style="thin">
        <color indexed="64"/>
      </bottom>
      <diagonal/>
    </border>
    <border>
      <left style="thin">
        <color rgb="FF000000"/>
      </left>
      <right/>
      <top style="thin">
        <color indexed="64"/>
      </top>
      <bottom/>
      <diagonal/>
    </border>
    <border>
      <left/>
      <right style="thin">
        <color rgb="FF000000"/>
      </right>
      <top style="thin">
        <color indexed="64"/>
      </top>
      <bottom/>
      <diagonal/>
    </border>
    <border>
      <left style="medium">
        <color rgb="FF000000"/>
      </left>
      <right/>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medium">
        <color rgb="FF000000"/>
      </right>
      <top/>
      <bottom style="thin">
        <color rgb="FF000000"/>
      </bottom>
      <diagonal/>
    </border>
    <border>
      <left style="thin">
        <color rgb="FF000000"/>
      </left>
      <right/>
      <top style="thin">
        <color rgb="FF000000"/>
      </top>
      <bottom style="hair">
        <color rgb="FF000000"/>
      </bottom>
      <diagonal/>
    </border>
    <border>
      <left/>
      <right/>
      <top style="thin">
        <color rgb="FF000000"/>
      </top>
      <bottom style="hair">
        <color rgb="FF000000"/>
      </bottom>
      <diagonal/>
    </border>
    <border>
      <left/>
      <right style="thin">
        <color rgb="FF000000"/>
      </right>
      <top style="thin">
        <color rgb="FF000000"/>
      </top>
      <bottom style="hair">
        <color rgb="FF000000"/>
      </bottom>
      <diagonal/>
    </border>
    <border>
      <left/>
      <right style="medium">
        <color rgb="FF000000"/>
      </right>
      <top style="thin">
        <color rgb="FF000000"/>
      </top>
      <bottom/>
      <diagonal/>
    </border>
    <border>
      <left style="thin">
        <color rgb="FF000000"/>
      </left>
      <right/>
      <top style="hair">
        <color rgb="FF000000"/>
      </top>
      <bottom style="hair">
        <color rgb="FF000000"/>
      </bottom>
      <diagonal/>
    </border>
    <border>
      <left/>
      <right style="thin">
        <color rgb="FF000000"/>
      </right>
      <top style="hair">
        <color rgb="FF000000"/>
      </top>
      <bottom style="hair">
        <color rgb="FF000000"/>
      </bottom>
      <diagonal/>
    </border>
    <border>
      <left style="thin">
        <color indexed="64"/>
      </left>
      <right/>
      <top style="hair">
        <color rgb="FF000000"/>
      </top>
      <bottom style="hair">
        <color rgb="FF000000"/>
      </bottom>
      <diagonal/>
    </border>
    <border>
      <left/>
      <right style="thin">
        <color indexed="64"/>
      </right>
      <top style="hair">
        <color rgb="FF000000"/>
      </top>
      <bottom style="hair">
        <color rgb="FF000000"/>
      </bottom>
      <diagonal/>
    </border>
    <border>
      <left style="thin">
        <color indexed="64"/>
      </left>
      <right style="thin">
        <color rgb="FF000000"/>
      </right>
      <top style="hair">
        <color indexed="64"/>
      </top>
      <bottom style="hair">
        <color indexed="64"/>
      </bottom>
      <diagonal/>
    </border>
    <border>
      <left style="thin">
        <color rgb="FF000000"/>
      </left>
      <right/>
      <top style="hair">
        <color rgb="FF000000"/>
      </top>
      <bottom style="thin">
        <color rgb="FF000000"/>
      </bottom>
      <diagonal/>
    </border>
    <border>
      <left/>
      <right/>
      <top style="hair">
        <color rgb="FF000000"/>
      </top>
      <bottom style="thin">
        <color rgb="FF000000"/>
      </bottom>
      <diagonal/>
    </border>
    <border>
      <left/>
      <right style="thin">
        <color rgb="FF000000"/>
      </right>
      <top style="hair">
        <color rgb="FF000000"/>
      </top>
      <bottom style="thin">
        <color rgb="FF000000"/>
      </bottom>
      <diagonal/>
    </border>
    <border>
      <left/>
      <right style="medium">
        <color rgb="FF000000"/>
      </right>
      <top style="hair">
        <color rgb="FF000000"/>
      </top>
      <bottom style="thin">
        <color rgb="FF000000"/>
      </bottom>
      <diagonal/>
    </border>
    <border>
      <left style="medium">
        <color rgb="FF000000"/>
      </left>
      <right/>
      <top style="thin">
        <color rgb="FF000000"/>
      </top>
      <bottom style="hair">
        <color rgb="FF000000"/>
      </bottom>
      <diagonal/>
    </border>
    <border>
      <left/>
      <right style="medium">
        <color rgb="FF000000"/>
      </right>
      <top style="thin">
        <color rgb="FF000000"/>
      </top>
      <bottom style="hair">
        <color rgb="FF000000"/>
      </bottom>
      <diagonal/>
    </border>
    <border>
      <left/>
      <right style="thin">
        <color rgb="FF000000"/>
      </right>
      <top style="hair">
        <color rgb="FF000000"/>
      </top>
      <bottom style="medium">
        <color rgb="FF000000"/>
      </bottom>
      <diagonal/>
    </border>
    <border>
      <left style="thin">
        <color rgb="FF000000"/>
      </left>
      <right/>
      <top style="hair">
        <color rgb="FF000000"/>
      </top>
      <bottom style="medium">
        <color rgb="FF000000"/>
      </bottom>
      <diagonal/>
    </border>
    <border>
      <left/>
      <right style="thin">
        <color rgb="FF000000"/>
      </right>
      <top style="hair">
        <color rgb="FF000000"/>
      </top>
      <bottom style="medium">
        <color indexed="64"/>
      </bottom>
      <diagonal/>
    </border>
    <border>
      <left style="thin">
        <color indexed="64"/>
      </left>
      <right/>
      <top style="hair">
        <color rgb="FF000000"/>
      </top>
      <bottom style="thin">
        <color rgb="FF000000"/>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style="thin">
        <color theme="0" tint="-0.499984740745262"/>
      </right>
      <top/>
      <bottom style="thin">
        <color theme="0" tint="-0.499984740745262"/>
      </bottom>
      <diagonal/>
    </border>
    <border>
      <left/>
      <right/>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right style="hair">
        <color indexed="64"/>
      </right>
      <top style="thin">
        <color theme="0" tint="-0.499984740745262"/>
      </top>
      <bottom/>
      <diagonal/>
    </border>
    <border>
      <left style="hair">
        <color indexed="64"/>
      </left>
      <right/>
      <top style="thin">
        <color theme="0" tint="-0.499984740745262"/>
      </top>
      <bottom/>
      <diagonal/>
    </border>
    <border>
      <left style="thin">
        <color auto="1"/>
      </left>
      <right style="thin">
        <color auto="1"/>
      </right>
      <top style="medium">
        <color auto="1"/>
      </top>
      <bottom style="hair">
        <color auto="1"/>
      </bottom>
      <diagonal/>
    </border>
    <border>
      <left style="thin">
        <color auto="1"/>
      </left>
      <right style="medium">
        <color auto="1"/>
      </right>
      <top style="medium">
        <color auto="1"/>
      </top>
      <bottom style="hair">
        <color auto="1"/>
      </bottom>
      <diagonal/>
    </border>
    <border>
      <left style="thin">
        <color auto="1"/>
      </left>
      <right style="thin">
        <color auto="1"/>
      </right>
      <top style="hair">
        <color auto="1"/>
      </top>
      <bottom style="thin">
        <color auto="1"/>
      </bottom>
      <diagonal/>
    </border>
    <border>
      <left style="thin">
        <color auto="1"/>
      </left>
      <right style="medium">
        <color auto="1"/>
      </right>
      <top style="hair">
        <color auto="1"/>
      </top>
      <bottom style="thin">
        <color auto="1"/>
      </bottom>
      <diagonal/>
    </border>
    <border>
      <left style="medium">
        <color auto="1"/>
      </left>
      <right style="thin">
        <color auto="1"/>
      </right>
      <top style="hair">
        <color auto="1"/>
      </top>
      <bottom style="thin">
        <color auto="1"/>
      </bottom>
      <diagonal/>
    </border>
    <border>
      <left style="thin">
        <color auto="1"/>
      </left>
      <right style="medium">
        <color auto="1"/>
      </right>
      <top/>
      <bottom style="hair">
        <color indexed="64"/>
      </bottom>
      <diagonal/>
    </border>
    <border>
      <left style="medium">
        <color rgb="FFF79646"/>
      </left>
      <right/>
      <top style="medium">
        <color rgb="FFF79646"/>
      </top>
      <bottom/>
      <diagonal/>
    </border>
    <border>
      <left/>
      <right/>
      <top style="medium">
        <color rgb="FFF79646"/>
      </top>
      <bottom/>
      <diagonal/>
    </border>
    <border>
      <left/>
      <right style="medium">
        <color rgb="FFF79646"/>
      </right>
      <top style="medium">
        <color rgb="FFF79646"/>
      </top>
      <bottom/>
      <diagonal/>
    </border>
    <border>
      <left style="hair">
        <color indexed="64"/>
      </left>
      <right/>
      <top style="thin">
        <color theme="0" tint="-0.499984740745262"/>
      </top>
      <bottom style="hair">
        <color indexed="64"/>
      </bottom>
      <diagonal/>
    </border>
    <border>
      <left/>
      <right style="hair">
        <color indexed="64"/>
      </right>
      <top style="thin">
        <color theme="0" tint="-0.499984740745262"/>
      </top>
      <bottom style="hair">
        <color indexed="64"/>
      </bottom>
      <diagonal/>
    </border>
    <border>
      <left style="thin">
        <color indexed="64"/>
      </left>
      <right/>
      <top style="thin">
        <color rgb="FF000000"/>
      </top>
      <bottom style="hair">
        <color rgb="FF000000"/>
      </bottom>
      <diagonal/>
    </border>
    <border>
      <left style="thin">
        <color rgb="FF000000"/>
      </left>
      <right/>
      <top style="thin">
        <color indexed="64"/>
      </top>
      <bottom style="hair">
        <color rgb="FF000000"/>
      </bottom>
      <diagonal/>
    </border>
    <border>
      <left/>
      <right/>
      <top style="thin">
        <color indexed="64"/>
      </top>
      <bottom style="hair">
        <color rgb="FF000000"/>
      </bottom>
      <diagonal/>
    </border>
    <border>
      <left/>
      <right style="thin">
        <color rgb="FF000000"/>
      </right>
      <top style="thin">
        <color indexed="64"/>
      </top>
      <bottom style="hair">
        <color rgb="FF000000"/>
      </bottom>
      <diagonal/>
    </border>
    <border>
      <left style="thin">
        <color rgb="FF000000"/>
      </left>
      <right/>
      <top style="hair">
        <color rgb="FF000000"/>
      </top>
      <bottom style="hair">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auto="1"/>
      </left>
      <right style="medium">
        <color auto="1"/>
      </right>
      <top/>
      <bottom style="medium">
        <color indexed="64"/>
      </bottom>
      <diagonal/>
    </border>
    <border>
      <left style="thin">
        <color indexed="64"/>
      </left>
      <right style="medium">
        <color indexed="64"/>
      </right>
      <top style="hair">
        <color indexed="64"/>
      </top>
      <bottom style="medium">
        <color indexed="64"/>
      </bottom>
      <diagonal/>
    </border>
    <border>
      <left style="medium">
        <color indexed="64"/>
      </left>
      <right/>
      <top style="medium">
        <color indexed="64"/>
      </top>
      <bottom style="thin">
        <color rgb="FF000000"/>
      </bottom>
      <diagonal/>
    </border>
    <border>
      <left/>
      <right/>
      <top style="medium">
        <color indexed="64"/>
      </top>
      <bottom style="thin">
        <color rgb="FF000000"/>
      </bottom>
      <diagonal/>
    </border>
    <border>
      <left/>
      <right style="medium">
        <color indexed="64"/>
      </right>
      <top style="medium">
        <color indexed="64"/>
      </top>
      <bottom style="thin">
        <color rgb="FF000000"/>
      </bottom>
      <diagonal/>
    </border>
    <border>
      <left style="medium">
        <color indexed="64"/>
      </left>
      <right/>
      <top style="thin">
        <color rgb="FF000000"/>
      </top>
      <bottom/>
      <diagonal/>
    </border>
    <border>
      <left style="medium">
        <color indexed="64"/>
      </left>
      <right/>
      <top/>
      <bottom style="medium">
        <color rgb="FF000000"/>
      </bottom>
      <diagonal/>
    </border>
    <border>
      <left style="thin">
        <color indexed="64"/>
      </left>
      <right/>
      <top style="hair">
        <color indexed="64"/>
      </top>
      <bottom style="medium">
        <color indexed="64"/>
      </bottom>
      <diagonal/>
    </border>
    <border>
      <left/>
      <right/>
      <top style="hair">
        <color indexed="64"/>
      </top>
      <bottom style="medium">
        <color indexed="64"/>
      </bottom>
      <diagonal/>
    </border>
    <border>
      <left style="medium">
        <color rgb="FFE07515"/>
      </left>
      <right/>
      <top style="medium">
        <color rgb="FFE07515"/>
      </top>
      <bottom style="medium">
        <color rgb="FFE07515"/>
      </bottom>
      <diagonal/>
    </border>
    <border>
      <left/>
      <right style="medium">
        <color rgb="FFE07515"/>
      </right>
      <top style="medium">
        <color rgb="FFE07515"/>
      </top>
      <bottom style="medium">
        <color rgb="FFE07515"/>
      </bottom>
      <diagonal/>
    </border>
    <border>
      <left/>
      <right/>
      <top style="medium">
        <color rgb="FFE07515"/>
      </top>
      <bottom style="medium">
        <color rgb="FFE07515"/>
      </bottom>
      <diagonal/>
    </border>
    <border>
      <left/>
      <right style="medium">
        <color rgb="FFE07515"/>
      </right>
      <top style="medium">
        <color rgb="FFE07515"/>
      </top>
      <bottom/>
      <diagonal/>
    </border>
    <border>
      <left/>
      <right style="medium">
        <color rgb="FFE07515"/>
      </right>
      <top/>
      <bottom style="medium">
        <color rgb="FFE07515"/>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thin">
        <color rgb="FF000000"/>
      </top>
      <bottom style="thin">
        <color indexed="64"/>
      </bottom>
      <diagonal/>
    </border>
    <border>
      <left style="double">
        <color indexed="64"/>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style="double">
        <color indexed="64"/>
      </right>
      <top/>
      <bottom style="double">
        <color indexed="64"/>
      </bottom>
      <diagonal/>
    </border>
    <border>
      <left style="medium">
        <color theme="0" tint="-0.499984740745262"/>
      </left>
      <right/>
      <top style="medium">
        <color theme="0" tint="-0.499984740745262"/>
      </top>
      <bottom/>
      <diagonal/>
    </border>
    <border>
      <left/>
      <right/>
      <top style="medium">
        <color theme="0" tint="-0.499984740745262"/>
      </top>
      <bottom/>
      <diagonal/>
    </border>
    <border>
      <left/>
      <right style="medium">
        <color theme="0" tint="-0.499984740745262"/>
      </right>
      <top style="medium">
        <color theme="0" tint="-0.499984740745262"/>
      </top>
      <bottom/>
      <diagonal/>
    </border>
    <border>
      <left style="medium">
        <color theme="0" tint="-0.499984740745262"/>
      </left>
      <right/>
      <top/>
      <bottom/>
      <diagonal/>
    </border>
    <border>
      <left/>
      <right style="medium">
        <color theme="0" tint="-0.499984740745262"/>
      </right>
      <top/>
      <bottom/>
      <diagonal/>
    </border>
    <border>
      <left style="medium">
        <color theme="0" tint="-0.499984740745262"/>
      </left>
      <right/>
      <top/>
      <bottom style="medium">
        <color theme="0" tint="-0.499984740745262"/>
      </bottom>
      <diagonal/>
    </border>
    <border>
      <left/>
      <right/>
      <top/>
      <bottom style="medium">
        <color theme="0" tint="-0.499984740745262"/>
      </bottom>
      <diagonal/>
    </border>
    <border>
      <left/>
      <right style="medium">
        <color theme="0" tint="-0.499984740745262"/>
      </right>
      <top/>
      <bottom style="medium">
        <color theme="0" tint="-0.499984740745262"/>
      </bottom>
      <diagonal/>
    </border>
    <border>
      <left style="medium">
        <color theme="0" tint="-0.499984740745262"/>
      </left>
      <right/>
      <top style="medium">
        <color theme="0" tint="-0.499984740745262"/>
      </top>
      <bottom style="medium">
        <color theme="0" tint="-0.499984740745262"/>
      </bottom>
      <diagonal/>
    </border>
    <border>
      <left/>
      <right/>
      <top style="medium">
        <color theme="0" tint="-0.499984740745262"/>
      </top>
      <bottom style="medium">
        <color theme="0" tint="-0.499984740745262"/>
      </bottom>
      <diagonal/>
    </border>
    <border>
      <left/>
      <right style="medium">
        <color theme="0" tint="-0.499984740745262"/>
      </right>
      <top style="medium">
        <color theme="0" tint="-0.499984740745262"/>
      </top>
      <bottom style="medium">
        <color theme="0" tint="-0.499984740745262"/>
      </bottom>
      <diagonal/>
    </border>
    <border>
      <left style="medium">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medium">
        <color theme="0" tint="-0.499984740745262"/>
      </right>
      <top style="medium">
        <color theme="0" tint="-0.499984740745262"/>
      </top>
      <bottom style="thin">
        <color theme="0" tint="-0.499984740745262"/>
      </bottom>
      <diagonal/>
    </border>
    <border>
      <left style="medium">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top style="thin">
        <color theme="0" tint="-0.499984740745262"/>
      </top>
      <bottom/>
      <diagonal/>
    </border>
    <border>
      <left style="medium">
        <color theme="0" tint="-0.499984740745262"/>
      </left>
      <right/>
      <top style="hair">
        <color indexed="64"/>
      </top>
      <bottom style="hair">
        <color indexed="64"/>
      </bottom>
      <diagonal/>
    </border>
    <border>
      <left style="thin">
        <color rgb="FF000000"/>
      </left>
      <right/>
      <top style="hair">
        <color indexed="64"/>
      </top>
      <bottom style="medium">
        <color indexed="64"/>
      </bottom>
      <diagonal/>
    </border>
    <border>
      <left/>
      <right style="thin">
        <color rgb="FF000000"/>
      </right>
      <top style="hair">
        <color indexed="64"/>
      </top>
      <bottom style="medium">
        <color indexed="64"/>
      </bottom>
      <diagonal/>
    </border>
    <border>
      <left style="thin">
        <color theme="0" tint="-0.34998626667073579"/>
      </left>
      <right style="thin">
        <color theme="0" tint="-0.499984740745262"/>
      </right>
      <top style="thin">
        <color theme="0" tint="-0.34998626667073579"/>
      </top>
      <bottom style="thin">
        <color theme="0" tint="-0.499984740745262"/>
      </bottom>
      <diagonal/>
    </border>
    <border>
      <left style="thin">
        <color theme="0" tint="-0.499984740745262"/>
      </left>
      <right style="thin">
        <color theme="0" tint="-0.499984740745262"/>
      </right>
      <top style="thin">
        <color theme="0" tint="-0.34998626667073579"/>
      </top>
      <bottom style="thin">
        <color theme="0" tint="-0.499984740745262"/>
      </bottom>
      <diagonal/>
    </border>
    <border>
      <left style="thin">
        <color theme="0" tint="-0.499984740745262"/>
      </left>
      <right style="thin">
        <color theme="0" tint="-0.34998626667073579"/>
      </right>
      <top style="thin">
        <color theme="0" tint="-0.34998626667073579"/>
      </top>
      <bottom style="thin">
        <color theme="0" tint="-0.499984740745262"/>
      </bottom>
      <diagonal/>
    </border>
    <border>
      <left style="thin">
        <color theme="0" tint="-0.34998626667073579"/>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34998626667073579"/>
      </right>
      <top style="thin">
        <color theme="0" tint="-0.499984740745262"/>
      </top>
      <bottom style="thin">
        <color theme="0" tint="-0.499984740745262"/>
      </bottom>
      <diagonal/>
    </border>
    <border>
      <left style="thin">
        <color theme="0" tint="-0.34998626667073579"/>
      </left>
      <right/>
      <top style="thin">
        <color theme="0" tint="-0.34998626667073579"/>
      </top>
      <bottom/>
      <diagonal/>
    </border>
    <border>
      <left/>
      <right/>
      <top style="thin">
        <color theme="0" tint="-0.34998626667073579"/>
      </top>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right style="thin">
        <color theme="0" tint="-0.34998626667073579"/>
      </right>
      <top/>
      <bottom style="thin">
        <color theme="0" tint="-0.34998626667073579"/>
      </bottom>
      <diagonal/>
    </border>
    <border>
      <left/>
      <right/>
      <top/>
      <bottom style="hair">
        <color theme="0" tint="-0.34998626667073579"/>
      </bottom>
      <diagonal/>
    </border>
    <border>
      <left/>
      <right/>
      <top style="hair">
        <color theme="0" tint="-0.34998626667073579"/>
      </top>
      <bottom style="hair">
        <color theme="0" tint="-0.34998626667073579"/>
      </bottom>
      <diagonal/>
    </border>
    <border>
      <left style="thin">
        <color theme="0" tint="-0.499984740745262"/>
      </left>
      <right/>
      <top style="thin">
        <color theme="0" tint="-0.499984740745262"/>
      </top>
      <bottom style="hair">
        <color theme="0" tint="-0.34998626667073579"/>
      </bottom>
      <diagonal/>
    </border>
    <border>
      <left/>
      <right/>
      <top style="thin">
        <color theme="0" tint="-0.499984740745262"/>
      </top>
      <bottom style="hair">
        <color theme="0" tint="-0.34998626667073579"/>
      </bottom>
      <diagonal/>
    </border>
    <border>
      <left/>
      <right style="thin">
        <color theme="0" tint="-0.499984740745262"/>
      </right>
      <top style="thin">
        <color theme="0" tint="-0.499984740745262"/>
      </top>
      <bottom style="hair">
        <color theme="0" tint="-0.34998626667073579"/>
      </bottom>
      <diagonal/>
    </border>
    <border>
      <left/>
      <right/>
      <top style="thin">
        <color theme="0" tint="-0.34998626667073579"/>
      </top>
      <bottom style="thin">
        <color indexed="64"/>
      </bottom>
      <diagonal/>
    </border>
    <border>
      <left/>
      <right style="thin">
        <color theme="0" tint="-0.34998626667073579"/>
      </right>
      <top style="thin">
        <color theme="0" tint="-0.34998626667073579"/>
      </top>
      <bottom style="thin">
        <color indexed="64"/>
      </bottom>
      <diagonal/>
    </border>
    <border>
      <left style="thin">
        <color theme="0" tint="-0.34998626667073579"/>
      </left>
      <right/>
      <top style="thin">
        <color theme="0" tint="-0.499984740745262"/>
      </top>
      <bottom style="thin">
        <color theme="0" tint="-0.499984740745262"/>
      </bottom>
      <diagonal/>
    </border>
    <border>
      <left/>
      <right style="thin">
        <color theme="0" tint="-0.34998626667073579"/>
      </right>
      <top style="thin">
        <color theme="0" tint="-0.499984740745262"/>
      </top>
      <bottom style="thin">
        <color theme="0" tint="-0.499984740745262"/>
      </bottom>
      <diagonal/>
    </border>
    <border>
      <left style="thin">
        <color theme="0" tint="-0.34998626667073579"/>
      </left>
      <right/>
      <top/>
      <bottom style="thin">
        <color theme="0" tint="-0.499984740745262"/>
      </bottom>
      <diagonal/>
    </border>
    <border>
      <left/>
      <right style="thin">
        <color theme="0" tint="-0.34998626667073579"/>
      </right>
      <top/>
      <bottom style="thin">
        <color theme="0" tint="-0.499984740745262"/>
      </bottom>
      <diagonal/>
    </border>
    <border>
      <left style="thin">
        <color theme="0" tint="-0.34998626667073579"/>
      </left>
      <right/>
      <top style="thin">
        <color theme="0" tint="-0.499984740745262"/>
      </top>
      <bottom style="hair">
        <color theme="0" tint="-0.34998626667073579"/>
      </bottom>
      <diagonal/>
    </border>
    <border>
      <left/>
      <right style="thin">
        <color theme="0" tint="-0.34998626667073579"/>
      </right>
      <top style="thin">
        <color theme="0" tint="-0.499984740745262"/>
      </top>
      <bottom style="hair">
        <color theme="0" tint="-0.34998626667073579"/>
      </bottom>
      <diagonal/>
    </border>
    <border>
      <left/>
      <right style="thin">
        <color theme="0" tint="-0.34998626667073579"/>
      </right>
      <top/>
      <bottom style="hair">
        <color theme="0" tint="-0.34998626667073579"/>
      </bottom>
      <diagonal/>
    </border>
    <border>
      <left style="thin">
        <color theme="0" tint="-0.499984740745262"/>
      </left>
      <right/>
      <top style="hair">
        <color theme="0" tint="-0.34998626667073579"/>
      </top>
      <bottom style="hair">
        <color theme="0" tint="-0.34998626667073579"/>
      </bottom>
      <diagonal/>
    </border>
    <border>
      <left/>
      <right style="thin">
        <color theme="0" tint="-0.499984740745262"/>
      </right>
      <top style="hair">
        <color theme="0" tint="-0.34998626667073579"/>
      </top>
      <bottom style="hair">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499984740745262"/>
      </right>
      <top style="thin">
        <color theme="0" tint="-0.499984740745262"/>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34998626667073579"/>
      </right>
      <top style="thin">
        <color theme="0" tint="-0.499984740745262"/>
      </top>
      <bottom/>
      <diagonal/>
    </border>
    <border>
      <left style="thin">
        <color theme="0" tint="-0.34998626667073579"/>
      </left>
      <right/>
      <top style="thin">
        <color theme="0" tint="-0.499984740745262"/>
      </top>
      <bottom/>
      <diagonal/>
    </border>
    <border>
      <left/>
      <right style="thin">
        <color theme="0" tint="-0.34998626667073579"/>
      </right>
      <top style="thin">
        <color theme="0" tint="-0.499984740745262"/>
      </top>
      <bottom/>
      <diagonal/>
    </border>
    <border>
      <left/>
      <right style="thin">
        <color theme="0"/>
      </right>
      <top/>
      <bottom/>
      <diagonal/>
    </border>
    <border>
      <left style="thin">
        <color rgb="FF00447C"/>
      </left>
      <right/>
      <top style="thin">
        <color rgb="FF00447C"/>
      </top>
      <bottom style="thin">
        <color rgb="FF00447C"/>
      </bottom>
      <diagonal/>
    </border>
    <border>
      <left/>
      <right/>
      <top style="thin">
        <color rgb="FF00447C"/>
      </top>
      <bottom style="thin">
        <color rgb="FF00447C"/>
      </bottom>
      <diagonal/>
    </border>
    <border>
      <left/>
      <right style="thin">
        <color rgb="FF00447C"/>
      </right>
      <top style="thin">
        <color rgb="FF00447C"/>
      </top>
      <bottom style="thin">
        <color rgb="FF00447C"/>
      </bottom>
      <diagonal/>
    </border>
    <border>
      <left style="thin">
        <color rgb="FF00447C"/>
      </left>
      <right/>
      <top style="thin">
        <color rgb="FF00447C"/>
      </top>
      <bottom/>
      <diagonal/>
    </border>
    <border>
      <left/>
      <right/>
      <top style="thin">
        <color rgb="FF00447C"/>
      </top>
      <bottom/>
      <diagonal/>
    </border>
    <border>
      <left/>
      <right style="thin">
        <color rgb="FF00447C"/>
      </right>
      <top style="thin">
        <color rgb="FF00447C"/>
      </top>
      <bottom/>
      <diagonal/>
    </border>
    <border>
      <left style="thin">
        <color rgb="FF00447C"/>
      </left>
      <right/>
      <top/>
      <bottom style="thin">
        <color rgb="FF00447C"/>
      </bottom>
      <diagonal/>
    </border>
    <border>
      <left/>
      <right/>
      <top/>
      <bottom style="thin">
        <color rgb="FF00447C"/>
      </bottom>
      <diagonal/>
    </border>
    <border>
      <left/>
      <right style="thin">
        <color rgb="FF00447C"/>
      </right>
      <top/>
      <bottom style="thin">
        <color rgb="FF00447C"/>
      </bottom>
      <diagonal/>
    </border>
    <border>
      <left style="thin">
        <color rgb="FF00447C"/>
      </left>
      <right/>
      <top/>
      <bottom/>
      <diagonal/>
    </border>
    <border>
      <left/>
      <right style="thin">
        <color rgb="FF00447C"/>
      </right>
      <top/>
      <bottom/>
      <diagonal/>
    </border>
    <border>
      <left style="thin">
        <color rgb="FF00447C"/>
      </left>
      <right style="thin">
        <color rgb="FF00447C"/>
      </right>
      <top style="thin">
        <color rgb="FF00447C"/>
      </top>
      <bottom/>
      <diagonal/>
    </border>
    <border>
      <left style="thin">
        <color rgb="FF00447C"/>
      </left>
      <right style="thin">
        <color rgb="FF00447C"/>
      </right>
      <top/>
      <bottom/>
      <diagonal/>
    </border>
    <border>
      <left style="thin">
        <color rgb="FF00447C"/>
      </left>
      <right style="thin">
        <color rgb="FF00447C"/>
      </right>
      <top/>
      <bottom style="thin">
        <color rgb="FF00447C"/>
      </bottom>
      <diagonal/>
    </border>
    <border>
      <left style="thin">
        <color theme="0"/>
      </left>
      <right/>
      <top/>
      <bottom/>
      <diagonal/>
    </border>
    <border>
      <left/>
      <right style="thin">
        <color theme="0"/>
      </right>
      <top style="thin">
        <color rgb="FF00447C"/>
      </top>
      <bottom style="thin">
        <color rgb="FF00447C"/>
      </bottom>
      <diagonal/>
    </border>
    <border>
      <left style="thin">
        <color theme="0"/>
      </left>
      <right/>
      <top style="thin">
        <color rgb="FF00447C"/>
      </top>
      <bottom style="thin">
        <color rgb="FF00447C"/>
      </bottom>
      <diagonal/>
    </border>
    <border>
      <left style="medium">
        <color theme="0"/>
      </left>
      <right/>
      <top/>
      <bottom style="medium">
        <color theme="0"/>
      </bottom>
      <diagonal/>
    </border>
    <border>
      <left/>
      <right/>
      <top/>
      <bottom style="medium">
        <color theme="0"/>
      </bottom>
      <diagonal/>
    </border>
    <border>
      <left/>
      <right style="medium">
        <color theme="0"/>
      </right>
      <top/>
      <bottom style="medium">
        <color theme="0"/>
      </bottom>
      <diagonal/>
    </border>
    <border>
      <left style="medium">
        <color theme="0"/>
      </left>
      <right/>
      <top style="medium">
        <color theme="0"/>
      </top>
      <bottom style="medium">
        <color theme="0"/>
      </bottom>
      <diagonal/>
    </border>
    <border>
      <left/>
      <right/>
      <top style="medium">
        <color theme="0"/>
      </top>
      <bottom style="medium">
        <color theme="0"/>
      </bottom>
      <diagonal/>
    </border>
    <border>
      <left/>
      <right style="medium">
        <color theme="0"/>
      </right>
      <top style="medium">
        <color theme="0"/>
      </top>
      <bottom style="medium">
        <color theme="0"/>
      </bottom>
      <diagonal/>
    </border>
    <border>
      <left style="thin">
        <color rgb="FF000000"/>
      </left>
      <right/>
      <top style="hair">
        <color indexed="64"/>
      </top>
      <bottom style="hair">
        <color rgb="FF000000"/>
      </bottom>
      <diagonal/>
    </border>
    <border>
      <left/>
      <right/>
      <top style="hair">
        <color indexed="64"/>
      </top>
      <bottom style="hair">
        <color rgb="FF000000"/>
      </bottom>
      <diagonal/>
    </border>
    <border>
      <left/>
      <right style="thin">
        <color indexed="64"/>
      </right>
      <top style="hair">
        <color indexed="64"/>
      </top>
      <bottom style="hair">
        <color rgb="FF000000"/>
      </bottom>
      <diagonal/>
    </border>
  </borders>
  <cellStyleXfs count="9">
    <xf numFmtId="0" fontId="0" fillId="0" borderId="0"/>
    <xf numFmtId="0" fontId="3" fillId="0" borderId="0"/>
    <xf numFmtId="0" fontId="20" fillId="0" borderId="0"/>
    <xf numFmtId="9" fontId="2" fillId="0" borderId="0" applyFont="0" applyFill="0" applyBorder="0" applyAlignment="0" applyProtection="0"/>
    <xf numFmtId="165" fontId="2" fillId="0" borderId="0" applyFont="0" applyFill="0" applyBorder="0" applyAlignment="0" applyProtection="0"/>
    <xf numFmtId="0" fontId="28" fillId="0" borderId="0"/>
    <xf numFmtId="0" fontId="1" fillId="0" borderId="0"/>
    <xf numFmtId="0" fontId="68" fillId="0" borderId="0" applyNumberFormat="0" applyFill="0" applyBorder="0" applyAlignment="0" applyProtection="0"/>
    <xf numFmtId="164" fontId="74" fillId="0" borderId="0" applyFont="0" applyFill="0" applyBorder="0" applyAlignment="0" applyProtection="0"/>
  </cellStyleXfs>
  <cellXfs count="1296">
    <xf numFmtId="0" fontId="0" fillId="0" borderId="0" xfId="0"/>
    <xf numFmtId="0" fontId="3" fillId="0" borderId="0" xfId="0" applyFont="1" applyAlignment="1">
      <alignment vertical="center"/>
    </xf>
    <xf numFmtId="0" fontId="8" fillId="0" borderId="0" xfId="0" applyFont="1" applyAlignment="1">
      <alignment vertical="center"/>
    </xf>
    <xf numFmtId="0" fontId="4" fillId="0" borderId="0" xfId="0" applyFont="1" applyAlignment="1">
      <alignment vertical="center"/>
    </xf>
    <xf numFmtId="0" fontId="3" fillId="0" borderId="0" xfId="0" applyFont="1" applyAlignment="1">
      <alignment vertical="center" wrapText="1"/>
    </xf>
    <xf numFmtId="0" fontId="0" fillId="0" borderId="0" xfId="0" applyAlignment="1">
      <alignment horizontal="center" vertical="center"/>
    </xf>
    <xf numFmtId="0" fontId="0" fillId="0" borderId="0" xfId="0" applyAlignment="1">
      <alignment horizontal="left"/>
    </xf>
    <xf numFmtId="0" fontId="4" fillId="0" borderId="0" xfId="0" applyFont="1" applyAlignment="1">
      <alignment horizontal="center"/>
    </xf>
    <xf numFmtId="0" fontId="0" fillId="0" borderId="0" xfId="0" applyAlignment="1">
      <alignment horizontal="right"/>
    </xf>
    <xf numFmtId="0" fontId="0" fillId="0" borderId="65" xfId="0" applyBorder="1" applyAlignment="1">
      <alignment horizontal="center"/>
    </xf>
    <xf numFmtId="0" fontId="0" fillId="0" borderId="66" xfId="0" applyBorder="1" applyAlignment="1">
      <alignment horizontal="center"/>
    </xf>
    <xf numFmtId="0" fontId="0" fillId="0" borderId="67" xfId="0" applyBorder="1" applyAlignment="1">
      <alignment horizontal="center"/>
    </xf>
    <xf numFmtId="0" fontId="3" fillId="0" borderId="68" xfId="0" quotePrefix="1" applyFont="1" applyBorder="1" applyAlignment="1">
      <alignment horizontal="center"/>
    </xf>
    <xf numFmtId="0" fontId="0" fillId="0" borderId="68" xfId="0" applyBorder="1" applyAlignment="1">
      <alignment horizontal="center"/>
    </xf>
    <xf numFmtId="0" fontId="4" fillId="0" borderId="69" xfId="0" applyFont="1" applyBorder="1" applyAlignment="1">
      <alignment horizontal="center"/>
    </xf>
    <xf numFmtId="0" fontId="4" fillId="0" borderId="70" xfId="0" applyFont="1" applyBorder="1" applyAlignment="1">
      <alignment horizontal="center" vertical="center"/>
    </xf>
    <xf numFmtId="0" fontId="4" fillId="0" borderId="71" xfId="0" applyFont="1" applyBorder="1" applyAlignment="1">
      <alignment horizontal="center" vertical="center"/>
    </xf>
    <xf numFmtId="0" fontId="4" fillId="0" borderId="72" xfId="0" applyFont="1" applyBorder="1" applyAlignment="1">
      <alignment horizontal="center" vertical="center"/>
    </xf>
    <xf numFmtId="0" fontId="4" fillId="0" borderId="73" xfId="0" applyFont="1" applyBorder="1" applyAlignment="1">
      <alignment horizontal="center" vertical="center"/>
    </xf>
    <xf numFmtId="167" fontId="0" fillId="0" borderId="70" xfId="0" applyNumberFormat="1" applyBorder="1" applyAlignment="1">
      <alignment horizontal="center" vertical="center"/>
    </xf>
    <xf numFmtId="167" fontId="0" fillId="0" borderId="71" xfId="0" applyNumberFormat="1" applyBorder="1" applyAlignment="1">
      <alignment horizontal="center" vertical="center"/>
    </xf>
    <xf numFmtId="169" fontId="0" fillId="0" borderId="71" xfId="0" applyNumberFormat="1" applyBorder="1" applyAlignment="1">
      <alignment horizontal="center" vertical="center"/>
    </xf>
    <xf numFmtId="0" fontId="4" fillId="0" borderId="5" xfId="0" applyFont="1" applyBorder="1" applyAlignment="1">
      <alignment horizontal="center" vertical="center"/>
    </xf>
    <xf numFmtId="0" fontId="0" fillId="0" borderId="6" xfId="0" applyBorder="1" applyAlignment="1">
      <alignment horizontal="center" vertical="center"/>
    </xf>
    <xf numFmtId="166" fontId="4" fillId="0" borderId="65" xfId="0" applyNumberFormat="1" applyFont="1" applyBorder="1" applyAlignment="1">
      <alignment horizontal="right"/>
    </xf>
    <xf numFmtId="0" fontId="4" fillId="0" borderId="66" xfId="0" applyFont="1" applyBorder="1" applyAlignment="1">
      <alignment horizontal="left"/>
    </xf>
    <xf numFmtId="166" fontId="4" fillId="0" borderId="67" xfId="0" applyNumberFormat="1" applyFont="1" applyBorder="1" applyAlignment="1">
      <alignment horizontal="right"/>
    </xf>
    <xf numFmtId="0" fontId="4" fillId="0" borderId="68" xfId="0" applyFont="1" applyBorder="1" applyAlignment="1">
      <alignment horizontal="left"/>
    </xf>
    <xf numFmtId="168" fontId="0" fillId="0" borderId="0" xfId="0" applyNumberFormat="1" applyAlignment="1">
      <alignment horizontal="center" vertical="center"/>
    </xf>
    <xf numFmtId="0" fontId="0" fillId="0" borderId="0" xfId="0" applyAlignment="1">
      <alignment vertical="center"/>
    </xf>
    <xf numFmtId="175" fontId="0" fillId="0" borderId="0" xfId="0" applyNumberFormat="1"/>
    <xf numFmtId="0" fontId="4" fillId="0" borderId="0" xfId="0" applyFont="1" applyAlignment="1">
      <alignment horizontal="right" vertical="center"/>
    </xf>
    <xf numFmtId="0" fontId="22" fillId="0" borderId="0" xfId="0" applyFont="1" applyAlignment="1">
      <alignment vertical="center"/>
    </xf>
    <xf numFmtId="0" fontId="23" fillId="0" borderId="0" xfId="0" applyFont="1" applyAlignment="1">
      <alignment horizontal="left" vertical="center"/>
    </xf>
    <xf numFmtId="0" fontId="24" fillId="0" borderId="0" xfId="0" applyFont="1" applyAlignment="1">
      <alignment horizontal="left"/>
    </xf>
    <xf numFmtId="0" fontId="3" fillId="0" borderId="0" xfId="0" applyFont="1" applyAlignment="1">
      <alignment horizontal="left" vertical="center"/>
    </xf>
    <xf numFmtId="0" fontId="3" fillId="0" borderId="0" xfId="0" applyFont="1" applyAlignment="1">
      <alignment horizontal="right" vertical="center"/>
    </xf>
    <xf numFmtId="0" fontId="6" fillId="0" borderId="0" xfId="0" applyFont="1"/>
    <xf numFmtId="0" fontId="4" fillId="0" borderId="0" xfId="0" applyFont="1" applyAlignment="1">
      <alignment vertical="center" wrapText="1"/>
    </xf>
    <xf numFmtId="0" fontId="0" fillId="0" borderId="0" xfId="0" applyAlignment="1">
      <alignment horizontal="left" vertical="center"/>
    </xf>
    <xf numFmtId="0" fontId="4" fillId="0" borderId="74" xfId="0" applyFont="1" applyBorder="1" applyAlignment="1">
      <alignment horizontal="center" vertical="center"/>
    </xf>
    <xf numFmtId="167" fontId="0" fillId="0" borderId="74" xfId="0" applyNumberFormat="1" applyBorder="1" applyAlignment="1">
      <alignment horizontal="center" vertical="center"/>
    </xf>
    <xf numFmtId="169" fontId="0" fillId="0" borderId="74" xfId="0" applyNumberFormat="1" applyBorder="1" applyAlignment="1">
      <alignment horizontal="center" vertical="center"/>
    </xf>
    <xf numFmtId="0" fontId="4" fillId="0" borderId="75" xfId="0" applyFont="1" applyBorder="1" applyAlignment="1">
      <alignment horizontal="center" vertical="center"/>
    </xf>
    <xf numFmtId="0" fontId="4" fillId="0" borderId="2" xfId="0" applyFont="1" applyBorder="1" applyAlignment="1">
      <alignment horizontal="center" vertical="center"/>
    </xf>
    <xf numFmtId="0" fontId="0" fillId="0" borderId="1" xfId="0" applyBorder="1" applyAlignment="1">
      <alignment horizontal="center" vertical="center"/>
    </xf>
    <xf numFmtId="168" fontId="0" fillId="0" borderId="1" xfId="0" applyNumberFormat="1" applyBorder="1" applyAlignment="1">
      <alignment horizontal="center" vertical="center"/>
    </xf>
    <xf numFmtId="0" fontId="0" fillId="0" borderId="3" xfId="0" applyBorder="1" applyAlignment="1">
      <alignment horizontal="center" vertical="center"/>
    </xf>
    <xf numFmtId="0" fontId="25" fillId="4" borderId="76" xfId="0" applyFont="1" applyFill="1" applyBorder="1" applyAlignment="1">
      <alignment horizontal="center" vertical="center"/>
    </xf>
    <xf numFmtId="167" fontId="0" fillId="0" borderId="0" xfId="0" applyNumberFormat="1" applyAlignment="1">
      <alignment horizontal="center" vertical="center"/>
    </xf>
    <xf numFmtId="170" fontId="0" fillId="0" borderId="71" xfId="0" applyNumberFormat="1" applyBorder="1" applyAlignment="1">
      <alignment horizontal="center" vertical="center"/>
    </xf>
    <xf numFmtId="170" fontId="0" fillId="0" borderId="74" xfId="0" applyNumberFormat="1" applyBorder="1" applyAlignment="1">
      <alignment horizontal="center" vertical="center"/>
    </xf>
    <xf numFmtId="166" fontId="16" fillId="0" borderId="0" xfId="0" applyNumberFormat="1" applyFont="1" applyAlignment="1">
      <alignment horizontal="center" vertical="center"/>
    </xf>
    <xf numFmtId="2" fontId="0" fillId="0" borderId="70" xfId="0" quotePrefix="1" applyNumberFormat="1" applyBorder="1" applyAlignment="1">
      <alignment horizontal="center" vertical="center"/>
    </xf>
    <xf numFmtId="2" fontId="0" fillId="0" borderId="71" xfId="0" applyNumberFormat="1" applyBorder="1" applyAlignment="1">
      <alignment horizontal="center" vertical="center"/>
    </xf>
    <xf numFmtId="2" fontId="0" fillId="0" borderId="72" xfId="0" applyNumberFormat="1" applyBorder="1" applyAlignment="1">
      <alignment horizontal="center" vertical="center"/>
    </xf>
    <xf numFmtId="2" fontId="0" fillId="0" borderId="70" xfId="0" applyNumberFormat="1" applyBorder="1" applyAlignment="1">
      <alignment horizontal="center" vertical="center"/>
    </xf>
    <xf numFmtId="2" fontId="0" fillId="0" borderId="74" xfId="0" applyNumberFormat="1" applyBorder="1" applyAlignment="1">
      <alignment horizontal="center" vertical="center"/>
    </xf>
    <xf numFmtId="0" fontId="23" fillId="0" borderId="0" xfId="0" applyFont="1" applyAlignment="1">
      <alignment horizontal="center" vertical="center"/>
    </xf>
    <xf numFmtId="14" fontId="0" fillId="0" borderId="0" xfId="0" applyNumberFormat="1" applyAlignment="1">
      <alignment horizontal="center" vertical="center"/>
    </xf>
    <xf numFmtId="170" fontId="0" fillId="0" borderId="9" xfId="0" applyNumberFormat="1" applyBorder="1" applyAlignment="1">
      <alignment horizontal="center" vertical="center"/>
    </xf>
    <xf numFmtId="2" fontId="0" fillId="0" borderId="9" xfId="0" applyNumberFormat="1" applyBorder="1" applyAlignment="1">
      <alignment horizontal="center" vertical="center"/>
    </xf>
    <xf numFmtId="169" fontId="0" fillId="0" borderId="9" xfId="0" applyNumberFormat="1" applyBorder="1" applyAlignment="1">
      <alignment horizontal="center" vertical="center"/>
    </xf>
    <xf numFmtId="0" fontId="4" fillId="0" borderId="9" xfId="0" applyFont="1" applyBorder="1" applyAlignment="1">
      <alignment horizontal="center" vertical="center"/>
    </xf>
    <xf numFmtId="0" fontId="4" fillId="0" borderId="0" xfId="0" applyFont="1" applyAlignment="1">
      <alignment horizontal="center" vertical="center" wrapText="1"/>
    </xf>
    <xf numFmtId="10" fontId="3" fillId="0" borderId="0" xfId="3" applyNumberFormat="1" applyFont="1" applyAlignment="1">
      <alignment horizontal="center" vertical="center"/>
    </xf>
    <xf numFmtId="10" fontId="3" fillId="0" borderId="0" xfId="0" applyNumberFormat="1" applyFont="1" applyAlignment="1">
      <alignment vertical="center"/>
    </xf>
    <xf numFmtId="0" fontId="13" fillId="0" borderId="0" xfId="0" applyFont="1" applyAlignment="1">
      <alignment vertical="center"/>
    </xf>
    <xf numFmtId="0" fontId="4" fillId="5" borderId="81" xfId="0" applyFont="1" applyFill="1" applyBorder="1" applyAlignment="1">
      <alignment horizontal="center" vertical="center"/>
    </xf>
    <xf numFmtId="0" fontId="4" fillId="5" borderId="82" xfId="0" applyFont="1" applyFill="1" applyBorder="1" applyAlignment="1">
      <alignment horizontal="center" vertical="center"/>
    </xf>
    <xf numFmtId="0" fontId="4" fillId="5" borderId="83" xfId="0" applyFont="1" applyFill="1" applyBorder="1" applyAlignment="1">
      <alignment horizontal="center" vertical="center"/>
    </xf>
    <xf numFmtId="0" fontId="3" fillId="0" borderId="0" xfId="0" applyFont="1" applyAlignment="1">
      <alignment horizontal="center" vertical="center"/>
    </xf>
    <xf numFmtId="0" fontId="4" fillId="5" borderId="84" xfId="0" applyFont="1" applyFill="1" applyBorder="1" applyAlignment="1">
      <alignment horizontal="center" vertical="center"/>
    </xf>
    <xf numFmtId="0" fontId="4" fillId="6" borderId="87" xfId="0" applyFont="1" applyFill="1" applyBorder="1" applyAlignment="1">
      <alignment horizontal="center" vertical="center" wrapText="1"/>
    </xf>
    <xf numFmtId="0" fontId="3" fillId="0" borderId="0" xfId="0" applyFont="1"/>
    <xf numFmtId="0" fontId="4" fillId="6" borderId="88" xfId="0" applyFont="1" applyFill="1" applyBorder="1" applyAlignment="1">
      <alignment horizontal="center" vertical="center" wrapText="1"/>
    </xf>
    <xf numFmtId="0" fontId="4" fillId="6" borderId="87" xfId="0" applyFont="1" applyFill="1" applyBorder="1" applyAlignment="1">
      <alignment horizontal="right" vertical="center" wrapText="1"/>
    </xf>
    <xf numFmtId="0" fontId="4" fillId="6" borderId="88" xfId="0" applyFont="1" applyFill="1" applyBorder="1" applyAlignment="1">
      <alignment horizontal="right" vertical="center" wrapText="1"/>
    </xf>
    <xf numFmtId="0" fontId="3" fillId="0" borderId="0" xfId="0" quotePrefix="1" applyFont="1" applyAlignment="1">
      <alignment horizontal="center" vertical="center"/>
    </xf>
    <xf numFmtId="0" fontId="23" fillId="0" borderId="0" xfId="0" applyFont="1" applyAlignment="1">
      <alignment vertical="center" wrapText="1"/>
    </xf>
    <xf numFmtId="0" fontId="23" fillId="0" borderId="0" xfId="0" applyFont="1" applyAlignment="1">
      <alignment vertical="center"/>
    </xf>
    <xf numFmtId="0" fontId="19" fillId="0" borderId="0" xfId="0" applyFont="1" applyAlignment="1">
      <alignment vertical="center"/>
    </xf>
    <xf numFmtId="0" fontId="26" fillId="7" borderId="15" xfId="2" applyFont="1" applyFill="1" applyBorder="1" applyAlignment="1">
      <alignment horizontal="center" vertical="center"/>
    </xf>
    <xf numFmtId="0" fontId="27" fillId="0" borderId="0" xfId="2" applyFont="1" applyAlignment="1">
      <alignment horizontal="center" vertical="center"/>
    </xf>
    <xf numFmtId="0" fontId="27" fillId="0" borderId="17" xfId="2" applyFont="1" applyBorder="1" applyAlignment="1">
      <alignment horizontal="center" vertical="center"/>
    </xf>
    <xf numFmtId="0" fontId="27" fillId="0" borderId="18" xfId="2" applyFont="1" applyBorder="1" applyAlignment="1">
      <alignment horizontal="center" vertical="center"/>
    </xf>
    <xf numFmtId="176" fontId="27" fillId="0" borderId="18" xfId="2" applyNumberFormat="1" applyFont="1" applyBorder="1" applyAlignment="1">
      <alignment horizontal="center" vertical="center"/>
    </xf>
    <xf numFmtId="174" fontId="27" fillId="0" borderId="18" xfId="2" applyNumberFormat="1" applyFont="1" applyBorder="1" applyAlignment="1">
      <alignment horizontal="center" vertical="center"/>
    </xf>
    <xf numFmtId="0" fontId="27" fillId="0" borderId="22" xfId="2" applyFont="1" applyBorder="1" applyAlignment="1">
      <alignment horizontal="center" vertical="center"/>
    </xf>
    <xf numFmtId="0" fontId="27" fillId="0" borderId="25" xfId="2" applyFont="1" applyBorder="1" applyAlignment="1">
      <alignment horizontal="center" vertical="center"/>
    </xf>
    <xf numFmtId="0" fontId="6" fillId="15" borderId="0" xfId="0" applyFont="1" applyFill="1" applyAlignment="1">
      <alignment horizontal="center" vertical="center"/>
    </xf>
    <xf numFmtId="0" fontId="6" fillId="0" borderId="0" xfId="0" applyFont="1" applyAlignment="1">
      <alignment horizontal="center" vertical="center"/>
    </xf>
    <xf numFmtId="0" fontId="6" fillId="0" borderId="131" xfId="0" applyFont="1" applyBorder="1" applyAlignment="1">
      <alignment horizontal="center" vertical="center"/>
    </xf>
    <xf numFmtId="11" fontId="6" fillId="0" borderId="0" xfId="0" applyNumberFormat="1" applyFont="1" applyAlignment="1">
      <alignment horizontal="center" vertical="center"/>
    </xf>
    <xf numFmtId="0" fontId="7" fillId="0" borderId="0" xfId="0" applyFont="1" applyAlignment="1">
      <alignment vertical="center"/>
    </xf>
    <xf numFmtId="0" fontId="4" fillId="0" borderId="0" xfId="0" quotePrefix="1"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left" vertical="center"/>
    </xf>
    <xf numFmtId="0" fontId="0" fillId="0" borderId="0" xfId="0" applyAlignment="1">
      <alignment horizontal="center"/>
    </xf>
    <xf numFmtId="170" fontId="0" fillId="0" borderId="0" xfId="0" applyNumberFormat="1" applyAlignment="1">
      <alignment horizontal="center" vertical="center"/>
    </xf>
    <xf numFmtId="0" fontId="0" fillId="18" borderId="0" xfId="0" applyFill="1"/>
    <xf numFmtId="0" fontId="0" fillId="18" borderId="0" xfId="0" applyFill="1" applyAlignment="1">
      <alignment horizontal="left" vertical="center"/>
    </xf>
    <xf numFmtId="0" fontId="8" fillId="18" borderId="0" xfId="0" applyFont="1" applyFill="1"/>
    <xf numFmtId="0" fontId="0" fillId="18" borderId="0" xfId="0" applyFill="1" applyAlignment="1">
      <alignment horizontal="center" vertical="center"/>
    </xf>
    <xf numFmtId="0" fontId="14" fillId="18" borderId="0" xfId="0" applyFont="1" applyFill="1" applyAlignment="1">
      <alignment horizontal="center" vertical="center" wrapText="1"/>
    </xf>
    <xf numFmtId="0" fontId="4" fillId="18" borderId="0" xfId="0" applyFont="1" applyFill="1" applyAlignment="1">
      <alignment vertical="center"/>
    </xf>
    <xf numFmtId="0" fontId="3" fillId="18" borderId="0" xfId="0" applyFont="1" applyFill="1" applyAlignment="1">
      <alignment vertical="center"/>
    </xf>
    <xf numFmtId="0" fontId="21" fillId="18" borderId="0" xfId="0" applyFont="1" applyFill="1" applyAlignment="1">
      <alignment vertical="center"/>
    </xf>
    <xf numFmtId="0" fontId="0" fillId="18" borderId="0" xfId="0" applyFill="1" applyAlignment="1">
      <alignment horizontal="center"/>
    </xf>
    <xf numFmtId="0" fontId="22" fillId="18" borderId="0" xfId="0" applyFont="1" applyFill="1" applyAlignment="1">
      <alignment vertical="center"/>
    </xf>
    <xf numFmtId="0" fontId="0" fillId="18" borderId="0" xfId="0" applyFill="1" applyAlignment="1">
      <alignment vertical="center"/>
    </xf>
    <xf numFmtId="0" fontId="3" fillId="18" borderId="0" xfId="0" applyFont="1" applyFill="1" applyAlignment="1">
      <alignment horizontal="left" vertical="center"/>
    </xf>
    <xf numFmtId="0" fontId="4" fillId="18" borderId="0" xfId="0" applyFont="1" applyFill="1"/>
    <xf numFmtId="0" fontId="24" fillId="18" borderId="0" xfId="0" applyFont="1" applyFill="1" applyAlignment="1">
      <alignment horizontal="left"/>
    </xf>
    <xf numFmtId="0" fontId="4" fillId="18" borderId="0" xfId="0" applyFont="1" applyFill="1" applyAlignment="1">
      <alignment horizontal="left" vertical="center"/>
    </xf>
    <xf numFmtId="0" fontId="23" fillId="18" borderId="0" xfId="0" applyFont="1" applyFill="1" applyAlignment="1">
      <alignment horizontal="center" vertical="center"/>
    </xf>
    <xf numFmtId="0" fontId="4" fillId="18" borderId="0" xfId="0" applyFont="1" applyFill="1" applyAlignment="1">
      <alignment horizontal="center" vertical="center"/>
    </xf>
    <xf numFmtId="0" fontId="4" fillId="18" borderId="0" xfId="0" applyFont="1" applyFill="1" applyAlignment="1">
      <alignment horizontal="center" vertical="center" wrapText="1"/>
    </xf>
    <xf numFmtId="166" fontId="17" fillId="18" borderId="0" xfId="0" quotePrefix="1" applyNumberFormat="1" applyFont="1" applyFill="1" applyAlignment="1">
      <alignment horizontal="center" vertical="center"/>
    </xf>
    <xf numFmtId="0" fontId="23" fillId="18" borderId="0" xfId="0" applyFont="1" applyFill="1" applyAlignment="1">
      <alignment horizontal="left" vertical="center"/>
    </xf>
    <xf numFmtId="0" fontId="7" fillId="18" borderId="0" xfId="0" applyFont="1" applyFill="1" applyAlignment="1">
      <alignment vertical="center"/>
    </xf>
    <xf numFmtId="0" fontId="7" fillId="18" borderId="0" xfId="0" applyFont="1" applyFill="1" applyAlignment="1">
      <alignment horizontal="left" vertical="top" wrapText="1"/>
    </xf>
    <xf numFmtId="14" fontId="0" fillId="18" borderId="0" xfId="0" applyNumberFormat="1" applyFill="1" applyAlignment="1">
      <alignment horizontal="center" vertical="center"/>
    </xf>
    <xf numFmtId="0" fontId="33" fillId="18" borderId="0" xfId="0" applyFont="1" applyFill="1" applyAlignment="1">
      <alignment vertical="center"/>
    </xf>
    <xf numFmtId="1" fontId="6" fillId="0" borderId="0" xfId="0" applyNumberFormat="1" applyFont="1" applyAlignment="1">
      <alignment horizontal="center" vertical="center"/>
    </xf>
    <xf numFmtId="0" fontId="28" fillId="0" borderId="0" xfId="0" applyFont="1" applyAlignment="1">
      <alignment vertical="center" wrapText="1"/>
    </xf>
    <xf numFmtId="2" fontId="4" fillId="0" borderId="185" xfId="0" quotePrefix="1" applyNumberFormat="1" applyFont="1" applyBorder="1" applyAlignment="1">
      <alignment vertical="center" wrapText="1"/>
    </xf>
    <xf numFmtId="2" fontId="4" fillId="0" borderId="183" xfId="0" quotePrefix="1" applyNumberFormat="1" applyFont="1" applyBorder="1" applyAlignment="1">
      <alignment vertical="center" wrapText="1"/>
    </xf>
    <xf numFmtId="167" fontId="23" fillId="18" borderId="0" xfId="0" applyNumberFormat="1" applyFont="1" applyFill="1" applyAlignment="1">
      <alignment vertical="center"/>
    </xf>
    <xf numFmtId="2" fontId="6" fillId="0" borderId="0" xfId="0" applyNumberFormat="1" applyFont="1" applyAlignment="1">
      <alignment horizontal="center" vertical="center"/>
    </xf>
    <xf numFmtId="2" fontId="6" fillId="0" borderId="0" xfId="0" applyNumberFormat="1" applyFont="1"/>
    <xf numFmtId="2" fontId="6" fillId="0" borderId="0" xfId="0" applyNumberFormat="1" applyFont="1" applyAlignment="1">
      <alignment horizontal="center" vertical="top" wrapText="1"/>
    </xf>
    <xf numFmtId="0" fontId="23" fillId="0" borderId="0" xfId="0" applyFont="1"/>
    <xf numFmtId="0" fontId="23" fillId="18" borderId="0" xfId="0" applyFont="1" applyFill="1" applyAlignment="1">
      <alignment horizontal="center"/>
    </xf>
    <xf numFmtId="0" fontId="8" fillId="18" borderId="0" xfId="0" applyFont="1" applyFill="1" applyAlignment="1">
      <alignment horizontal="left" vertical="top" wrapText="1"/>
    </xf>
    <xf numFmtId="0" fontId="3" fillId="0" borderId="0" xfId="0" applyFont="1" applyAlignment="1" applyProtection="1">
      <alignment vertical="center"/>
      <protection locked="0"/>
    </xf>
    <xf numFmtId="0" fontId="0" fillId="0" borderId="0" xfId="0" applyAlignment="1">
      <alignment wrapText="1"/>
    </xf>
    <xf numFmtId="0" fontId="11" fillId="18" borderId="0" xfId="0" applyFont="1" applyFill="1" applyAlignment="1">
      <alignment horizontal="center" vertical="center"/>
    </xf>
    <xf numFmtId="2" fontId="0" fillId="18" borderId="0" xfId="0" applyNumberFormat="1" applyFill="1" applyAlignment="1">
      <alignment horizontal="center" vertical="center"/>
    </xf>
    <xf numFmtId="170" fontId="0" fillId="18" borderId="0" xfId="0" applyNumberFormat="1" applyFill="1" applyAlignment="1">
      <alignment horizontal="center" vertical="center"/>
    </xf>
    <xf numFmtId="2" fontId="0" fillId="18" borderId="0" xfId="0" applyNumberFormat="1" applyFill="1" applyAlignment="1">
      <alignment vertical="center"/>
    </xf>
    <xf numFmtId="169" fontId="0" fillId="18" borderId="0" xfId="0" applyNumberFormat="1" applyFill="1" applyAlignment="1">
      <alignment vertical="center"/>
    </xf>
    <xf numFmtId="170" fontId="0" fillId="18" borderId="0" xfId="0" applyNumberFormat="1" applyFill="1" applyAlignment="1">
      <alignment vertical="center"/>
    </xf>
    <xf numFmtId="14" fontId="0" fillId="18" borderId="0" xfId="0" applyNumberFormat="1" applyFill="1" applyAlignment="1">
      <alignment vertical="center"/>
    </xf>
    <xf numFmtId="14" fontId="0" fillId="0" borderId="0" xfId="0" applyNumberFormat="1" applyAlignment="1">
      <alignment vertical="center"/>
    </xf>
    <xf numFmtId="0" fontId="37" fillId="18" borderId="0" xfId="0" applyFont="1" applyFill="1"/>
    <xf numFmtId="0" fontId="0" fillId="18" borderId="0" xfId="0" applyFill="1" applyAlignment="1">
      <alignment horizontal="left" vertical="top"/>
    </xf>
    <xf numFmtId="0" fontId="30" fillId="18" borderId="0" xfId="0" applyFont="1" applyFill="1" applyAlignment="1">
      <alignment horizontal="left" vertical="top"/>
    </xf>
    <xf numFmtId="0" fontId="6" fillId="18" borderId="0" xfId="0" applyFont="1" applyFill="1" applyAlignment="1">
      <alignment horizontal="left" vertical="top"/>
    </xf>
    <xf numFmtId="168" fontId="15" fillId="0" borderId="0" xfId="0" applyNumberFormat="1" applyFont="1" applyAlignment="1">
      <alignment horizontal="left" vertical="center"/>
    </xf>
    <xf numFmtId="0" fontId="23" fillId="0" borderId="0" xfId="0" applyFont="1" applyAlignment="1">
      <alignment horizontal="center" vertical="center" textRotation="90" wrapText="1"/>
    </xf>
    <xf numFmtId="166" fontId="6" fillId="0" borderId="0" xfId="0" applyNumberFormat="1" applyFont="1" applyAlignment="1">
      <alignment horizontal="center" vertical="center"/>
    </xf>
    <xf numFmtId="0" fontId="3" fillId="3" borderId="0" xfId="0" applyFont="1" applyFill="1" applyAlignment="1">
      <alignment vertical="center"/>
    </xf>
    <xf numFmtId="0" fontId="3" fillId="0" borderId="8" xfId="0" applyFont="1" applyBorder="1" applyAlignment="1">
      <alignment vertical="center"/>
    </xf>
    <xf numFmtId="14" fontId="4" fillId="0" borderId="0" xfId="0" applyNumberFormat="1" applyFont="1" applyAlignment="1">
      <alignment horizontal="center" vertical="center"/>
    </xf>
    <xf numFmtId="0" fontId="3" fillId="0" borderId="0" xfId="0" applyFont="1" applyAlignment="1">
      <alignment horizontal="center"/>
    </xf>
    <xf numFmtId="14" fontId="3" fillId="0" borderId="0" xfId="0" applyNumberFormat="1" applyFont="1" applyAlignment="1">
      <alignment vertical="center"/>
    </xf>
    <xf numFmtId="1" fontId="3" fillId="0" borderId="0" xfId="0" applyNumberFormat="1" applyFont="1" applyAlignment="1">
      <alignment horizontal="center" vertical="center"/>
    </xf>
    <xf numFmtId="14" fontId="3" fillId="0" borderId="0" xfId="0" applyNumberFormat="1" applyFont="1" applyAlignment="1">
      <alignment horizontal="center" vertical="center"/>
    </xf>
    <xf numFmtId="11" fontId="3" fillId="0" borderId="0" xfId="0" applyNumberFormat="1" applyFont="1" applyAlignment="1">
      <alignment vertical="center"/>
    </xf>
    <xf numFmtId="2" fontId="3" fillId="0" borderId="0" xfId="0" applyNumberFormat="1" applyFont="1" applyAlignment="1">
      <alignment vertical="center"/>
    </xf>
    <xf numFmtId="169" fontId="3" fillId="0" borderId="0" xfId="0" applyNumberFormat="1" applyFont="1" applyAlignment="1">
      <alignment vertical="center" wrapText="1"/>
    </xf>
    <xf numFmtId="0" fontId="28" fillId="0" borderId="0" xfId="0" applyFont="1"/>
    <xf numFmtId="169" fontId="3" fillId="0" borderId="0" xfId="0" applyNumberFormat="1" applyFont="1" applyAlignment="1" applyProtection="1">
      <alignment vertical="center"/>
      <protection locked="0"/>
    </xf>
    <xf numFmtId="0" fontId="2" fillId="18" borderId="0" xfId="0" applyFont="1" applyFill="1" applyAlignment="1">
      <alignment horizontal="center" vertical="center"/>
    </xf>
    <xf numFmtId="0" fontId="2" fillId="18" borderId="0" xfId="0" applyFont="1" applyFill="1"/>
    <xf numFmtId="0" fontId="2" fillId="0" borderId="0" xfId="0" applyFont="1"/>
    <xf numFmtId="0" fontId="2" fillId="0" borderId="181" xfId="0" applyFont="1" applyBorder="1"/>
    <xf numFmtId="0" fontId="2" fillId="18" borderId="0" xfId="0" applyFont="1" applyFill="1" applyAlignment="1">
      <alignment vertical="center"/>
    </xf>
    <xf numFmtId="0" fontId="2" fillId="0" borderId="0" xfId="0" applyFont="1" applyAlignment="1">
      <alignment vertical="center"/>
    </xf>
    <xf numFmtId="174" fontId="2" fillId="0" borderId="0" xfId="0" quotePrefix="1" applyNumberFormat="1" applyFont="1" applyAlignment="1">
      <alignment vertical="center"/>
    </xf>
    <xf numFmtId="174" fontId="2" fillId="0" borderId="0" xfId="0" applyNumberFormat="1" applyFont="1" applyAlignment="1">
      <alignment vertical="center"/>
    </xf>
    <xf numFmtId="0" fontId="42" fillId="18" borderId="0" xfId="0" applyFont="1" applyFill="1" applyAlignment="1">
      <alignment vertical="center"/>
    </xf>
    <xf numFmtId="0" fontId="2" fillId="18" borderId="0" xfId="0" applyFont="1" applyFill="1" applyAlignment="1">
      <alignment horizontal="left" vertical="center"/>
    </xf>
    <xf numFmtId="0" fontId="2" fillId="0" borderId="175" xfId="0" applyFont="1" applyBorder="1" applyAlignment="1">
      <alignment horizontal="center" vertical="center"/>
    </xf>
    <xf numFmtId="0" fontId="2" fillId="0" borderId="175" xfId="0" applyFont="1" applyBorder="1" applyAlignment="1">
      <alignment vertical="center"/>
    </xf>
    <xf numFmtId="0" fontId="2" fillId="0" borderId="175" xfId="0" applyFont="1" applyBorder="1" applyAlignment="1">
      <alignment horizontal="left" vertical="center"/>
    </xf>
    <xf numFmtId="0" fontId="2" fillId="0" borderId="175" xfId="0" applyFont="1" applyBorder="1"/>
    <xf numFmtId="0" fontId="2" fillId="0" borderId="0" xfId="0" applyFont="1" applyAlignment="1">
      <alignment horizontal="center" vertical="center"/>
    </xf>
    <xf numFmtId="0" fontId="2" fillId="0" borderId="0" xfId="0" applyFont="1" applyAlignment="1">
      <alignment horizontal="left" vertical="center"/>
    </xf>
    <xf numFmtId="0" fontId="2" fillId="18" borderId="0" xfId="0" applyFont="1" applyFill="1" applyAlignment="1">
      <alignment horizontal="center"/>
    </xf>
    <xf numFmtId="166" fontId="16" fillId="18" borderId="0" xfId="0" quotePrefix="1" applyNumberFormat="1" applyFont="1" applyFill="1" applyAlignment="1">
      <alignment horizontal="center" vertical="center"/>
    </xf>
    <xf numFmtId="0" fontId="2" fillId="0" borderId="0" xfId="0" quotePrefix="1" applyFont="1" applyAlignment="1">
      <alignment horizontal="center" vertical="center"/>
    </xf>
    <xf numFmtId="0" fontId="2" fillId="0" borderId="180" xfId="0" applyFont="1" applyBorder="1"/>
    <xf numFmtId="0" fontId="2" fillId="0" borderId="182" xfId="0" applyFont="1" applyBorder="1"/>
    <xf numFmtId="0" fontId="2" fillId="0" borderId="178" xfId="0" applyFont="1" applyBorder="1"/>
    <xf numFmtId="14" fontId="2" fillId="0" borderId="0" xfId="0" applyNumberFormat="1" applyFont="1" applyAlignment="1">
      <alignment horizontal="center" vertical="center"/>
    </xf>
    <xf numFmtId="14" fontId="2" fillId="18" borderId="0" xfId="0" applyNumberFormat="1" applyFont="1" applyFill="1" applyAlignment="1">
      <alignment horizontal="center" vertical="center"/>
    </xf>
    <xf numFmtId="0" fontId="43" fillId="0" borderId="9" xfId="0" applyFont="1" applyBorder="1" applyAlignment="1" applyProtection="1">
      <alignment horizontal="center" vertical="center"/>
      <protection locked="0"/>
    </xf>
    <xf numFmtId="0" fontId="44" fillId="0" borderId="9" xfId="0" applyFont="1" applyBorder="1" applyAlignment="1" applyProtection="1">
      <alignment horizontal="center" vertical="center"/>
      <protection locked="0"/>
    </xf>
    <xf numFmtId="14" fontId="47" fillId="0" borderId="0" xfId="0" applyNumberFormat="1" applyFont="1"/>
    <xf numFmtId="0" fontId="0" fillId="2" borderId="15" xfId="0" applyFill="1" applyBorder="1" applyAlignment="1">
      <alignment horizontal="center" vertical="center"/>
    </xf>
    <xf numFmtId="0" fontId="0" fillId="2" borderId="16" xfId="0" applyFill="1" applyBorder="1" applyAlignment="1">
      <alignment horizontal="center" vertical="center"/>
    </xf>
    <xf numFmtId="0" fontId="4" fillId="2" borderId="14" xfId="0" applyFont="1" applyFill="1" applyBorder="1" applyAlignment="1">
      <alignment horizontal="center" vertical="center"/>
    </xf>
    <xf numFmtId="0" fontId="36" fillId="0" borderId="217" xfId="0" applyFont="1" applyBorder="1" applyAlignment="1">
      <alignment horizontal="center" vertical="center" wrapText="1"/>
    </xf>
    <xf numFmtId="0" fontId="36" fillId="0" borderId="216" xfId="0" applyFont="1" applyBorder="1" applyAlignment="1">
      <alignment horizontal="center" vertical="center" wrapText="1"/>
    </xf>
    <xf numFmtId="0" fontId="36" fillId="0" borderId="218" xfId="0" applyFont="1" applyBorder="1" applyAlignment="1">
      <alignment horizontal="center" vertical="center" wrapText="1"/>
    </xf>
    <xf numFmtId="0" fontId="10" fillId="0" borderId="0" xfId="0" applyFont="1" applyAlignment="1">
      <alignment vertical="center"/>
    </xf>
    <xf numFmtId="0" fontId="10" fillId="0" borderId="0" xfId="0" applyFont="1"/>
    <xf numFmtId="0" fontId="2" fillId="0" borderId="0" xfId="0" applyFont="1" applyAlignment="1">
      <alignment horizontal="center"/>
    </xf>
    <xf numFmtId="0" fontId="2" fillId="0" borderId="0" xfId="0" applyFont="1" applyAlignment="1">
      <alignment horizontal="right" vertical="center"/>
    </xf>
    <xf numFmtId="0" fontId="23" fillId="0" borderId="0" xfId="0" quotePrefix="1" applyFont="1" applyAlignment="1">
      <alignment vertical="center"/>
    </xf>
    <xf numFmtId="0" fontId="2" fillId="0" borderId="0" xfId="0" applyFont="1" applyAlignment="1">
      <alignment horizontal="justify" vertical="justify"/>
    </xf>
    <xf numFmtId="0" fontId="5" fillId="0" borderId="0" xfId="0" applyFont="1" applyAlignment="1">
      <alignment horizontal="left" vertical="center" wrapText="1"/>
    </xf>
    <xf numFmtId="167" fontId="2" fillId="0" borderId="0" xfId="0" applyNumberFormat="1" applyFont="1" applyAlignment="1">
      <alignment vertical="center"/>
    </xf>
    <xf numFmtId="0" fontId="31" fillId="0" borderId="0" xfId="0" quotePrefix="1" applyFont="1" applyAlignment="1">
      <alignment horizontal="center" vertical="center"/>
    </xf>
    <xf numFmtId="0" fontId="31" fillId="0" borderId="0" xfId="0" applyFont="1" applyAlignment="1">
      <alignment horizontal="center" vertical="center"/>
    </xf>
    <xf numFmtId="0" fontId="31" fillId="0" borderId="0" xfId="0" applyFont="1" applyAlignment="1">
      <alignment horizontal="right" vertical="center"/>
    </xf>
    <xf numFmtId="0" fontId="2" fillId="0" borderId="0" xfId="0" applyFont="1" applyAlignment="1">
      <alignment horizontal="left" vertical="top"/>
    </xf>
    <xf numFmtId="166" fontId="2" fillId="0" borderId="175" xfId="0" applyNumberFormat="1" applyFont="1" applyBorder="1" applyAlignment="1">
      <alignment horizontal="center" vertical="center"/>
    </xf>
    <xf numFmtId="0" fontId="8" fillId="0" borderId="0" xfId="0" applyFont="1" applyAlignment="1">
      <alignment horizontal="left" vertical="center" wrapText="1"/>
    </xf>
    <xf numFmtId="0" fontId="2" fillId="0" borderId="230" xfId="0" applyFont="1" applyBorder="1"/>
    <xf numFmtId="0" fontId="2" fillId="0" borderId="231" xfId="0" applyFont="1" applyBorder="1"/>
    <xf numFmtId="0" fontId="4" fillId="0" borderId="230" xfId="0" applyFont="1" applyBorder="1" applyAlignment="1">
      <alignment vertical="center"/>
    </xf>
    <xf numFmtId="0" fontId="4" fillId="0" borderId="231" xfId="0" applyFont="1" applyBorder="1" applyAlignment="1">
      <alignment vertical="center"/>
    </xf>
    <xf numFmtId="0" fontId="2" fillId="0" borderId="230" xfId="0" applyFont="1" applyBorder="1" applyAlignment="1">
      <alignment vertical="center"/>
    </xf>
    <xf numFmtId="0" fontId="2" fillId="0" borderId="231" xfId="0" applyFont="1" applyBorder="1" applyAlignment="1">
      <alignment vertical="center"/>
    </xf>
    <xf numFmtId="0" fontId="21" fillId="0" borderId="230" xfId="0" applyFont="1" applyBorder="1" applyAlignment="1">
      <alignment vertical="center"/>
    </xf>
    <xf numFmtId="0" fontId="21" fillId="0" borderId="231" xfId="0" applyFont="1" applyBorder="1" applyAlignment="1">
      <alignment vertical="center"/>
    </xf>
    <xf numFmtId="0" fontId="24" fillId="0" borderId="230" xfId="0" applyFont="1" applyBorder="1" applyAlignment="1">
      <alignment horizontal="left"/>
    </xf>
    <xf numFmtId="0" fontId="24" fillId="0" borderId="231" xfId="0" applyFont="1" applyBorder="1" applyAlignment="1">
      <alignment horizontal="left"/>
    </xf>
    <xf numFmtId="0" fontId="4" fillId="0" borderId="230" xfId="0" applyFont="1" applyBorder="1" applyAlignment="1">
      <alignment horizontal="left" vertical="center"/>
    </xf>
    <xf numFmtId="0" fontId="4" fillId="0" borderId="231" xfId="0" applyFont="1" applyBorder="1" applyAlignment="1">
      <alignment horizontal="left" vertical="center"/>
    </xf>
    <xf numFmtId="0" fontId="23" fillId="0" borderId="232" xfId="0" applyFont="1" applyBorder="1" applyAlignment="1">
      <alignment horizontal="center" vertical="center"/>
    </xf>
    <xf numFmtId="0" fontId="23" fillId="0" borderId="233" xfId="0" applyFont="1" applyBorder="1" applyAlignment="1">
      <alignment horizontal="center" vertical="center"/>
    </xf>
    <xf numFmtId="0" fontId="47" fillId="0" borderId="0" xfId="0" applyFont="1" applyAlignment="1">
      <alignment horizontal="center" vertical="center"/>
    </xf>
    <xf numFmtId="0" fontId="54" fillId="18" borderId="0" xfId="0" applyFont="1" applyFill="1"/>
    <xf numFmtId="0" fontId="2" fillId="18" borderId="234" xfId="0" applyFont="1" applyFill="1" applyBorder="1" applyAlignment="1">
      <alignment horizontal="center"/>
    </xf>
    <xf numFmtId="0" fontId="2" fillId="18" borderId="235" xfId="0" applyFont="1" applyFill="1" applyBorder="1" applyAlignment="1">
      <alignment horizontal="center"/>
    </xf>
    <xf numFmtId="0" fontId="2" fillId="18" borderId="236" xfId="0" applyFont="1" applyFill="1" applyBorder="1" applyAlignment="1">
      <alignment horizontal="center"/>
    </xf>
    <xf numFmtId="167" fontId="2" fillId="18" borderId="237" xfId="0" applyNumberFormat="1" applyFont="1" applyFill="1" applyBorder="1" applyAlignment="1">
      <alignment horizontal="center" vertical="center"/>
    </xf>
    <xf numFmtId="167" fontId="2" fillId="18" borderId="0" xfId="0" applyNumberFormat="1" applyFont="1" applyFill="1" applyAlignment="1">
      <alignment horizontal="center" vertical="center"/>
    </xf>
    <xf numFmtId="167" fontId="2" fillId="18" borderId="238" xfId="0" applyNumberFormat="1" applyFont="1" applyFill="1" applyBorder="1" applyAlignment="1">
      <alignment horizontal="center" vertical="center"/>
    </xf>
    <xf numFmtId="0" fontId="2" fillId="18" borderId="237" xfId="0" applyFont="1" applyFill="1" applyBorder="1" applyAlignment="1">
      <alignment horizontal="center" vertical="center"/>
    </xf>
    <xf numFmtId="2" fontId="2" fillId="18" borderId="0" xfId="0" applyNumberFormat="1" applyFont="1" applyFill="1" applyAlignment="1">
      <alignment horizontal="center" vertical="center"/>
    </xf>
    <xf numFmtId="0" fontId="2" fillId="18" borderId="238" xfId="0" applyFont="1" applyFill="1" applyBorder="1" applyAlignment="1">
      <alignment horizontal="center" vertical="center"/>
    </xf>
    <xf numFmtId="0" fontId="2" fillId="18" borderId="237" xfId="0" applyFont="1" applyFill="1" applyBorder="1"/>
    <xf numFmtId="0" fontId="2" fillId="18" borderId="238" xfId="0" applyFont="1" applyFill="1" applyBorder="1"/>
    <xf numFmtId="0" fontId="2" fillId="18" borderId="239" xfId="0" applyFont="1" applyFill="1" applyBorder="1"/>
    <xf numFmtId="0" fontId="2" fillId="18" borderId="240" xfId="0" applyFont="1" applyFill="1" applyBorder="1"/>
    <xf numFmtId="0" fontId="2" fillId="18" borderId="241" xfId="0" applyFont="1" applyFill="1" applyBorder="1"/>
    <xf numFmtId="0" fontId="30" fillId="0" borderId="0" xfId="0" applyFont="1" applyAlignment="1">
      <alignment horizontal="left" vertical="top"/>
    </xf>
    <xf numFmtId="168" fontId="6" fillId="0" borderId="0" xfId="0" applyNumberFormat="1" applyFont="1" applyAlignment="1">
      <alignment vertical="center"/>
    </xf>
    <xf numFmtId="0" fontId="28" fillId="20" borderId="0" xfId="5" applyFill="1"/>
    <xf numFmtId="0" fontId="1" fillId="20" borderId="0" xfId="6" applyFill="1"/>
    <xf numFmtId="1" fontId="6" fillId="0" borderId="250" xfId="0" applyNumberFormat="1" applyFont="1" applyBorder="1" applyAlignment="1">
      <alignment horizontal="center" vertical="center"/>
    </xf>
    <xf numFmtId="1" fontId="6" fillId="0" borderId="251" xfId="0" applyNumberFormat="1" applyFont="1" applyBorder="1" applyAlignment="1">
      <alignment horizontal="center" vertical="center"/>
    </xf>
    <xf numFmtId="1" fontId="6" fillId="0" borderId="239" xfId="0" applyNumberFormat="1" applyFont="1" applyBorder="1" applyAlignment="1">
      <alignment horizontal="center" vertical="center"/>
    </xf>
    <xf numFmtId="0" fontId="47" fillId="0" borderId="0" xfId="0" applyFont="1"/>
    <xf numFmtId="49" fontId="58" fillId="0" borderId="0" xfId="0" applyNumberFormat="1" applyFont="1" applyAlignment="1">
      <alignment wrapText="1"/>
    </xf>
    <xf numFmtId="0" fontId="59" fillId="0" borderId="0" xfId="0" applyFont="1" applyAlignment="1">
      <alignment vertical="center" wrapText="1"/>
    </xf>
    <xf numFmtId="0" fontId="28" fillId="18" borderId="0" xfId="0" applyFont="1" applyFill="1"/>
    <xf numFmtId="0" fontId="4" fillId="0" borderId="175" xfId="0" applyFont="1" applyBorder="1" applyAlignment="1">
      <alignment horizontal="right" vertical="center"/>
    </xf>
    <xf numFmtId="0" fontId="35" fillId="0" borderId="0" xfId="0" applyFont="1"/>
    <xf numFmtId="0" fontId="56" fillId="0" borderId="0" xfId="0" applyFont="1" applyAlignment="1">
      <alignment horizontal="left" vertical="center"/>
    </xf>
    <xf numFmtId="0" fontId="57" fillId="0" borderId="0" xfId="0" applyFont="1" applyAlignment="1">
      <alignment vertical="center"/>
    </xf>
    <xf numFmtId="0" fontId="28" fillId="0" borderId="0" xfId="0" applyFont="1" applyAlignment="1">
      <alignment horizontal="right" vertical="center"/>
    </xf>
    <xf numFmtId="0" fontId="4" fillId="0" borderId="175" xfId="0" applyFont="1" applyBorder="1" applyAlignment="1">
      <alignment horizontal="center" vertical="center"/>
    </xf>
    <xf numFmtId="0" fontId="3" fillId="3" borderId="0" xfId="0" applyFont="1" applyFill="1" applyAlignment="1" applyProtection="1">
      <alignment vertical="center"/>
      <protection locked="0"/>
    </xf>
    <xf numFmtId="14" fontId="2" fillId="3" borderId="0" xfId="0" quotePrefix="1" applyNumberFormat="1" applyFont="1" applyFill="1" applyAlignment="1">
      <alignment vertical="center"/>
    </xf>
    <xf numFmtId="0" fontId="60" fillId="0" borderId="0" xfId="0" applyFont="1" applyAlignment="1">
      <alignment horizontal="right" vertical="center"/>
    </xf>
    <xf numFmtId="0" fontId="8" fillId="0" borderId="0" xfId="0" applyFont="1"/>
    <xf numFmtId="0" fontId="8" fillId="0" borderId="0" xfId="0" applyFont="1" applyAlignment="1">
      <alignment horizontal="left"/>
    </xf>
    <xf numFmtId="0" fontId="2" fillId="0" borderId="261" xfId="0" applyFont="1" applyBorder="1" applyAlignment="1">
      <alignment horizontal="center" vertical="center"/>
    </xf>
    <xf numFmtId="0" fontId="4" fillId="0" borderId="261" xfId="0" applyFont="1" applyBorder="1" applyAlignment="1">
      <alignment vertical="center"/>
    </xf>
    <xf numFmtId="0" fontId="21" fillId="0" borderId="262" xfId="0" applyFont="1" applyBorder="1" applyAlignment="1">
      <alignment vertical="center"/>
    </xf>
    <xf numFmtId="0" fontId="4" fillId="0" borderId="262" xfId="0" applyFont="1" applyBorder="1" applyAlignment="1">
      <alignment vertical="center"/>
    </xf>
    <xf numFmtId="0" fontId="42" fillId="0" borderId="262" xfId="0" applyFont="1" applyBorder="1" applyAlignment="1">
      <alignment vertical="center"/>
    </xf>
    <xf numFmtId="0" fontId="2" fillId="0" borderId="262" xfId="0" applyFont="1" applyBorder="1"/>
    <xf numFmtId="0" fontId="2" fillId="0" borderId="262" xfId="0" applyFont="1" applyBorder="1" applyAlignment="1">
      <alignment vertical="center"/>
    </xf>
    <xf numFmtId="0" fontId="23" fillId="0" borderId="261" xfId="0" applyFont="1" applyBorder="1" applyAlignment="1">
      <alignment horizontal="center" vertical="center"/>
    </xf>
    <xf numFmtId="0" fontId="24" fillId="0" borderId="262" xfId="0" applyFont="1" applyBorder="1" applyAlignment="1">
      <alignment horizontal="left"/>
    </xf>
    <xf numFmtId="0" fontId="4" fillId="0" borderId="262" xfId="0" applyFont="1" applyBorder="1" applyAlignment="1">
      <alignment horizontal="left" vertical="center"/>
    </xf>
    <xf numFmtId="0" fontId="2" fillId="0" borderId="273" xfId="0" applyFont="1" applyBorder="1" applyAlignment="1">
      <alignment horizontal="center" vertical="center"/>
    </xf>
    <xf numFmtId="0" fontId="2" fillId="0" borderId="274" xfId="0" applyFont="1" applyBorder="1" applyAlignment="1">
      <alignment vertical="center"/>
    </xf>
    <xf numFmtId="0" fontId="2" fillId="0" borderId="262" xfId="0" applyFont="1" applyBorder="1" applyAlignment="1">
      <alignment horizontal="center"/>
    </xf>
    <xf numFmtId="0" fontId="2" fillId="0" borderId="262" xfId="0" applyFont="1" applyBorder="1" applyAlignment="1">
      <alignment horizontal="left" vertical="center"/>
    </xf>
    <xf numFmtId="0" fontId="4" fillId="0" borderId="261" xfId="0" applyFont="1" applyBorder="1" applyAlignment="1">
      <alignment horizontal="center" vertical="center"/>
    </xf>
    <xf numFmtId="0" fontId="4" fillId="0" borderId="262" xfId="0" applyFont="1" applyBorder="1" applyAlignment="1">
      <alignment horizontal="center" vertical="center"/>
    </xf>
    <xf numFmtId="0" fontId="4" fillId="0" borderId="261" xfId="0" applyFont="1" applyBorder="1" applyAlignment="1">
      <alignment vertical="center" wrapText="1"/>
    </xf>
    <xf numFmtId="0" fontId="4" fillId="0" borderId="262" xfId="0" applyFont="1" applyBorder="1" applyAlignment="1">
      <alignment vertical="center" wrapText="1"/>
    </xf>
    <xf numFmtId="0" fontId="16" fillId="0" borderId="261" xfId="0" applyFont="1" applyBorder="1" applyAlignment="1">
      <alignment horizontal="center" vertical="center"/>
    </xf>
    <xf numFmtId="166" fontId="16" fillId="0" borderId="262" xfId="0" quotePrefix="1" applyNumberFormat="1" applyFont="1" applyBorder="1" applyAlignment="1">
      <alignment horizontal="center" vertical="center"/>
    </xf>
    <xf numFmtId="0" fontId="35" fillId="0" borderId="262" xfId="0" applyFont="1" applyBorder="1"/>
    <xf numFmtId="0" fontId="2" fillId="0" borderId="261" xfId="0" applyFont="1" applyBorder="1"/>
    <xf numFmtId="0" fontId="23" fillId="0" borderId="262" xfId="0" applyFont="1" applyBorder="1"/>
    <xf numFmtId="14" fontId="2" fillId="0" borderId="262" xfId="0" applyNumberFormat="1" applyFont="1" applyBorder="1" applyAlignment="1">
      <alignment horizontal="center" vertical="center"/>
    </xf>
    <xf numFmtId="0" fontId="7" fillId="0" borderId="263" xfId="0" applyFont="1" applyBorder="1" applyAlignment="1">
      <alignment horizontal="center" vertical="center" wrapText="1"/>
    </xf>
    <xf numFmtId="0" fontId="7" fillId="0" borderId="264" xfId="0" applyFont="1" applyBorder="1" applyAlignment="1">
      <alignment horizontal="center" vertical="center" wrapText="1"/>
    </xf>
    <xf numFmtId="0" fontId="7" fillId="0" borderId="264" xfId="0" applyFont="1" applyBorder="1" applyAlignment="1">
      <alignment horizontal="left" vertical="top" wrapText="1"/>
    </xf>
    <xf numFmtId="0" fontId="7" fillId="0" borderId="265" xfId="0" applyFont="1" applyBorder="1" applyAlignment="1">
      <alignment horizontal="left" vertical="top" wrapText="1"/>
    </xf>
    <xf numFmtId="0" fontId="2" fillId="0" borderId="0" xfId="0" applyFont="1" applyAlignment="1">
      <alignment horizontal="left"/>
    </xf>
    <xf numFmtId="0" fontId="2" fillId="0" borderId="0" xfId="0" quotePrefix="1" applyFont="1"/>
    <xf numFmtId="0" fontId="6" fillId="0" borderId="243" xfId="0" applyFont="1" applyBorder="1" applyAlignment="1" applyProtection="1">
      <alignment horizontal="center"/>
      <protection locked="0"/>
    </xf>
    <xf numFmtId="0" fontId="55" fillId="0" borderId="242" xfId="0" applyFont="1" applyBorder="1"/>
    <xf numFmtId="0" fontId="6" fillId="0" borderId="243" xfId="0" quotePrefix="1" applyFont="1" applyBorder="1" applyAlignment="1" applyProtection="1">
      <alignment horizontal="center"/>
      <protection locked="0"/>
    </xf>
    <xf numFmtId="0" fontId="6" fillId="0" borderId="243" xfId="0" quotePrefix="1" applyFont="1" applyBorder="1" applyProtection="1">
      <protection locked="0"/>
    </xf>
    <xf numFmtId="0" fontId="23" fillId="0" borderId="230" xfId="0" applyFont="1" applyBorder="1" applyAlignment="1">
      <alignment horizontal="center" vertical="center"/>
    </xf>
    <xf numFmtId="0" fontId="23" fillId="0" borderId="231" xfId="0" applyFont="1" applyBorder="1" applyAlignment="1">
      <alignment horizontal="center" vertical="center"/>
    </xf>
    <xf numFmtId="0" fontId="2" fillId="0" borderId="260" xfId="0" applyFont="1" applyBorder="1"/>
    <xf numFmtId="0" fontId="7" fillId="0" borderId="260" xfId="0" applyFont="1" applyBorder="1" applyAlignment="1">
      <alignment wrapText="1"/>
    </xf>
    <xf numFmtId="0" fontId="12" fillId="0" borderId="0" xfId="0" applyFont="1" applyAlignment="1">
      <alignment horizontal="right" wrapText="1"/>
    </xf>
    <xf numFmtId="180" fontId="10" fillId="0" borderId="0" xfId="0" applyNumberFormat="1" applyFont="1" applyAlignment="1">
      <alignment horizontal="center"/>
    </xf>
    <xf numFmtId="180" fontId="10" fillId="0" borderId="0" xfId="0" applyNumberFormat="1" applyFont="1"/>
    <xf numFmtId="0" fontId="7" fillId="0" borderId="0" xfId="0" applyFont="1" applyAlignment="1">
      <alignment horizontal="right" wrapText="1"/>
    </xf>
    <xf numFmtId="0" fontId="28" fillId="0" borderId="0" xfId="0" applyFont="1" applyAlignment="1">
      <alignment horizontal="center"/>
    </xf>
    <xf numFmtId="181" fontId="2" fillId="0" borderId="0" xfId="0" applyNumberFormat="1" applyFont="1" applyAlignment="1">
      <alignment vertical="center"/>
    </xf>
    <xf numFmtId="0" fontId="45" fillId="0" borderId="0" xfId="0" applyFont="1" applyAlignment="1">
      <alignment vertical="center"/>
    </xf>
    <xf numFmtId="0" fontId="30" fillId="0" borderId="0" xfId="0" applyFont="1" applyAlignment="1">
      <alignment vertical="top"/>
    </xf>
    <xf numFmtId="186" fontId="27" fillId="0" borderId="18" xfId="2" applyNumberFormat="1" applyFont="1" applyBorder="1" applyAlignment="1">
      <alignment horizontal="center" vertical="center"/>
    </xf>
    <xf numFmtId="0" fontId="26" fillId="7" borderId="16" xfId="2" applyFont="1" applyFill="1" applyBorder="1" applyAlignment="1">
      <alignment horizontal="center" vertical="center"/>
    </xf>
    <xf numFmtId="0" fontId="0" fillId="0" borderId="295" xfId="0" applyBorder="1" applyAlignment="1">
      <alignment horizontal="center" vertical="center"/>
    </xf>
    <xf numFmtId="0" fontId="3" fillId="0" borderId="296" xfId="0" applyFont="1" applyBorder="1" applyAlignment="1">
      <alignment vertical="center"/>
    </xf>
    <xf numFmtId="0" fontId="3" fillId="0" borderId="296" xfId="0" applyFont="1" applyBorder="1" applyAlignment="1">
      <alignment horizontal="left" vertical="center"/>
    </xf>
    <xf numFmtId="0" fontId="0" fillId="0" borderId="296" xfId="0" applyBorder="1"/>
    <xf numFmtId="0" fontId="0" fillId="0" borderId="297" xfId="0" applyBorder="1" applyAlignment="1">
      <alignment vertical="center"/>
    </xf>
    <xf numFmtId="0" fontId="4" fillId="0" borderId="0" xfId="0" quotePrefix="1" applyFont="1" applyAlignment="1">
      <alignment vertical="center" wrapText="1"/>
    </xf>
    <xf numFmtId="0" fontId="0" fillId="0" borderId="298" xfId="0" applyBorder="1" applyAlignment="1">
      <alignment vertical="center"/>
    </xf>
    <xf numFmtId="0" fontId="0" fillId="0" borderId="296" xfId="0" applyBorder="1" applyAlignment="1">
      <alignment vertical="center"/>
    </xf>
    <xf numFmtId="0" fontId="23" fillId="0" borderId="296" xfId="0" applyFont="1" applyBorder="1" applyAlignment="1">
      <alignment vertical="center"/>
    </xf>
    <xf numFmtId="0" fontId="5" fillId="0" borderId="292" xfId="0" applyFont="1" applyBorder="1" applyAlignment="1">
      <alignment horizontal="left" vertical="center" wrapText="1"/>
    </xf>
    <xf numFmtId="0" fontId="5" fillId="0" borderId="298" xfId="0" applyFont="1" applyBorder="1" applyAlignment="1">
      <alignment horizontal="left" vertical="center" wrapText="1"/>
    </xf>
    <xf numFmtId="0" fontId="5" fillId="0" borderId="295" xfId="0" applyFont="1" applyBorder="1" applyAlignment="1">
      <alignment horizontal="left" vertical="center" wrapText="1"/>
    </xf>
    <xf numFmtId="0" fontId="6" fillId="0" borderId="0" xfId="0" applyFont="1" applyAlignment="1">
      <alignment vertical="center"/>
    </xf>
    <xf numFmtId="0" fontId="30" fillId="0" borderId="288" xfId="0" applyFont="1" applyBorder="1" applyAlignment="1">
      <alignment vertical="top"/>
    </xf>
    <xf numFmtId="0" fontId="30" fillId="0" borderId="303" xfId="0" applyFont="1" applyBorder="1" applyAlignment="1">
      <alignment vertical="top"/>
    </xf>
    <xf numFmtId="0" fontId="30" fillId="0" borderId="288" xfId="0" applyFont="1" applyBorder="1" applyAlignment="1">
      <alignment horizontal="left" vertical="top"/>
    </xf>
    <xf numFmtId="0" fontId="30" fillId="0" borderId="303" xfId="0" applyFont="1" applyBorder="1" applyAlignment="1">
      <alignment horizontal="left" vertical="top"/>
    </xf>
    <xf numFmtId="0" fontId="2" fillId="22" borderId="0" xfId="0" applyFont="1" applyFill="1" applyAlignment="1">
      <alignment vertical="center"/>
    </xf>
    <xf numFmtId="0" fontId="68" fillId="22" borderId="0" xfId="7" applyFill="1" applyAlignment="1">
      <alignment vertical="center"/>
    </xf>
    <xf numFmtId="0" fontId="2" fillId="22" borderId="0" xfId="0" applyFont="1" applyFill="1" applyAlignment="1">
      <alignment horizontal="left" vertical="center" wrapText="1"/>
    </xf>
    <xf numFmtId="0" fontId="2" fillId="22" borderId="0" xfId="0" applyFont="1" applyFill="1" applyAlignment="1">
      <alignment wrapText="1"/>
    </xf>
    <xf numFmtId="0" fontId="47" fillId="22" borderId="0" xfId="0" applyFont="1" applyFill="1" applyAlignment="1">
      <alignment vertical="center"/>
    </xf>
    <xf numFmtId="184" fontId="49" fillId="17" borderId="224" xfId="0" applyNumberFormat="1" applyFont="1" applyFill="1" applyBorder="1" applyAlignment="1">
      <alignment horizontal="right" vertical="center"/>
    </xf>
    <xf numFmtId="184" fontId="49" fillId="17" borderId="225" xfId="0" applyNumberFormat="1" applyFont="1" applyFill="1" applyBorder="1" applyAlignment="1">
      <alignment horizontal="center" vertical="center"/>
    </xf>
    <xf numFmtId="184" fontId="49" fillId="17" borderId="226" xfId="0" applyNumberFormat="1" applyFont="1" applyFill="1" applyBorder="1" applyAlignment="1">
      <alignment horizontal="left" vertical="center"/>
    </xf>
    <xf numFmtId="0" fontId="3" fillId="17" borderId="14" xfId="0" applyFont="1" applyFill="1" applyBorder="1" applyAlignment="1">
      <alignment horizontal="center" vertical="center"/>
    </xf>
    <xf numFmtId="0" fontId="0" fillId="17" borderId="15" xfId="0" applyFill="1" applyBorder="1" applyAlignment="1">
      <alignment horizontal="center"/>
    </xf>
    <xf numFmtId="0" fontId="3" fillId="17" borderId="81" xfId="0" applyFont="1" applyFill="1" applyBorder="1" applyAlignment="1">
      <alignment horizontal="center" vertical="center"/>
    </xf>
    <xf numFmtId="0" fontId="3" fillId="17" borderId="82" xfId="0" applyFont="1" applyFill="1" applyBorder="1" applyAlignment="1">
      <alignment horizontal="center" vertical="center"/>
    </xf>
    <xf numFmtId="0" fontId="3" fillId="17" borderId="85" xfId="0" applyFont="1" applyFill="1" applyBorder="1" applyAlignment="1">
      <alignment horizontal="center" vertical="center"/>
    </xf>
    <xf numFmtId="0" fontId="3" fillId="17" borderId="86" xfId="0" applyFont="1" applyFill="1" applyBorder="1" applyAlignment="1">
      <alignment horizontal="center" vertical="center"/>
    </xf>
    <xf numFmtId="0" fontId="28" fillId="17" borderId="219" xfId="0" applyFont="1" applyFill="1" applyBorder="1" applyAlignment="1">
      <alignment horizontal="center" vertical="center" wrapText="1"/>
    </xf>
    <xf numFmtId="183" fontId="28" fillId="17" borderId="220" xfId="0" applyNumberFormat="1" applyFont="1" applyFill="1" applyBorder="1" applyAlignment="1">
      <alignment horizontal="center" vertical="center" wrapText="1"/>
    </xf>
    <xf numFmtId="0" fontId="0" fillId="17" borderId="16" xfId="0" applyFill="1" applyBorder="1" applyAlignment="1">
      <alignment horizontal="center"/>
    </xf>
    <xf numFmtId="0" fontId="3" fillId="17" borderId="80" xfId="0" applyFont="1" applyFill="1" applyBorder="1" applyAlignment="1">
      <alignment horizontal="center" vertical="center"/>
    </xf>
    <xf numFmtId="0" fontId="71" fillId="17" borderId="0" xfId="0" applyFont="1" applyFill="1" applyAlignment="1">
      <alignment vertical="center"/>
    </xf>
    <xf numFmtId="0" fontId="71" fillId="17" borderId="0" xfId="0" applyFont="1" applyFill="1" applyAlignment="1">
      <alignment horizontal="left" vertical="center" wrapText="1"/>
    </xf>
    <xf numFmtId="0" fontId="72" fillId="17" borderId="0" xfId="0" applyFont="1" applyFill="1" applyAlignment="1">
      <alignment wrapText="1"/>
    </xf>
    <xf numFmtId="0" fontId="72" fillId="17" borderId="0" xfId="0" quotePrefix="1" applyFont="1" applyFill="1"/>
    <xf numFmtId="0" fontId="72" fillId="17" borderId="0" xfId="0" applyFont="1" applyFill="1"/>
    <xf numFmtId="0" fontId="72" fillId="17" borderId="0" xfId="0" applyFont="1" applyFill="1" applyAlignment="1">
      <alignment horizontal="left" vertical="center"/>
    </xf>
    <xf numFmtId="0" fontId="72" fillId="17" borderId="0" xfId="0" quotePrefix="1" applyFont="1" applyFill="1" applyAlignment="1">
      <alignment wrapText="1"/>
    </xf>
    <xf numFmtId="0" fontId="71" fillId="17" borderId="0" xfId="0" applyFont="1" applyFill="1"/>
    <xf numFmtId="0" fontId="72" fillId="17" borderId="0" xfId="0" applyFont="1" applyFill="1" applyAlignment="1">
      <alignment horizontal="center" vertical="center"/>
    </xf>
    <xf numFmtId="0" fontId="25" fillId="4" borderId="9" xfId="0" applyFont="1" applyFill="1" applyBorder="1" applyAlignment="1">
      <alignment horizontal="center" vertical="center" wrapText="1"/>
    </xf>
    <xf numFmtId="0" fontId="25" fillId="4" borderId="79" xfId="0" applyFont="1" applyFill="1" applyBorder="1" applyAlignment="1">
      <alignment horizontal="center" vertical="center" wrapText="1"/>
    </xf>
    <xf numFmtId="0" fontId="25" fillId="4" borderId="78" xfId="0" applyFont="1" applyFill="1" applyBorder="1" applyAlignment="1">
      <alignment horizontal="center" vertical="center" wrapText="1"/>
    </xf>
    <xf numFmtId="0" fontId="25" fillId="4" borderId="77" xfId="0" applyFont="1" applyFill="1" applyBorder="1" applyAlignment="1">
      <alignment horizontal="center" vertical="center" wrapText="1"/>
    </xf>
    <xf numFmtId="0" fontId="25" fillId="4" borderId="0" xfId="0" applyFont="1" applyFill="1" applyAlignment="1">
      <alignment horizontal="center" vertical="center" wrapText="1"/>
    </xf>
    <xf numFmtId="0" fontId="25" fillId="4" borderId="7" xfId="0" applyFont="1" applyFill="1" applyBorder="1" applyAlignment="1">
      <alignment horizontal="center" vertical="center" wrapText="1"/>
    </xf>
    <xf numFmtId="0" fontId="59" fillId="22" borderId="0" xfId="0" applyFont="1" applyFill="1" applyAlignment="1">
      <alignment horizontal="center" vertical="center"/>
    </xf>
    <xf numFmtId="0" fontId="68" fillId="0" borderId="19" xfId="7" applyBorder="1" applyAlignment="1">
      <alignment horizontal="center" vertical="center"/>
    </xf>
    <xf numFmtId="49" fontId="27" fillId="0" borderId="17" xfId="2" applyNumberFormat="1" applyFont="1" applyBorder="1" applyAlignment="1">
      <alignment horizontal="center" vertical="center"/>
    </xf>
    <xf numFmtId="0" fontId="2" fillId="23" borderId="0" xfId="0" applyFont="1" applyFill="1" applyAlignment="1">
      <alignment horizontal="left" vertical="center"/>
    </xf>
    <xf numFmtId="0" fontId="70" fillId="22" borderId="0" xfId="0" applyFont="1" applyFill="1" applyAlignment="1">
      <alignment horizontal="left" vertical="center"/>
    </xf>
    <xf numFmtId="0" fontId="69" fillId="22" borderId="0" xfId="0" applyFont="1" applyFill="1" applyAlignment="1">
      <alignment horizontal="center" vertical="center"/>
    </xf>
    <xf numFmtId="0" fontId="47" fillId="22" borderId="309" xfId="0" applyFont="1" applyFill="1" applyBorder="1" applyAlignment="1">
      <alignment horizontal="left" vertical="center" wrapText="1"/>
    </xf>
    <xf numFmtId="0" fontId="47" fillId="22" borderId="310" xfId="0" applyFont="1" applyFill="1" applyBorder="1" applyAlignment="1">
      <alignment horizontal="left" vertical="center" wrapText="1"/>
    </xf>
    <xf numFmtId="0" fontId="47" fillId="22" borderId="310" xfId="0" applyFont="1" applyFill="1" applyBorder="1" applyAlignment="1">
      <alignment horizontal="left" vertical="center"/>
    </xf>
    <xf numFmtId="0" fontId="47" fillId="22" borderId="311" xfId="0" applyFont="1" applyFill="1" applyBorder="1" applyAlignment="1">
      <alignment horizontal="left" vertical="center"/>
    </xf>
    <xf numFmtId="0" fontId="47" fillId="22" borderId="307" xfId="0" applyFont="1" applyFill="1" applyBorder="1" applyAlignment="1">
      <alignment horizontal="left" vertical="center"/>
    </xf>
    <xf numFmtId="0" fontId="47" fillId="22" borderId="308" xfId="0" applyFont="1" applyFill="1" applyBorder="1" applyAlignment="1">
      <alignment horizontal="left" vertical="center"/>
    </xf>
    <xf numFmtId="0" fontId="47" fillId="22" borderId="306" xfId="0" applyFont="1" applyFill="1" applyBorder="1" applyAlignment="1">
      <alignment horizontal="left" vertical="center" wrapText="1"/>
    </xf>
    <xf numFmtId="0" fontId="47" fillId="22" borderId="307" xfId="0" applyFont="1" applyFill="1" applyBorder="1" applyAlignment="1">
      <alignment horizontal="left" vertical="center" wrapText="1"/>
    </xf>
    <xf numFmtId="0" fontId="2" fillId="21" borderId="0" xfId="0" applyFont="1" applyFill="1" applyAlignment="1">
      <alignment horizontal="left" vertical="top" wrapText="1"/>
    </xf>
    <xf numFmtId="0" fontId="70" fillId="22" borderId="0" xfId="0" applyFont="1" applyFill="1" applyAlignment="1">
      <alignment horizontal="left"/>
    </xf>
    <xf numFmtId="49" fontId="10" fillId="0" borderId="271" xfId="0" applyNumberFormat="1" applyFont="1" applyBorder="1" applyAlignment="1" applyProtection="1">
      <alignment horizontal="left"/>
      <protection locked="0"/>
    </xf>
    <xf numFmtId="0" fontId="31" fillId="0" borderId="261" xfId="0" applyFont="1" applyBorder="1" applyAlignment="1">
      <alignment horizontal="left" vertical="center"/>
    </xf>
    <xf numFmtId="0" fontId="31" fillId="0" borderId="0" xfId="0" applyFont="1" applyAlignment="1">
      <alignment horizontal="left" vertical="center"/>
    </xf>
    <xf numFmtId="0" fontId="2" fillId="0" borderId="266" xfId="0" applyFont="1" applyBorder="1" applyAlignment="1" applyProtection="1">
      <alignment horizontal="left"/>
      <protection locked="0"/>
    </xf>
    <xf numFmtId="0" fontId="4" fillId="0" borderId="275" xfId="0" applyFont="1" applyBorder="1" applyAlignment="1">
      <alignment horizontal="center" vertical="center"/>
    </xf>
    <xf numFmtId="0" fontId="4" fillId="0" borderId="178" xfId="0" applyFont="1" applyBorder="1" applyAlignment="1">
      <alignment horizontal="center" vertical="center"/>
    </xf>
    <xf numFmtId="0" fontId="4" fillId="0" borderId="228" xfId="0" applyFont="1" applyBorder="1" applyAlignment="1">
      <alignment horizontal="center" vertical="center"/>
    </xf>
    <xf numFmtId="0" fontId="4" fillId="0" borderId="229" xfId="0" applyFont="1" applyBorder="1" applyAlignment="1">
      <alignment horizontal="center" vertical="center"/>
    </xf>
    <xf numFmtId="0" fontId="4" fillId="18" borderId="0" xfId="0" applyFont="1" applyFill="1" applyAlignment="1">
      <alignment horizontal="center" vertical="center"/>
    </xf>
    <xf numFmtId="0" fontId="2" fillId="0" borderId="179" xfId="0" quotePrefix="1" applyFont="1" applyBorder="1" applyAlignment="1" applyProtection="1">
      <alignment horizontal="center" vertical="center"/>
      <protection locked="0"/>
    </xf>
    <xf numFmtId="0" fontId="32" fillId="0" borderId="0" xfId="0" applyFont="1"/>
    <xf numFmtId="0" fontId="4" fillId="0" borderId="261" xfId="0" applyFont="1" applyBorder="1" applyAlignment="1">
      <alignment horizontal="left"/>
    </xf>
    <xf numFmtId="0" fontId="4" fillId="0" borderId="0" xfId="0" applyFont="1" applyAlignment="1">
      <alignment horizontal="left"/>
    </xf>
    <xf numFmtId="0" fontId="2" fillId="0" borderId="267" xfId="0" applyFont="1" applyBorder="1" applyAlignment="1" applyProtection="1">
      <alignment horizontal="center"/>
      <protection locked="0"/>
    </xf>
    <xf numFmtId="0" fontId="34" fillId="0" borderId="261" xfId="0" applyFont="1" applyBorder="1" applyAlignment="1">
      <alignment horizontal="left" vertical="center"/>
    </xf>
    <xf numFmtId="0" fontId="35" fillId="0" borderId="0" xfId="0" applyFont="1"/>
    <xf numFmtId="0" fontId="7" fillId="0" borderId="0" xfId="0" applyFont="1" applyAlignment="1">
      <alignment horizontal="center" vertical="center"/>
    </xf>
    <xf numFmtId="14" fontId="6" fillId="0" borderId="175" xfId="0" applyNumberFormat="1" applyFont="1" applyBorder="1" applyAlignment="1" applyProtection="1">
      <alignment horizontal="center" vertical="center"/>
      <protection locked="0"/>
    </xf>
    <xf numFmtId="0" fontId="34" fillId="0" borderId="0" xfId="0" applyFont="1" applyAlignment="1">
      <alignment horizontal="left" vertical="center"/>
    </xf>
    <xf numFmtId="0" fontId="4" fillId="18" borderId="254" xfId="0" applyFont="1" applyFill="1" applyBorder="1" applyAlignment="1">
      <alignment horizontal="center" vertical="center"/>
    </xf>
    <xf numFmtId="0" fontId="4" fillId="18" borderId="255" xfId="0" applyFont="1" applyFill="1" applyBorder="1" applyAlignment="1">
      <alignment horizontal="center" vertical="center"/>
    </xf>
    <xf numFmtId="0" fontId="4" fillId="18" borderId="256" xfId="0" applyFont="1" applyFill="1" applyBorder="1" applyAlignment="1">
      <alignment horizontal="center" vertical="center"/>
    </xf>
    <xf numFmtId="0" fontId="7" fillId="0" borderId="283" xfId="0" applyFont="1" applyBorder="1" applyAlignment="1">
      <alignment horizontal="center" wrapText="1"/>
    </xf>
    <xf numFmtId="0" fontId="7" fillId="0" borderId="284" xfId="0" applyFont="1" applyBorder="1" applyAlignment="1">
      <alignment horizontal="center" wrapText="1"/>
    </xf>
    <xf numFmtId="0" fontId="7" fillId="0" borderId="285" xfId="0" applyFont="1" applyBorder="1" applyAlignment="1">
      <alignment horizontal="center" wrapText="1"/>
    </xf>
    <xf numFmtId="0" fontId="4" fillId="0" borderId="268" xfId="0" applyFont="1" applyBorder="1" applyAlignment="1">
      <alignment horizontal="center" vertical="center"/>
    </xf>
    <xf numFmtId="0" fontId="4" fillId="0" borderId="269" xfId="0" applyFont="1" applyBorder="1" applyAlignment="1">
      <alignment horizontal="center" vertical="center"/>
    </xf>
    <xf numFmtId="0" fontId="4" fillId="0" borderId="280" xfId="0" applyFont="1" applyBorder="1" applyAlignment="1">
      <alignment horizontal="center" vertical="center"/>
    </xf>
    <xf numFmtId="0" fontId="4" fillId="0" borderId="267" xfId="0" applyFont="1" applyBorder="1" applyAlignment="1">
      <alignment horizontal="center" vertical="center"/>
    </xf>
    <xf numFmtId="0" fontId="4" fillId="0" borderId="175" xfId="0" applyFont="1" applyBorder="1" applyAlignment="1">
      <alignment horizontal="center" vertical="center"/>
    </xf>
    <xf numFmtId="0" fontId="2" fillId="0" borderId="0" xfId="0" applyFont="1" applyAlignment="1">
      <alignment horizontal="center"/>
    </xf>
    <xf numFmtId="0" fontId="2" fillId="0" borderId="181" xfId="0" applyFont="1" applyBorder="1" applyAlignment="1">
      <alignment horizontal="center"/>
    </xf>
    <xf numFmtId="0" fontId="2" fillId="0" borderId="178" xfId="0" applyFont="1" applyBorder="1" applyAlignment="1">
      <alignment horizontal="center"/>
    </xf>
    <xf numFmtId="0" fontId="2" fillId="0" borderId="177" xfId="0" applyFont="1" applyBorder="1" applyAlignment="1">
      <alignment horizontal="center"/>
    </xf>
    <xf numFmtId="0" fontId="36" fillId="18" borderId="179" xfId="0" applyFont="1" applyFill="1" applyBorder="1" applyAlignment="1">
      <alignment horizontal="center" vertical="center" wrapText="1"/>
    </xf>
    <xf numFmtId="0" fontId="4" fillId="0" borderId="245" xfId="0" applyFont="1" applyBorder="1" applyAlignment="1">
      <alignment horizontal="center" vertical="center" wrapText="1"/>
    </xf>
    <xf numFmtId="0" fontId="4" fillId="0" borderId="246" xfId="0" applyFont="1" applyBorder="1" applyAlignment="1">
      <alignment horizontal="center" vertical="center" wrapText="1"/>
    </xf>
    <xf numFmtId="0" fontId="4" fillId="0" borderId="248" xfId="0" applyFont="1" applyBorder="1" applyAlignment="1">
      <alignment horizontal="center" vertical="center" wrapText="1"/>
    </xf>
    <xf numFmtId="0" fontId="4" fillId="0" borderId="179" xfId="0" applyFont="1" applyBorder="1" applyAlignment="1">
      <alignment horizontal="center" vertical="center" wrapText="1"/>
    </xf>
    <xf numFmtId="0" fontId="4" fillId="0" borderId="247" xfId="0" applyFont="1" applyBorder="1" applyAlignment="1">
      <alignment horizontal="center" vertical="center" wrapText="1"/>
    </xf>
    <xf numFmtId="0" fontId="4" fillId="0" borderId="249" xfId="0" applyFont="1" applyBorder="1" applyAlignment="1">
      <alignment horizontal="center" vertical="center" wrapText="1"/>
    </xf>
    <xf numFmtId="185" fontId="2" fillId="0" borderId="282" xfId="0" applyNumberFormat="1" applyFont="1" applyBorder="1" applyAlignment="1" applyProtection="1">
      <alignment horizontal="center" vertical="center"/>
      <protection locked="0"/>
    </xf>
    <xf numFmtId="0" fontId="45" fillId="0" borderId="282" xfId="0" applyFont="1" applyBorder="1" applyAlignment="1" applyProtection="1">
      <alignment horizontal="center" vertical="center"/>
      <protection locked="0"/>
    </xf>
    <xf numFmtId="0" fontId="6" fillId="0" borderId="267" xfId="0" applyFont="1" applyBorder="1" applyAlignment="1" applyProtection="1">
      <alignment horizontal="center" vertical="top" wrapText="1"/>
      <protection locked="0"/>
    </xf>
    <xf numFmtId="0" fontId="6" fillId="0" borderId="281" xfId="0" applyFont="1" applyBorder="1" applyAlignment="1" applyProtection="1">
      <alignment horizontal="center" vertical="top" wrapText="1"/>
      <protection locked="0"/>
    </xf>
    <xf numFmtId="0" fontId="4" fillId="0" borderId="182" xfId="0" applyFont="1" applyBorder="1" applyAlignment="1">
      <alignment horizontal="center" vertical="center"/>
    </xf>
    <xf numFmtId="0" fontId="6" fillId="0" borderId="269" xfId="0" applyFont="1" applyBorder="1" applyAlignment="1" applyProtection="1">
      <alignment horizontal="center" vertical="top" wrapText="1"/>
      <protection locked="0"/>
    </xf>
    <xf numFmtId="0" fontId="6" fillId="0" borderId="270" xfId="0" applyFont="1" applyBorder="1" applyAlignment="1" applyProtection="1">
      <alignment horizontal="center" vertical="top" wrapText="1"/>
      <protection locked="0"/>
    </xf>
    <xf numFmtId="0" fontId="28" fillId="0" borderId="0" xfId="0" applyFont="1" applyAlignment="1">
      <alignment horizontal="right" vertical="center"/>
    </xf>
    <xf numFmtId="0" fontId="28" fillId="0" borderId="178" xfId="0" applyFont="1" applyBorder="1" applyAlignment="1">
      <alignment horizontal="right" vertical="center"/>
    </xf>
    <xf numFmtId="0" fontId="4" fillId="0" borderId="183" xfId="0" quotePrefix="1" applyFont="1" applyBorder="1" applyAlignment="1" applyProtection="1">
      <alignment horizontal="center" vertical="center" wrapText="1"/>
      <protection locked="0"/>
    </xf>
    <xf numFmtId="0" fontId="4" fillId="0" borderId="184" xfId="0" quotePrefix="1" applyFont="1" applyBorder="1" applyAlignment="1" applyProtection="1">
      <alignment horizontal="center" vertical="center" wrapText="1"/>
      <protection locked="0"/>
    </xf>
    <xf numFmtId="0" fontId="2" fillId="0" borderId="183" xfId="0" applyFont="1" applyBorder="1" applyAlignment="1">
      <alignment horizontal="center" vertical="center" wrapText="1"/>
    </xf>
    <xf numFmtId="0" fontId="2" fillId="0" borderId="0" xfId="0" applyFont="1" applyAlignment="1">
      <alignment horizontal="center" vertical="center" wrapText="1"/>
    </xf>
    <xf numFmtId="0" fontId="2" fillId="0" borderId="183" xfId="0" applyFont="1" applyBorder="1" applyAlignment="1">
      <alignment horizontal="center"/>
    </xf>
    <xf numFmtId="0" fontId="2" fillId="0" borderId="184" xfId="0" applyFont="1" applyBorder="1" applyAlignment="1">
      <alignment horizontal="center"/>
    </xf>
    <xf numFmtId="0" fontId="19" fillId="0" borderId="178" xfId="0" applyFont="1" applyBorder="1" applyAlignment="1">
      <alignment horizontal="center" vertical="center" wrapText="1"/>
    </xf>
    <xf numFmtId="0" fontId="19" fillId="0" borderId="177" xfId="0" applyFont="1" applyBorder="1" applyAlignment="1">
      <alignment horizontal="center" vertical="center" wrapText="1"/>
    </xf>
    <xf numFmtId="0" fontId="53" fillId="0" borderId="0" xfId="0" applyFont="1" applyAlignment="1">
      <alignment horizontal="left"/>
    </xf>
    <xf numFmtId="0" fontId="56" fillId="0" borderId="0" xfId="0" applyFont="1" applyAlignment="1">
      <alignment horizontal="left" vertical="center"/>
    </xf>
    <xf numFmtId="0" fontId="57" fillId="0" borderId="0" xfId="0" applyFont="1" applyAlignment="1">
      <alignment vertical="center"/>
    </xf>
    <xf numFmtId="168" fontId="58" fillId="0" borderId="243" xfId="0" applyNumberFormat="1" applyFont="1" applyBorder="1" applyAlignment="1">
      <alignment horizontal="center"/>
    </xf>
    <xf numFmtId="0" fontId="6" fillId="0" borderId="243" xfId="0" quotePrefix="1" applyFont="1" applyBorder="1" applyAlignment="1" applyProtection="1">
      <alignment horizontal="center"/>
      <protection locked="0"/>
    </xf>
    <xf numFmtId="0" fontId="6" fillId="0" borderId="243" xfId="0" applyFont="1" applyBorder="1" applyAlignment="1" applyProtection="1">
      <alignment horizontal="center"/>
      <protection locked="0"/>
    </xf>
    <xf numFmtId="2" fontId="6" fillId="0" borderId="242" xfId="0" applyNumberFormat="1" applyFont="1" applyBorder="1" applyAlignment="1">
      <alignment horizontal="center"/>
    </xf>
    <xf numFmtId="2" fontId="6" fillId="0" borderId="243" xfId="0" applyNumberFormat="1" applyFont="1" applyBorder="1" applyAlignment="1">
      <alignment horizontal="center"/>
    </xf>
    <xf numFmtId="2" fontId="6" fillId="0" borderId="244" xfId="0" applyNumberFormat="1" applyFont="1" applyBorder="1" applyAlignment="1">
      <alignment horizontal="center"/>
    </xf>
    <xf numFmtId="0" fontId="2" fillId="0" borderId="178" xfId="0" applyFont="1" applyBorder="1" applyAlignment="1" applyProtection="1">
      <alignment horizontal="center" vertical="center"/>
      <protection locked="0"/>
    </xf>
    <xf numFmtId="0" fontId="5" fillId="0" borderId="185" xfId="0" applyFont="1" applyBorder="1" applyAlignment="1">
      <alignment horizontal="center" vertical="center" wrapText="1"/>
    </xf>
    <xf numFmtId="0" fontId="5" fillId="0" borderId="183" xfId="0" applyFont="1" applyBorder="1" applyAlignment="1">
      <alignment horizontal="center" vertical="center" wrapText="1"/>
    </xf>
    <xf numFmtId="0" fontId="5" fillId="0" borderId="182" xfId="0" applyFont="1" applyBorder="1" applyAlignment="1">
      <alignment horizontal="center" vertical="center" wrapText="1"/>
    </xf>
    <xf numFmtId="0" fontId="5" fillId="0" borderId="178" xfId="0" applyFont="1" applyBorder="1" applyAlignment="1">
      <alignment horizontal="center" vertical="center" wrapText="1"/>
    </xf>
    <xf numFmtId="0" fontId="2" fillId="0" borderId="267" xfId="0" applyFont="1" applyBorder="1" applyAlignment="1" applyProtection="1">
      <alignment horizontal="left"/>
      <protection locked="0"/>
    </xf>
    <xf numFmtId="0" fontId="33" fillId="17" borderId="273" xfId="0" applyFont="1" applyFill="1" applyBorder="1" applyAlignment="1">
      <alignment horizontal="center" vertical="center"/>
    </xf>
    <xf numFmtId="0" fontId="33" fillId="17" borderId="175" xfId="0" applyFont="1" applyFill="1" applyBorder="1" applyAlignment="1">
      <alignment horizontal="center" vertical="center"/>
    </xf>
    <xf numFmtId="0" fontId="33" fillId="17" borderId="274" xfId="0" applyFont="1" applyFill="1" applyBorder="1" applyAlignment="1">
      <alignment horizontal="center" vertical="center"/>
    </xf>
    <xf numFmtId="176" fontId="4" fillId="0" borderId="0" xfId="0" applyNumberFormat="1" applyFont="1" applyAlignment="1">
      <alignment horizontal="right"/>
    </xf>
    <xf numFmtId="167" fontId="2" fillId="0" borderId="267" xfId="0" applyNumberFormat="1" applyFont="1" applyBorder="1" applyAlignment="1" applyProtection="1">
      <alignment horizontal="center"/>
      <protection locked="0"/>
    </xf>
    <xf numFmtId="167" fontId="2" fillId="0" borderId="266" xfId="0" applyNumberFormat="1" applyFont="1" applyBorder="1" applyAlignment="1" applyProtection="1">
      <alignment horizontal="center"/>
      <protection locked="0"/>
    </xf>
    <xf numFmtId="0" fontId="4" fillId="0" borderId="0" xfId="0" applyFont="1" applyAlignment="1">
      <alignment horizontal="right"/>
    </xf>
    <xf numFmtId="14" fontId="2" fillId="0" borderId="266" xfId="0" applyNumberFormat="1" applyFont="1" applyBorder="1" applyAlignment="1" applyProtection="1">
      <alignment horizontal="left"/>
      <protection locked="0"/>
    </xf>
    <xf numFmtId="49" fontId="2" fillId="0" borderId="267" xfId="0" quotePrefix="1" applyNumberFormat="1" applyFont="1" applyBorder="1" applyAlignment="1" applyProtection="1">
      <alignment horizontal="left"/>
      <protection locked="0"/>
    </xf>
    <xf numFmtId="49" fontId="2" fillId="0" borderId="267" xfId="0" applyNumberFormat="1" applyFont="1" applyBorder="1" applyAlignment="1" applyProtection="1">
      <alignment horizontal="left"/>
      <protection locked="0"/>
    </xf>
    <xf numFmtId="0" fontId="2" fillId="0" borderId="267" xfId="0" quotePrefix="1" applyFont="1" applyBorder="1" applyAlignment="1" applyProtection="1">
      <alignment horizontal="left"/>
      <protection locked="0"/>
    </xf>
    <xf numFmtId="0" fontId="4" fillId="0" borderId="273" xfId="0" applyFont="1" applyBorder="1" applyAlignment="1">
      <alignment horizontal="center" vertical="center"/>
    </xf>
    <xf numFmtId="0" fontId="4" fillId="0" borderId="259" xfId="0" applyFont="1" applyBorder="1" applyAlignment="1">
      <alignment horizontal="center" wrapText="1"/>
    </xf>
    <xf numFmtId="0" fontId="4" fillId="0" borderId="260" xfId="0" applyFont="1" applyBorder="1" applyAlignment="1">
      <alignment horizontal="center" wrapText="1"/>
    </xf>
    <xf numFmtId="49" fontId="28" fillId="0" borderId="271" xfId="0" applyNumberFormat="1" applyFont="1" applyBorder="1" applyAlignment="1" applyProtection="1">
      <alignment horizontal="center"/>
      <protection locked="0"/>
    </xf>
    <xf numFmtId="49" fontId="28" fillId="0" borderId="272" xfId="0" applyNumberFormat="1" applyFont="1" applyBorder="1" applyAlignment="1" applyProtection="1">
      <alignment horizontal="center"/>
      <protection locked="0"/>
    </xf>
    <xf numFmtId="0" fontId="5" fillId="0" borderId="260" xfId="0" applyFont="1" applyBorder="1" applyAlignment="1">
      <alignment horizontal="center" wrapText="1"/>
    </xf>
    <xf numFmtId="0" fontId="2" fillId="0" borderId="277" xfId="0" applyFont="1" applyBorder="1" applyAlignment="1" applyProtection="1">
      <alignment horizontal="center"/>
      <protection locked="0"/>
    </xf>
    <xf numFmtId="0" fontId="2" fillId="0" borderId="269" xfId="0" applyFont="1" applyBorder="1" applyProtection="1">
      <protection locked="0"/>
    </xf>
    <xf numFmtId="0" fontId="2" fillId="0" borderId="269" xfId="0" applyFont="1" applyBorder="1" applyAlignment="1" applyProtection="1">
      <alignment horizontal="center"/>
      <protection locked="0"/>
    </xf>
    <xf numFmtId="0" fontId="2" fillId="0" borderId="278" xfId="0" applyFont="1" applyBorder="1" applyProtection="1">
      <protection locked="0"/>
    </xf>
    <xf numFmtId="0" fontId="4" fillId="0" borderId="257" xfId="0" applyFont="1" applyBorder="1" applyAlignment="1">
      <alignment horizontal="center" vertical="center" wrapText="1"/>
    </xf>
    <xf numFmtId="0" fontId="4" fillId="0" borderId="258" xfId="0" applyFont="1" applyBorder="1" applyAlignment="1">
      <alignment horizontal="center" vertical="center" wrapText="1"/>
    </xf>
    <xf numFmtId="0" fontId="8" fillId="0" borderId="286" xfId="0" applyFont="1" applyBorder="1" applyAlignment="1" applyProtection="1">
      <alignment horizontal="justify" vertical="justify" wrapText="1"/>
      <protection locked="0"/>
    </xf>
    <xf numFmtId="0" fontId="8" fillId="0" borderId="183" xfId="0" applyFont="1" applyBorder="1" applyAlignment="1" applyProtection="1">
      <alignment horizontal="justify" vertical="justify" wrapText="1"/>
      <protection locked="0"/>
    </xf>
    <xf numFmtId="0" fontId="8" fillId="0" borderId="287" xfId="0" applyFont="1" applyBorder="1" applyAlignment="1" applyProtection="1">
      <alignment horizontal="justify" vertical="justify" wrapText="1"/>
      <protection locked="0"/>
    </xf>
    <xf numFmtId="0" fontId="8" fillId="0" borderId="261" xfId="0" applyFont="1" applyBorder="1" applyAlignment="1" applyProtection="1">
      <alignment horizontal="justify" vertical="justify" wrapText="1"/>
      <protection locked="0"/>
    </xf>
    <xf numFmtId="0" fontId="8" fillId="0" borderId="0" xfId="0" applyFont="1" applyAlignment="1" applyProtection="1">
      <alignment horizontal="justify" vertical="justify" wrapText="1"/>
      <protection locked="0"/>
    </xf>
    <xf numFmtId="0" fontId="8" fillId="0" borderId="262" xfId="0" applyFont="1" applyBorder="1" applyAlignment="1" applyProtection="1">
      <alignment horizontal="justify" vertical="justify" wrapText="1"/>
      <protection locked="0"/>
    </xf>
    <xf numFmtId="0" fontId="8" fillId="0" borderId="275" xfId="0" applyFont="1" applyBorder="1" applyAlignment="1" applyProtection="1">
      <alignment horizontal="justify" vertical="justify" wrapText="1"/>
      <protection locked="0"/>
    </xf>
    <xf numFmtId="0" fontId="8" fillId="0" borderId="178" xfId="0" applyFont="1" applyBorder="1" applyAlignment="1" applyProtection="1">
      <alignment horizontal="justify" vertical="justify" wrapText="1"/>
      <protection locked="0"/>
    </xf>
    <xf numFmtId="0" fontId="8" fillId="0" borderId="276" xfId="0" applyFont="1" applyBorder="1" applyAlignment="1" applyProtection="1">
      <alignment horizontal="justify" vertical="justify" wrapText="1"/>
      <protection locked="0"/>
    </xf>
    <xf numFmtId="0" fontId="4" fillId="0" borderId="261" xfId="0" applyFont="1" applyBorder="1" applyAlignment="1">
      <alignment horizontal="center" vertical="center"/>
    </xf>
    <xf numFmtId="0" fontId="4" fillId="0" borderId="0" xfId="0" applyFont="1" applyAlignment="1">
      <alignment horizontal="center" vertical="center"/>
    </xf>
    <xf numFmtId="0" fontId="4" fillId="0" borderId="262" xfId="0" applyFont="1" applyBorder="1" applyAlignment="1">
      <alignment horizontal="center" vertical="center"/>
    </xf>
    <xf numFmtId="0" fontId="4" fillId="0" borderId="175" xfId="0" applyFont="1" applyBorder="1" applyAlignment="1">
      <alignment horizontal="right" vertical="center"/>
    </xf>
    <xf numFmtId="166" fontId="2" fillId="0" borderId="175" xfId="0" applyNumberFormat="1" applyFont="1" applyBorder="1" applyAlignment="1" applyProtection="1">
      <alignment horizontal="center" vertical="center"/>
      <protection locked="0"/>
    </xf>
    <xf numFmtId="0" fontId="4" fillId="0" borderId="178" xfId="0" applyFont="1" applyBorder="1" applyAlignment="1">
      <alignment horizontal="right" vertical="center"/>
    </xf>
    <xf numFmtId="0" fontId="2" fillId="0" borderId="178" xfId="0" applyFont="1" applyBorder="1" applyAlignment="1">
      <alignment horizontal="right" vertical="center"/>
    </xf>
    <xf numFmtId="167" fontId="2" fillId="0" borderId="178" xfId="0" applyNumberFormat="1" applyFont="1" applyBorder="1" applyAlignment="1" applyProtection="1">
      <alignment horizontal="left" vertical="center"/>
      <protection locked="0"/>
    </xf>
    <xf numFmtId="167" fontId="2" fillId="0" borderId="276" xfId="0" applyNumberFormat="1" applyFont="1" applyBorder="1" applyAlignment="1" applyProtection="1">
      <alignment horizontal="left" vertical="center"/>
      <protection locked="0"/>
    </xf>
    <xf numFmtId="0" fontId="32" fillId="0" borderId="175" xfId="0" quotePrefix="1" applyFont="1" applyBorder="1" applyAlignment="1" applyProtection="1">
      <alignment horizontal="left" vertical="center"/>
      <protection locked="0"/>
    </xf>
    <xf numFmtId="0" fontId="32" fillId="0" borderId="176" xfId="0" applyFont="1" applyBorder="1" applyAlignment="1" applyProtection="1">
      <alignment horizontal="left" vertical="center"/>
      <protection locked="0"/>
    </xf>
    <xf numFmtId="0" fontId="18" fillId="0" borderId="0" xfId="0" applyFont="1" applyAlignment="1">
      <alignment horizontal="left" vertical="top"/>
    </xf>
    <xf numFmtId="0" fontId="2" fillId="0" borderId="279" xfId="0" applyFont="1" applyBorder="1" applyAlignment="1" applyProtection="1">
      <alignment horizontal="left"/>
      <protection locked="0"/>
    </xf>
    <xf numFmtId="0" fontId="32" fillId="0" borderId="175" xfId="0" applyFont="1" applyBorder="1" applyAlignment="1" applyProtection="1">
      <alignment horizontal="right" vertical="center"/>
      <protection locked="0"/>
    </xf>
    <xf numFmtId="0" fontId="4" fillId="0" borderId="0" xfId="0" applyFont="1" applyAlignment="1">
      <alignment horizontal="left" vertical="center"/>
    </xf>
    <xf numFmtId="0" fontId="3" fillId="0" borderId="0" xfId="0" quotePrefix="1" applyFont="1" applyAlignment="1">
      <alignment horizontal="left" vertical="center" wrapText="1"/>
    </xf>
    <xf numFmtId="0" fontId="3" fillId="0" borderId="0" xfId="0" applyFont="1" applyAlignment="1">
      <alignment horizontal="left" vertical="center"/>
    </xf>
    <xf numFmtId="49" fontId="6" fillId="0" borderId="0" xfId="0" applyNumberFormat="1" applyFont="1" applyAlignment="1">
      <alignment horizontal="left" wrapText="1"/>
    </xf>
    <xf numFmtId="0" fontId="14" fillId="0" borderId="0" xfId="0" applyFont="1" applyAlignment="1">
      <alignment horizontal="center" vertical="center" wrapText="1"/>
    </xf>
    <xf numFmtId="0" fontId="40" fillId="0" borderId="0" xfId="0" applyFont="1" applyAlignment="1">
      <alignment horizontal="center" vertical="center"/>
    </xf>
    <xf numFmtId="0" fontId="64" fillId="0" borderId="0" xfId="0" applyFont="1" applyAlignment="1">
      <alignment horizontal="left" vertical="center"/>
    </xf>
    <xf numFmtId="0" fontId="65" fillId="0" borderId="0" xfId="0" applyFont="1"/>
    <xf numFmtId="0" fontId="25" fillId="0" borderId="0" xfId="0" applyFont="1" applyAlignment="1">
      <alignment horizontal="center" vertical="center"/>
    </xf>
    <xf numFmtId="176" fontId="3" fillId="0" borderId="0" xfId="0" applyNumberFormat="1" applyFont="1" applyAlignment="1">
      <alignment horizontal="left" vertical="center"/>
    </xf>
    <xf numFmtId="0" fontId="8" fillId="0" borderId="0" xfId="0" applyFont="1" applyAlignment="1">
      <alignment horizontal="center" vertical="center"/>
    </xf>
    <xf numFmtId="186" fontId="3" fillId="0" borderId="0" xfId="0" quotePrefix="1" applyNumberFormat="1" applyFont="1" applyAlignment="1">
      <alignment horizontal="left" vertical="center" wrapText="1"/>
    </xf>
    <xf numFmtId="0" fontId="66" fillId="0" borderId="0" xfId="0" applyFont="1" applyAlignment="1">
      <alignment horizontal="left" vertical="center"/>
    </xf>
    <xf numFmtId="0" fontId="0" fillId="0" borderId="0" xfId="0"/>
    <xf numFmtId="0" fontId="0" fillId="0" borderId="0" xfId="0" applyAlignment="1">
      <alignment horizontal="center"/>
    </xf>
    <xf numFmtId="0" fontId="2" fillId="0" borderId="0" xfId="0" quotePrefix="1" applyFont="1" applyAlignment="1">
      <alignment horizontal="left" vertical="center"/>
    </xf>
    <xf numFmtId="0" fontId="3" fillId="0" borderId="0" xfId="0" applyFont="1" applyAlignment="1">
      <alignment horizontal="left" vertical="top"/>
    </xf>
    <xf numFmtId="0" fontId="2" fillId="0" borderId="0" xfId="0" applyFont="1" applyAlignment="1">
      <alignment horizontal="left" vertical="center"/>
    </xf>
    <xf numFmtId="0" fontId="64" fillId="0" borderId="0" xfId="0" applyFont="1" applyAlignment="1">
      <alignment horizontal="center" vertical="center"/>
    </xf>
    <xf numFmtId="0" fontId="4" fillId="0" borderId="289" xfId="0" applyFont="1" applyBorder="1" applyAlignment="1">
      <alignment horizontal="right" vertical="center"/>
    </xf>
    <xf numFmtId="0" fontId="4" fillId="0" borderId="290" xfId="0" applyFont="1" applyBorder="1" applyAlignment="1">
      <alignment horizontal="right" vertical="center"/>
    </xf>
    <xf numFmtId="0" fontId="64" fillId="0" borderId="290" xfId="0" applyFont="1" applyBorder="1" applyAlignment="1">
      <alignment horizontal="center" vertical="center"/>
    </xf>
    <xf numFmtId="0" fontId="64" fillId="0" borderId="291" xfId="0" applyFont="1" applyBorder="1" applyAlignment="1">
      <alignment horizontal="center" vertical="center"/>
    </xf>
    <xf numFmtId="0" fontId="4" fillId="0" borderId="289" xfId="0" applyFont="1" applyBorder="1" applyAlignment="1">
      <alignment horizontal="center" vertical="center"/>
    </xf>
    <xf numFmtId="0" fontId="4" fillId="0" borderId="290" xfId="0" applyFont="1" applyBorder="1" applyAlignment="1">
      <alignment horizontal="center" vertical="center"/>
    </xf>
    <xf numFmtId="0" fontId="23" fillId="0" borderId="0" xfId="0" applyFont="1" applyAlignment="1">
      <alignment horizontal="left" vertical="center"/>
    </xf>
    <xf numFmtId="0" fontId="24" fillId="0" borderId="0" xfId="0" applyFont="1"/>
    <xf numFmtId="0" fontId="64" fillId="0" borderId="292" xfId="0" applyFont="1" applyBorder="1" applyAlignment="1">
      <alignment horizontal="center" vertical="center"/>
    </xf>
    <xf numFmtId="0" fontId="64" fillId="0" borderId="293" xfId="0" applyFont="1" applyBorder="1" applyAlignment="1">
      <alignment horizontal="center" vertical="center"/>
    </xf>
    <xf numFmtId="0" fontId="64" fillId="0" borderId="294" xfId="0" applyFont="1" applyBorder="1" applyAlignment="1">
      <alignment horizontal="center" vertical="center"/>
    </xf>
    <xf numFmtId="166" fontId="3" fillId="0" borderId="296" xfId="0" applyNumberFormat="1" applyFont="1" applyBorder="1" applyAlignment="1">
      <alignment horizontal="left" vertical="center"/>
    </xf>
    <xf numFmtId="0" fontId="4" fillId="0" borderId="296" xfId="0" applyFont="1" applyBorder="1" applyAlignment="1">
      <alignment horizontal="right" vertical="center"/>
    </xf>
    <xf numFmtId="0" fontId="4" fillId="0" borderId="296" xfId="0" applyFont="1" applyBorder="1" applyAlignment="1">
      <alignment horizontal="center" vertical="center"/>
    </xf>
    <xf numFmtId="166" fontId="3" fillId="0" borderId="296" xfId="0" applyNumberFormat="1" applyFont="1" applyBorder="1" applyAlignment="1">
      <alignment horizontal="center" vertical="center"/>
    </xf>
    <xf numFmtId="0" fontId="4" fillId="0" borderId="289" xfId="0" applyFont="1" applyBorder="1" applyAlignment="1">
      <alignment horizontal="left" vertical="center" wrapText="1"/>
    </xf>
    <xf numFmtId="0" fontId="4" fillId="0" borderId="290" xfId="0" applyFont="1" applyBorder="1" applyAlignment="1">
      <alignment horizontal="left" vertical="center" wrapText="1"/>
    </xf>
    <xf numFmtId="0" fontId="4" fillId="0" borderId="290" xfId="0" applyFont="1" applyBorder="1" applyAlignment="1">
      <alignment horizontal="center" vertical="center" wrapText="1"/>
    </xf>
    <xf numFmtId="0" fontId="4" fillId="0" borderId="291" xfId="0" applyFont="1" applyBorder="1" applyAlignment="1">
      <alignment horizontal="center" vertical="center" wrapText="1"/>
    </xf>
    <xf numFmtId="0" fontId="6" fillId="0" borderId="292" xfId="0" applyFont="1" applyBorder="1" applyAlignment="1">
      <alignment horizontal="center" vertical="center" wrapText="1"/>
    </xf>
    <xf numFmtId="0" fontId="6" fillId="0" borderId="293" xfId="0" applyFont="1" applyBorder="1" applyAlignment="1">
      <alignment horizontal="center" vertical="center" wrapText="1"/>
    </xf>
    <xf numFmtId="0" fontId="6" fillId="0" borderId="293" xfId="0" quotePrefix="1" applyFont="1" applyBorder="1" applyAlignment="1">
      <alignment horizontal="center" vertical="center" wrapText="1"/>
    </xf>
    <xf numFmtId="14" fontId="6" fillId="0" borderId="293" xfId="0" applyNumberFormat="1" applyFont="1" applyBorder="1" applyAlignment="1">
      <alignment horizontal="center" vertical="center" wrapText="1"/>
    </xf>
    <xf numFmtId="0" fontId="6" fillId="0" borderId="294" xfId="0" applyFont="1" applyBorder="1" applyAlignment="1">
      <alignment horizontal="center" vertical="center" wrapText="1"/>
    </xf>
    <xf numFmtId="0" fontId="6" fillId="0" borderId="0" xfId="0" applyFont="1" applyAlignment="1">
      <alignment horizontal="center" vertical="center" wrapText="1"/>
    </xf>
    <xf numFmtId="0" fontId="6" fillId="0" borderId="0" xfId="0" quotePrefix="1" applyFont="1" applyAlignment="1">
      <alignment horizontal="center" vertical="center" wrapText="1"/>
    </xf>
    <xf numFmtId="14" fontId="6" fillId="0" borderId="0" xfId="0" applyNumberFormat="1" applyFont="1" applyAlignment="1">
      <alignment horizontal="center" vertical="center" wrapText="1"/>
    </xf>
    <xf numFmtId="0" fontId="4" fillId="0" borderId="298" xfId="0" applyFont="1" applyBorder="1" applyAlignment="1">
      <alignment horizontal="center" vertical="center" wrapText="1"/>
    </xf>
    <xf numFmtId="0" fontId="4" fillId="0" borderId="0" xfId="0" applyFont="1" applyAlignment="1">
      <alignment horizontal="center" vertical="center" wrapText="1"/>
    </xf>
    <xf numFmtId="0" fontId="4" fillId="0" borderId="299" xfId="0" applyFont="1" applyBorder="1" applyAlignment="1">
      <alignment horizontal="center" vertical="center" wrapText="1"/>
    </xf>
    <xf numFmtId="0" fontId="4" fillId="0" borderId="295" xfId="0" applyFont="1" applyBorder="1" applyAlignment="1">
      <alignment horizontal="center" vertical="center" wrapText="1"/>
    </xf>
    <xf numFmtId="0" fontId="4" fillId="0" borderId="296" xfId="0" applyFont="1" applyBorder="1" applyAlignment="1">
      <alignment horizontal="center" vertical="center" wrapText="1"/>
    </xf>
    <xf numFmtId="0" fontId="4" fillId="0" borderId="297" xfId="0" applyFont="1" applyBorder="1" applyAlignment="1">
      <alignment horizontal="center" vertical="center" wrapText="1"/>
    </xf>
    <xf numFmtId="2" fontId="6" fillId="0" borderId="296" xfId="0" applyNumberFormat="1" applyFont="1" applyBorder="1" applyAlignment="1">
      <alignment horizontal="center" vertical="center"/>
    </xf>
    <xf numFmtId="2" fontId="41" fillId="0" borderId="296" xfId="0" quotePrefix="1" applyNumberFormat="1" applyFont="1" applyBorder="1" applyAlignment="1">
      <alignment horizontal="center" vertical="center"/>
    </xf>
    <xf numFmtId="2" fontId="41" fillId="0" borderId="297" xfId="0" quotePrefix="1" applyNumberFormat="1" applyFont="1" applyBorder="1" applyAlignment="1">
      <alignment horizontal="center" vertical="center"/>
    </xf>
    <xf numFmtId="1" fontId="30" fillId="0" borderId="298" xfId="0" applyNumberFormat="1" applyFont="1" applyBorder="1" applyAlignment="1">
      <alignment horizontal="center" vertical="center"/>
    </xf>
    <xf numFmtId="1" fontId="30" fillId="0" borderId="0" xfId="0" applyNumberFormat="1" applyFont="1" applyAlignment="1">
      <alignment horizontal="center" vertical="center"/>
    </xf>
    <xf numFmtId="166" fontId="6" fillId="0" borderId="0" xfId="0" applyNumberFormat="1" applyFont="1" applyAlignment="1">
      <alignment horizontal="center" vertical="center" wrapText="1"/>
    </xf>
    <xf numFmtId="167" fontId="6" fillId="0" borderId="0" xfId="0" applyNumberFormat="1" applyFont="1" applyAlignment="1">
      <alignment horizontal="center" vertical="center"/>
    </xf>
    <xf numFmtId="177" fontId="6" fillId="0" borderId="0" xfId="4" applyNumberFormat="1" applyFont="1" applyFill="1" applyBorder="1" applyAlignment="1" applyProtection="1">
      <alignment horizontal="center" vertical="center"/>
    </xf>
    <xf numFmtId="0" fontId="4" fillId="0" borderId="292" xfId="0" applyFont="1" applyBorder="1" applyAlignment="1">
      <alignment horizontal="center" vertical="center" wrapText="1"/>
    </xf>
    <xf numFmtId="0" fontId="4" fillId="0" borderId="293" xfId="0" applyFont="1" applyBorder="1" applyAlignment="1">
      <alignment horizontal="center" vertical="center" wrapText="1"/>
    </xf>
    <xf numFmtId="0" fontId="4" fillId="0" borderId="294" xfId="0" applyFont="1" applyBorder="1" applyAlignment="1">
      <alignment horizontal="center" vertical="center" wrapText="1"/>
    </xf>
    <xf numFmtId="0" fontId="36" fillId="0" borderId="292" xfId="0" applyFont="1" applyBorder="1" applyAlignment="1">
      <alignment horizontal="center" vertical="center"/>
    </xf>
    <xf numFmtId="0" fontId="36" fillId="0" borderId="293" xfId="0" applyFont="1" applyBorder="1" applyAlignment="1">
      <alignment horizontal="center" vertical="center"/>
    </xf>
    <xf numFmtId="0" fontId="36" fillId="0" borderId="294" xfId="0" applyFont="1" applyBorder="1" applyAlignment="1">
      <alignment horizontal="center" vertical="center"/>
    </xf>
    <xf numFmtId="0" fontId="5" fillId="0" borderId="295" xfId="0" applyFont="1" applyBorder="1" applyAlignment="1">
      <alignment horizontal="center" vertical="center" wrapText="1"/>
    </xf>
    <xf numFmtId="0" fontId="5" fillId="0" borderId="296" xfId="0" applyFont="1" applyBorder="1" applyAlignment="1">
      <alignment horizontal="center" vertical="center" wrapText="1"/>
    </xf>
    <xf numFmtId="0" fontId="5" fillId="0" borderId="297" xfId="0" applyFont="1" applyBorder="1" applyAlignment="1">
      <alignment horizontal="center" vertical="center" wrapText="1"/>
    </xf>
    <xf numFmtId="0" fontId="36" fillId="0" borderId="298" xfId="0" applyFont="1" applyBorder="1" applyAlignment="1">
      <alignment horizontal="center" vertical="center"/>
    </xf>
    <xf numFmtId="0" fontId="36" fillId="0" borderId="0" xfId="0" applyFont="1" applyAlignment="1">
      <alignment horizontal="center" vertical="center"/>
    </xf>
    <xf numFmtId="0" fontId="64" fillId="0" borderId="289" xfId="0" applyFont="1" applyBorder="1" applyAlignment="1">
      <alignment horizontal="left" vertical="center"/>
    </xf>
    <xf numFmtId="0" fontId="64" fillId="0" borderId="290" xfId="0" applyFont="1" applyBorder="1" applyAlignment="1">
      <alignment horizontal="left" vertical="center"/>
    </xf>
    <xf numFmtId="0" fontId="7" fillId="0" borderId="290" xfId="0" applyFont="1" applyBorder="1" applyAlignment="1">
      <alignment horizontal="center" vertical="center"/>
    </xf>
    <xf numFmtId="0" fontId="7" fillId="0" borderId="304" xfId="0" applyFont="1" applyBorder="1" applyAlignment="1">
      <alignment horizontal="center" vertical="center"/>
    </xf>
    <xf numFmtId="0" fontId="8" fillId="0" borderId="293" xfId="0" quotePrefix="1" applyFont="1" applyBorder="1" applyAlignment="1">
      <alignment horizontal="left" vertical="center" wrapText="1"/>
    </xf>
    <xf numFmtId="0" fontId="8" fillId="0" borderId="293" xfId="0" applyFont="1" applyBorder="1" applyAlignment="1">
      <alignment horizontal="left" vertical="center" wrapText="1"/>
    </xf>
    <xf numFmtId="0" fontId="8" fillId="0" borderId="294" xfId="0" applyFont="1" applyBorder="1" applyAlignment="1">
      <alignment horizontal="left" vertical="center" wrapText="1"/>
    </xf>
    <xf numFmtId="2" fontId="41" fillId="0" borderId="0" xfId="0" quotePrefix="1" applyNumberFormat="1" applyFont="1" applyAlignment="1">
      <alignment horizontal="center" vertical="center"/>
    </xf>
    <xf numFmtId="2" fontId="41" fillId="0" borderId="299" xfId="0" quotePrefix="1" applyNumberFormat="1" applyFont="1" applyBorder="1" applyAlignment="1">
      <alignment horizontal="center" vertical="center"/>
    </xf>
    <xf numFmtId="2" fontId="6" fillId="0" borderId="0" xfId="0" applyNumberFormat="1" applyFont="1" applyAlignment="1">
      <alignment horizontal="center" vertical="center"/>
    </xf>
    <xf numFmtId="0" fontId="64" fillId="0" borderId="288" xfId="0" applyFont="1" applyBorder="1" applyAlignment="1">
      <alignment horizontal="left" vertical="center"/>
    </xf>
    <xf numFmtId="1" fontId="30" fillId="0" borderId="295" xfId="0" applyNumberFormat="1" applyFont="1" applyBorder="1" applyAlignment="1">
      <alignment horizontal="center" vertical="center"/>
    </xf>
    <xf numFmtId="1" fontId="30" fillId="0" borderId="296" xfId="0" applyNumberFormat="1" applyFont="1" applyBorder="1" applyAlignment="1">
      <alignment horizontal="center" vertical="center"/>
    </xf>
    <xf numFmtId="166" fontId="6" fillId="0" borderId="296" xfId="0" applyNumberFormat="1" applyFont="1" applyBorder="1" applyAlignment="1">
      <alignment horizontal="center" vertical="center" wrapText="1"/>
    </xf>
    <xf numFmtId="167" fontId="6" fillId="0" borderId="296" xfId="0" applyNumberFormat="1" applyFont="1" applyBorder="1" applyAlignment="1">
      <alignment horizontal="center" vertical="center"/>
    </xf>
    <xf numFmtId="177" fontId="6" fillId="0" borderId="296" xfId="4" applyNumberFormat="1" applyFont="1" applyFill="1" applyBorder="1" applyAlignment="1" applyProtection="1">
      <alignment horizontal="center" vertical="center"/>
    </xf>
    <xf numFmtId="10" fontId="55" fillId="0" borderId="305" xfId="3" applyNumberFormat="1" applyFont="1" applyBorder="1" applyAlignment="1" applyProtection="1">
      <alignment horizontal="right" vertical="center"/>
    </xf>
    <xf numFmtId="10" fontId="55" fillId="0" borderId="290" xfId="3" applyNumberFormat="1" applyFont="1" applyBorder="1" applyAlignment="1" applyProtection="1">
      <alignment horizontal="right" vertical="center"/>
    </xf>
    <xf numFmtId="10" fontId="55" fillId="0" borderId="291" xfId="3" applyNumberFormat="1" applyFont="1" applyBorder="1" applyAlignment="1" applyProtection="1">
      <alignment horizontal="right" vertical="center"/>
    </xf>
    <xf numFmtId="0" fontId="8" fillId="0" borderId="296" xfId="0" quotePrefix="1" applyFont="1" applyBorder="1" applyAlignment="1">
      <alignment horizontal="left" vertical="center" wrapText="1"/>
    </xf>
    <xf numFmtId="0" fontId="8" fillId="0" borderId="297" xfId="0" quotePrefix="1" applyFont="1" applyBorder="1" applyAlignment="1">
      <alignment horizontal="left" vertical="center" wrapText="1"/>
    </xf>
    <xf numFmtId="0" fontId="2" fillId="0" borderId="0" xfId="0" applyFont="1" applyAlignment="1">
      <alignment horizontal="center" vertical="center"/>
    </xf>
    <xf numFmtId="14" fontId="0" fillId="0" borderId="293" xfId="0" applyNumberFormat="1" applyBorder="1" applyAlignment="1">
      <alignment horizontal="center" vertical="center"/>
    </xf>
    <xf numFmtId="0" fontId="18" fillId="0" borderId="0" xfId="0" applyFont="1" applyAlignment="1">
      <alignment horizontal="left" vertical="center"/>
    </xf>
    <xf numFmtId="0" fontId="4" fillId="0" borderId="289" xfId="0" applyFont="1" applyBorder="1" applyAlignment="1">
      <alignment horizontal="center" vertical="center" wrapText="1"/>
    </xf>
    <xf numFmtId="0" fontId="0" fillId="0" borderId="32" xfId="0" applyBorder="1" applyAlignment="1">
      <alignment horizontal="center" vertical="center"/>
    </xf>
    <xf numFmtId="0" fontId="8" fillId="0" borderId="292" xfId="0" applyFont="1" applyBorder="1" applyAlignment="1">
      <alignment horizontal="justify" vertical="justify" wrapText="1"/>
    </xf>
    <xf numFmtId="0" fontId="8" fillId="0" borderId="293" xfId="0" applyFont="1" applyBorder="1" applyAlignment="1">
      <alignment horizontal="justify" vertical="justify" wrapText="1"/>
    </xf>
    <xf numFmtId="0" fontId="8" fillId="0" borderId="294" xfId="0" applyFont="1" applyBorder="1" applyAlignment="1">
      <alignment horizontal="justify" vertical="justify" wrapText="1"/>
    </xf>
    <xf numFmtId="0" fontId="8" fillId="0" borderId="298" xfId="0" applyFont="1" applyBorder="1" applyAlignment="1">
      <alignment horizontal="justify" vertical="justify" wrapText="1"/>
    </xf>
    <xf numFmtId="0" fontId="8" fillId="0" borderId="0" xfId="0" applyFont="1" applyAlignment="1">
      <alignment horizontal="justify" vertical="justify" wrapText="1"/>
    </xf>
    <xf numFmtId="0" fontId="8" fillId="0" borderId="299" xfId="0" applyFont="1" applyBorder="1" applyAlignment="1">
      <alignment horizontal="justify" vertical="justify" wrapText="1"/>
    </xf>
    <xf numFmtId="0" fontId="8" fillId="0" borderId="295" xfId="0" applyFont="1" applyBorder="1" applyAlignment="1">
      <alignment horizontal="justify" vertical="justify" wrapText="1"/>
    </xf>
    <xf numFmtId="0" fontId="8" fillId="0" borderId="296" xfId="0" applyFont="1" applyBorder="1" applyAlignment="1">
      <alignment horizontal="justify" vertical="justify" wrapText="1"/>
    </xf>
    <xf numFmtId="0" fontId="8" fillId="0" borderId="297" xfId="0" applyFont="1" applyBorder="1" applyAlignment="1">
      <alignment horizontal="justify" vertical="justify" wrapText="1"/>
    </xf>
    <xf numFmtId="14" fontId="0" fillId="0" borderId="290" xfId="0" applyNumberFormat="1" applyBorder="1" applyAlignment="1">
      <alignment horizontal="center" vertical="center"/>
    </xf>
    <xf numFmtId="0" fontId="4" fillId="0" borderId="0" xfId="0" applyFont="1" applyAlignment="1">
      <alignment horizontal="right" vertical="center"/>
    </xf>
    <xf numFmtId="14" fontId="3" fillId="0" borderId="290" xfId="0" quotePrefix="1" applyNumberFormat="1" applyFont="1" applyBorder="1" applyAlignment="1">
      <alignment horizontal="center" vertical="center" wrapText="1"/>
    </xf>
    <xf numFmtId="0" fontId="8" fillId="0" borderId="0" xfId="0" quotePrefix="1" applyFont="1" applyAlignment="1">
      <alignment horizontal="left" vertical="center" wrapText="1"/>
    </xf>
    <xf numFmtId="0" fontId="8" fillId="0" borderId="0" xfId="0" applyFont="1" applyAlignment="1">
      <alignment horizontal="left" vertical="center" wrapText="1"/>
    </xf>
    <xf numFmtId="0" fontId="8" fillId="0" borderId="299" xfId="0" applyFont="1" applyBorder="1" applyAlignment="1">
      <alignment horizontal="left" vertical="center" wrapText="1"/>
    </xf>
    <xf numFmtId="2" fontId="6" fillId="0" borderId="293" xfId="0" applyNumberFormat="1" applyFont="1" applyBorder="1" applyAlignment="1">
      <alignment horizontal="center" vertical="center"/>
    </xf>
    <xf numFmtId="167" fontId="6" fillId="0" borderId="293" xfId="0" applyNumberFormat="1" applyFont="1" applyBorder="1" applyAlignment="1">
      <alignment horizontal="center" vertical="center"/>
    </xf>
    <xf numFmtId="177" fontId="6" fillId="0" borderId="293" xfId="4" applyNumberFormat="1" applyFont="1" applyFill="1" applyBorder="1" applyAlignment="1" applyProtection="1">
      <alignment horizontal="center" vertical="center"/>
    </xf>
    <xf numFmtId="2" fontId="41" fillId="0" borderId="293" xfId="0" quotePrefix="1" applyNumberFormat="1" applyFont="1" applyBorder="1" applyAlignment="1">
      <alignment horizontal="center" vertical="center"/>
    </xf>
    <xf numFmtId="2" fontId="41" fillId="0" borderId="294" xfId="0" quotePrefix="1" applyNumberFormat="1" applyFont="1" applyBorder="1" applyAlignment="1">
      <alignment horizontal="center" vertical="center"/>
    </xf>
    <xf numFmtId="1" fontId="30" fillId="0" borderId="292" xfId="0" applyNumberFormat="1" applyFont="1" applyBorder="1" applyAlignment="1">
      <alignment horizontal="center" vertical="center"/>
    </xf>
    <xf numFmtId="1" fontId="30" fillId="0" borderId="293" xfId="0" applyNumberFormat="1" applyFont="1" applyBorder="1" applyAlignment="1">
      <alignment horizontal="center" vertical="center"/>
    </xf>
    <xf numFmtId="166" fontId="6" fillId="0" borderId="293" xfId="0" applyNumberFormat="1" applyFont="1" applyBorder="1" applyAlignment="1">
      <alignment horizontal="center" vertical="center" wrapText="1"/>
    </xf>
    <xf numFmtId="0" fontId="64" fillId="0" borderId="296" xfId="0" applyFont="1" applyBorder="1" applyAlignment="1">
      <alignment horizontal="center" vertical="center"/>
    </xf>
    <xf numFmtId="0" fontId="64" fillId="0" borderId="297" xfId="0" applyFont="1" applyBorder="1" applyAlignment="1">
      <alignment horizontal="center" vertical="center"/>
    </xf>
    <xf numFmtId="0" fontId="7" fillId="0" borderId="300" xfId="0" applyFont="1" applyBorder="1" applyAlignment="1">
      <alignment horizontal="center" vertical="center"/>
    </xf>
    <xf numFmtId="0" fontId="7" fillId="0" borderId="301" xfId="0" applyFont="1" applyBorder="1" applyAlignment="1">
      <alignment horizontal="center" vertical="center"/>
    </xf>
    <xf numFmtId="0" fontId="7" fillId="0" borderId="302" xfId="0" applyFont="1" applyBorder="1" applyAlignment="1">
      <alignment horizontal="center" vertical="center"/>
    </xf>
    <xf numFmtId="0" fontId="7" fillId="0" borderId="290" xfId="0" quotePrefix="1" applyFont="1" applyBorder="1" applyAlignment="1">
      <alignment horizontal="center" vertical="center" wrapText="1"/>
    </xf>
    <xf numFmtId="0" fontId="4" fillId="0" borderId="298" xfId="0" quotePrefix="1" applyFont="1" applyBorder="1" applyAlignment="1">
      <alignment horizontal="center" vertical="center" wrapText="1"/>
    </xf>
    <xf numFmtId="0" fontId="4" fillId="0" borderId="0" xfId="0" quotePrefix="1" applyFont="1" applyAlignment="1">
      <alignment horizontal="center" vertical="center" wrapText="1"/>
    </xf>
    <xf numFmtId="0" fontId="4" fillId="0" borderId="299" xfId="0" quotePrefix="1" applyFont="1" applyBorder="1" applyAlignment="1">
      <alignment horizontal="center" vertical="center" wrapText="1"/>
    </xf>
    <xf numFmtId="0" fontId="4" fillId="0" borderId="295" xfId="0" quotePrefix="1" applyFont="1" applyBorder="1" applyAlignment="1">
      <alignment horizontal="center" vertical="center" wrapText="1"/>
    </xf>
    <xf numFmtId="0" fontId="4" fillId="0" borderId="296" xfId="0" quotePrefix="1" applyFont="1" applyBorder="1" applyAlignment="1">
      <alignment horizontal="center" vertical="center" wrapText="1"/>
    </xf>
    <xf numFmtId="0" fontId="4" fillId="0" borderId="297" xfId="0" quotePrefix="1" applyFont="1" applyBorder="1" applyAlignment="1">
      <alignment horizontal="center" vertical="center" wrapText="1"/>
    </xf>
    <xf numFmtId="0" fontId="8" fillId="0" borderId="0" xfId="0" applyFont="1" applyAlignment="1">
      <alignment horizontal="left" vertical="center"/>
    </xf>
    <xf numFmtId="0" fontId="5" fillId="0" borderId="295" xfId="0" applyFont="1" applyBorder="1" applyAlignment="1">
      <alignment horizontal="center" vertical="top" wrapText="1"/>
    </xf>
    <xf numFmtId="0" fontId="5" fillId="0" borderId="296" xfId="0" applyFont="1" applyBorder="1" applyAlignment="1">
      <alignment horizontal="center" vertical="top" wrapText="1"/>
    </xf>
    <xf numFmtId="0" fontId="5" fillId="0" borderId="297" xfId="0" applyFont="1" applyBorder="1" applyAlignment="1">
      <alignment horizontal="center" vertical="top" wrapText="1"/>
    </xf>
    <xf numFmtId="0" fontId="7" fillId="0" borderId="292" xfId="0" applyFont="1" applyBorder="1" applyAlignment="1">
      <alignment horizontal="center" vertical="center" wrapText="1"/>
    </xf>
    <xf numFmtId="0" fontId="7" fillId="0" borderId="293" xfId="0" applyFont="1" applyBorder="1" applyAlignment="1">
      <alignment horizontal="center" vertical="center" wrapText="1"/>
    </xf>
    <xf numFmtId="0" fontId="7" fillId="0" borderId="294" xfId="0" applyFont="1" applyBorder="1" applyAlignment="1">
      <alignment horizontal="center" vertical="center" wrapText="1"/>
    </xf>
    <xf numFmtId="0" fontId="7" fillId="0" borderId="298" xfId="0" applyFont="1" applyBorder="1" applyAlignment="1">
      <alignment horizontal="center" vertical="center" wrapText="1"/>
    </xf>
    <xf numFmtId="0" fontId="7" fillId="0" borderId="0" xfId="0" applyFont="1" applyAlignment="1">
      <alignment horizontal="center" vertical="center" wrapText="1"/>
    </xf>
    <xf numFmtId="0" fontId="7" fillId="0" borderId="299" xfId="0" applyFont="1" applyBorder="1" applyAlignment="1">
      <alignment horizontal="center" vertical="center" wrapText="1"/>
    </xf>
    <xf numFmtId="0" fontId="5" fillId="0" borderId="298" xfId="0" applyFont="1" applyBorder="1" applyAlignment="1">
      <alignment horizontal="center" vertical="top" wrapText="1"/>
    </xf>
    <xf numFmtId="0" fontId="5" fillId="0" borderId="0" xfId="0" applyFont="1" applyAlignment="1">
      <alignment horizontal="center" vertical="top" wrapText="1"/>
    </xf>
    <xf numFmtId="0" fontId="5" fillId="0" borderId="299" xfId="0" applyFont="1" applyBorder="1" applyAlignment="1">
      <alignment horizontal="center" vertical="top" wrapText="1"/>
    </xf>
    <xf numFmtId="169" fontId="7" fillId="0" borderId="292" xfId="0" applyNumberFormat="1" applyFont="1" applyBorder="1" applyAlignment="1">
      <alignment horizontal="center" vertical="center" wrapText="1"/>
    </xf>
    <xf numFmtId="169" fontId="7" fillId="0" borderId="293" xfId="0" applyNumberFormat="1" applyFont="1" applyBorder="1" applyAlignment="1">
      <alignment horizontal="center" vertical="center" wrapText="1"/>
    </xf>
    <xf numFmtId="169" fontId="7" fillId="0" borderId="294" xfId="0" applyNumberFormat="1" applyFont="1" applyBorder="1" applyAlignment="1">
      <alignment horizontal="center" vertical="center" wrapText="1"/>
    </xf>
    <xf numFmtId="0" fontId="64" fillId="0" borderId="295" xfId="0" applyFont="1" applyBorder="1" applyAlignment="1">
      <alignment horizontal="center" vertical="center"/>
    </xf>
    <xf numFmtId="173" fontId="6" fillId="0" borderId="0" xfId="0" quotePrefix="1" applyNumberFormat="1" applyFont="1" applyAlignment="1">
      <alignment horizontal="center" vertical="center"/>
    </xf>
    <xf numFmtId="168" fontId="6" fillId="0" borderId="0" xfId="0" applyNumberFormat="1" applyFont="1" applyAlignment="1">
      <alignment horizontal="center" vertical="center"/>
    </xf>
    <xf numFmtId="167" fontId="6" fillId="0" borderId="298" xfId="0" applyNumberFormat="1" applyFont="1" applyBorder="1" applyAlignment="1">
      <alignment horizontal="center" vertical="center"/>
    </xf>
    <xf numFmtId="167" fontId="6" fillId="0" borderId="0" xfId="0" quotePrefix="1" applyNumberFormat="1" applyFont="1" applyAlignment="1">
      <alignment horizontal="center" vertical="center"/>
    </xf>
    <xf numFmtId="167" fontId="6" fillId="0" borderId="299" xfId="0" applyNumberFormat="1" applyFont="1" applyBorder="1" applyAlignment="1">
      <alignment horizontal="center" vertical="center"/>
    </xf>
    <xf numFmtId="0" fontId="30" fillId="0" borderId="0" xfId="0" applyFont="1" applyAlignment="1">
      <alignment horizontal="left" vertical="top"/>
    </xf>
    <xf numFmtId="169" fontId="5" fillId="0" borderId="0" xfId="0" applyNumberFormat="1" applyFont="1" applyAlignment="1">
      <alignment horizontal="center" vertical="center"/>
    </xf>
    <xf numFmtId="169" fontId="0" fillId="0" borderId="0" xfId="0" applyNumberFormat="1" applyAlignment="1">
      <alignment horizontal="center" vertical="center"/>
    </xf>
    <xf numFmtId="172" fontId="4" fillId="0" borderId="0" xfId="0" applyNumberFormat="1" applyFont="1" applyAlignment="1">
      <alignment horizontal="center" vertical="center"/>
    </xf>
    <xf numFmtId="172" fontId="4" fillId="0" borderId="299" xfId="0" applyNumberFormat="1" applyFont="1" applyBorder="1" applyAlignment="1">
      <alignment horizontal="center" vertical="center"/>
    </xf>
    <xf numFmtId="0" fontId="64" fillId="0" borderId="0" xfId="0" applyFont="1" applyAlignment="1">
      <alignment horizontal="left"/>
    </xf>
    <xf numFmtId="0" fontId="0" fillId="0" borderId="0" xfId="0" applyAlignment="1">
      <alignment horizontal="center" vertical="center"/>
    </xf>
    <xf numFmtId="0" fontId="8" fillId="0" borderId="299" xfId="0" quotePrefix="1" applyFont="1" applyBorder="1" applyAlignment="1">
      <alignment horizontal="left" vertical="center" wrapText="1"/>
    </xf>
    <xf numFmtId="167" fontId="16" fillId="0" borderId="298" xfId="0" applyNumberFormat="1" applyFont="1" applyBorder="1" applyAlignment="1">
      <alignment horizontal="center" vertical="center"/>
    </xf>
    <xf numFmtId="167" fontId="16" fillId="0" borderId="0" xfId="0" applyNumberFormat="1" applyFont="1" applyAlignment="1">
      <alignment horizontal="center" vertical="center"/>
    </xf>
    <xf numFmtId="168" fontId="16" fillId="0" borderId="0" xfId="0" applyNumberFormat="1" applyFont="1" applyAlignment="1">
      <alignment horizontal="center" vertical="center"/>
    </xf>
    <xf numFmtId="173" fontId="16" fillId="0" borderId="0" xfId="0" quotePrefix="1" applyNumberFormat="1" applyFont="1" applyAlignment="1">
      <alignment horizontal="center" vertical="center"/>
    </xf>
    <xf numFmtId="167" fontId="16" fillId="0" borderId="0" xfId="0" quotePrefix="1" applyNumberFormat="1" applyFont="1" applyAlignment="1">
      <alignment horizontal="center" vertical="center"/>
    </xf>
    <xf numFmtId="167" fontId="16" fillId="0" borderId="299" xfId="0" applyNumberFormat="1" applyFont="1" applyBorder="1" applyAlignment="1">
      <alignment horizontal="center" vertical="center"/>
    </xf>
    <xf numFmtId="2" fontId="3" fillId="0" borderId="298" xfId="0" quotePrefix="1" applyNumberFormat="1" applyFont="1" applyBorder="1" applyAlignment="1">
      <alignment horizontal="center" vertical="center" wrapText="1"/>
    </xf>
    <xf numFmtId="2" fontId="3" fillId="0" borderId="0" xfId="0" quotePrefix="1" applyNumberFormat="1" applyFont="1" applyAlignment="1">
      <alignment horizontal="center" vertical="center" wrapText="1"/>
    </xf>
    <xf numFmtId="2" fontId="3" fillId="0" borderId="299" xfId="0" quotePrefix="1" applyNumberFormat="1" applyFont="1" applyBorder="1" applyAlignment="1">
      <alignment horizontal="center" vertical="center" wrapText="1"/>
    </xf>
    <xf numFmtId="2" fontId="4" fillId="0" borderId="298" xfId="0" applyNumberFormat="1" applyFont="1" applyBorder="1" applyAlignment="1">
      <alignment horizontal="center" vertical="center"/>
    </xf>
    <xf numFmtId="2" fontId="4" fillId="0" borderId="0" xfId="0" applyNumberFormat="1" applyFont="1" applyAlignment="1">
      <alignment horizontal="center" vertical="center"/>
    </xf>
    <xf numFmtId="2" fontId="4" fillId="0" borderId="299" xfId="0" applyNumberFormat="1" applyFont="1" applyBorder="1" applyAlignment="1">
      <alignment horizontal="center" vertical="center"/>
    </xf>
    <xf numFmtId="0" fontId="36" fillId="0" borderId="292" xfId="0" applyFont="1" applyBorder="1" applyAlignment="1">
      <alignment horizontal="center"/>
    </xf>
    <xf numFmtId="0" fontId="36" fillId="0" borderId="293" xfId="0" applyFont="1" applyBorder="1" applyAlignment="1">
      <alignment horizontal="center"/>
    </xf>
    <xf numFmtId="0" fontId="36" fillId="0" borderId="294" xfId="0" applyFont="1" applyBorder="1" applyAlignment="1">
      <alignment horizontal="center"/>
    </xf>
    <xf numFmtId="0" fontId="18" fillId="0" borderId="295" xfId="0" applyFont="1" applyBorder="1" applyAlignment="1">
      <alignment horizontal="center" vertical="center"/>
    </xf>
    <xf numFmtId="0" fontId="18" fillId="0" borderId="296" xfId="0" applyFont="1" applyBorder="1" applyAlignment="1">
      <alignment horizontal="center" vertical="center"/>
    </xf>
    <xf numFmtId="0" fontId="18" fillId="0" borderId="297" xfId="0" applyFont="1" applyBorder="1" applyAlignment="1">
      <alignment horizontal="center" vertical="center"/>
    </xf>
    <xf numFmtId="0" fontId="28" fillId="0" borderId="295" xfId="0" quotePrefix="1" applyFont="1" applyBorder="1" applyAlignment="1">
      <alignment horizontal="center" vertical="center"/>
    </xf>
    <xf numFmtId="0" fontId="28" fillId="0" borderId="296" xfId="0" quotePrefix="1" applyFont="1" applyBorder="1" applyAlignment="1">
      <alignment horizontal="center" vertical="center"/>
    </xf>
    <xf numFmtId="0" fontId="28" fillId="0" borderId="297" xfId="0" quotePrefix="1" applyFont="1" applyBorder="1" applyAlignment="1">
      <alignment horizontal="center" vertical="center"/>
    </xf>
    <xf numFmtId="2" fontId="5" fillId="0" borderId="295" xfId="0" applyNumberFormat="1" applyFont="1" applyBorder="1" applyAlignment="1">
      <alignment horizontal="center" vertical="center"/>
    </xf>
    <xf numFmtId="2" fontId="5" fillId="0" borderId="296" xfId="0" applyNumberFormat="1" applyFont="1" applyBorder="1" applyAlignment="1">
      <alignment horizontal="center" vertical="center"/>
    </xf>
    <xf numFmtId="2" fontId="5" fillId="0" borderId="297" xfId="0" applyNumberFormat="1" applyFont="1" applyBorder="1" applyAlignment="1">
      <alignment horizontal="center" vertical="center"/>
    </xf>
    <xf numFmtId="2" fontId="19" fillId="0" borderId="0" xfId="0" applyNumberFormat="1" applyFont="1" applyAlignment="1">
      <alignment horizontal="left" wrapText="1"/>
    </xf>
    <xf numFmtId="168" fontId="6" fillId="0" borderId="0" xfId="0" applyNumberFormat="1" applyFont="1" applyAlignment="1">
      <alignment horizontal="center" vertical="center" wrapText="1"/>
    </xf>
    <xf numFmtId="168" fontId="6" fillId="0" borderId="299" xfId="0" applyNumberFormat="1" applyFont="1" applyBorder="1" applyAlignment="1">
      <alignment horizontal="center" vertical="center" wrapText="1"/>
    </xf>
    <xf numFmtId="168" fontId="6" fillId="0" borderId="296" xfId="0" applyNumberFormat="1" applyFont="1" applyBorder="1" applyAlignment="1">
      <alignment horizontal="center" vertical="center" wrapText="1"/>
    </xf>
    <xf numFmtId="168" fontId="6" fillId="0" borderId="297" xfId="0" applyNumberFormat="1" applyFont="1" applyBorder="1" applyAlignment="1">
      <alignment horizontal="center" vertical="center" wrapText="1"/>
    </xf>
    <xf numFmtId="11" fontId="46" fillId="0" borderId="292" xfId="0" applyNumberFormat="1" applyFont="1" applyBorder="1" applyAlignment="1">
      <alignment horizontal="center" vertical="center"/>
    </xf>
    <xf numFmtId="11" fontId="46" fillId="0" borderId="293" xfId="0" applyNumberFormat="1" applyFont="1" applyBorder="1" applyAlignment="1">
      <alignment horizontal="center" vertical="center"/>
    </xf>
    <xf numFmtId="11" fontId="46" fillId="0" borderId="294" xfId="0" applyNumberFormat="1" applyFont="1" applyBorder="1" applyAlignment="1">
      <alignment horizontal="center" vertical="center"/>
    </xf>
    <xf numFmtId="11" fontId="46" fillId="0" borderId="298" xfId="0" applyNumberFormat="1" applyFont="1" applyBorder="1" applyAlignment="1">
      <alignment horizontal="center" vertical="center"/>
    </xf>
    <xf numFmtId="11" fontId="46" fillId="0" borderId="0" xfId="0" applyNumberFormat="1" applyFont="1" applyAlignment="1">
      <alignment horizontal="center" vertical="center"/>
    </xf>
    <xf numFmtId="11" fontId="46" fillId="0" borderId="299" xfId="0" applyNumberFormat="1" applyFont="1" applyBorder="1" applyAlignment="1">
      <alignment horizontal="center" vertical="center"/>
    </xf>
    <xf numFmtId="11" fontId="46" fillId="0" borderId="295" xfId="0" applyNumberFormat="1" applyFont="1" applyBorder="1" applyAlignment="1">
      <alignment horizontal="center" vertical="center"/>
    </xf>
    <xf numFmtId="11" fontId="46" fillId="0" borderId="296" xfId="0" applyNumberFormat="1" applyFont="1" applyBorder="1" applyAlignment="1">
      <alignment horizontal="center" vertical="center"/>
    </xf>
    <xf numFmtId="11" fontId="46" fillId="0" borderId="297" xfId="0" applyNumberFormat="1" applyFont="1" applyBorder="1" applyAlignment="1">
      <alignment horizontal="center" vertical="center"/>
    </xf>
    <xf numFmtId="168" fontId="6" fillId="0" borderId="293" xfId="0" applyNumberFormat="1" applyFont="1" applyBorder="1" applyAlignment="1">
      <alignment horizontal="center" vertical="center" wrapText="1"/>
    </xf>
    <xf numFmtId="168" fontId="6" fillId="0" borderId="294" xfId="0" applyNumberFormat="1" applyFont="1" applyBorder="1" applyAlignment="1">
      <alignment horizontal="center" vertical="center" wrapText="1"/>
    </xf>
    <xf numFmtId="0" fontId="4" fillId="0" borderId="295" xfId="0" applyFont="1" applyBorder="1" applyAlignment="1">
      <alignment horizontal="center" vertical="top"/>
    </xf>
    <xf numFmtId="0" fontId="4" fillId="0" borderId="296" xfId="0" applyFont="1" applyBorder="1" applyAlignment="1">
      <alignment horizontal="center" vertical="top"/>
    </xf>
    <xf numFmtId="0" fontId="4" fillId="0" borderId="298" xfId="0" applyFont="1" applyBorder="1" applyAlignment="1">
      <alignment horizontal="center" vertical="top"/>
    </xf>
    <xf numFmtId="0" fontId="4" fillId="0" borderId="0" xfId="0" applyFont="1" applyAlignment="1">
      <alignment horizontal="center" vertical="top"/>
    </xf>
    <xf numFmtId="0" fontId="4" fillId="0" borderId="292" xfId="0" applyFont="1" applyBorder="1" applyAlignment="1">
      <alignment horizontal="center"/>
    </xf>
    <xf numFmtId="0" fontId="4" fillId="0" borderId="293" xfId="0" applyFont="1" applyBorder="1" applyAlignment="1">
      <alignment horizontal="center"/>
    </xf>
    <xf numFmtId="2" fontId="19" fillId="0" borderId="0" xfId="0" applyNumberFormat="1" applyFont="1" applyAlignment="1">
      <alignment horizontal="left" vertical="top" wrapText="1"/>
    </xf>
    <xf numFmtId="0" fontId="28" fillId="0" borderId="0" xfId="0" quotePrefix="1" applyFont="1" applyAlignment="1">
      <alignment horizontal="center"/>
    </xf>
    <xf numFmtId="0" fontId="28" fillId="0" borderId="0" xfId="0" applyFont="1" applyAlignment="1">
      <alignment horizontal="center"/>
    </xf>
    <xf numFmtId="1" fontId="2" fillId="0" borderId="0" xfId="0" applyNumberFormat="1" applyFont="1" applyAlignment="1">
      <alignment horizontal="center" vertical="center"/>
    </xf>
    <xf numFmtId="1" fontId="3" fillId="0" borderId="160" xfId="0" applyNumberFormat="1" applyFont="1" applyBorder="1" applyAlignment="1" applyProtection="1">
      <alignment horizontal="center" vertical="center"/>
      <protection locked="0"/>
    </xf>
    <xf numFmtId="0" fontId="3" fillId="0" borderId="143" xfId="0" applyFont="1" applyBorder="1" applyProtection="1">
      <protection locked="0"/>
    </xf>
    <xf numFmtId="0" fontId="3" fillId="0" borderId="161" xfId="0" applyFont="1" applyBorder="1" applyProtection="1">
      <protection locked="0"/>
    </xf>
    <xf numFmtId="1" fontId="3" fillId="0" borderId="160" xfId="0" applyNumberFormat="1" applyFont="1" applyBorder="1" applyAlignment="1">
      <alignment horizontal="center" vertical="center"/>
    </xf>
    <xf numFmtId="0" fontId="3" fillId="0" borderId="143" xfId="0" applyFont="1" applyBorder="1"/>
    <xf numFmtId="0" fontId="3" fillId="0" borderId="161" xfId="0" applyFont="1" applyBorder="1"/>
    <xf numFmtId="0" fontId="3" fillId="0" borderId="45" xfId="0" applyFont="1" applyBorder="1" applyAlignment="1">
      <alignment horizontal="center" vertical="center"/>
    </xf>
    <xf numFmtId="0" fontId="3" fillId="0" borderId="32" xfId="0" applyFont="1" applyBorder="1" applyAlignment="1">
      <alignment horizontal="center" vertical="center"/>
    </xf>
    <xf numFmtId="0" fontId="3" fillId="0" borderId="17" xfId="0" applyFont="1" applyBorder="1" applyAlignment="1">
      <alignment horizontal="center" vertical="center"/>
    </xf>
    <xf numFmtId="1" fontId="3" fillId="0" borderId="142" xfId="0" applyNumberFormat="1" applyFont="1" applyBorder="1" applyAlignment="1">
      <alignment horizontal="center" vertical="center"/>
    </xf>
    <xf numFmtId="1" fontId="3" fillId="10" borderId="142" xfId="0" applyNumberFormat="1" applyFont="1" applyFill="1" applyBorder="1" applyAlignment="1">
      <alignment horizontal="center" vertical="center"/>
    </xf>
    <xf numFmtId="1" fontId="3" fillId="10" borderId="160" xfId="0" applyNumberFormat="1" applyFont="1" applyFill="1" applyBorder="1" applyAlignment="1" applyProtection="1">
      <alignment horizontal="center" vertical="center"/>
      <protection locked="0"/>
    </xf>
    <xf numFmtId="1" fontId="3" fillId="10" borderId="160" xfId="0" applyNumberFormat="1" applyFont="1" applyFill="1" applyBorder="1" applyAlignment="1">
      <alignment horizontal="center" vertical="center"/>
    </xf>
    <xf numFmtId="0" fontId="3" fillId="2" borderId="4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17" xfId="0" applyFont="1" applyFill="1" applyBorder="1" applyAlignment="1">
      <alignment horizontal="center" vertical="center"/>
    </xf>
    <xf numFmtId="0" fontId="3" fillId="0" borderId="252" xfId="0" applyFont="1" applyBorder="1" applyAlignment="1">
      <alignment horizontal="center" vertical="center"/>
    </xf>
    <xf numFmtId="0" fontId="3" fillId="0" borderId="215" xfId="0" applyFont="1" applyBorder="1" applyAlignment="1">
      <alignment horizontal="center" vertical="center"/>
    </xf>
    <xf numFmtId="0" fontId="3" fillId="0" borderId="253" xfId="0" applyFont="1" applyBorder="1" applyAlignment="1">
      <alignment horizontal="center" vertical="center"/>
    </xf>
    <xf numFmtId="14" fontId="4" fillId="0" borderId="0" xfId="0" applyNumberFormat="1" applyFont="1" applyAlignment="1">
      <alignment horizontal="center" vertical="center"/>
    </xf>
    <xf numFmtId="0" fontId="4" fillId="0" borderId="0" xfId="0" applyFont="1" applyAlignment="1">
      <alignment horizontal="center" vertical="center" textRotation="90"/>
    </xf>
    <xf numFmtId="0" fontId="2" fillId="0" borderId="0" xfId="0" applyFont="1"/>
    <xf numFmtId="0" fontId="28" fillId="0" borderId="0" xfId="0" applyFont="1"/>
    <xf numFmtId="1" fontId="3" fillId="0" borderId="145" xfId="0" applyNumberFormat="1" applyFont="1" applyBorder="1" applyAlignment="1">
      <alignment horizontal="center" vertical="center"/>
    </xf>
    <xf numFmtId="0" fontId="3" fillId="0" borderId="171" xfId="0" applyFont="1" applyBorder="1"/>
    <xf numFmtId="1" fontId="3" fillId="0" borderId="172" xfId="0" applyNumberFormat="1" applyFont="1" applyBorder="1" applyAlignment="1" applyProtection="1">
      <alignment horizontal="center" vertical="center"/>
      <protection locked="0"/>
    </xf>
    <xf numFmtId="0" fontId="3" fillId="0" borderId="146" xfId="0" applyFont="1" applyBorder="1" applyProtection="1">
      <protection locked="0"/>
    </xf>
    <xf numFmtId="0" fontId="3" fillId="0" borderId="171" xfId="0" applyFont="1" applyBorder="1" applyProtection="1">
      <protection locked="0"/>
    </xf>
    <xf numFmtId="0" fontId="28" fillId="11" borderId="41" xfId="0" applyFont="1" applyFill="1" applyBorder="1" applyAlignment="1" applyProtection="1">
      <alignment horizontal="center" vertical="center"/>
      <protection locked="0"/>
    </xf>
    <xf numFmtId="0" fontId="28" fillId="11" borderId="20" xfId="0" applyFont="1" applyFill="1" applyBorder="1" applyAlignment="1" applyProtection="1">
      <alignment horizontal="center" vertical="center"/>
      <protection locked="0"/>
    </xf>
    <xf numFmtId="0" fontId="2" fillId="10" borderId="162" xfId="0" applyFont="1" applyFill="1" applyBorder="1" applyAlignment="1">
      <alignment horizontal="center" vertical="center"/>
    </xf>
    <xf numFmtId="0" fontId="2" fillId="10" borderId="143" xfId="0" applyFont="1" applyFill="1" applyBorder="1" applyAlignment="1">
      <alignment horizontal="center" vertical="center"/>
    </xf>
    <xf numFmtId="0" fontId="2" fillId="10" borderId="161" xfId="0" applyFont="1" applyFill="1" applyBorder="1" applyAlignment="1">
      <alignment horizontal="center" vertical="center"/>
    </xf>
    <xf numFmtId="11" fontId="2" fillId="10" borderId="160" xfId="0" applyNumberFormat="1" applyFont="1" applyFill="1" applyBorder="1" applyAlignment="1">
      <alignment horizontal="center" vertical="center"/>
    </xf>
    <xf numFmtId="11" fontId="2" fillId="10" borderId="143" xfId="0" applyNumberFormat="1" applyFont="1" applyFill="1" applyBorder="1" applyAlignment="1">
      <alignment horizontal="center" vertical="center"/>
    </xf>
    <xf numFmtId="11" fontId="2" fillId="10" borderId="161" xfId="0" applyNumberFormat="1" applyFont="1" applyFill="1" applyBorder="1" applyAlignment="1">
      <alignment horizontal="center" vertical="center"/>
    </xf>
    <xf numFmtId="0" fontId="2" fillId="10" borderId="160" xfId="0" applyFont="1" applyFill="1" applyBorder="1" applyAlignment="1">
      <alignment horizontal="center" vertical="center"/>
    </xf>
    <xf numFmtId="0" fontId="2" fillId="10" borderId="144" xfId="0" applyFont="1" applyFill="1" applyBorder="1" applyAlignment="1">
      <alignment horizontal="center" vertical="center"/>
    </xf>
    <xf numFmtId="0" fontId="28" fillId="3" borderId="41" xfId="0" applyFont="1" applyFill="1" applyBorder="1" applyAlignment="1" applyProtection="1">
      <alignment horizontal="center" vertical="center"/>
      <protection locked="0"/>
    </xf>
    <xf numFmtId="0" fontId="28" fillId="3" borderId="20" xfId="0" applyFont="1" applyFill="1" applyBorder="1" applyAlignment="1" applyProtection="1">
      <alignment horizontal="center" vertical="center"/>
      <protection locked="0"/>
    </xf>
    <xf numFmtId="0" fontId="2" fillId="0" borderId="174" xfId="0" applyFont="1" applyBorder="1" applyAlignment="1">
      <alignment horizontal="center" vertical="center"/>
    </xf>
    <xf numFmtId="0" fontId="2" fillId="0" borderId="166" xfId="0" applyFont="1" applyBorder="1" applyAlignment="1">
      <alignment horizontal="center" vertical="center"/>
    </xf>
    <xf numFmtId="0" fontId="2" fillId="0" borderId="167" xfId="0" applyFont="1" applyBorder="1" applyAlignment="1">
      <alignment horizontal="center" vertical="center"/>
    </xf>
    <xf numFmtId="11" fontId="2" fillId="0" borderId="165" xfId="0" applyNumberFormat="1" applyFont="1" applyBorder="1" applyAlignment="1">
      <alignment horizontal="center" vertical="center"/>
    </xf>
    <xf numFmtId="11" fontId="2" fillId="0" borderId="166" xfId="0" applyNumberFormat="1" applyFont="1" applyBorder="1" applyAlignment="1">
      <alignment horizontal="center" vertical="center"/>
    </xf>
    <xf numFmtId="11" fontId="2" fillId="0" borderId="167" xfId="0" applyNumberFormat="1" applyFont="1" applyBorder="1" applyAlignment="1">
      <alignment horizontal="center" vertical="center"/>
    </xf>
    <xf numFmtId="0" fontId="2" fillId="0" borderId="165" xfId="0" applyFont="1" applyBorder="1" applyAlignment="1">
      <alignment horizontal="center" vertical="center"/>
    </xf>
    <xf numFmtId="0" fontId="2" fillId="0" borderId="168" xfId="0" applyFont="1" applyBorder="1" applyAlignment="1">
      <alignment horizontal="center" vertical="center"/>
    </xf>
    <xf numFmtId="11" fontId="2" fillId="9" borderId="111" xfId="0" applyNumberFormat="1" applyFont="1" applyFill="1" applyBorder="1" applyAlignment="1">
      <alignment horizontal="center" vertical="center"/>
    </xf>
    <xf numFmtId="11" fontId="2" fillId="0" borderId="112" xfId="0" applyNumberFormat="1" applyFont="1" applyBorder="1"/>
    <xf numFmtId="11" fontId="2" fillId="0" borderId="110" xfId="0" applyNumberFormat="1" applyFont="1" applyBorder="1"/>
    <xf numFmtId="11" fontId="2" fillId="0" borderId="153" xfId="0" applyNumberFormat="1" applyFont="1" applyBorder="1"/>
    <xf numFmtId="11" fontId="2" fillId="0" borderId="154" xfId="0" applyNumberFormat="1" applyFont="1" applyBorder="1"/>
    <xf numFmtId="11" fontId="2" fillId="0" borderId="152" xfId="0" applyNumberFormat="1" applyFont="1" applyBorder="1"/>
    <xf numFmtId="171" fontId="2" fillId="9" borderId="111" xfId="0" applyNumberFormat="1" applyFont="1" applyFill="1" applyBorder="1" applyAlignment="1">
      <alignment horizontal="center" vertical="center"/>
    </xf>
    <xf numFmtId="0" fontId="2" fillId="0" borderId="112" xfId="0" applyFont="1" applyBorder="1"/>
    <xf numFmtId="0" fontId="2" fillId="0" borderId="110" xfId="0" applyFont="1" applyBorder="1"/>
    <xf numFmtId="0" fontId="2" fillId="0" borderId="153" xfId="0" applyFont="1" applyBorder="1"/>
    <xf numFmtId="0" fontId="2" fillId="0" borderId="154" xfId="0" applyFont="1" applyBorder="1"/>
    <xf numFmtId="0" fontId="2" fillId="0" borderId="152" xfId="0" applyFont="1" applyBorder="1"/>
    <xf numFmtId="0" fontId="3" fillId="16" borderId="142" xfId="0" applyFont="1" applyFill="1" applyBorder="1" applyAlignment="1">
      <alignment horizontal="right" vertical="center"/>
    </xf>
    <xf numFmtId="178" fontId="3" fillId="10" borderId="160" xfId="0" applyNumberFormat="1" applyFont="1" applyFill="1" applyBorder="1" applyAlignment="1">
      <alignment horizontal="center" vertical="center"/>
    </xf>
    <xf numFmtId="178" fontId="3" fillId="0" borderId="143" xfId="0" applyNumberFormat="1" applyFont="1" applyBorder="1"/>
    <xf numFmtId="178" fontId="3" fillId="0" borderId="144" xfId="0" applyNumberFormat="1" applyFont="1" applyBorder="1"/>
    <xf numFmtId="171" fontId="4" fillId="9" borderId="111" xfId="0" applyNumberFormat="1" applyFont="1" applyFill="1" applyBorder="1" applyAlignment="1">
      <alignment horizontal="center" vertical="center"/>
    </xf>
    <xf numFmtId="0" fontId="4" fillId="0" borderId="112" xfId="0" applyFont="1" applyBorder="1"/>
    <xf numFmtId="0" fontId="4" fillId="0" borderId="159" xfId="0" applyFont="1" applyBorder="1"/>
    <xf numFmtId="0" fontId="4" fillId="0" borderId="153" xfId="0" applyFont="1" applyBorder="1"/>
    <xf numFmtId="0" fontId="4" fillId="0" borderId="154" xfId="0" applyFont="1" applyBorder="1"/>
    <xf numFmtId="0" fontId="4" fillId="0" borderId="155" xfId="0" applyFont="1" applyBorder="1"/>
    <xf numFmtId="0" fontId="2" fillId="9" borderId="109" xfId="0" applyFont="1" applyFill="1" applyBorder="1" applyAlignment="1">
      <alignment horizontal="center" vertical="center"/>
    </xf>
    <xf numFmtId="0" fontId="2" fillId="9" borderId="112" xfId="0" applyFont="1" applyFill="1" applyBorder="1" applyAlignment="1">
      <alignment horizontal="center" vertical="center"/>
    </xf>
    <xf numFmtId="2" fontId="14" fillId="9" borderId="110" xfId="0" applyNumberFormat="1" applyFont="1" applyFill="1" applyBorder="1" applyAlignment="1">
      <alignment horizontal="center" vertical="center"/>
    </xf>
    <xf numFmtId="2" fontId="14" fillId="9" borderId="152" xfId="0" applyNumberFormat="1" applyFont="1" applyFill="1" applyBorder="1" applyAlignment="1">
      <alignment horizontal="center" vertical="center"/>
    </xf>
    <xf numFmtId="0" fontId="2" fillId="9" borderId="151" xfId="0" applyFont="1" applyFill="1" applyBorder="1" applyAlignment="1">
      <alignment horizontal="center" vertical="center"/>
    </xf>
    <xf numFmtId="0" fontId="2" fillId="9" borderId="154" xfId="0" applyFont="1" applyFill="1" applyBorder="1" applyAlignment="1">
      <alignment horizontal="center" vertical="center"/>
    </xf>
    <xf numFmtId="0" fontId="2" fillId="0" borderId="162" xfId="0" applyFont="1" applyBorder="1" applyAlignment="1">
      <alignment horizontal="center" vertical="center"/>
    </xf>
    <xf numFmtId="0" fontId="2" fillId="0" borderId="143" xfId="0" applyFont="1" applyBorder="1" applyAlignment="1">
      <alignment horizontal="center" vertical="center"/>
    </xf>
    <xf numFmtId="0" fontId="2" fillId="0" borderId="161" xfId="0" applyFont="1" applyBorder="1" applyAlignment="1">
      <alignment horizontal="center" vertical="center"/>
    </xf>
    <xf numFmtId="11" fontId="2" fillId="0" borderId="160" xfId="0" applyNumberFormat="1" applyFont="1" applyBorder="1" applyAlignment="1">
      <alignment horizontal="center" vertical="center"/>
    </xf>
    <xf numFmtId="11" fontId="2" fillId="0" borderId="143" xfId="0" applyNumberFormat="1" applyFont="1" applyBorder="1" applyAlignment="1">
      <alignment horizontal="center" vertical="center"/>
    </xf>
    <xf numFmtId="11" fontId="2" fillId="0" borderId="161" xfId="0" applyNumberFormat="1" applyFont="1" applyBorder="1" applyAlignment="1">
      <alignment horizontal="center" vertical="center"/>
    </xf>
    <xf numFmtId="0" fontId="2" fillId="0" borderId="160" xfId="0" applyFont="1" applyBorder="1" applyAlignment="1">
      <alignment horizontal="center" vertical="center"/>
    </xf>
    <xf numFmtId="0" fontId="2" fillId="0" borderId="144" xfId="0" applyFont="1" applyBorder="1" applyAlignment="1">
      <alignment horizontal="center" vertical="center"/>
    </xf>
    <xf numFmtId="0" fontId="28" fillId="11" borderId="28" xfId="0" applyFont="1" applyFill="1" applyBorder="1" applyAlignment="1" applyProtection="1">
      <alignment horizontal="center" vertical="center"/>
      <protection locked="0"/>
    </xf>
    <xf numFmtId="0" fontId="28" fillId="11" borderId="21" xfId="0" applyFont="1" applyFill="1" applyBorder="1" applyAlignment="1" applyProtection="1">
      <alignment horizontal="center" vertical="center"/>
      <protection locked="0"/>
    </xf>
    <xf numFmtId="0" fontId="28" fillId="3" borderId="28" xfId="0" applyFont="1" applyFill="1" applyBorder="1" applyAlignment="1" applyProtection="1">
      <alignment horizontal="center" vertical="center"/>
      <protection locked="0"/>
    </xf>
    <xf numFmtId="0" fontId="28" fillId="3" borderId="21" xfId="0" applyFont="1" applyFill="1" applyBorder="1" applyAlignment="1" applyProtection="1">
      <alignment horizontal="center" vertical="center"/>
      <protection locked="0"/>
    </xf>
    <xf numFmtId="0" fontId="28" fillId="11" borderId="164" xfId="0" applyFont="1" applyFill="1" applyBorder="1" applyAlignment="1" applyProtection="1">
      <alignment horizontal="center" vertical="center"/>
      <protection locked="0"/>
    </xf>
    <xf numFmtId="0" fontId="2" fillId="10" borderId="102" xfId="0" applyFont="1" applyFill="1" applyBorder="1" applyAlignment="1">
      <alignment horizontal="center" vertical="center" wrapText="1"/>
    </xf>
    <xf numFmtId="0" fontId="2" fillId="0" borderId="103" xfId="0" applyFont="1" applyBorder="1"/>
    <xf numFmtId="0" fontId="28" fillId="2" borderId="149" xfId="0" applyFont="1" applyFill="1" applyBorder="1" applyAlignment="1">
      <alignment horizontal="center" vertical="center" wrapText="1"/>
    </xf>
    <xf numFmtId="0" fontId="28" fillId="2" borderId="7" xfId="0" applyFont="1" applyFill="1" applyBorder="1" applyAlignment="1">
      <alignment horizontal="center" vertical="center"/>
    </xf>
    <xf numFmtId="0" fontId="28" fillId="2" borderId="150" xfId="0" applyFont="1" applyFill="1" applyBorder="1" applyAlignment="1">
      <alignment horizontal="center" vertical="center"/>
    </xf>
    <xf numFmtId="0" fontId="28" fillId="2" borderId="153" xfId="0" applyFont="1" applyFill="1" applyBorder="1" applyAlignment="1">
      <alignment horizontal="center" vertical="center"/>
    </xf>
    <xf numFmtId="0" fontId="28" fillId="2" borderId="154" xfId="0" applyFont="1" applyFill="1" applyBorder="1" applyAlignment="1">
      <alignment horizontal="center" vertical="center"/>
    </xf>
    <xf numFmtId="0" fontId="28" fillId="2" borderId="152" xfId="0" applyFont="1" applyFill="1" applyBorder="1" applyAlignment="1">
      <alignment horizontal="center" vertical="center"/>
    </xf>
    <xf numFmtId="0" fontId="2" fillId="10" borderId="0" xfId="0" applyFont="1" applyFill="1" applyAlignment="1">
      <alignment horizontal="center" vertical="center" wrapText="1"/>
    </xf>
    <xf numFmtId="0" fontId="2" fillId="15" borderId="156" xfId="0" applyFont="1" applyFill="1" applyBorder="1" applyAlignment="1">
      <alignment horizontal="center" vertical="center"/>
    </xf>
    <xf numFmtId="0" fontId="2" fillId="15" borderId="157" xfId="0" applyFont="1" applyFill="1" applyBorder="1" applyAlignment="1">
      <alignment horizontal="center" vertical="center"/>
    </xf>
    <xf numFmtId="0" fontId="2" fillId="15" borderId="158" xfId="0" applyFont="1" applyFill="1" applyBorder="1" applyAlignment="1">
      <alignment horizontal="center" vertical="center"/>
    </xf>
    <xf numFmtId="11" fontId="2" fillId="15" borderId="156" xfId="0" applyNumberFormat="1" applyFont="1" applyFill="1" applyBorder="1" applyAlignment="1">
      <alignment horizontal="center" vertical="center"/>
    </xf>
    <xf numFmtId="11" fontId="2" fillId="0" borderId="157" xfId="0" applyNumberFormat="1" applyFont="1" applyBorder="1"/>
    <xf numFmtId="11" fontId="2" fillId="0" borderId="158" xfId="0" applyNumberFormat="1" applyFont="1" applyBorder="1"/>
    <xf numFmtId="171" fontId="2" fillId="15" borderId="111" xfId="0" applyNumberFormat="1" applyFont="1" applyFill="1" applyBorder="1" applyAlignment="1">
      <alignment horizontal="center" vertical="center"/>
    </xf>
    <xf numFmtId="171" fontId="2" fillId="0" borderId="112" xfId="0" applyNumberFormat="1" applyFont="1" applyBorder="1"/>
    <xf numFmtId="171" fontId="2" fillId="0" borderId="110" xfId="0" applyNumberFormat="1" applyFont="1" applyBorder="1"/>
    <xf numFmtId="0" fontId="28" fillId="3" borderId="38" xfId="0" applyFont="1" applyFill="1" applyBorder="1" applyAlignment="1" applyProtection="1">
      <alignment horizontal="center" vertical="center"/>
      <protection locked="0"/>
    </xf>
    <xf numFmtId="0" fontId="28" fillId="3" borderId="17" xfId="0" applyFont="1" applyFill="1" applyBorder="1" applyAlignment="1" applyProtection="1">
      <alignment horizontal="center" vertical="center"/>
      <protection locked="0"/>
    </xf>
    <xf numFmtId="11" fontId="2" fillId="0" borderId="163" xfId="0" applyNumberFormat="1" applyFont="1" applyBorder="1" applyAlignment="1">
      <alignment horizontal="center" vertical="center"/>
    </xf>
    <xf numFmtId="11" fontId="2" fillId="0" borderId="162" xfId="0" applyNumberFormat="1" applyFont="1" applyBorder="1" applyAlignment="1">
      <alignment horizontal="center" vertical="center"/>
    </xf>
    <xf numFmtId="0" fontId="28" fillId="11" borderId="40" xfId="0" applyFont="1" applyFill="1" applyBorder="1" applyAlignment="1" applyProtection="1">
      <alignment horizontal="center" vertical="center"/>
      <protection locked="0"/>
    </xf>
    <xf numFmtId="0" fontId="28" fillId="11" borderId="35" xfId="0" applyFont="1" applyFill="1" applyBorder="1" applyAlignment="1" applyProtection="1">
      <alignment horizontal="center" vertical="center"/>
      <protection locked="0"/>
    </xf>
    <xf numFmtId="172" fontId="9" fillId="10" borderId="160" xfId="0" applyNumberFormat="1" applyFont="1" applyFill="1" applyBorder="1" applyAlignment="1">
      <alignment horizontal="center" vertical="center"/>
    </xf>
    <xf numFmtId="172" fontId="9" fillId="10" borderId="143" xfId="0" applyNumberFormat="1" applyFont="1" applyFill="1" applyBorder="1" applyAlignment="1">
      <alignment horizontal="center" vertical="center"/>
    </xf>
    <xf numFmtId="172" fontId="9" fillId="10" borderId="144" xfId="0" applyNumberFormat="1" applyFont="1" applyFill="1" applyBorder="1" applyAlignment="1">
      <alignment horizontal="center" vertical="center"/>
    </xf>
    <xf numFmtId="170" fontId="3" fillId="10" borderId="160" xfId="0" applyNumberFormat="1" applyFont="1" applyFill="1" applyBorder="1" applyAlignment="1">
      <alignment horizontal="center" vertical="center"/>
    </xf>
    <xf numFmtId="170" fontId="3" fillId="0" borderId="143" xfId="0" applyNumberFormat="1" applyFont="1" applyBorder="1"/>
    <xf numFmtId="170" fontId="3" fillId="0" borderId="144" xfId="0" applyNumberFormat="1" applyFont="1" applyBorder="1"/>
    <xf numFmtId="0" fontId="4" fillId="10" borderId="145" xfId="0" applyFont="1" applyFill="1" applyBorder="1" applyAlignment="1">
      <alignment horizontal="right" vertical="center"/>
    </xf>
    <xf numFmtId="0" fontId="4" fillId="0" borderId="146" xfId="0" applyFont="1" applyBorder="1"/>
    <xf numFmtId="0" fontId="4" fillId="0" borderId="171" xfId="0" applyFont="1" applyBorder="1"/>
    <xf numFmtId="179" fontId="4" fillId="10" borderId="172" xfId="0" applyNumberFormat="1" applyFont="1" applyFill="1" applyBorder="1" applyAlignment="1">
      <alignment horizontal="center" vertical="center"/>
    </xf>
    <xf numFmtId="179" fontId="4" fillId="0" borderId="146" xfId="0" applyNumberFormat="1" applyFont="1" applyBorder="1"/>
    <xf numFmtId="179" fontId="4" fillId="0" borderId="147" xfId="0" applyNumberFormat="1" applyFont="1" applyBorder="1"/>
    <xf numFmtId="0" fontId="4" fillId="2" borderId="55" xfId="0" applyFont="1" applyFill="1" applyBorder="1" applyAlignment="1">
      <alignment horizontal="center" vertical="center"/>
    </xf>
    <xf numFmtId="0" fontId="4" fillId="2" borderId="49" xfId="0" applyFont="1" applyFill="1" applyBorder="1" applyAlignment="1">
      <alignment horizontal="center" vertical="center"/>
    </xf>
    <xf numFmtId="0" fontId="4" fillId="2" borderId="64" xfId="0" applyFont="1" applyFill="1" applyBorder="1" applyAlignment="1">
      <alignment horizontal="center" vertical="center"/>
    </xf>
    <xf numFmtId="0" fontId="4" fillId="2" borderId="31" xfId="0" applyFont="1" applyFill="1" applyBorder="1" applyAlignment="1">
      <alignment horizontal="center" vertical="center"/>
    </xf>
    <xf numFmtId="0" fontId="4" fillId="2" borderId="7" xfId="0" applyFont="1" applyFill="1" applyBorder="1" applyAlignment="1">
      <alignment horizontal="center" vertical="center"/>
    </xf>
    <xf numFmtId="0" fontId="4" fillId="2" borderId="34" xfId="0" applyFont="1" applyFill="1" applyBorder="1" applyAlignment="1">
      <alignment horizontal="center" vertical="center"/>
    </xf>
    <xf numFmtId="0" fontId="4" fillId="2" borderId="44" xfId="0" applyFont="1" applyFill="1" applyBorder="1" applyAlignment="1">
      <alignment horizontal="center" vertical="center"/>
    </xf>
    <xf numFmtId="0" fontId="4" fillId="2" borderId="12" xfId="0" applyFont="1" applyFill="1" applyBorder="1" applyAlignment="1">
      <alignment horizontal="center" vertical="center"/>
    </xf>
    <xf numFmtId="0" fontId="4" fillId="2" borderId="37" xfId="0" applyFont="1" applyFill="1" applyBorder="1" applyAlignment="1">
      <alignment horizontal="center" vertical="center"/>
    </xf>
    <xf numFmtId="0" fontId="4" fillId="2" borderId="31" xfId="0" applyFont="1" applyFill="1" applyBorder="1" applyAlignment="1">
      <alignment horizontal="center" vertical="center" wrapText="1"/>
    </xf>
    <xf numFmtId="0" fontId="4" fillId="2" borderId="7" xfId="0" applyFont="1" applyFill="1" applyBorder="1" applyAlignment="1">
      <alignment horizontal="center" vertical="center" wrapText="1"/>
    </xf>
    <xf numFmtId="0" fontId="4" fillId="2" borderId="34" xfId="0" applyFont="1" applyFill="1" applyBorder="1" applyAlignment="1">
      <alignment horizontal="center" vertical="center" wrapText="1"/>
    </xf>
    <xf numFmtId="0" fontId="4" fillId="2" borderId="44" xfId="0" applyFont="1" applyFill="1" applyBorder="1" applyAlignment="1">
      <alignment horizontal="center" vertical="center" wrapText="1"/>
    </xf>
    <xf numFmtId="0" fontId="4" fillId="2" borderId="12" xfId="0" applyFont="1" applyFill="1" applyBorder="1" applyAlignment="1">
      <alignment horizontal="center" vertical="center" wrapText="1"/>
    </xf>
    <xf numFmtId="0" fontId="4" fillId="2" borderId="37" xfId="0" applyFont="1" applyFill="1" applyBorder="1" applyAlignment="1">
      <alignment horizontal="center" vertical="center" wrapText="1"/>
    </xf>
    <xf numFmtId="0" fontId="4" fillId="2" borderId="57" xfId="0" applyFont="1" applyFill="1" applyBorder="1" applyAlignment="1">
      <alignment horizontal="center" vertical="center" wrapText="1"/>
    </xf>
    <xf numFmtId="0" fontId="4" fillId="2" borderId="13" xfId="0" applyFont="1" applyFill="1" applyBorder="1" applyAlignment="1">
      <alignment horizontal="center" vertical="center" wrapText="1"/>
    </xf>
    <xf numFmtId="172" fontId="3" fillId="0" borderId="33" xfId="0" applyNumberFormat="1" applyFont="1" applyBorder="1" applyAlignment="1">
      <alignment horizontal="center" vertical="center"/>
    </xf>
    <xf numFmtId="172" fontId="3" fillId="0" borderId="30" xfId="0" applyNumberFormat="1" applyFont="1" applyBorder="1" applyAlignment="1">
      <alignment horizontal="center" vertical="center"/>
    </xf>
    <xf numFmtId="172" fontId="3" fillId="0" borderId="20" xfId="0" applyNumberFormat="1" applyFont="1" applyBorder="1" applyAlignment="1">
      <alignment horizontal="center" vertical="center"/>
    </xf>
    <xf numFmtId="172" fontId="3" fillId="2" borderId="33" xfId="0" applyNumberFormat="1" applyFont="1" applyFill="1" applyBorder="1" applyAlignment="1">
      <alignment horizontal="center" vertical="center"/>
    </xf>
    <xf numFmtId="172" fontId="3" fillId="2" borderId="30" xfId="0" applyNumberFormat="1" applyFont="1" applyFill="1" applyBorder="1" applyAlignment="1">
      <alignment horizontal="center" vertical="center"/>
    </xf>
    <xf numFmtId="172" fontId="3" fillId="2" borderId="20" xfId="0" applyNumberFormat="1" applyFont="1" applyFill="1" applyBorder="1" applyAlignment="1">
      <alignment horizontal="center" vertical="center"/>
    </xf>
    <xf numFmtId="0" fontId="3" fillId="16" borderId="169" xfId="0" applyFont="1" applyFill="1" applyBorder="1" applyAlignment="1">
      <alignment horizontal="right" vertical="center"/>
    </xf>
    <xf numFmtId="0" fontId="3" fillId="0" borderId="157" xfId="0" applyFont="1" applyBorder="1"/>
    <xf numFmtId="0" fontId="3" fillId="0" borderId="158" xfId="0" applyFont="1" applyBorder="1"/>
    <xf numFmtId="178" fontId="3" fillId="10" borderId="156" xfId="0" applyNumberFormat="1" applyFont="1" applyFill="1" applyBorder="1" applyAlignment="1">
      <alignment horizontal="center" vertical="center"/>
    </xf>
    <xf numFmtId="178" fontId="3" fillId="0" borderId="157" xfId="0" applyNumberFormat="1" applyFont="1" applyBorder="1"/>
    <xf numFmtId="178" fontId="3" fillId="0" borderId="170" xfId="0" applyNumberFormat="1" applyFont="1" applyBorder="1"/>
    <xf numFmtId="0" fontId="4" fillId="10" borderId="116" xfId="0" applyFont="1" applyFill="1" applyBorder="1" applyAlignment="1">
      <alignment horizontal="center" vertical="center"/>
    </xf>
    <xf numFmtId="0" fontId="2" fillId="0" borderId="108" xfId="0" applyFont="1" applyBorder="1"/>
    <xf numFmtId="0" fontId="2" fillId="0" borderId="117" xfId="0" applyFont="1" applyBorder="1"/>
    <xf numFmtId="0" fontId="2" fillId="0" borderId="0" xfId="0" applyFont="1" applyAlignment="1">
      <alignment wrapText="1"/>
    </xf>
    <xf numFmtId="0" fontId="2" fillId="0" borderId="131" xfId="0" applyFont="1" applyBorder="1" applyAlignment="1">
      <alignment wrapText="1"/>
    </xf>
    <xf numFmtId="0" fontId="2" fillId="0" borderId="153" xfId="0" applyFont="1" applyBorder="1" applyAlignment="1">
      <alignment wrapText="1"/>
    </xf>
    <xf numFmtId="0" fontId="2" fillId="0" borderId="154" xfId="0" applyFont="1" applyBorder="1" applyAlignment="1">
      <alignment wrapText="1"/>
    </xf>
    <xf numFmtId="0" fontId="2" fillId="0" borderId="155" xfId="0" applyFont="1" applyBorder="1" applyAlignment="1">
      <alignment wrapText="1"/>
    </xf>
    <xf numFmtId="0" fontId="28" fillId="3" borderId="42" xfId="0" applyFont="1" applyFill="1" applyBorder="1" applyAlignment="1" applyProtection="1">
      <alignment horizontal="center" vertical="center"/>
      <protection locked="0"/>
    </xf>
    <xf numFmtId="0" fontId="28" fillId="3" borderId="43" xfId="0" applyFont="1" applyFill="1" applyBorder="1" applyAlignment="1" applyProtection="1">
      <alignment horizontal="center" vertical="center"/>
      <protection locked="0"/>
    </xf>
    <xf numFmtId="0" fontId="4" fillId="10" borderId="227" xfId="0" applyFont="1" applyFill="1" applyBorder="1" applyAlignment="1">
      <alignment horizontal="center" vertical="center"/>
    </xf>
    <xf numFmtId="0" fontId="4" fillId="10" borderId="114" xfId="0" applyFont="1" applyFill="1" applyBorder="1" applyAlignment="1">
      <alignment horizontal="center" vertical="center"/>
    </xf>
    <xf numFmtId="171" fontId="11" fillId="2" borderId="114" xfId="0" applyNumberFormat="1" applyFont="1" applyFill="1" applyBorder="1" applyAlignment="1">
      <alignment horizontal="center" vertical="center"/>
    </xf>
    <xf numFmtId="0" fontId="11" fillId="2" borderId="114" xfId="0" applyFont="1" applyFill="1" applyBorder="1" applyAlignment="1">
      <alignment horizontal="center" vertical="center"/>
    </xf>
    <xf numFmtId="0" fontId="11" fillId="2" borderId="148" xfId="0" applyFont="1" applyFill="1" applyBorder="1" applyAlignment="1">
      <alignment horizontal="center" vertical="center"/>
    </xf>
    <xf numFmtId="0" fontId="2" fillId="15" borderId="170" xfId="0" applyFont="1" applyFill="1" applyBorder="1" applyAlignment="1">
      <alignment horizontal="center" vertical="center"/>
    </xf>
    <xf numFmtId="1" fontId="3" fillId="0" borderId="142" xfId="0" applyNumberFormat="1" applyFont="1" applyBorder="1" applyAlignment="1" applyProtection="1">
      <alignment horizontal="center" vertical="center"/>
      <protection locked="0"/>
    </xf>
    <xf numFmtId="1" fontId="3" fillId="0" borderId="143" xfId="0" applyNumberFormat="1" applyFont="1" applyBorder="1" applyAlignment="1" applyProtection="1">
      <alignment horizontal="center" vertical="center"/>
      <protection locked="0"/>
    </xf>
    <xf numFmtId="1" fontId="3" fillId="0" borderId="144" xfId="0" applyNumberFormat="1" applyFont="1" applyBorder="1" applyAlignment="1" applyProtection="1">
      <alignment horizontal="center" vertical="center"/>
      <protection locked="0"/>
    </xf>
    <xf numFmtId="1" fontId="3" fillId="10" borderId="142" xfId="0" applyNumberFormat="1" applyFont="1" applyFill="1" applyBorder="1" applyAlignment="1" applyProtection="1">
      <alignment horizontal="center" vertical="center"/>
      <protection locked="0"/>
    </xf>
    <xf numFmtId="1" fontId="3" fillId="10" borderId="143" xfId="0" applyNumberFormat="1" applyFont="1" applyFill="1" applyBorder="1" applyAlignment="1" applyProtection="1">
      <alignment horizontal="center" vertical="center"/>
      <protection locked="0"/>
    </xf>
    <xf numFmtId="1" fontId="3" fillId="10" borderId="144" xfId="0" applyNumberFormat="1" applyFont="1" applyFill="1" applyBorder="1" applyAlignment="1" applyProtection="1">
      <alignment horizontal="center" vertical="center"/>
      <protection locked="0"/>
    </xf>
    <xf numFmtId="0" fontId="3" fillId="0" borderId="144" xfId="0" applyFont="1" applyBorder="1" applyProtection="1">
      <protection locked="0"/>
    </xf>
    <xf numFmtId="0" fontId="4" fillId="2" borderId="5" xfId="0" applyFont="1" applyFill="1" applyBorder="1" applyAlignment="1">
      <alignment horizontal="center" vertical="center"/>
    </xf>
    <xf numFmtId="0" fontId="4" fillId="2" borderId="0" xfId="0" applyFont="1" applyFill="1" applyAlignment="1">
      <alignment horizontal="center" vertical="center"/>
    </xf>
    <xf numFmtId="0" fontId="4" fillId="2" borderId="6" xfId="0" applyFont="1" applyFill="1" applyBorder="1" applyAlignment="1">
      <alignment horizontal="center" vertical="center"/>
    </xf>
    <xf numFmtId="0" fontId="2" fillId="3" borderId="45" xfId="0" applyFont="1" applyFill="1" applyBorder="1" applyAlignment="1">
      <alignment horizontal="center" vertical="center"/>
    </xf>
    <xf numFmtId="0" fontId="3" fillId="3" borderId="32" xfId="0" applyFont="1" applyFill="1" applyBorder="1" applyAlignment="1">
      <alignment horizontal="center" vertical="center"/>
    </xf>
    <xf numFmtId="0" fontId="3" fillId="3" borderId="17" xfId="0" applyFont="1" applyFill="1" applyBorder="1" applyAlignment="1">
      <alignment horizontal="center" vertical="center"/>
    </xf>
    <xf numFmtId="1" fontId="2" fillId="2" borderId="33" xfId="0" applyNumberFormat="1" applyFont="1" applyFill="1" applyBorder="1" applyAlignment="1" applyProtection="1">
      <alignment horizontal="center" vertical="center"/>
      <protection locked="0"/>
    </xf>
    <xf numFmtId="1" fontId="2" fillId="2" borderId="30" xfId="0" applyNumberFormat="1" applyFont="1" applyFill="1" applyBorder="1" applyAlignment="1" applyProtection="1">
      <alignment horizontal="center" vertical="center"/>
      <protection locked="0"/>
    </xf>
    <xf numFmtId="1" fontId="2" fillId="2" borderId="20" xfId="0" applyNumberFormat="1" applyFont="1" applyFill="1" applyBorder="1" applyAlignment="1" applyProtection="1">
      <alignment horizontal="center" vertical="center"/>
      <protection locked="0"/>
    </xf>
    <xf numFmtId="1" fontId="2" fillId="0" borderId="33" xfId="0" applyNumberFormat="1" applyFont="1" applyBorder="1" applyAlignment="1" applyProtection="1">
      <alignment horizontal="center" vertical="center"/>
      <protection locked="0"/>
    </xf>
    <xf numFmtId="1" fontId="2" fillId="0" borderId="30" xfId="0" applyNumberFormat="1" applyFont="1" applyBorder="1" applyAlignment="1" applyProtection="1">
      <alignment horizontal="center" vertical="center"/>
      <protection locked="0"/>
    </xf>
    <xf numFmtId="1" fontId="2" fillId="0" borderId="20" xfId="0" applyNumberFormat="1" applyFont="1" applyBorder="1" applyAlignment="1" applyProtection="1">
      <alignment horizontal="center" vertical="center"/>
      <protection locked="0"/>
    </xf>
    <xf numFmtId="0" fontId="2" fillId="2" borderId="45" xfId="0" applyFont="1" applyFill="1" applyBorder="1" applyAlignment="1">
      <alignment horizontal="center" vertical="center"/>
    </xf>
    <xf numFmtId="0" fontId="2" fillId="0" borderId="45" xfId="0" applyFont="1" applyBorder="1" applyAlignment="1">
      <alignment horizontal="center" vertical="center"/>
    </xf>
    <xf numFmtId="1" fontId="3" fillId="3" borderId="46" xfId="0" applyNumberFormat="1" applyFont="1" applyFill="1" applyBorder="1" applyAlignment="1">
      <alignment horizontal="center" vertical="center"/>
    </xf>
    <xf numFmtId="1" fontId="3" fillId="3" borderId="47" xfId="0" applyNumberFormat="1" applyFont="1" applyFill="1" applyBorder="1" applyAlignment="1">
      <alignment horizontal="center" vertical="center"/>
    </xf>
    <xf numFmtId="1" fontId="3" fillId="3" borderId="48" xfId="0" applyNumberFormat="1" applyFont="1" applyFill="1" applyBorder="1" applyAlignment="1">
      <alignment horizontal="center" vertical="center"/>
    </xf>
    <xf numFmtId="1" fontId="3" fillId="2" borderId="33" xfId="0" applyNumberFormat="1" applyFont="1" applyFill="1" applyBorder="1" applyAlignment="1">
      <alignment horizontal="center" vertical="center"/>
    </xf>
    <xf numFmtId="1" fontId="3" fillId="2" borderId="30" xfId="0" applyNumberFormat="1" applyFont="1" applyFill="1" applyBorder="1" applyAlignment="1">
      <alignment horizontal="center" vertical="center"/>
    </xf>
    <xf numFmtId="1" fontId="3" fillId="2" borderId="20" xfId="0" applyNumberFormat="1" applyFont="1" applyFill="1" applyBorder="1" applyAlignment="1">
      <alignment horizontal="center" vertical="center"/>
    </xf>
    <xf numFmtId="1" fontId="3" fillId="0" borderId="33" xfId="0" applyNumberFormat="1" applyFont="1" applyBorder="1" applyAlignment="1">
      <alignment horizontal="center" vertical="center"/>
    </xf>
    <xf numFmtId="1" fontId="3" fillId="0" borderId="30" xfId="0" applyNumberFormat="1" applyFont="1" applyBorder="1" applyAlignment="1">
      <alignment horizontal="center" vertical="center"/>
    </xf>
    <xf numFmtId="1" fontId="3" fillId="0" borderId="20" xfId="0" applyNumberFormat="1" applyFont="1" applyBorder="1" applyAlignment="1">
      <alignment horizontal="center" vertical="center"/>
    </xf>
    <xf numFmtId="0" fontId="3" fillId="10" borderId="160" xfId="0" applyFont="1" applyFill="1" applyBorder="1" applyAlignment="1">
      <alignment horizontal="center" vertical="center"/>
    </xf>
    <xf numFmtId="2" fontId="3" fillId="10" borderId="160" xfId="0" applyNumberFormat="1" applyFont="1" applyFill="1" applyBorder="1" applyAlignment="1">
      <alignment horizontal="center" vertical="center"/>
    </xf>
    <xf numFmtId="0" fontId="3" fillId="0" borderId="144" xfId="0" applyFont="1" applyBorder="1"/>
    <xf numFmtId="2" fontId="3" fillId="0" borderId="172" xfId="0" applyNumberFormat="1" applyFont="1" applyBorder="1" applyAlignment="1">
      <alignment horizontal="center" vertical="center"/>
    </xf>
    <xf numFmtId="0" fontId="3" fillId="0" borderId="146" xfId="0" applyFont="1" applyBorder="1"/>
    <xf numFmtId="0" fontId="3" fillId="0" borderId="172" xfId="0" applyFont="1" applyBorder="1" applyAlignment="1">
      <alignment horizontal="center" vertical="center"/>
    </xf>
    <xf numFmtId="0" fontId="3" fillId="0" borderId="147" xfId="0" applyFont="1" applyBorder="1"/>
    <xf numFmtId="1" fontId="3" fillId="0" borderId="145" xfId="0" applyNumberFormat="1" applyFont="1" applyBorder="1" applyAlignment="1" applyProtection="1">
      <alignment horizontal="center" vertical="center"/>
      <protection locked="0"/>
    </xf>
    <xf numFmtId="0" fontId="3" fillId="0" borderId="147" xfId="0" applyFont="1" applyBorder="1" applyProtection="1">
      <protection locked="0"/>
    </xf>
    <xf numFmtId="2" fontId="3" fillId="0" borderId="160" xfId="0" applyNumberFormat="1" applyFont="1" applyBorder="1" applyAlignment="1">
      <alignment horizontal="center" vertical="center"/>
    </xf>
    <xf numFmtId="0" fontId="3" fillId="0" borderId="160" xfId="0" applyFont="1" applyBorder="1" applyAlignment="1">
      <alignment horizontal="center" vertical="center"/>
    </xf>
    <xf numFmtId="0" fontId="28" fillId="3" borderId="27" xfId="0" applyFont="1" applyFill="1" applyBorder="1" applyAlignment="1" applyProtection="1">
      <alignment horizontal="center" vertical="center"/>
      <protection locked="0"/>
    </xf>
    <xf numFmtId="0" fontId="28" fillId="3" borderId="18" xfId="0" applyFont="1" applyFill="1" applyBorder="1" applyAlignment="1" applyProtection="1">
      <alignment horizontal="center" vertical="center"/>
      <protection locked="0"/>
    </xf>
    <xf numFmtId="178" fontId="3" fillId="10" borderId="157" xfId="0" applyNumberFormat="1" applyFont="1" applyFill="1" applyBorder="1" applyAlignment="1">
      <alignment horizontal="center" vertical="center"/>
    </xf>
    <xf numFmtId="178" fontId="3" fillId="10" borderId="170" xfId="0" applyNumberFormat="1" applyFont="1" applyFill="1" applyBorder="1" applyAlignment="1">
      <alignment horizontal="center" vertical="center"/>
    </xf>
    <xf numFmtId="1" fontId="3" fillId="10" borderId="161" xfId="0" applyNumberFormat="1" applyFont="1" applyFill="1" applyBorder="1" applyAlignment="1" applyProtection="1">
      <alignment horizontal="center" vertical="center"/>
      <protection locked="0"/>
    </xf>
    <xf numFmtId="1" fontId="3" fillId="0" borderId="161" xfId="0" applyNumberFormat="1" applyFont="1" applyBorder="1" applyAlignment="1" applyProtection="1">
      <alignment horizontal="center" vertical="center"/>
      <protection locked="0"/>
    </xf>
    <xf numFmtId="0" fontId="4" fillId="2" borderId="50" xfId="0" applyFont="1" applyFill="1" applyBorder="1" applyAlignment="1">
      <alignment horizontal="center" vertical="center"/>
    </xf>
    <xf numFmtId="0" fontId="4" fillId="2" borderId="51" xfId="0" applyFont="1" applyFill="1" applyBorder="1" applyAlignment="1">
      <alignment horizontal="center" vertical="center"/>
    </xf>
    <xf numFmtId="0" fontId="4" fillId="2" borderId="52" xfId="0" applyFont="1" applyFill="1" applyBorder="1" applyAlignment="1">
      <alignment horizontal="center" vertical="center"/>
    </xf>
    <xf numFmtId="0" fontId="4" fillId="2" borderId="53" xfId="0" applyFont="1" applyFill="1" applyBorder="1" applyAlignment="1">
      <alignment horizontal="center" vertical="center"/>
    </xf>
    <xf numFmtId="0" fontId="2" fillId="10" borderId="87" xfId="0" applyFont="1" applyFill="1" applyBorder="1" applyAlignment="1">
      <alignment horizontal="center" vertical="center" wrapText="1"/>
    </xf>
    <xf numFmtId="0" fontId="2" fillId="0" borderId="151" xfId="0" applyFont="1" applyBorder="1"/>
    <xf numFmtId="0" fontId="2" fillId="15" borderId="111" xfId="0" applyFont="1" applyFill="1" applyBorder="1" applyAlignment="1">
      <alignment horizontal="center" vertical="center"/>
    </xf>
    <xf numFmtId="0" fontId="2" fillId="0" borderId="159" xfId="0" applyFont="1" applyBorder="1"/>
    <xf numFmtId="1" fontId="2" fillId="0" borderId="160" xfId="0" applyNumberFormat="1" applyFont="1" applyBorder="1" applyAlignment="1">
      <alignment horizontal="center" vertical="center"/>
    </xf>
    <xf numFmtId="1" fontId="3" fillId="0" borderId="143" xfId="0" applyNumberFormat="1" applyFont="1" applyBorder="1" applyAlignment="1">
      <alignment horizontal="center" vertical="center"/>
    </xf>
    <xf numFmtId="1" fontId="3" fillId="0" borderId="161" xfId="0" applyNumberFormat="1" applyFont="1" applyBorder="1" applyAlignment="1">
      <alignment horizontal="center" vertical="center"/>
    </xf>
    <xf numFmtId="1" fontId="2" fillId="0" borderId="160" xfId="0" applyNumberFormat="1" applyFont="1" applyBorder="1" applyAlignment="1" applyProtection="1">
      <alignment horizontal="center" vertical="center"/>
      <protection locked="0"/>
    </xf>
    <xf numFmtId="1" fontId="3" fillId="0" borderId="163" xfId="0" applyNumberFormat="1" applyFont="1" applyBorder="1" applyAlignment="1" applyProtection="1">
      <alignment horizontal="center" vertical="center"/>
      <protection locked="0"/>
    </xf>
    <xf numFmtId="1" fontId="2" fillId="10" borderId="160" xfId="0" applyNumberFormat="1" applyFont="1" applyFill="1" applyBorder="1" applyAlignment="1" applyProtection="1">
      <alignment horizontal="center" vertical="center"/>
      <protection locked="0"/>
    </xf>
    <xf numFmtId="1" fontId="3" fillId="10" borderId="163" xfId="0" applyNumberFormat="1" applyFont="1" applyFill="1" applyBorder="1" applyAlignment="1" applyProtection="1">
      <alignment horizontal="center" vertical="center"/>
      <protection locked="0"/>
    </xf>
    <xf numFmtId="1" fontId="2" fillId="10" borderId="160" xfId="0" applyNumberFormat="1" applyFont="1" applyFill="1" applyBorder="1" applyAlignment="1">
      <alignment horizontal="center" vertical="center"/>
    </xf>
    <xf numFmtId="1" fontId="3" fillId="10" borderId="143" xfId="0" applyNumberFormat="1" applyFont="1" applyFill="1" applyBorder="1" applyAlignment="1">
      <alignment horizontal="center" vertical="center"/>
    </xf>
    <xf numFmtId="1" fontId="3" fillId="10" borderId="161" xfId="0" applyNumberFormat="1" applyFont="1" applyFill="1" applyBorder="1" applyAlignment="1">
      <alignment horizontal="center" vertical="center"/>
    </xf>
    <xf numFmtId="2" fontId="2" fillId="2" borderId="33" xfId="0" applyNumberFormat="1" applyFont="1" applyFill="1" applyBorder="1" applyAlignment="1">
      <alignment horizontal="center" vertical="center"/>
    </xf>
    <xf numFmtId="2" fontId="3" fillId="2" borderId="30" xfId="0" applyNumberFormat="1" applyFont="1" applyFill="1" applyBorder="1" applyAlignment="1">
      <alignment horizontal="center" vertical="center"/>
    </xf>
    <xf numFmtId="2" fontId="3" fillId="2" borderId="20" xfId="0" applyNumberFormat="1" applyFont="1" applyFill="1" applyBorder="1" applyAlignment="1">
      <alignment horizontal="center" vertical="center"/>
    </xf>
    <xf numFmtId="168" fontId="3" fillId="2" borderId="33" xfId="0" applyNumberFormat="1" applyFont="1" applyFill="1" applyBorder="1" applyAlignment="1">
      <alignment horizontal="center" vertical="center"/>
    </xf>
    <xf numFmtId="168" fontId="3" fillId="2" borderId="30" xfId="0" applyNumberFormat="1" applyFont="1" applyFill="1" applyBorder="1" applyAlignment="1">
      <alignment horizontal="center" vertical="center"/>
    </xf>
    <xf numFmtId="168" fontId="3" fillId="2" borderId="20" xfId="0" applyNumberFormat="1" applyFont="1" applyFill="1" applyBorder="1" applyAlignment="1">
      <alignment horizontal="center" vertical="center"/>
    </xf>
    <xf numFmtId="0" fontId="2" fillId="0" borderId="33" xfId="0" applyFont="1" applyBorder="1" applyAlignment="1">
      <alignment horizontal="center" vertical="center"/>
    </xf>
    <xf numFmtId="0" fontId="3" fillId="0" borderId="30" xfId="0" applyFont="1" applyBorder="1" applyAlignment="1">
      <alignment horizontal="center" vertical="center"/>
    </xf>
    <xf numFmtId="0" fontId="3" fillId="0" borderId="20" xfId="0" applyFont="1" applyBorder="1" applyAlignment="1">
      <alignment horizontal="center" vertical="center"/>
    </xf>
    <xf numFmtId="0" fontId="2" fillId="2" borderId="33" xfId="0" applyFont="1" applyFill="1" applyBorder="1" applyAlignment="1">
      <alignment horizontal="center" vertical="center"/>
    </xf>
    <xf numFmtId="0" fontId="3" fillId="2" borderId="30" xfId="0" applyFont="1" applyFill="1" applyBorder="1" applyAlignment="1">
      <alignment horizontal="center" vertical="center"/>
    </xf>
    <xf numFmtId="0" fontId="3" fillId="2" borderId="20" xfId="0" applyFont="1" applyFill="1" applyBorder="1" applyAlignment="1">
      <alignment horizontal="center" vertical="center"/>
    </xf>
    <xf numFmtId="1" fontId="3" fillId="0" borderId="30" xfId="0" applyNumberFormat="1" applyFont="1" applyBorder="1" applyAlignment="1" applyProtection="1">
      <alignment horizontal="center" vertical="center"/>
      <protection locked="0"/>
    </xf>
    <xf numFmtId="1" fontId="3" fillId="0" borderId="20" xfId="0" applyNumberFormat="1" applyFont="1" applyBorder="1" applyAlignment="1" applyProtection="1">
      <alignment horizontal="center" vertical="center"/>
      <protection locked="0"/>
    </xf>
    <xf numFmtId="1" fontId="3" fillId="0" borderId="33" xfId="0" applyNumberFormat="1" applyFont="1" applyBorder="1" applyAlignment="1" applyProtection="1">
      <alignment horizontal="center" vertical="center"/>
      <protection locked="0"/>
    </xf>
    <xf numFmtId="1" fontId="2" fillId="0" borderId="143" xfId="0" applyNumberFormat="1" applyFont="1" applyBorder="1" applyAlignment="1" applyProtection="1">
      <alignment horizontal="center" vertical="center"/>
      <protection locked="0"/>
    </xf>
    <xf numFmtId="1" fontId="2" fillId="0" borderId="163" xfId="0" applyNumberFormat="1" applyFont="1" applyBorder="1" applyAlignment="1" applyProtection="1">
      <alignment horizontal="center" vertical="center"/>
      <protection locked="0"/>
    </xf>
    <xf numFmtId="1" fontId="2" fillId="10" borderId="143" xfId="0" applyNumberFormat="1" applyFont="1" applyFill="1" applyBorder="1" applyAlignment="1" applyProtection="1">
      <alignment horizontal="center" vertical="center"/>
      <protection locked="0"/>
    </xf>
    <xf numFmtId="1" fontId="2" fillId="10" borderId="163" xfId="0" applyNumberFormat="1" applyFont="1" applyFill="1" applyBorder="1" applyAlignment="1" applyProtection="1">
      <alignment horizontal="center" vertical="center"/>
      <protection locked="0"/>
    </xf>
    <xf numFmtId="0" fontId="4" fillId="2" borderId="9" xfId="0" applyFont="1" applyFill="1" applyBorder="1" applyAlignment="1">
      <alignment horizontal="center" vertical="center"/>
    </xf>
    <xf numFmtId="0" fontId="4" fillId="2" borderId="59" xfId="0" applyFont="1" applyFill="1" applyBorder="1" applyAlignment="1">
      <alignment horizontal="center" vertical="center"/>
    </xf>
    <xf numFmtId="0" fontId="4" fillId="2" borderId="9" xfId="0" applyFont="1" applyFill="1" applyBorder="1" applyAlignment="1">
      <alignment horizontal="center" vertical="center" wrapText="1"/>
    </xf>
    <xf numFmtId="0" fontId="4" fillId="2" borderId="59" xfId="0" applyFont="1" applyFill="1" applyBorder="1" applyAlignment="1">
      <alignment horizontal="center" vertical="center" wrapText="1"/>
    </xf>
    <xf numFmtId="1" fontId="3" fillId="2" borderId="33" xfId="0" applyNumberFormat="1" applyFont="1" applyFill="1" applyBorder="1" applyAlignment="1" applyProtection="1">
      <alignment horizontal="center" vertical="center"/>
      <protection locked="0"/>
    </xf>
    <xf numFmtId="1" fontId="3" fillId="2" borderId="30" xfId="0" applyNumberFormat="1" applyFont="1" applyFill="1" applyBorder="1" applyAlignment="1" applyProtection="1">
      <alignment horizontal="center" vertical="center"/>
      <protection locked="0"/>
    </xf>
    <xf numFmtId="1" fontId="3" fillId="2" borderId="20" xfId="0" applyNumberFormat="1" applyFont="1" applyFill="1" applyBorder="1" applyAlignment="1" applyProtection="1">
      <alignment horizontal="center" vertical="center"/>
      <protection locked="0"/>
    </xf>
    <xf numFmtId="0" fontId="4" fillId="2" borderId="54" xfId="0" applyFont="1" applyFill="1" applyBorder="1" applyAlignment="1">
      <alignment horizontal="center" vertical="center" textRotation="90"/>
    </xf>
    <xf numFmtId="0" fontId="4" fillId="2" borderId="9" xfId="0" applyFont="1" applyFill="1" applyBorder="1" applyAlignment="1">
      <alignment horizontal="center" vertical="center" textRotation="90"/>
    </xf>
    <xf numFmtId="0" fontId="4" fillId="2" borderId="58" xfId="0" applyFont="1" applyFill="1" applyBorder="1" applyAlignment="1">
      <alignment horizontal="center" vertical="center" textRotation="90"/>
    </xf>
    <xf numFmtId="0" fontId="4" fillId="2" borderId="59" xfId="0" applyFont="1" applyFill="1" applyBorder="1" applyAlignment="1">
      <alignment horizontal="center" vertical="center" textRotation="90"/>
    </xf>
    <xf numFmtId="167" fontId="3" fillId="0" borderId="45" xfId="0" applyNumberFormat="1" applyFont="1" applyBorder="1" applyAlignment="1">
      <alignment horizontal="center" vertical="center"/>
    </xf>
    <xf numFmtId="167" fontId="3" fillId="0" borderId="32" xfId="0" applyNumberFormat="1" applyFont="1" applyBorder="1" applyAlignment="1">
      <alignment horizontal="center" vertical="center"/>
    </xf>
    <xf numFmtId="167" fontId="3" fillId="0" borderId="17" xfId="0" applyNumberFormat="1" applyFont="1" applyBorder="1" applyAlignment="1">
      <alignment horizontal="center" vertical="center"/>
    </xf>
    <xf numFmtId="1" fontId="3" fillId="0" borderId="45" xfId="0" applyNumberFormat="1" applyFont="1" applyBorder="1" applyAlignment="1" applyProtection="1">
      <alignment horizontal="center" vertical="center"/>
      <protection locked="0"/>
    </xf>
    <xf numFmtId="1" fontId="3" fillId="0" borderId="32" xfId="0" applyNumberFormat="1" applyFont="1" applyBorder="1" applyAlignment="1" applyProtection="1">
      <alignment horizontal="center" vertical="center"/>
      <protection locked="0"/>
    </xf>
    <xf numFmtId="1" fontId="3" fillId="0" borderId="17" xfId="0" applyNumberFormat="1" applyFont="1" applyBorder="1" applyAlignment="1" applyProtection="1">
      <alignment horizontal="center" vertical="center"/>
      <protection locked="0"/>
    </xf>
    <xf numFmtId="1" fontId="2" fillId="0" borderId="45" xfId="0" applyNumberFormat="1" applyFont="1" applyBorder="1" applyAlignment="1">
      <alignment horizontal="center" vertical="center"/>
    </xf>
    <xf numFmtId="1" fontId="3" fillId="0" borderId="32" xfId="0" applyNumberFormat="1" applyFont="1" applyBorder="1" applyAlignment="1">
      <alignment horizontal="center" vertical="center"/>
    </xf>
    <xf numFmtId="1" fontId="3" fillId="0" borderId="17" xfId="0" applyNumberFormat="1" applyFont="1" applyBorder="1" applyAlignment="1">
      <alignment horizontal="center" vertical="center"/>
    </xf>
    <xf numFmtId="2" fontId="3" fillId="2" borderId="33" xfId="0" applyNumberFormat="1" applyFont="1" applyFill="1" applyBorder="1" applyAlignment="1">
      <alignment horizontal="center" vertical="center"/>
    </xf>
    <xf numFmtId="1" fontId="2" fillId="2" borderId="33" xfId="0" applyNumberFormat="1" applyFont="1" applyFill="1" applyBorder="1" applyAlignment="1">
      <alignment horizontal="center" vertical="center"/>
    </xf>
    <xf numFmtId="1" fontId="2" fillId="0" borderId="33" xfId="0" applyNumberFormat="1" applyFont="1" applyBorder="1" applyAlignment="1">
      <alignment horizontal="center" vertical="center"/>
    </xf>
    <xf numFmtId="2" fontId="3" fillId="0" borderId="33" xfId="0" applyNumberFormat="1" applyFont="1" applyBorder="1" applyAlignment="1">
      <alignment horizontal="center" vertical="center"/>
    </xf>
    <xf numFmtId="2" fontId="3" fillId="0" borderId="30" xfId="0" applyNumberFormat="1" applyFont="1" applyBorder="1" applyAlignment="1">
      <alignment horizontal="center" vertical="center"/>
    </xf>
    <xf numFmtId="2" fontId="3" fillId="0" borderId="20" xfId="0" applyNumberFormat="1" applyFont="1" applyBorder="1" applyAlignment="1">
      <alignment horizontal="center" vertical="center"/>
    </xf>
    <xf numFmtId="167" fontId="3" fillId="0" borderId="33" xfId="0" applyNumberFormat="1" applyFont="1" applyBorder="1" applyAlignment="1">
      <alignment horizontal="center" vertical="center"/>
    </xf>
    <xf numFmtId="167" fontId="3" fillId="0" borderId="30" xfId="0" applyNumberFormat="1" applyFont="1" applyBorder="1" applyAlignment="1">
      <alignment horizontal="center" vertical="center"/>
    </xf>
    <xf numFmtId="167" fontId="3" fillId="0" borderId="20" xfId="0" applyNumberFormat="1" applyFont="1" applyBorder="1" applyAlignment="1">
      <alignment horizontal="center" vertical="center"/>
    </xf>
    <xf numFmtId="49" fontId="2" fillId="0" borderId="33" xfId="0" applyNumberFormat="1" applyFont="1" applyBorder="1" applyAlignment="1">
      <alignment horizontal="center" vertical="center"/>
    </xf>
    <xf numFmtId="49" fontId="3" fillId="0" borderId="30" xfId="0" applyNumberFormat="1" applyFont="1" applyBorder="1" applyAlignment="1">
      <alignment horizontal="center" vertical="center"/>
    </xf>
    <xf numFmtId="49" fontId="3" fillId="0" borderId="20" xfId="0" applyNumberFormat="1" applyFont="1" applyBorder="1" applyAlignment="1">
      <alignment horizontal="center" vertical="center"/>
    </xf>
    <xf numFmtId="2" fontId="3" fillId="0" borderId="143" xfId="0" applyNumberFormat="1" applyFont="1" applyBorder="1"/>
    <xf numFmtId="2" fontId="3" fillId="0" borderId="144" xfId="0" applyNumberFormat="1" applyFont="1" applyBorder="1"/>
    <xf numFmtId="2" fontId="3" fillId="2" borderId="22" xfId="0" applyNumberFormat="1" applyFont="1" applyFill="1" applyBorder="1" applyAlignment="1">
      <alignment horizontal="center" vertical="center"/>
    </xf>
    <xf numFmtId="2" fontId="3" fillId="0" borderId="22" xfId="0" applyNumberFormat="1" applyFont="1" applyBorder="1" applyAlignment="1">
      <alignment horizontal="center" vertical="center"/>
    </xf>
    <xf numFmtId="168" fontId="3" fillId="0" borderId="33" xfId="0" applyNumberFormat="1" applyFont="1" applyBorder="1" applyAlignment="1">
      <alignment horizontal="center" vertical="center"/>
    </xf>
    <xf numFmtId="168" fontId="3" fillId="0" borderId="30" xfId="0" applyNumberFormat="1" applyFont="1" applyBorder="1" applyAlignment="1">
      <alignment horizontal="center" vertical="center"/>
    </xf>
    <xf numFmtId="168" fontId="3" fillId="0" borderId="20" xfId="0" applyNumberFormat="1" applyFont="1" applyBorder="1" applyAlignment="1">
      <alignment horizontal="center" vertical="center"/>
    </xf>
    <xf numFmtId="1" fontId="3" fillId="0" borderId="41" xfId="0" applyNumberFormat="1" applyFont="1" applyBorder="1" applyAlignment="1">
      <alignment horizontal="center" vertical="center"/>
    </xf>
    <xf numFmtId="1" fontId="3" fillId="2" borderId="41" xfId="0" applyNumberFormat="1" applyFont="1" applyFill="1" applyBorder="1" applyAlignment="1">
      <alignment horizontal="center" vertical="center"/>
    </xf>
    <xf numFmtId="0" fontId="3" fillId="0" borderId="33" xfId="0" applyFont="1" applyBorder="1" applyAlignment="1">
      <alignment horizontal="center" vertical="center"/>
    </xf>
    <xf numFmtId="167" fontId="3" fillId="2" borderId="33" xfId="0" applyNumberFormat="1" applyFont="1" applyFill="1" applyBorder="1" applyAlignment="1">
      <alignment horizontal="center" vertical="center"/>
    </xf>
    <xf numFmtId="167" fontId="3" fillId="2" borderId="30" xfId="0" applyNumberFormat="1" applyFont="1" applyFill="1" applyBorder="1" applyAlignment="1">
      <alignment horizontal="center" vertical="center"/>
    </xf>
    <xf numFmtId="167" fontId="3" fillId="2" borderId="20" xfId="0" applyNumberFormat="1" applyFont="1" applyFill="1" applyBorder="1" applyAlignment="1">
      <alignment horizontal="center" vertical="center"/>
    </xf>
    <xf numFmtId="0" fontId="3" fillId="2" borderId="33" xfId="0" applyFont="1" applyFill="1" applyBorder="1" applyAlignment="1">
      <alignment horizontal="center" vertical="center"/>
    </xf>
    <xf numFmtId="0" fontId="3" fillId="2" borderId="22" xfId="0" applyFont="1" applyFill="1" applyBorder="1" applyAlignment="1">
      <alignment horizontal="center" vertical="center"/>
    </xf>
    <xf numFmtId="1" fontId="2" fillId="10" borderId="142" xfId="0" applyNumberFormat="1" applyFont="1" applyFill="1" applyBorder="1" applyAlignment="1" applyProtection="1">
      <alignment horizontal="center" vertical="center"/>
      <protection locked="0"/>
    </xf>
    <xf numFmtId="0" fontId="2" fillId="0" borderId="143" xfId="0" applyFont="1" applyBorder="1" applyProtection="1">
      <protection locked="0"/>
    </xf>
    <xf numFmtId="0" fontId="2" fillId="0" borderId="144" xfId="0" applyFont="1" applyBorder="1" applyProtection="1">
      <protection locked="0"/>
    </xf>
    <xf numFmtId="1" fontId="2" fillId="0" borderId="142" xfId="0" applyNumberFormat="1" applyFont="1" applyBorder="1" applyAlignment="1" applyProtection="1">
      <alignment horizontal="center" vertical="center"/>
      <protection locked="0"/>
    </xf>
    <xf numFmtId="1" fontId="2" fillId="15" borderId="125" xfId="0" applyNumberFormat="1" applyFont="1" applyFill="1" applyBorder="1" applyAlignment="1" applyProtection="1">
      <alignment horizontal="center" vertical="center"/>
      <protection locked="0"/>
    </xf>
    <xf numFmtId="0" fontId="2" fillId="0" borderId="97" xfId="0" applyFont="1" applyBorder="1" applyProtection="1">
      <protection locked="0"/>
    </xf>
    <xf numFmtId="0" fontId="2" fillId="0" borderId="141" xfId="0" applyFont="1" applyBorder="1" applyProtection="1">
      <protection locked="0"/>
    </xf>
    <xf numFmtId="0" fontId="4" fillId="2" borderId="50" xfId="0" applyFont="1" applyFill="1" applyBorder="1" applyAlignment="1">
      <alignment horizontal="center" vertical="center" wrapText="1"/>
    </xf>
    <xf numFmtId="0" fontId="4" fillId="2" borderId="51" xfId="0" applyFont="1" applyFill="1" applyBorder="1" applyAlignment="1">
      <alignment horizontal="center" vertical="center" wrapText="1"/>
    </xf>
    <xf numFmtId="0" fontId="4" fillId="2" borderId="53" xfId="0" applyFont="1" applyFill="1" applyBorder="1" applyAlignment="1">
      <alignment horizontal="center" vertical="center" wrapText="1"/>
    </xf>
    <xf numFmtId="0" fontId="4" fillId="2" borderId="54" xfId="0" applyFont="1" applyFill="1" applyBorder="1" applyAlignment="1">
      <alignment horizontal="center" vertical="center" wrapText="1"/>
    </xf>
    <xf numFmtId="0" fontId="4" fillId="2" borderId="56" xfId="0" applyFont="1" applyFill="1" applyBorder="1" applyAlignment="1">
      <alignment horizontal="center" vertical="center" wrapText="1"/>
    </xf>
    <xf numFmtId="0" fontId="4" fillId="2" borderId="58" xfId="0" applyFont="1" applyFill="1" applyBorder="1" applyAlignment="1">
      <alignment horizontal="center" vertical="center" wrapText="1"/>
    </xf>
    <xf numFmtId="0" fontId="4" fillId="2" borderId="60" xfId="0" applyFont="1" applyFill="1" applyBorder="1" applyAlignment="1">
      <alignment horizontal="center" vertical="center" wrapText="1"/>
    </xf>
    <xf numFmtId="0" fontId="3" fillId="0" borderId="19" xfId="0" applyFont="1" applyBorder="1" applyAlignment="1">
      <alignment horizontal="center" vertical="center"/>
    </xf>
    <xf numFmtId="14" fontId="4" fillId="8" borderId="61" xfId="0" applyNumberFormat="1" applyFont="1" applyFill="1" applyBorder="1" applyAlignment="1">
      <alignment horizontal="center" vertical="center"/>
    </xf>
    <xf numFmtId="0" fontId="4" fillId="8" borderId="62" xfId="0" applyFont="1" applyFill="1" applyBorder="1" applyAlignment="1">
      <alignment horizontal="center" vertical="center"/>
    </xf>
    <xf numFmtId="0" fontId="4" fillId="8" borderId="63" xfId="0" applyFont="1" applyFill="1" applyBorder="1" applyAlignment="1">
      <alignment horizontal="center" vertical="center"/>
    </xf>
    <xf numFmtId="1" fontId="3" fillId="0" borderId="143" xfId="0" applyNumberFormat="1" applyFont="1" applyBorder="1"/>
    <xf numFmtId="1" fontId="3" fillId="0" borderId="161" xfId="0" applyNumberFormat="1" applyFont="1" applyBorder="1"/>
    <xf numFmtId="1" fontId="3" fillId="3" borderId="45" xfId="0" applyNumberFormat="1" applyFont="1" applyFill="1" applyBorder="1" applyAlignment="1">
      <alignment horizontal="center" vertical="center"/>
    </xf>
    <xf numFmtId="1" fontId="3" fillId="3" borderId="32" xfId="0" applyNumberFormat="1" applyFont="1" applyFill="1" applyBorder="1" applyAlignment="1">
      <alignment horizontal="center" vertical="center"/>
    </xf>
    <xf numFmtId="1" fontId="3" fillId="3" borderId="17" xfId="0" applyNumberFormat="1" applyFont="1" applyFill="1" applyBorder="1" applyAlignment="1">
      <alignment horizontal="center" vertical="center"/>
    </xf>
    <xf numFmtId="2" fontId="3" fillId="0" borderId="33" xfId="0" applyNumberFormat="1" applyFont="1" applyBorder="1" applyAlignment="1" applyProtection="1">
      <alignment horizontal="center" vertical="center"/>
      <protection locked="0"/>
    </xf>
    <xf numFmtId="2" fontId="3" fillId="0" borderId="30" xfId="0" applyNumberFormat="1" applyFont="1" applyBorder="1" applyAlignment="1" applyProtection="1">
      <alignment horizontal="center" vertical="center"/>
      <protection locked="0"/>
    </xf>
    <xf numFmtId="2" fontId="3" fillId="0" borderId="20" xfId="0" applyNumberFormat="1" applyFont="1" applyBorder="1" applyAlignment="1" applyProtection="1">
      <alignment horizontal="center" vertical="center"/>
      <protection locked="0"/>
    </xf>
    <xf numFmtId="2" fontId="3" fillId="2" borderId="33" xfId="0" applyNumberFormat="1" applyFont="1" applyFill="1" applyBorder="1" applyAlignment="1" applyProtection="1">
      <alignment horizontal="center" vertical="center"/>
      <protection locked="0"/>
    </xf>
    <xf numFmtId="2" fontId="3" fillId="2" borderId="30" xfId="0" applyNumberFormat="1" applyFont="1" applyFill="1" applyBorder="1" applyAlignment="1" applyProtection="1">
      <alignment horizontal="center" vertical="center"/>
      <protection locked="0"/>
    </xf>
    <xf numFmtId="2" fontId="3" fillId="2" borderId="20" xfId="0" applyNumberFormat="1" applyFont="1" applyFill="1" applyBorder="1" applyAlignment="1" applyProtection="1">
      <alignment horizontal="center" vertical="center"/>
      <protection locked="0"/>
    </xf>
    <xf numFmtId="1" fontId="3" fillId="3" borderId="38" xfId="0" applyNumberFormat="1" applyFont="1" applyFill="1" applyBorder="1" applyAlignment="1">
      <alignment horizontal="center" vertical="center"/>
    </xf>
    <xf numFmtId="167" fontId="3" fillId="2" borderId="33" xfId="0" applyNumberFormat="1" applyFont="1" applyFill="1" applyBorder="1" applyAlignment="1" applyProtection="1">
      <alignment horizontal="center" vertical="center"/>
      <protection locked="0"/>
    </xf>
    <xf numFmtId="167" fontId="3" fillId="2" borderId="30" xfId="0" applyNumberFormat="1" applyFont="1" applyFill="1" applyBorder="1" applyAlignment="1" applyProtection="1">
      <alignment horizontal="center" vertical="center"/>
      <protection locked="0"/>
    </xf>
    <xf numFmtId="167" fontId="3" fillId="2" borderId="20" xfId="0" applyNumberFormat="1" applyFont="1" applyFill="1" applyBorder="1" applyAlignment="1" applyProtection="1">
      <alignment horizontal="center" vertical="center"/>
      <protection locked="0"/>
    </xf>
    <xf numFmtId="0" fontId="3" fillId="0" borderId="22" xfId="0" applyFont="1" applyBorder="1" applyAlignment="1">
      <alignment horizontal="center" vertical="center"/>
    </xf>
    <xf numFmtId="166" fontId="3" fillId="2" borderId="33" xfId="0" applyNumberFormat="1" applyFont="1" applyFill="1" applyBorder="1" applyAlignment="1" applyProtection="1">
      <alignment horizontal="center" vertical="center"/>
      <protection locked="0"/>
    </xf>
    <xf numFmtId="166" fontId="3" fillId="2" borderId="30" xfId="0" applyNumberFormat="1" applyFont="1" applyFill="1" applyBorder="1" applyAlignment="1" applyProtection="1">
      <alignment horizontal="center" vertical="center"/>
      <protection locked="0"/>
    </xf>
    <xf numFmtId="166" fontId="3" fillId="2" borderId="20" xfId="0" applyNumberFormat="1" applyFont="1" applyFill="1" applyBorder="1" applyAlignment="1" applyProtection="1">
      <alignment horizontal="center" vertical="center"/>
      <protection locked="0"/>
    </xf>
    <xf numFmtId="166" fontId="3" fillId="0" borderId="33" xfId="0" applyNumberFormat="1" applyFont="1" applyBorder="1" applyAlignment="1" applyProtection="1">
      <alignment horizontal="center" vertical="center"/>
      <protection locked="0"/>
    </xf>
    <xf numFmtId="166" fontId="3" fillId="0" borderId="30" xfId="0" applyNumberFormat="1" applyFont="1" applyBorder="1" applyAlignment="1" applyProtection="1">
      <alignment horizontal="center" vertical="center"/>
      <protection locked="0"/>
    </xf>
    <xf numFmtId="166" fontId="3" fillId="0" borderId="20" xfId="0" applyNumberFormat="1" applyFont="1" applyBorder="1" applyAlignment="1" applyProtection="1">
      <alignment horizontal="center" vertical="center"/>
      <protection locked="0"/>
    </xf>
    <xf numFmtId="167" fontId="3" fillId="0" borderId="33" xfId="0" applyNumberFormat="1" applyFont="1" applyBorder="1" applyAlignment="1" applyProtection="1">
      <alignment horizontal="center" vertical="center"/>
      <protection locked="0"/>
    </xf>
    <xf numFmtId="167" fontId="3" fillId="0" borderId="30" xfId="0" applyNumberFormat="1" applyFont="1" applyBorder="1" applyAlignment="1" applyProtection="1">
      <alignment horizontal="center" vertical="center"/>
      <protection locked="0"/>
    </xf>
    <xf numFmtId="167" fontId="3" fillId="0" borderId="20" xfId="0" applyNumberFormat="1" applyFont="1" applyBorder="1" applyAlignment="1" applyProtection="1">
      <alignment horizontal="center" vertical="center"/>
      <protection locked="0"/>
    </xf>
    <xf numFmtId="167" fontId="3" fillId="3" borderId="45" xfId="0" applyNumberFormat="1" applyFont="1" applyFill="1" applyBorder="1" applyAlignment="1" applyProtection="1">
      <alignment horizontal="center" vertical="center"/>
      <protection locked="0"/>
    </xf>
    <xf numFmtId="167" fontId="3" fillId="3" borderId="32" xfId="0" applyNumberFormat="1" applyFont="1" applyFill="1" applyBorder="1" applyAlignment="1" applyProtection="1">
      <alignment horizontal="center" vertical="center"/>
      <protection locked="0"/>
    </xf>
    <xf numFmtId="167" fontId="3" fillId="3" borderId="17" xfId="0" applyNumberFormat="1" applyFont="1" applyFill="1" applyBorder="1" applyAlignment="1" applyProtection="1">
      <alignment horizontal="center" vertical="center"/>
      <protection locked="0"/>
    </xf>
    <xf numFmtId="1" fontId="2" fillId="3" borderId="45" xfId="0" applyNumberFormat="1" applyFont="1" applyFill="1" applyBorder="1" applyAlignment="1" applyProtection="1">
      <alignment horizontal="center" vertical="center"/>
      <protection locked="0"/>
    </xf>
    <xf numFmtId="1" fontId="3" fillId="3" borderId="32" xfId="0" applyNumberFormat="1" applyFont="1" applyFill="1" applyBorder="1" applyAlignment="1" applyProtection="1">
      <alignment horizontal="center" vertical="center"/>
      <protection locked="0"/>
    </xf>
    <xf numFmtId="1" fontId="3" fillId="3" borderId="17" xfId="0" applyNumberFormat="1" applyFont="1" applyFill="1" applyBorder="1" applyAlignment="1" applyProtection="1">
      <alignment horizontal="center" vertical="center"/>
      <protection locked="0"/>
    </xf>
    <xf numFmtId="167" fontId="3" fillId="3" borderId="45" xfId="0" applyNumberFormat="1" applyFont="1" applyFill="1" applyBorder="1" applyAlignment="1">
      <alignment horizontal="center" vertical="center"/>
    </xf>
    <xf numFmtId="167" fontId="3" fillId="3" borderId="32" xfId="0" applyNumberFormat="1" applyFont="1" applyFill="1" applyBorder="1" applyAlignment="1">
      <alignment horizontal="center" vertical="center"/>
    </xf>
    <xf numFmtId="167" fontId="3" fillId="3" borderId="17" xfId="0" applyNumberFormat="1" applyFont="1" applyFill="1" applyBorder="1" applyAlignment="1">
      <alignment horizontal="center" vertical="center"/>
    </xf>
    <xf numFmtId="167" fontId="3" fillId="3" borderId="46" xfId="0" applyNumberFormat="1" applyFont="1" applyFill="1" applyBorder="1" applyAlignment="1">
      <alignment horizontal="center" vertical="center"/>
    </xf>
    <xf numFmtId="167" fontId="3" fillId="3" borderId="47" xfId="0" applyNumberFormat="1" applyFont="1" applyFill="1" applyBorder="1" applyAlignment="1">
      <alignment horizontal="center" vertical="center"/>
    </xf>
    <xf numFmtId="167" fontId="3" fillId="3" borderId="48" xfId="0" applyNumberFormat="1" applyFont="1" applyFill="1" applyBorder="1" applyAlignment="1">
      <alignment horizontal="center" vertical="center"/>
    </xf>
    <xf numFmtId="0" fontId="3" fillId="3" borderId="45" xfId="0" applyFont="1" applyFill="1" applyBorder="1" applyAlignment="1">
      <alignment horizontal="center" vertical="center"/>
    </xf>
    <xf numFmtId="168" fontId="3" fillId="3" borderId="45" xfId="0" applyNumberFormat="1" applyFont="1" applyFill="1" applyBorder="1" applyAlignment="1">
      <alignment horizontal="center" vertical="center"/>
    </xf>
    <xf numFmtId="168" fontId="3" fillId="3" borderId="32" xfId="0" applyNumberFormat="1" applyFont="1" applyFill="1" applyBorder="1" applyAlignment="1">
      <alignment horizontal="center" vertical="center"/>
    </xf>
    <xf numFmtId="168" fontId="3" fillId="3" borderId="17" xfId="0" applyNumberFormat="1" applyFont="1" applyFill="1" applyBorder="1" applyAlignment="1">
      <alignment horizontal="center" vertical="center"/>
    </xf>
    <xf numFmtId="1" fontId="2" fillId="10" borderId="312" xfId="0" applyNumberFormat="1" applyFont="1" applyFill="1" applyBorder="1" applyAlignment="1" applyProtection="1">
      <alignment horizontal="center" vertical="center"/>
      <protection locked="0"/>
    </xf>
    <xf numFmtId="1" fontId="2" fillId="10" borderId="313" xfId="0" applyNumberFormat="1" applyFont="1" applyFill="1" applyBorder="1" applyAlignment="1" applyProtection="1">
      <alignment horizontal="center" vertical="center"/>
      <protection locked="0"/>
    </xf>
    <xf numFmtId="1" fontId="2" fillId="10" borderId="314" xfId="0" applyNumberFormat="1" applyFont="1" applyFill="1" applyBorder="1" applyAlignment="1" applyProtection="1">
      <alignment horizontal="center" vertical="center"/>
      <protection locked="0"/>
    </xf>
    <xf numFmtId="49" fontId="2" fillId="2" borderId="33" xfId="0" applyNumberFormat="1" applyFont="1" applyFill="1" applyBorder="1" applyAlignment="1">
      <alignment horizontal="center" vertical="center"/>
    </xf>
    <xf numFmtId="49" fontId="3" fillId="2" borderId="30" xfId="0" applyNumberFormat="1" applyFont="1" applyFill="1" applyBorder="1" applyAlignment="1">
      <alignment horizontal="center" vertical="center"/>
    </xf>
    <xf numFmtId="49" fontId="3" fillId="2" borderId="20" xfId="0" applyNumberFormat="1" applyFont="1" applyFill="1" applyBorder="1" applyAlignment="1">
      <alignment horizontal="center" vertical="center"/>
    </xf>
    <xf numFmtId="2" fontId="2" fillId="0" borderId="33" xfId="0" applyNumberFormat="1" applyFont="1" applyBorder="1" applyAlignment="1">
      <alignment horizontal="center" vertical="center"/>
    </xf>
    <xf numFmtId="166" fontId="3" fillId="2" borderId="33" xfId="0" applyNumberFormat="1" applyFont="1" applyFill="1" applyBorder="1" applyAlignment="1">
      <alignment horizontal="center" vertical="center"/>
    </xf>
    <xf numFmtId="166" fontId="3" fillId="2" borderId="30" xfId="0" applyNumberFormat="1" applyFont="1" applyFill="1" applyBorder="1" applyAlignment="1">
      <alignment horizontal="center" vertical="center"/>
    </xf>
    <xf numFmtId="166" fontId="3" fillId="2" borderId="20" xfId="0" applyNumberFormat="1" applyFont="1" applyFill="1" applyBorder="1" applyAlignment="1">
      <alignment horizontal="center" vertical="center"/>
    </xf>
    <xf numFmtId="2" fontId="28" fillId="0" borderId="27" xfId="0" applyNumberFormat="1" applyFont="1" applyBorder="1" applyAlignment="1">
      <alignment horizontal="center" vertical="center"/>
    </xf>
    <xf numFmtId="2" fontId="28" fillId="0" borderId="18" xfId="0" applyNumberFormat="1" applyFont="1" applyBorder="1" applyAlignment="1">
      <alignment horizontal="center" vertical="center"/>
    </xf>
    <xf numFmtId="2" fontId="28" fillId="0" borderId="193" xfId="0" applyNumberFormat="1" applyFont="1" applyBorder="1" applyAlignment="1">
      <alignment horizontal="center" vertical="center"/>
    </xf>
    <xf numFmtId="2" fontId="28" fillId="0" borderId="28" xfId="0" applyNumberFormat="1" applyFont="1" applyBorder="1" applyAlignment="1">
      <alignment horizontal="center" vertical="center"/>
    </xf>
    <xf numFmtId="2" fontId="28" fillId="0" borderId="21" xfId="0" applyNumberFormat="1" applyFont="1" applyBorder="1" applyAlignment="1">
      <alignment horizontal="center" vertical="center"/>
    </xf>
    <xf numFmtId="2" fontId="28" fillId="0" borderId="204" xfId="0" applyNumberFormat="1" applyFont="1" applyBorder="1" applyAlignment="1">
      <alignment horizontal="center" vertical="center"/>
    </xf>
    <xf numFmtId="1" fontId="3" fillId="0" borderId="91" xfId="0" applyNumberFormat="1" applyFont="1" applyBorder="1" applyAlignment="1" applyProtection="1">
      <alignment horizontal="center" vertical="center"/>
      <protection locked="0"/>
    </xf>
    <xf numFmtId="0" fontId="3" fillId="0" borderId="92" xfId="0" applyFont="1" applyBorder="1" applyProtection="1">
      <protection locked="0"/>
    </xf>
    <xf numFmtId="0" fontId="3" fillId="0" borderId="173" xfId="0" applyFont="1" applyBorder="1" applyProtection="1">
      <protection locked="0"/>
    </xf>
    <xf numFmtId="1" fontId="3" fillId="0" borderId="172" xfId="0" applyNumberFormat="1" applyFont="1" applyBorder="1" applyAlignment="1">
      <alignment horizontal="center" vertical="center"/>
    </xf>
    <xf numFmtId="2" fontId="3" fillId="0" borderId="28" xfId="0" applyNumberFormat="1" applyFont="1" applyBorder="1" applyAlignment="1">
      <alignment horizontal="center" vertical="center"/>
    </xf>
    <xf numFmtId="2" fontId="3" fillId="0" borderId="21" xfId="0" applyNumberFormat="1" applyFont="1" applyBorder="1" applyAlignment="1">
      <alignment horizontal="center" vertical="center"/>
    </xf>
    <xf numFmtId="2" fontId="3" fillId="0" borderId="204" xfId="0" applyNumberFormat="1" applyFont="1" applyBorder="1" applyAlignment="1">
      <alignment horizontal="center" vertical="center"/>
    </xf>
    <xf numFmtId="0" fontId="4" fillId="2" borderId="14" xfId="0" applyFont="1" applyFill="1" applyBorder="1" applyAlignment="1">
      <alignment horizontal="center" vertical="center"/>
    </xf>
    <xf numFmtId="0" fontId="4" fillId="2" borderId="15" xfId="0" applyFont="1" applyFill="1" applyBorder="1" applyAlignment="1">
      <alignment horizontal="center" vertical="center"/>
    </xf>
    <xf numFmtId="0" fontId="4" fillId="2" borderId="16" xfId="0" applyFont="1" applyFill="1" applyBorder="1" applyAlignment="1">
      <alignment horizontal="center" vertical="center"/>
    </xf>
    <xf numFmtId="2" fontId="28" fillId="0" borderId="205" xfId="0" applyNumberFormat="1" applyFont="1" applyBorder="1" applyAlignment="1">
      <alignment horizontal="center" vertical="center"/>
    </xf>
    <xf numFmtId="2" fontId="28" fillId="0" borderId="206" xfId="0" applyNumberFormat="1" applyFont="1" applyBorder="1" applyAlignment="1">
      <alignment horizontal="center" vertical="center"/>
    </xf>
    <xf numFmtId="2" fontId="28" fillId="0" borderId="207" xfId="0" applyNumberFormat="1" applyFont="1" applyBorder="1" applyAlignment="1">
      <alignment horizontal="center" vertical="center"/>
    </xf>
    <xf numFmtId="11" fontId="3" fillId="0" borderId="29" xfId="0" applyNumberFormat="1" applyFont="1" applyBorder="1" applyAlignment="1">
      <alignment horizontal="center" vertical="center"/>
    </xf>
    <xf numFmtId="11" fontId="3" fillId="0" borderId="24" xfId="0" applyNumberFormat="1" applyFont="1" applyBorder="1" applyAlignment="1">
      <alignment horizontal="center" vertical="center"/>
    </xf>
    <xf numFmtId="11" fontId="3" fillId="0" borderId="208" xfId="0" applyNumberFormat="1" applyFont="1" applyBorder="1" applyAlignment="1">
      <alignment horizontal="center" vertical="center"/>
    </xf>
    <xf numFmtId="2" fontId="36" fillId="2" borderId="26" xfId="0" applyNumberFormat="1" applyFont="1" applyFill="1" applyBorder="1" applyAlignment="1">
      <alignment horizontal="center" vertical="center"/>
    </xf>
    <xf numFmtId="2" fontId="36" fillId="2" borderId="188" xfId="0" applyNumberFormat="1" applyFont="1" applyFill="1" applyBorder="1" applyAlignment="1">
      <alignment horizontal="center" vertical="center"/>
    </xf>
    <xf numFmtId="2" fontId="36" fillId="2" borderId="189" xfId="0" applyNumberFormat="1" applyFont="1" applyFill="1" applyBorder="1" applyAlignment="1">
      <alignment horizontal="center" vertical="center"/>
    </xf>
    <xf numFmtId="2" fontId="36" fillId="2" borderId="192" xfId="0" applyNumberFormat="1" applyFont="1" applyFill="1" applyBorder="1" applyAlignment="1">
      <alignment horizontal="center" vertical="center"/>
    </xf>
    <xf numFmtId="2" fontId="36" fillId="2" borderId="190" xfId="0" applyNumberFormat="1" applyFont="1" applyFill="1" applyBorder="1" applyAlignment="1">
      <alignment horizontal="center" vertical="center"/>
    </xf>
    <xf numFmtId="2" fontId="36" fillId="2" borderId="191" xfId="0" applyNumberFormat="1" applyFont="1" applyFill="1" applyBorder="1" applyAlignment="1">
      <alignment horizontal="center" vertical="center"/>
    </xf>
    <xf numFmtId="0" fontId="36" fillId="2" borderId="26" xfId="0" applyFont="1" applyFill="1" applyBorder="1" applyAlignment="1">
      <alignment horizontal="center" vertical="center"/>
    </xf>
    <xf numFmtId="0" fontId="36" fillId="2" borderId="188" xfId="0" applyFont="1" applyFill="1" applyBorder="1" applyAlignment="1">
      <alignment horizontal="center" vertical="center"/>
    </xf>
    <xf numFmtId="0" fontId="36" fillId="2" borderId="189" xfId="0" applyFont="1" applyFill="1" applyBorder="1" applyAlignment="1">
      <alignment horizontal="center" vertical="center"/>
    </xf>
    <xf numFmtId="0" fontId="36" fillId="2" borderId="192" xfId="0" applyFont="1" applyFill="1" applyBorder="1" applyAlignment="1">
      <alignment horizontal="center" vertical="center"/>
    </xf>
    <xf numFmtId="0" fontId="36" fillId="2" borderId="190" xfId="0" applyFont="1" applyFill="1" applyBorder="1" applyAlignment="1">
      <alignment horizontal="center" vertical="center"/>
    </xf>
    <xf numFmtId="0" fontId="36" fillId="2" borderId="191" xfId="0" applyFont="1" applyFill="1" applyBorder="1" applyAlignment="1">
      <alignment horizontal="center" vertical="center"/>
    </xf>
    <xf numFmtId="0" fontId="4" fillId="2" borderId="5" xfId="0" applyFont="1" applyFill="1" applyBorder="1" applyAlignment="1">
      <alignment horizontal="center" vertical="center" wrapText="1"/>
    </xf>
    <xf numFmtId="0" fontId="4" fillId="2" borderId="0" xfId="0" applyFont="1" applyFill="1" applyAlignment="1">
      <alignment horizontal="center" vertical="center" wrapText="1"/>
    </xf>
    <xf numFmtId="0" fontId="4" fillId="2" borderId="6" xfId="0" applyFont="1" applyFill="1" applyBorder="1" applyAlignment="1">
      <alignment horizontal="center" vertical="center" wrapText="1"/>
    </xf>
    <xf numFmtId="172" fontId="3" fillId="3" borderId="46" xfId="0" applyNumberFormat="1" applyFont="1" applyFill="1" applyBorder="1" applyAlignment="1">
      <alignment horizontal="center" vertical="center"/>
    </xf>
    <xf numFmtId="172" fontId="3" fillId="3" borderId="47" xfId="0" applyNumberFormat="1" applyFont="1" applyFill="1" applyBorder="1" applyAlignment="1">
      <alignment horizontal="center" vertical="center"/>
    </xf>
    <xf numFmtId="172" fontId="3" fillId="3" borderId="48" xfId="0" applyNumberFormat="1" applyFont="1" applyFill="1" applyBorder="1" applyAlignment="1">
      <alignment horizontal="center" vertical="center"/>
    </xf>
    <xf numFmtId="0" fontId="3" fillId="3" borderId="19" xfId="0" applyFont="1" applyFill="1" applyBorder="1" applyAlignment="1">
      <alignment horizontal="center" vertical="center"/>
    </xf>
    <xf numFmtId="168" fontId="3" fillId="0" borderId="45" xfId="0" applyNumberFormat="1" applyFont="1" applyBorder="1" applyAlignment="1">
      <alignment horizontal="center" vertical="center"/>
    </xf>
    <xf numFmtId="168" fontId="3" fillId="0" borderId="32" xfId="0" applyNumberFormat="1" applyFont="1" applyBorder="1" applyAlignment="1">
      <alignment horizontal="center" vertical="center"/>
    </xf>
    <xf numFmtId="168" fontId="3" fillId="0" borderId="17" xfId="0" applyNumberFormat="1" applyFont="1" applyBorder="1" applyAlignment="1">
      <alignment horizontal="center" vertical="center"/>
    </xf>
    <xf numFmtId="14" fontId="3" fillId="0" borderId="10" xfId="0" applyNumberFormat="1" applyFont="1" applyBorder="1" applyAlignment="1">
      <alignment horizontal="center" vertical="center"/>
    </xf>
    <xf numFmtId="0" fontId="3" fillId="0" borderId="0" xfId="0" applyFont="1" applyAlignment="1">
      <alignment horizontal="center" vertical="center"/>
    </xf>
    <xf numFmtId="0" fontId="3" fillId="0" borderId="4" xfId="0" applyFont="1" applyBorder="1" applyAlignment="1">
      <alignment horizontal="center" vertical="center"/>
    </xf>
    <xf numFmtId="0" fontId="3" fillId="0" borderId="10" xfId="0" applyFont="1" applyBorder="1" applyAlignment="1">
      <alignment horizontal="center" vertical="center"/>
    </xf>
    <xf numFmtId="172" fontId="3" fillId="0" borderId="252" xfId="0" applyNumberFormat="1" applyFont="1" applyBorder="1" applyAlignment="1">
      <alignment horizontal="center" vertical="center"/>
    </xf>
    <xf numFmtId="172" fontId="3" fillId="0" borderId="215" xfId="0" applyNumberFormat="1" applyFont="1" applyBorder="1" applyAlignment="1">
      <alignment horizontal="center" vertical="center"/>
    </xf>
    <xf numFmtId="172" fontId="3" fillId="0" borderId="253" xfId="0" applyNumberFormat="1" applyFont="1" applyBorder="1" applyAlignment="1">
      <alignment horizontal="center" vertical="center"/>
    </xf>
    <xf numFmtId="0" fontId="28" fillId="0" borderId="214" xfId="0" applyFont="1" applyBorder="1" applyAlignment="1">
      <alignment horizontal="center"/>
    </xf>
    <xf numFmtId="0" fontId="28" fillId="0" borderId="23" xfId="0" applyFont="1" applyBorder="1" applyAlignment="1">
      <alignment horizontal="center"/>
    </xf>
    <xf numFmtId="0" fontId="28" fillId="0" borderId="215" xfId="0" applyFont="1" applyBorder="1" applyAlignment="1">
      <alignment horizontal="center"/>
    </xf>
    <xf numFmtId="0" fontId="28" fillId="0" borderId="25" xfId="0" applyFont="1" applyBorder="1" applyAlignment="1">
      <alignment horizontal="center"/>
    </xf>
    <xf numFmtId="0" fontId="28" fillId="0" borderId="33" xfId="0" applyFont="1" applyBorder="1" applyAlignment="1">
      <alignment horizontal="center"/>
    </xf>
    <xf numFmtId="0" fontId="28" fillId="0" borderId="22" xfId="0" applyFont="1" applyBorder="1" applyAlignment="1">
      <alignment horizontal="center"/>
    </xf>
    <xf numFmtId="0" fontId="28" fillId="0" borderId="214" xfId="0" quotePrefix="1" applyFont="1" applyBorder="1" applyAlignment="1">
      <alignment horizontal="center"/>
    </xf>
    <xf numFmtId="0" fontId="28" fillId="0" borderId="20" xfId="0" applyFont="1" applyBorder="1" applyAlignment="1">
      <alignment horizontal="center"/>
    </xf>
    <xf numFmtId="0" fontId="28" fillId="0" borderId="30" xfId="0" applyFont="1" applyBorder="1" applyAlignment="1">
      <alignment horizontal="center"/>
    </xf>
    <xf numFmtId="1" fontId="2" fillId="0" borderId="93" xfId="0" applyNumberFormat="1" applyFont="1" applyBorder="1" applyAlignment="1">
      <alignment horizontal="center" vertical="center"/>
    </xf>
    <xf numFmtId="1" fontId="2" fillId="0" borderId="94" xfId="0" applyNumberFormat="1" applyFont="1" applyBorder="1" applyAlignment="1">
      <alignment horizontal="center" vertical="center"/>
    </xf>
    <xf numFmtId="1" fontId="2" fillId="0" borderId="10" xfId="0" applyNumberFormat="1" applyFont="1" applyBorder="1" applyAlignment="1">
      <alignment horizontal="center" vertical="center"/>
    </xf>
    <xf numFmtId="1" fontId="2" fillId="0" borderId="6" xfId="0" applyNumberFormat="1" applyFont="1" applyBorder="1" applyAlignment="1">
      <alignment horizontal="center" vertical="center"/>
    </xf>
    <xf numFmtId="1" fontId="2" fillId="0" borderId="36" xfId="0" applyNumberFormat="1" applyFont="1" applyBorder="1" applyAlignment="1">
      <alignment horizontal="center" vertical="center"/>
    </xf>
    <xf numFmtId="1" fontId="2" fillId="0" borderId="37" xfId="0" applyNumberFormat="1" applyFont="1" applyBorder="1" applyAlignment="1">
      <alignment horizontal="center" vertical="center"/>
    </xf>
    <xf numFmtId="1" fontId="2" fillId="0" borderId="96" xfId="0" applyNumberFormat="1" applyFont="1" applyBorder="1" applyAlignment="1">
      <alignment horizontal="center" vertical="center"/>
    </xf>
    <xf numFmtId="1" fontId="2" fillId="0" borderId="12" xfId="0" applyNumberFormat="1" applyFont="1" applyBorder="1" applyAlignment="1">
      <alignment horizontal="center" vertical="center"/>
    </xf>
    <xf numFmtId="0" fontId="28" fillId="0" borderId="98" xfId="0" applyFont="1" applyBorder="1" applyAlignment="1">
      <alignment horizontal="center"/>
    </xf>
    <xf numFmtId="0" fontId="28" fillId="0" borderId="99" xfId="0" applyFont="1" applyBorder="1" applyAlignment="1">
      <alignment horizontal="center"/>
    </xf>
    <xf numFmtId="0" fontId="28" fillId="0" borderId="100" xfId="0" applyFont="1" applyBorder="1" applyAlignment="1">
      <alignment horizontal="center"/>
    </xf>
    <xf numFmtId="0" fontId="28" fillId="0" borderId="101" xfId="0" applyFont="1" applyBorder="1" applyAlignment="1">
      <alignment horizontal="center"/>
    </xf>
    <xf numFmtId="1" fontId="2" fillId="0" borderId="95" xfId="0" applyNumberFormat="1" applyFont="1" applyBorder="1" applyAlignment="1">
      <alignment horizontal="center" vertical="center"/>
    </xf>
    <xf numFmtId="1" fontId="2" fillId="0" borderId="5" xfId="0" applyNumberFormat="1" applyFont="1" applyBorder="1" applyAlignment="1">
      <alignment horizontal="center" vertical="center"/>
    </xf>
    <xf numFmtId="182" fontId="28" fillId="17" borderId="217" xfId="0" applyNumberFormat="1" applyFont="1" applyFill="1" applyBorder="1" applyAlignment="1">
      <alignment horizontal="center" vertical="center" wrapText="1"/>
    </xf>
    <xf numFmtId="0" fontId="28" fillId="17" borderId="216" xfId="0" applyFont="1" applyFill="1" applyBorder="1" applyAlignment="1">
      <alignment horizontal="center" vertical="center" wrapText="1"/>
    </xf>
    <xf numFmtId="182" fontId="28" fillId="17" borderId="218" xfId="0" applyNumberFormat="1" applyFont="1" applyFill="1" applyBorder="1" applyAlignment="1">
      <alignment horizontal="center" vertical="center" wrapText="1"/>
    </xf>
    <xf numFmtId="0" fontId="50" fillId="19" borderId="221" xfId="0" applyFont="1" applyFill="1" applyBorder="1" applyAlignment="1">
      <alignment horizontal="center" vertical="center"/>
    </xf>
    <xf numFmtId="0" fontId="50" fillId="19" borderId="222" xfId="0" applyFont="1" applyFill="1" applyBorder="1" applyAlignment="1">
      <alignment horizontal="center" vertical="center"/>
    </xf>
    <xf numFmtId="0" fontId="50" fillId="19" borderId="223" xfId="0" applyFont="1" applyFill="1" applyBorder="1" applyAlignment="1">
      <alignment horizontal="center" vertical="center"/>
    </xf>
    <xf numFmtId="0" fontId="10" fillId="17" borderId="10" xfId="0" applyFont="1" applyFill="1" applyBorder="1" applyAlignment="1">
      <alignment horizontal="left" vertical="center" wrapText="1"/>
    </xf>
    <xf numFmtId="0" fontId="0" fillId="17" borderId="0" xfId="0" applyFill="1"/>
    <xf numFmtId="0" fontId="3" fillId="17" borderId="4" xfId="0" applyFont="1" applyFill="1" applyBorder="1"/>
    <xf numFmtId="0" fontId="10" fillId="24" borderId="105" xfId="0" applyFont="1" applyFill="1" applyBorder="1" applyAlignment="1">
      <alignment horizontal="center" vertical="center"/>
    </xf>
    <xf numFmtId="0" fontId="3" fillId="17" borderId="126" xfId="0" applyFont="1" applyFill="1" applyBorder="1"/>
    <xf numFmtId="0" fontId="10" fillId="17" borderId="36" xfId="0" applyFont="1" applyFill="1" applyBorder="1" applyAlignment="1">
      <alignment horizontal="left" vertical="center"/>
    </xf>
    <xf numFmtId="0" fontId="3" fillId="17" borderId="12" xfId="0" applyFont="1" applyFill="1" applyBorder="1"/>
    <xf numFmtId="0" fontId="3" fillId="17" borderId="13" xfId="0" applyFont="1" applyFill="1" applyBorder="1"/>
    <xf numFmtId="0" fontId="10" fillId="17" borderId="15" xfId="0" applyFont="1" applyFill="1" applyBorder="1" applyAlignment="1">
      <alignment horizontal="left" vertical="center"/>
    </xf>
    <xf numFmtId="0" fontId="10" fillId="17" borderId="16" xfId="0" applyFont="1" applyFill="1" applyBorder="1" applyAlignment="1">
      <alignment horizontal="left" vertical="center"/>
    </xf>
    <xf numFmtId="173" fontId="3" fillId="17" borderId="15" xfId="0" applyNumberFormat="1" applyFont="1" applyFill="1" applyBorder="1" applyAlignment="1">
      <alignment horizontal="center" vertical="center"/>
    </xf>
    <xf numFmtId="0" fontId="29" fillId="13" borderId="128" xfId="0" applyFont="1" applyFill="1" applyBorder="1" applyAlignment="1">
      <alignment horizontal="center" vertical="center"/>
    </xf>
    <xf numFmtId="0" fontId="3" fillId="0" borderId="129" xfId="0" applyFont="1" applyBorder="1"/>
    <xf numFmtId="0" fontId="3" fillId="0" borderId="130" xfId="0" applyFont="1" applyBorder="1"/>
    <xf numFmtId="0" fontId="10" fillId="17" borderId="10" xfId="0" applyFont="1" applyFill="1" applyBorder="1" applyAlignment="1">
      <alignment horizontal="left" vertical="center"/>
    </xf>
    <xf numFmtId="2" fontId="10" fillId="24" borderId="105" xfId="0" applyNumberFormat="1" applyFont="1" applyFill="1" applyBorder="1" applyAlignment="1">
      <alignment horizontal="center" vertical="center"/>
    </xf>
    <xf numFmtId="0" fontId="3" fillId="17" borderId="15" xfId="0" applyFont="1" applyFill="1" applyBorder="1" applyAlignment="1">
      <alignment horizontal="center" vertical="center"/>
    </xf>
    <xf numFmtId="0" fontId="10" fillId="24" borderId="0" xfId="0" applyFont="1" applyFill="1" applyAlignment="1">
      <alignment horizontal="center" vertical="center"/>
    </xf>
    <xf numFmtId="0" fontId="3" fillId="17" borderId="131" xfId="0" applyFont="1" applyFill="1" applyBorder="1"/>
    <xf numFmtId="0" fontId="48" fillId="14" borderId="194" xfId="0" applyFont="1" applyFill="1" applyBorder="1" applyAlignment="1">
      <alignment horizontal="center" vertical="center" wrapText="1"/>
    </xf>
    <xf numFmtId="0" fontId="48" fillId="14" borderId="195" xfId="0" applyFont="1" applyFill="1" applyBorder="1" applyAlignment="1">
      <alignment horizontal="center" vertical="center" wrapText="1"/>
    </xf>
    <xf numFmtId="0" fontId="48" fillId="14" borderId="196" xfId="0" applyFont="1" applyFill="1" applyBorder="1" applyAlignment="1">
      <alignment horizontal="center" vertical="center" wrapText="1"/>
    </xf>
    <xf numFmtId="0" fontId="51" fillId="12" borderId="124" xfId="0" applyFont="1" applyFill="1" applyBorder="1" applyAlignment="1">
      <alignment horizontal="center" vertical="center"/>
    </xf>
    <xf numFmtId="0" fontId="10" fillId="0" borderId="96" xfId="0" applyFont="1" applyBorder="1"/>
    <xf numFmtId="0" fontId="10" fillId="0" borderId="127" xfId="0" applyFont="1" applyBorder="1"/>
    <xf numFmtId="2" fontId="10" fillId="24" borderId="0" xfId="0" applyNumberFormat="1" applyFont="1" applyFill="1" applyAlignment="1">
      <alignment horizontal="center" vertical="center"/>
    </xf>
    <xf numFmtId="2" fontId="2" fillId="17" borderId="0" xfId="0" applyNumberFormat="1" applyFont="1" applyFill="1"/>
    <xf numFmtId="14" fontId="4" fillId="9" borderId="209" xfId="0" applyNumberFormat="1" applyFont="1" applyFill="1" applyBorder="1" applyAlignment="1">
      <alignment horizontal="center" vertical="center"/>
    </xf>
    <xf numFmtId="14" fontId="4" fillId="9" borderId="210" xfId="0" applyNumberFormat="1" applyFont="1" applyFill="1" applyBorder="1" applyAlignment="1">
      <alignment horizontal="center" vertical="center"/>
    </xf>
    <xf numFmtId="14" fontId="4" fillId="9" borderId="211" xfId="0" applyNumberFormat="1" applyFont="1" applyFill="1" applyBorder="1" applyAlignment="1">
      <alignment horizontal="center" vertical="center"/>
    </xf>
    <xf numFmtId="0" fontId="4" fillId="10" borderId="212" xfId="0" applyFont="1" applyFill="1" applyBorder="1" applyAlignment="1">
      <alignment horizontal="center" vertical="center" textRotation="90"/>
    </xf>
    <xf numFmtId="0" fontId="2" fillId="0" borderId="10" xfId="0" applyFont="1" applyBorder="1"/>
    <xf numFmtId="0" fontId="2" fillId="0" borderId="213" xfId="0" applyFont="1" applyBorder="1"/>
    <xf numFmtId="0" fontId="2" fillId="0" borderId="106" xfId="0" applyFont="1" applyBorder="1"/>
    <xf numFmtId="0" fontId="4" fillId="10" borderId="111" xfId="0" applyFont="1" applyFill="1" applyBorder="1" applyAlignment="1">
      <alignment horizontal="center" vertical="center"/>
    </xf>
    <xf numFmtId="0" fontId="2" fillId="0" borderId="102" xfId="0" applyFont="1" applyBorder="1"/>
    <xf numFmtId="0" fontId="2" fillId="0" borderId="104" xfId="0" applyFont="1" applyBorder="1"/>
    <xf numFmtId="0" fontId="2" fillId="0" borderId="105" xfId="0" applyFont="1" applyBorder="1"/>
    <xf numFmtId="0" fontId="4" fillId="10" borderId="113" xfId="0" applyFont="1" applyFill="1" applyBorder="1" applyAlignment="1">
      <alignment horizontal="center" vertical="center"/>
    </xf>
    <xf numFmtId="0" fontId="4" fillId="10" borderId="115" xfId="0" applyFont="1" applyFill="1" applyBorder="1" applyAlignment="1">
      <alignment horizontal="center" vertical="center"/>
    </xf>
    <xf numFmtId="0" fontId="2" fillId="2" borderId="102" xfId="0" applyFont="1" applyFill="1" applyBorder="1" applyAlignment="1">
      <alignment horizontal="center" vertical="center"/>
    </xf>
    <xf numFmtId="0" fontId="2" fillId="2" borderId="0" xfId="0" applyFont="1" applyFill="1" applyAlignment="1">
      <alignment horizontal="center" vertical="center"/>
    </xf>
    <xf numFmtId="0" fontId="2" fillId="2" borderId="103" xfId="0" applyFont="1" applyFill="1" applyBorder="1" applyAlignment="1">
      <alignment horizontal="center" vertical="center"/>
    </xf>
    <xf numFmtId="0" fontId="2" fillId="2" borderId="104" xfId="0" applyFont="1" applyFill="1" applyBorder="1" applyAlignment="1">
      <alignment horizontal="center" vertical="center"/>
    </xf>
    <xf numFmtId="0" fontId="2" fillId="2" borderId="105" xfId="0" applyFont="1" applyFill="1" applyBorder="1" applyAlignment="1">
      <alignment horizontal="center" vertical="center"/>
    </xf>
    <xf numFmtId="0" fontId="2" fillId="2" borderId="106"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07" xfId="0" applyFont="1" applyFill="1" applyBorder="1" applyAlignment="1">
      <alignment horizontal="center" vertical="center"/>
    </xf>
    <xf numFmtId="2" fontId="10" fillId="17" borderId="121" xfId="0" applyNumberFormat="1" applyFont="1" applyFill="1" applyBorder="1" applyAlignment="1">
      <alignment horizontal="center" vertical="center"/>
    </xf>
    <xf numFmtId="0" fontId="3" fillId="17" borderId="122" xfId="0" applyFont="1" applyFill="1" applyBorder="1"/>
    <xf numFmtId="0" fontId="10" fillId="17" borderId="121" xfId="0" applyFont="1" applyFill="1" applyBorder="1" applyAlignment="1">
      <alignment horizontal="center" vertical="center"/>
    </xf>
    <xf numFmtId="0" fontId="3" fillId="17" borderId="123" xfId="0" applyFont="1" applyFill="1" applyBorder="1"/>
    <xf numFmtId="0" fontId="51" fillId="12" borderId="116" xfId="0" applyFont="1" applyFill="1" applyBorder="1" applyAlignment="1">
      <alignment horizontal="center" vertical="center"/>
    </xf>
    <xf numFmtId="0" fontId="10" fillId="0" borderId="108" xfId="0" applyFont="1" applyBorder="1"/>
    <xf numFmtId="0" fontId="10" fillId="0" borderId="117" xfId="0" applyFont="1" applyBorder="1"/>
    <xf numFmtId="0" fontId="23" fillId="17" borderId="39" xfId="0" applyFont="1" applyFill="1" applyBorder="1" applyAlignment="1">
      <alignment horizontal="center" vertical="center"/>
    </xf>
    <xf numFmtId="0" fontId="23" fillId="17" borderId="8" xfId="0" applyFont="1" applyFill="1" applyBorder="1" applyAlignment="1">
      <alignment horizontal="center" vertical="center"/>
    </xf>
    <xf numFmtId="0" fontId="23" fillId="17" borderId="11" xfId="0" applyFont="1" applyFill="1" applyBorder="1" applyAlignment="1">
      <alignment horizontal="center" vertical="center"/>
    </xf>
    <xf numFmtId="0" fontId="10" fillId="17" borderId="118" xfId="0" applyFont="1" applyFill="1" applyBorder="1" applyAlignment="1">
      <alignment horizontal="center" vertical="center"/>
    </xf>
    <xf numFmtId="0" fontId="3" fillId="17" borderId="120" xfId="0" applyFont="1" applyFill="1" applyBorder="1"/>
    <xf numFmtId="168" fontId="12" fillId="17" borderId="118" xfId="0" applyNumberFormat="1" applyFont="1" applyFill="1" applyBorder="1" applyAlignment="1">
      <alignment horizontal="center" vertical="center"/>
    </xf>
    <xf numFmtId="0" fontId="3" fillId="17" borderId="119" xfId="0" applyFont="1" applyFill="1" applyBorder="1"/>
    <xf numFmtId="0" fontId="2" fillId="0" borderId="160" xfId="0" applyFont="1" applyBorder="1" applyAlignment="1">
      <alignment horizontal="center" vertical="center" wrapText="1"/>
    </xf>
    <xf numFmtId="0" fontId="2" fillId="0" borderId="143" xfId="0" applyFont="1" applyBorder="1" applyAlignment="1">
      <alignment horizontal="center" vertical="center" wrapText="1"/>
    </xf>
    <xf numFmtId="0" fontId="2" fillId="0" borderId="161" xfId="0" applyFont="1" applyBorder="1" applyAlignment="1">
      <alignment horizontal="center" vertical="center" wrapText="1"/>
    </xf>
    <xf numFmtId="14" fontId="2" fillId="0" borderId="160" xfId="0" applyNumberFormat="1" applyFont="1" applyBorder="1" applyAlignment="1">
      <alignment horizontal="center" vertical="center"/>
    </xf>
    <xf numFmtId="14" fontId="2" fillId="0" borderId="143" xfId="0" applyNumberFormat="1" applyFont="1" applyBorder="1" applyAlignment="1">
      <alignment horizontal="center" vertical="center"/>
    </xf>
    <xf numFmtId="14" fontId="2" fillId="0" borderId="161" xfId="0" applyNumberFormat="1" applyFont="1" applyBorder="1" applyAlignment="1">
      <alignment horizontal="center" vertical="center"/>
    </xf>
    <xf numFmtId="0" fontId="2" fillId="0" borderId="203" xfId="0" applyFont="1" applyBorder="1" applyAlignment="1">
      <alignment horizontal="center" vertical="center"/>
    </xf>
    <xf numFmtId="0" fontId="2" fillId="0" borderId="89" xfId="0" applyFont="1" applyBorder="1" applyAlignment="1">
      <alignment horizontal="center" vertical="center"/>
    </xf>
    <xf numFmtId="0" fontId="2" fillId="0" borderId="90" xfId="0" applyFont="1" applyBorder="1" applyAlignment="1">
      <alignment horizontal="center" vertical="center"/>
    </xf>
    <xf numFmtId="0" fontId="2" fillId="0" borderId="143" xfId="0" applyFont="1" applyBorder="1"/>
    <xf numFmtId="0" fontId="2" fillId="0" borderId="161" xfId="0" applyFont="1" applyBorder="1"/>
    <xf numFmtId="0" fontId="2" fillId="0" borderId="203" xfId="0" applyFont="1" applyBorder="1" applyAlignment="1">
      <alignment horizontal="center" vertical="center" wrapText="1"/>
    </xf>
    <xf numFmtId="0" fontId="2" fillId="0" borderId="89" xfId="0" applyFont="1" applyBorder="1" applyAlignment="1">
      <alignment horizontal="center" vertical="center" wrapText="1"/>
    </xf>
    <xf numFmtId="0" fontId="2" fillId="0" borderId="90" xfId="0" applyFont="1" applyBorder="1" applyAlignment="1">
      <alignment horizontal="center" vertical="center" wrapText="1"/>
    </xf>
    <xf numFmtId="14" fontId="2" fillId="0" borderId="203" xfId="0" applyNumberFormat="1" applyFont="1" applyBorder="1" applyAlignment="1">
      <alignment horizontal="center" vertical="center"/>
    </xf>
    <xf numFmtId="14" fontId="2" fillId="0" borderId="89" xfId="0" applyNumberFormat="1" applyFont="1" applyBorder="1" applyAlignment="1">
      <alignment horizontal="center" vertical="center"/>
    </xf>
    <xf numFmtId="14" fontId="2" fillId="0" borderId="90" xfId="0" applyNumberFormat="1" applyFont="1" applyBorder="1" applyAlignment="1">
      <alignment horizontal="center" vertical="center"/>
    </xf>
    <xf numFmtId="0" fontId="2" fillId="0" borderId="199" xfId="0" applyFont="1" applyBorder="1" applyAlignment="1">
      <alignment horizontal="center" vertical="center"/>
    </xf>
    <xf numFmtId="0" fontId="2" fillId="0" borderId="157" xfId="0" applyFont="1" applyBorder="1"/>
    <xf numFmtId="0" fontId="2" fillId="0" borderId="158" xfId="0" applyFont="1" applyBorder="1"/>
    <xf numFmtId="0" fontId="2" fillId="0" borderId="200" xfId="0" applyFont="1" applyBorder="1" applyAlignment="1">
      <alignment horizontal="center" vertical="center" wrapText="1"/>
    </xf>
    <xf numFmtId="0" fontId="2" fillId="0" borderId="201" xfId="0" applyFont="1" applyBorder="1" applyAlignment="1">
      <alignment horizontal="center" vertical="center" wrapText="1"/>
    </xf>
    <xf numFmtId="0" fontId="2" fillId="0" borderId="202" xfId="0" applyFont="1" applyBorder="1" applyAlignment="1">
      <alignment horizontal="center" vertical="center" wrapText="1"/>
    </xf>
    <xf numFmtId="0" fontId="6" fillId="10" borderId="111" xfId="0" applyFont="1" applyFill="1" applyBorder="1" applyAlignment="1">
      <alignment horizontal="center" vertical="center"/>
    </xf>
    <xf numFmtId="0" fontId="6" fillId="10" borderId="31" xfId="0" applyFont="1" applyFill="1" applyBorder="1" applyAlignment="1">
      <alignment horizontal="center" vertical="center" wrapText="1"/>
    </xf>
    <xf numFmtId="0" fontId="6" fillId="10" borderId="7" xfId="0" applyFont="1" applyFill="1" applyBorder="1" applyAlignment="1">
      <alignment horizontal="center" vertical="center" wrapText="1"/>
    </xf>
    <xf numFmtId="0" fontId="6" fillId="10" borderId="34" xfId="0" applyFont="1" applyFill="1" applyBorder="1" applyAlignment="1">
      <alignment horizontal="center" vertical="center" wrapText="1"/>
    </xf>
    <xf numFmtId="0" fontId="6" fillId="10" borderId="5" xfId="0" applyFont="1" applyFill="1" applyBorder="1" applyAlignment="1">
      <alignment horizontal="center" vertical="center" wrapText="1"/>
    </xf>
    <xf numFmtId="0" fontId="6" fillId="10" borderId="0" xfId="0" applyFont="1" applyFill="1" applyAlignment="1">
      <alignment horizontal="center" vertical="center" wrapText="1"/>
    </xf>
    <xf numFmtId="0" fontId="6" fillId="10" borderId="6" xfId="0" applyFont="1" applyFill="1" applyBorder="1" applyAlignment="1">
      <alignment horizontal="center" vertical="center" wrapText="1"/>
    </xf>
    <xf numFmtId="0" fontId="6" fillId="10" borderId="2" xfId="0" applyFont="1" applyFill="1" applyBorder="1" applyAlignment="1">
      <alignment horizontal="center" vertical="center" wrapText="1"/>
    </xf>
    <xf numFmtId="0" fontId="6" fillId="10" borderId="1" xfId="0" applyFont="1" applyFill="1" applyBorder="1" applyAlignment="1">
      <alignment horizontal="center" vertical="center" wrapText="1"/>
    </xf>
    <xf numFmtId="0" fontId="6" fillId="10" borderId="3" xfId="0" applyFont="1" applyFill="1" applyBorder="1" applyAlignment="1">
      <alignment horizontal="center" vertical="center" wrapText="1"/>
    </xf>
    <xf numFmtId="0" fontId="2" fillId="10" borderId="112" xfId="0" applyFont="1" applyFill="1" applyBorder="1" applyAlignment="1">
      <alignment horizontal="center" vertical="center"/>
    </xf>
    <xf numFmtId="0" fontId="25" fillId="4" borderId="31" xfId="0" applyFont="1" applyFill="1" applyBorder="1" applyAlignment="1">
      <alignment horizontal="center" vertical="center"/>
    </xf>
    <xf numFmtId="0" fontId="25" fillId="4" borderId="5" xfId="0" applyFont="1" applyFill="1" applyBorder="1" applyAlignment="1">
      <alignment horizontal="center" vertical="center"/>
    </xf>
    <xf numFmtId="0" fontId="25" fillId="4" borderId="79" xfId="0" applyFont="1" applyFill="1" applyBorder="1" applyAlignment="1">
      <alignment horizontal="center" vertical="center"/>
    </xf>
    <xf numFmtId="0" fontId="25" fillId="4" borderId="0" xfId="0" applyFont="1" applyFill="1" applyAlignment="1">
      <alignment horizontal="center" vertical="center"/>
    </xf>
    <xf numFmtId="0" fontId="25" fillId="4" borderId="7" xfId="0" applyFont="1" applyFill="1" applyBorder="1" applyAlignment="1">
      <alignment horizontal="center" vertical="center" wrapText="1"/>
    </xf>
    <xf numFmtId="0" fontId="25" fillId="4" borderId="0" xfId="0" applyFont="1" applyFill="1" applyAlignment="1">
      <alignment horizontal="center" vertical="center" wrapText="1"/>
    </xf>
    <xf numFmtId="0" fontId="25" fillId="4" borderId="34" xfId="0" applyFont="1" applyFill="1" applyBorder="1" applyAlignment="1">
      <alignment horizontal="center" vertical="center"/>
    </xf>
    <xf numFmtId="0" fontId="25" fillId="4" borderId="6" xfId="0" applyFont="1" applyFill="1" applyBorder="1" applyAlignment="1">
      <alignment horizontal="center" vertical="center"/>
    </xf>
    <xf numFmtId="0" fontId="25" fillId="4" borderId="136" xfId="0" applyFont="1" applyFill="1" applyBorder="1" applyAlignment="1">
      <alignment horizontal="center" vertical="center"/>
    </xf>
    <xf numFmtId="0" fontId="25" fillId="4" borderId="133" xfId="0" applyFont="1" applyFill="1" applyBorder="1" applyAlignment="1">
      <alignment horizontal="center" vertical="center"/>
    </xf>
    <xf numFmtId="0" fontId="25" fillId="4" borderId="79" xfId="0" applyFont="1" applyFill="1" applyBorder="1" applyAlignment="1">
      <alignment horizontal="center" vertical="center" wrapText="1"/>
    </xf>
    <xf numFmtId="0" fontId="25" fillId="4" borderId="134" xfId="0" applyFont="1" applyFill="1" applyBorder="1" applyAlignment="1">
      <alignment horizontal="center" vertical="center"/>
    </xf>
    <xf numFmtId="0" fontId="25" fillId="4" borderId="73" xfId="0" applyFont="1" applyFill="1" applyBorder="1" applyAlignment="1">
      <alignment horizontal="center" vertical="center"/>
    </xf>
    <xf numFmtId="0" fontId="25" fillId="4" borderId="9" xfId="0" applyFont="1" applyFill="1" applyBorder="1" applyAlignment="1">
      <alignment horizontal="center" vertical="center"/>
    </xf>
    <xf numFmtId="0" fontId="25" fillId="4" borderId="139" xfId="0" applyFont="1" applyFill="1" applyBorder="1" applyAlignment="1">
      <alignment horizontal="center" vertical="center"/>
    </xf>
    <xf numFmtId="0" fontId="25" fillId="4" borderId="78" xfId="0" applyFont="1" applyFill="1" applyBorder="1" applyAlignment="1">
      <alignment horizontal="center" vertical="center"/>
    </xf>
    <xf numFmtId="0" fontId="25" fillId="4" borderId="78" xfId="0" applyFont="1" applyFill="1" applyBorder="1" applyAlignment="1">
      <alignment horizontal="center" vertical="center" wrapText="1"/>
    </xf>
    <xf numFmtId="0" fontId="25" fillId="4" borderId="135" xfId="0" applyFont="1" applyFill="1" applyBorder="1" applyAlignment="1">
      <alignment horizontal="center" vertical="center"/>
    </xf>
    <xf numFmtId="0" fontId="25" fillId="4" borderId="9" xfId="0" applyFont="1" applyFill="1" applyBorder="1" applyAlignment="1">
      <alignment horizontal="center" vertical="center" wrapText="1"/>
    </xf>
    <xf numFmtId="0" fontId="25" fillId="4" borderId="77" xfId="0" applyFont="1" applyFill="1" applyBorder="1" applyAlignment="1">
      <alignment horizontal="center" vertical="center" wrapText="1"/>
    </xf>
    <xf numFmtId="0" fontId="25" fillId="4" borderId="132" xfId="0" applyFont="1" applyFill="1" applyBorder="1" applyAlignment="1">
      <alignment horizontal="center" vertical="center" wrapText="1"/>
    </xf>
    <xf numFmtId="2" fontId="0" fillId="0" borderId="0" xfId="0" applyNumberFormat="1" applyAlignment="1">
      <alignment horizontal="center" vertical="center"/>
    </xf>
    <xf numFmtId="2" fontId="0" fillId="0" borderId="73" xfId="0" applyNumberFormat="1" applyBorder="1" applyAlignment="1">
      <alignment horizontal="center" vertical="center"/>
    </xf>
    <xf numFmtId="2" fontId="0" fillId="0" borderId="133" xfId="0" applyNumberFormat="1" applyBorder="1" applyAlignment="1">
      <alignment horizontal="center" vertical="center"/>
    </xf>
    <xf numFmtId="2" fontId="0" fillId="0" borderId="139" xfId="0" applyNumberFormat="1" applyBorder="1" applyAlignment="1">
      <alignment horizontal="center" vertical="center"/>
    </xf>
    <xf numFmtId="2" fontId="0" fillId="0" borderId="135" xfId="0" applyNumberFormat="1" applyBorder="1" applyAlignment="1">
      <alignment horizontal="center" vertical="center"/>
    </xf>
    <xf numFmtId="0" fontId="4" fillId="14" borderId="137" xfId="0" applyFont="1" applyFill="1" applyBorder="1" applyAlignment="1">
      <alignment horizontal="center" vertical="center" wrapText="1"/>
    </xf>
    <xf numFmtId="0" fontId="4" fillId="14" borderId="138" xfId="0" applyFont="1" applyFill="1" applyBorder="1" applyAlignment="1">
      <alignment horizontal="center" vertical="center" wrapText="1"/>
    </xf>
    <xf numFmtId="0" fontId="4" fillId="14" borderId="67" xfId="0" applyFont="1" applyFill="1" applyBorder="1" applyAlignment="1">
      <alignment horizontal="center" vertical="center" wrapText="1"/>
    </xf>
    <xf numFmtId="0" fontId="4" fillId="14" borderId="68" xfId="0" applyFont="1" applyFill="1" applyBorder="1" applyAlignment="1">
      <alignment horizontal="center" vertical="center" wrapText="1"/>
    </xf>
    <xf numFmtId="0" fontId="4" fillId="14" borderId="137" xfId="0" applyFont="1" applyFill="1" applyBorder="1" applyAlignment="1">
      <alignment horizontal="center" vertical="center"/>
    </xf>
    <xf numFmtId="0" fontId="4" fillId="14" borderId="140" xfId="0" applyFont="1" applyFill="1" applyBorder="1" applyAlignment="1">
      <alignment horizontal="center" vertical="center"/>
    </xf>
    <xf numFmtId="0" fontId="4" fillId="14" borderId="138" xfId="0" applyFont="1" applyFill="1" applyBorder="1" applyAlignment="1">
      <alignment horizontal="center" vertical="center"/>
    </xf>
    <xf numFmtId="0" fontId="25" fillId="14" borderId="137" xfId="0" applyFont="1" applyFill="1" applyBorder="1" applyAlignment="1">
      <alignment horizontal="center" vertical="center"/>
    </xf>
    <xf numFmtId="0" fontId="25" fillId="14" borderId="140" xfId="0" applyFont="1" applyFill="1" applyBorder="1" applyAlignment="1">
      <alignment horizontal="center" vertical="center"/>
    </xf>
    <xf numFmtId="0" fontId="25" fillId="14" borderId="138" xfId="0" applyFont="1" applyFill="1" applyBorder="1" applyAlignment="1">
      <alignment horizontal="center" vertical="center"/>
    </xf>
    <xf numFmtId="3" fontId="2" fillId="0" borderId="266" xfId="8" applyNumberFormat="1" applyFont="1" applyBorder="1" applyAlignment="1" applyProtection="1">
      <alignment horizontal="center"/>
      <protection locked="0"/>
    </xf>
    <xf numFmtId="3" fontId="2" fillId="0" borderId="267" xfId="0" applyNumberFormat="1" applyFont="1" applyBorder="1" applyAlignment="1" applyProtection="1">
      <alignment horizontal="center"/>
      <protection locked="0"/>
    </xf>
    <xf numFmtId="3" fontId="6" fillId="0" borderId="187" xfId="0" quotePrefix="1" applyNumberFormat="1" applyFont="1" applyBorder="1" applyAlignment="1" applyProtection="1">
      <alignment horizontal="center" vertical="center"/>
      <protection locked="0"/>
    </xf>
    <xf numFmtId="3" fontId="6" fillId="0" borderId="186" xfId="0" applyNumberFormat="1" applyFont="1" applyBorder="1" applyProtection="1">
      <protection locked="0"/>
    </xf>
    <xf numFmtId="3" fontId="6" fillId="0" borderId="197" xfId="0" applyNumberFormat="1" applyFont="1" applyBorder="1" applyAlignment="1" applyProtection="1">
      <alignment horizontal="center" vertical="center" wrapText="1"/>
      <protection locked="0"/>
    </xf>
    <xf numFmtId="3" fontId="6" fillId="0" borderId="198" xfId="0" applyNumberFormat="1" applyFont="1" applyBorder="1" applyAlignment="1" applyProtection="1">
      <alignment horizontal="center" vertical="center" wrapText="1"/>
      <protection locked="0"/>
    </xf>
  </cellXfs>
  <cellStyles count="9">
    <cellStyle name="Hiperlink" xfId="7" builtinId="8"/>
    <cellStyle name="Moeda" xfId="8" builtinId="4"/>
    <cellStyle name="Normal" xfId="0" builtinId="0"/>
    <cellStyle name="Normal 2" xfId="1" xr:uid="{00000000-0005-0000-0000-000002000000}"/>
    <cellStyle name="Normal 3" xfId="2" xr:uid="{00000000-0005-0000-0000-000003000000}"/>
    <cellStyle name="Normal 4" xfId="5" xr:uid="{00000000-0005-0000-0000-000004000000}"/>
    <cellStyle name="Normal 5 2" xfId="6" xr:uid="{00000000-0005-0000-0000-000005000000}"/>
    <cellStyle name="Porcentagem" xfId="3" builtinId="5"/>
    <cellStyle name="Vírgula" xfId="4" builtinId="3"/>
  </cellStyles>
  <dxfs count="202">
    <dxf>
      <font>
        <condense val="0"/>
        <extend val="0"/>
        <color rgb="FF006100"/>
      </font>
      <fill>
        <patternFill>
          <bgColor rgb="FFC6EFCE"/>
        </patternFill>
      </fill>
    </dxf>
    <dxf>
      <font>
        <condense val="0"/>
        <extend val="0"/>
        <color rgb="FF9C0006"/>
      </font>
      <fill>
        <patternFill>
          <bgColor rgb="FFFFC7CE"/>
        </patternFill>
      </fill>
    </dxf>
    <dxf>
      <font>
        <color theme="9" tint="-0.24994659260841701"/>
      </font>
    </dxf>
    <dxf>
      <font>
        <color rgb="FF9C0006"/>
      </font>
    </dxf>
    <dxf>
      <font>
        <condense val="0"/>
        <extend val="0"/>
        <color rgb="FF006100"/>
      </font>
      <fill>
        <patternFill>
          <bgColor rgb="FFC6EFCE"/>
        </patternFill>
      </fill>
    </dxf>
    <dxf>
      <font>
        <condense val="0"/>
        <extend val="0"/>
        <color rgb="FF9C0006"/>
      </font>
      <fill>
        <patternFill>
          <bgColor rgb="FFFFC7CE"/>
        </patternFill>
      </fill>
    </dxf>
    <dxf>
      <font>
        <color rgb="FFC00000"/>
      </font>
      <fill>
        <patternFill>
          <bgColor theme="5" tint="0.39994506668294322"/>
        </patternFill>
      </fill>
    </dxf>
    <dxf>
      <font>
        <color theme="5"/>
      </font>
      <fill>
        <patternFill patternType="solid">
          <bgColor theme="7" tint="0.59996337778862885"/>
        </patternFill>
      </fill>
    </dxf>
    <dxf>
      <fill>
        <patternFill patternType="solid">
          <bgColor theme="0"/>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9"/>
      </font>
    </dxf>
    <dxf>
      <font>
        <color theme="8"/>
      </font>
    </dxf>
    <dxf>
      <border>
        <top style="thin">
          <color rgb="FF00447C"/>
        </top>
        <bottom style="thin">
          <color rgb="FF00447C"/>
        </bottom>
        <vertical/>
        <horizontal/>
      </border>
    </dxf>
    <dxf>
      <border>
        <right style="thin">
          <color rgb="FF00447C"/>
        </right>
        <bottom style="thin">
          <color rgb="FF00447C"/>
        </bottom>
        <vertical/>
        <horizontal/>
      </border>
    </dxf>
    <dxf>
      <border>
        <top style="thin">
          <color rgb="FF00447C"/>
        </top>
        <vertical/>
        <horizontal/>
      </border>
    </dxf>
    <dxf>
      <border>
        <left style="thin">
          <color rgb="FF00447C"/>
        </left>
        <bottom style="thin">
          <color rgb="FF00447C"/>
        </bottom>
        <vertical/>
        <horizontal/>
      </border>
    </dxf>
    <dxf>
      <border>
        <top style="thin">
          <color rgb="FF00447C"/>
        </top>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
      <border>
        <bottom style="thin">
          <color rgb="FF00447C"/>
        </bottom>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right style="thin">
          <color rgb="FF00447C"/>
        </right>
        <top style="thin">
          <color rgb="FF00447C"/>
        </top>
        <bottom style="thin">
          <color rgb="FF00447C"/>
        </bottom>
        <vertical/>
        <horizontal/>
      </border>
    </dxf>
    <dxf>
      <border>
        <bottom style="thin">
          <color rgb="FF00447C"/>
        </bottom>
        <vertical/>
        <horizontal/>
      </border>
    </dxf>
    <dxf>
      <border>
        <top style="thin">
          <color rgb="FF00447C"/>
        </top>
        <vertical/>
        <horizontal/>
      </border>
    </dxf>
    <dxf>
      <border>
        <bottom style="thin">
          <color rgb="FF00447C"/>
        </bottom>
        <vertical/>
        <horizontal/>
      </border>
    </dxf>
    <dxf>
      <border>
        <top style="thin">
          <color rgb="FF00447C"/>
        </top>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vertical/>
        <horizontal/>
      </border>
    </dxf>
    <dxf>
      <border>
        <bottom style="thin">
          <color rgb="FF00447C"/>
        </bottom>
        <vertical/>
        <horizontal/>
      </border>
    </dxf>
    <dxf>
      <border>
        <top style="thin">
          <color rgb="FF00447C"/>
        </top>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s>
  <tableStyles count="0" defaultTableStyle="TableStyleMedium2" defaultPivotStyle="PivotStyleLight16"/>
  <colors>
    <mruColors>
      <color rgb="FF00447C"/>
      <color rgb="FF8BD7EE"/>
      <color rgb="FFE075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r>
              <a:rPr lang="pt-BR"/>
              <a:t>Linear</a:t>
            </a:r>
          </a:p>
        </c:rich>
      </c:tx>
      <c:layout>
        <c:manualLayout>
          <c:xMode val="edge"/>
          <c:yMode val="edge"/>
          <c:x val="1.3339272371975396E-2"/>
          <c:y val="2.6800655877468247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endParaRPr lang="pt-BR"/>
        </a:p>
      </c:txPr>
    </c:title>
    <c:autoTitleDeleted val="0"/>
    <c:plotArea>
      <c:layout>
        <c:manualLayout>
          <c:layoutTarget val="inner"/>
          <c:xMode val="edge"/>
          <c:yMode val="edge"/>
          <c:x val="0"/>
          <c:y val="1.208509102726703E-2"/>
          <c:w val="1"/>
          <c:h val="0.98791490897273293"/>
        </c:manualLayout>
      </c:layout>
      <c:scatterChart>
        <c:scatterStyle val="lineMarker"/>
        <c:varyColors val="0"/>
        <c:ser>
          <c:idx val="0"/>
          <c:order val="0"/>
          <c:spPr>
            <a:ln w="19050" cap="rnd" cmpd="sng" algn="ctr">
              <a:noFill/>
              <a:prstDash val="solid"/>
              <a:round/>
            </a:ln>
            <a:effectLst/>
          </c:spPr>
          <c:marker>
            <c:spPr>
              <a:solidFill>
                <a:schemeClr val="accent2"/>
              </a:solidFill>
              <a:ln w="6350" cap="flat" cmpd="sng" algn="ctr">
                <a:solidFill>
                  <a:schemeClr val="accent2"/>
                </a:solidFill>
                <a:prstDash val="solid"/>
                <a:round/>
              </a:ln>
              <a:effectLst/>
            </c:spPr>
          </c:marker>
          <c:dLbls>
            <c:dLbl>
              <c:idx val="0"/>
              <c:layout>
                <c:manualLayout>
                  <c:x val="-6.3765350499070811E-2"/>
                  <c:y val="7.053381722405666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4EC-4709-8612-7111EB7B7F7A}"/>
                </c:ext>
              </c:extLst>
            </c:dLbl>
            <c:dLbl>
              <c:idx val="1"/>
              <c:layout>
                <c:manualLayout>
                  <c:x val="-0.13432496120466694"/>
                  <c:y val="-8.4805909433066179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4EC-4709-8612-7111EB7B7F7A}"/>
                </c:ext>
              </c:extLst>
            </c:dLbl>
            <c:dLbl>
              <c:idx val="2"/>
              <c:layout>
                <c:manualLayout>
                  <c:x val="-8.5037454259823814E-3"/>
                  <c:y val="7.0533817224056536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4EC-4709-8612-7111EB7B7F7A}"/>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pt-BR"/>
              </a:p>
            </c:txPr>
            <c:dLblPos val="t"/>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6350" cap="flat" cmpd="sng" algn="ctr">
                      <a:solidFill>
                        <a:schemeClr val="tx1"/>
                      </a:solidFill>
                      <a:prstDash val="solid"/>
                      <a:round/>
                    </a:ln>
                    <a:effectLst/>
                  </c:spPr>
                </c15:leaderLines>
              </c:ext>
            </c:extLst>
          </c:dLbls>
          <c:trendline>
            <c:spPr>
              <a:ln w="6350" cap="rnd" cmpd="sng" algn="ctr">
                <a:solidFill>
                  <a:schemeClr val="tx1"/>
                </a:solidFill>
                <a:prstDash val="solid"/>
                <a:round/>
              </a:ln>
              <a:effectLst/>
            </c:spPr>
            <c:trendlineType val="linear"/>
            <c:dispRSqr val="1"/>
            <c:dispEq val="1"/>
            <c:trendlineLbl>
              <c:layout>
                <c:manualLayout>
                  <c:x val="0.17959652853612276"/>
                  <c:y val="0.63890758838413153"/>
                </c:manualLayout>
              </c:layout>
              <c:numFmt formatCode="#,##0.00000" sourceLinked="0"/>
              <c:spPr>
                <a:solidFill>
                  <a:schemeClr val="lt1"/>
                </a:solidFill>
                <a:ln w="12700" cap="flat" cmpd="sng" algn="ctr">
                  <a:noFill/>
                  <a:prstDash val="solid"/>
                  <a:miter lim="800000"/>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pt-BR"/>
                </a:p>
              </c:txPr>
            </c:trendlineLbl>
          </c:trendline>
          <c:xVal>
            <c:numRef>
              <c:f>'Com ajuste'!$AP$44:$AP$47</c:f>
              <c:numCache>
                <c:formatCode>0,000</c:formatCode>
                <c:ptCount val="4"/>
                <c:pt idx="0">
                  <c:v>400</c:v>
                </c:pt>
                <c:pt idx="1">
                  <c:v>5000</c:v>
                </c:pt>
                <c:pt idx="2">
                  <c:v>10000</c:v>
                </c:pt>
                <c:pt idx="3">
                  <c:v>11000</c:v>
                </c:pt>
              </c:numCache>
            </c:numRef>
          </c:xVal>
          <c:yVal>
            <c:numRef>
              <c:f>'Com ajuste'!$AO$44:$AO$47</c:f>
              <c:numCache>
                <c:formatCode>0,000</c:formatCode>
                <c:ptCount val="4"/>
                <c:pt idx="0">
                  <c:v>400.0001045360745</c:v>
                </c:pt>
                <c:pt idx="1">
                  <c:v>4999.9963066996279</c:v>
                </c:pt>
                <c:pt idx="2">
                  <c:v>9999.9976134005647</c:v>
                </c:pt>
                <c:pt idx="3">
                  <c:v>10999.997874740751</c:v>
                </c:pt>
              </c:numCache>
            </c:numRef>
          </c:yVal>
          <c:smooth val="0"/>
          <c:extLst>
            <c:ext xmlns:c16="http://schemas.microsoft.com/office/drawing/2014/chart" uri="{C3380CC4-5D6E-409C-BE32-E72D297353CC}">
              <c16:uniqueId val="{00000003-94EC-4709-8612-7111EB7B7F7A}"/>
            </c:ext>
          </c:extLst>
        </c:ser>
        <c:dLbls>
          <c:dLblPos val="t"/>
          <c:showLegendKey val="0"/>
          <c:showVal val="1"/>
          <c:showCatName val="0"/>
          <c:showSerName val="0"/>
          <c:showPercent val="0"/>
          <c:showBubbleSize val="0"/>
        </c:dLbls>
        <c:axId val="1886952208"/>
        <c:axId val="1886959280"/>
      </c:scatterChart>
      <c:valAx>
        <c:axId val="1886952208"/>
        <c:scaling>
          <c:orientation val="minMax"/>
        </c:scaling>
        <c:delete val="1"/>
        <c:axPos val="b"/>
        <c:numFmt formatCode="0,000" sourceLinked="1"/>
        <c:majorTickMark val="out"/>
        <c:minorTickMark val="none"/>
        <c:tickLblPos val="nextTo"/>
        <c:crossAx val="1886959280"/>
        <c:crosses val="autoZero"/>
        <c:crossBetween val="midCat"/>
      </c:valAx>
      <c:valAx>
        <c:axId val="1886959280"/>
        <c:scaling>
          <c:orientation val="minMax"/>
        </c:scaling>
        <c:delete val="1"/>
        <c:axPos val="l"/>
        <c:numFmt formatCode="0,000" sourceLinked="1"/>
        <c:majorTickMark val="out"/>
        <c:minorTickMark val="none"/>
        <c:tickLblPos val="nextTo"/>
        <c:crossAx val="1886952208"/>
        <c:crosses val="autoZero"/>
        <c:crossBetween val="midCat"/>
      </c:valAx>
      <c:spPr>
        <a:solidFill>
          <a:schemeClr val="bg1"/>
        </a:solidFill>
        <a:ln>
          <a:noFill/>
        </a:ln>
        <a:effectLst/>
      </c:spPr>
    </c:plotArea>
    <c:plotVisOnly val="1"/>
    <c:dispBlanksAs val="gap"/>
    <c:showDLblsOverMax val="0"/>
  </c:chart>
  <c:spPr>
    <a:solidFill>
      <a:schemeClr val="bg1"/>
    </a:solidFill>
    <a:ln w="25400" cap="flat" cmpd="dbl" algn="ctr">
      <a:solidFill>
        <a:schemeClr val="tx1"/>
      </a:solidFill>
      <a:prstDash val="solid"/>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r>
              <a:rPr lang="pt-BR"/>
              <a:t>Ajustável</a:t>
            </a:r>
          </a:p>
        </c:rich>
      </c:tx>
      <c:layout>
        <c:manualLayout>
          <c:xMode val="edge"/>
          <c:yMode val="edge"/>
          <c:x val="1.3339272371975396E-2"/>
          <c:y val="2.6800655877468247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endParaRPr lang="pt-BR"/>
        </a:p>
      </c:txPr>
    </c:title>
    <c:autoTitleDeleted val="0"/>
    <c:plotArea>
      <c:layout>
        <c:manualLayout>
          <c:layoutTarget val="inner"/>
          <c:xMode val="edge"/>
          <c:yMode val="edge"/>
          <c:x val="6.8005824089507061E-3"/>
          <c:y val="1.2085091027267032E-2"/>
          <c:w val="0.99319941759104935"/>
          <c:h val="0.96595472588415798"/>
        </c:manualLayout>
      </c:layout>
      <c:scatterChart>
        <c:scatterStyle val="lineMarker"/>
        <c:varyColors val="0"/>
        <c:ser>
          <c:idx val="0"/>
          <c:order val="0"/>
          <c:spPr>
            <a:ln w="19050" cap="rnd" cmpd="sng" algn="ctr">
              <a:noFill/>
              <a:prstDash val="solid"/>
              <a:round/>
            </a:ln>
            <a:effectLst/>
          </c:spPr>
          <c:marker>
            <c:spPr>
              <a:solidFill>
                <a:schemeClr val="accent6"/>
              </a:solidFill>
              <a:ln w="6350" cap="flat" cmpd="sng" algn="ctr">
                <a:solidFill>
                  <a:schemeClr val="accent6"/>
                </a:solidFill>
                <a:prstDash val="solid"/>
                <a:round/>
              </a:ln>
              <a:effectLst/>
            </c:spPr>
          </c:marker>
          <c:dLbls>
            <c:dLbl>
              <c:idx val="0"/>
              <c:layout>
                <c:manualLayout>
                  <c:x val="-6.3765350499070811E-2"/>
                  <c:y val="7.053381722405666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EB8-440B-85BE-BAEF0E71E28C}"/>
                </c:ext>
              </c:extLst>
            </c:dLbl>
            <c:dLbl>
              <c:idx val="1"/>
              <c:layout>
                <c:manualLayout>
                  <c:x val="-0.13432496120466694"/>
                  <c:y val="-8.4805909433066179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EB8-440B-85BE-BAEF0E71E28C}"/>
                </c:ext>
              </c:extLst>
            </c:dLbl>
            <c:dLbl>
              <c:idx val="2"/>
              <c:layout>
                <c:manualLayout>
                  <c:x val="-8.5037454259823814E-3"/>
                  <c:y val="7.0533817224056536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EB8-440B-85BE-BAEF0E71E28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pt-BR"/>
              </a:p>
            </c:txPr>
            <c:dLblPos val="t"/>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6350" cap="flat" cmpd="sng" algn="ctr">
                      <a:solidFill>
                        <a:schemeClr val="tx1"/>
                      </a:solidFill>
                      <a:prstDash val="solid"/>
                      <a:round/>
                    </a:ln>
                    <a:effectLst/>
                  </c:spPr>
                </c15:leaderLines>
              </c:ext>
            </c:extLst>
          </c:dLbls>
          <c:trendline>
            <c:spPr>
              <a:ln w="6350" cap="rnd" cmpd="sng" algn="ctr">
                <a:solidFill>
                  <a:schemeClr val="tx1"/>
                </a:solidFill>
                <a:prstDash val="solid"/>
                <a:round/>
              </a:ln>
              <a:effectLst/>
            </c:spPr>
            <c:trendlineType val="poly"/>
            <c:order val="3"/>
            <c:dispRSqr val="1"/>
            <c:dispEq val="1"/>
            <c:trendlineLbl>
              <c:layout>
                <c:manualLayout>
                  <c:x val="0.17959652853612276"/>
                  <c:y val="0.63890758838413153"/>
                </c:manualLayout>
              </c:layout>
              <c:numFmt formatCode="#,##0.00000" sourceLinked="0"/>
              <c:spPr>
                <a:solidFill>
                  <a:schemeClr val="bg1"/>
                </a:solidFill>
                <a:ln w="12700" cap="flat" cmpd="sng" algn="ctr">
                  <a:noFill/>
                  <a:prstDash val="solid"/>
                  <a:miter lim="800000"/>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pt-BR"/>
                </a:p>
              </c:txPr>
            </c:trendlineLbl>
          </c:trendline>
          <c:xVal>
            <c:numRef>
              <c:f>'Com ajuste'!$AP$44:$AP$47</c:f>
              <c:numCache>
                <c:formatCode>0,000</c:formatCode>
                <c:ptCount val="4"/>
                <c:pt idx="0">
                  <c:v>400</c:v>
                </c:pt>
                <c:pt idx="1">
                  <c:v>5000</c:v>
                </c:pt>
                <c:pt idx="2">
                  <c:v>10000</c:v>
                </c:pt>
                <c:pt idx="3">
                  <c:v>11000</c:v>
                </c:pt>
              </c:numCache>
            </c:numRef>
          </c:xVal>
          <c:yVal>
            <c:numRef>
              <c:f>'Com ajuste'!$AO$44:$AO$47</c:f>
              <c:numCache>
                <c:formatCode>0,000</c:formatCode>
                <c:ptCount val="4"/>
                <c:pt idx="0">
                  <c:v>400.0001045360745</c:v>
                </c:pt>
                <c:pt idx="1">
                  <c:v>4999.9963066996279</c:v>
                </c:pt>
                <c:pt idx="2">
                  <c:v>9999.9976134005647</c:v>
                </c:pt>
                <c:pt idx="3">
                  <c:v>10999.997874740751</c:v>
                </c:pt>
              </c:numCache>
            </c:numRef>
          </c:yVal>
          <c:smooth val="0"/>
          <c:extLst>
            <c:ext xmlns:c16="http://schemas.microsoft.com/office/drawing/2014/chart" uri="{C3380CC4-5D6E-409C-BE32-E72D297353CC}">
              <c16:uniqueId val="{00000003-0EB8-440B-85BE-BAEF0E71E28C}"/>
            </c:ext>
          </c:extLst>
        </c:ser>
        <c:dLbls>
          <c:dLblPos val="t"/>
          <c:showLegendKey val="0"/>
          <c:showVal val="1"/>
          <c:showCatName val="0"/>
          <c:showSerName val="0"/>
          <c:showPercent val="0"/>
          <c:showBubbleSize val="0"/>
        </c:dLbls>
        <c:axId val="1886963088"/>
        <c:axId val="1886956560"/>
      </c:scatterChart>
      <c:valAx>
        <c:axId val="1886963088"/>
        <c:scaling>
          <c:orientation val="minMax"/>
        </c:scaling>
        <c:delete val="1"/>
        <c:axPos val="b"/>
        <c:numFmt formatCode="0,000" sourceLinked="1"/>
        <c:majorTickMark val="out"/>
        <c:minorTickMark val="none"/>
        <c:tickLblPos val="nextTo"/>
        <c:crossAx val="1886956560"/>
        <c:crosses val="autoZero"/>
        <c:crossBetween val="midCat"/>
      </c:valAx>
      <c:valAx>
        <c:axId val="1886956560"/>
        <c:scaling>
          <c:orientation val="minMax"/>
        </c:scaling>
        <c:delete val="1"/>
        <c:axPos val="l"/>
        <c:numFmt formatCode="0,000" sourceLinked="1"/>
        <c:majorTickMark val="out"/>
        <c:minorTickMark val="none"/>
        <c:tickLblPos val="nextTo"/>
        <c:crossAx val="1886963088"/>
        <c:crosses val="autoZero"/>
        <c:crossBetween val="midCat"/>
      </c:valAx>
      <c:spPr>
        <a:solidFill>
          <a:schemeClr val="bg1"/>
        </a:solidFill>
        <a:ln>
          <a:noFill/>
        </a:ln>
        <a:effectLst/>
      </c:spPr>
    </c:plotArea>
    <c:plotVisOnly val="1"/>
    <c:dispBlanksAs val="gap"/>
    <c:showDLblsOverMax val="0"/>
  </c:chart>
  <c:spPr>
    <a:solidFill>
      <a:schemeClr val="accent6">
        <a:lumMod val="20000"/>
        <a:lumOff val="80000"/>
      </a:schemeClr>
    </a:solidFill>
    <a:ln w="25400" cap="flat" cmpd="dbl" algn="ctr">
      <a:solidFill>
        <a:schemeClr val="tx1"/>
      </a:solidFill>
      <a:prstDash val="solid"/>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9">
  <a:schemeClr val="accent6"/>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6.jpeg"/></Relationships>
</file>

<file path=xl/drawings/_rels/drawing6.xml.rels><?xml version="1.0" encoding="UTF-8" standalone="yes"?>
<Relationships xmlns="http://schemas.openxmlformats.org/package/2006/relationships"><Relationship Id="rId1" Type="http://schemas.openxmlformats.org/officeDocument/2006/relationships/image" Target="../media/image7.jpeg"/></Relationships>
</file>

<file path=xl/drawings/_rels/drawing7.xml.rels><?xml version="1.0" encoding="UTF-8" standalone="yes"?>
<Relationships xmlns="http://schemas.openxmlformats.org/package/2006/relationships"><Relationship Id="rId2" Type="http://schemas.openxmlformats.org/officeDocument/2006/relationships/image" Target="../media/image9.jpeg"/><Relationship Id="rId1" Type="http://schemas.openxmlformats.org/officeDocument/2006/relationships/image" Target="../media/image8.emf"/></Relationships>
</file>

<file path=xl/drawings/_rels/drawing8.x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jpg"/><Relationship Id="rId1" Type="http://schemas.openxmlformats.org/officeDocument/2006/relationships/image" Target="../media/image11.png"/></Relationships>
</file>

<file path=xl/drawings/_rels/drawing1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3.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twoCellAnchor>
    <xdr:from>
      <xdr:col>1</xdr:col>
      <xdr:colOff>0</xdr:colOff>
      <xdr:row>29</xdr:row>
      <xdr:rowOff>19050</xdr:rowOff>
    </xdr:from>
    <xdr:to>
      <xdr:col>4</xdr:col>
      <xdr:colOff>552450</xdr:colOff>
      <xdr:row>30</xdr:row>
      <xdr:rowOff>85725</xdr:rowOff>
    </xdr:to>
    <xdr:sp macro="[0]!VisualisarDadosClientes" textlink="">
      <xdr:nvSpPr>
        <xdr:cNvPr id="4" name="Retângulo de cantos arredondados 3">
          <a:extLst>
            <a:ext uri="{FF2B5EF4-FFF2-40B4-BE49-F238E27FC236}">
              <a16:creationId xmlns:a16="http://schemas.microsoft.com/office/drawing/2014/main" id="{00000000-0008-0000-0000-000004000000}"/>
            </a:ext>
          </a:extLst>
        </xdr:cNvPr>
        <xdr:cNvSpPr/>
      </xdr:nvSpPr>
      <xdr:spPr bwMode="auto">
        <a:xfrm>
          <a:off x="609600" y="7019925"/>
          <a:ext cx="2381250" cy="257175"/>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dos </a:t>
          </a:r>
          <a:r>
            <a:rPr lang="pt-BR" sz="900" b="1">
              <a:solidFill>
                <a:schemeClr val="bg1"/>
              </a:solidFill>
              <a:latin typeface="Arial" panose="020B0604020202020204" pitchFamily="34" charset="0"/>
              <a:cs typeface="Arial" panose="020B0604020202020204" pitchFamily="34" charset="0"/>
            </a:rPr>
            <a:t>Clientes</a:t>
          </a:r>
        </a:p>
      </xdr:txBody>
    </xdr:sp>
    <xdr:clientData/>
  </xdr:twoCellAnchor>
  <xdr:twoCellAnchor>
    <xdr:from>
      <xdr:col>1</xdr:col>
      <xdr:colOff>0</xdr:colOff>
      <xdr:row>31</xdr:row>
      <xdr:rowOff>85725</xdr:rowOff>
    </xdr:from>
    <xdr:to>
      <xdr:col>4</xdr:col>
      <xdr:colOff>561976</xdr:colOff>
      <xdr:row>33</xdr:row>
      <xdr:rowOff>85725</xdr:rowOff>
    </xdr:to>
    <xdr:sp macro="[0]!InserirCargas" textlink="">
      <xdr:nvSpPr>
        <xdr:cNvPr id="5" name="Retângulo de cantos arredondados 4">
          <a:extLst>
            <a:ext uri="{FF2B5EF4-FFF2-40B4-BE49-F238E27FC236}">
              <a16:creationId xmlns:a16="http://schemas.microsoft.com/office/drawing/2014/main" id="{00000000-0008-0000-0000-000005000000}"/>
            </a:ext>
          </a:extLst>
        </xdr:cNvPr>
        <xdr:cNvSpPr/>
      </xdr:nvSpPr>
      <xdr:spPr bwMode="auto">
        <a:xfrm>
          <a:off x="609600" y="7439025"/>
          <a:ext cx="2390776" cy="352425"/>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de resultados de </a:t>
          </a:r>
          <a:r>
            <a:rPr lang="pt-BR" sz="900" b="1">
              <a:solidFill>
                <a:schemeClr val="bg1"/>
              </a:solidFill>
              <a:latin typeface="Arial" panose="020B0604020202020204" pitchFamily="34" charset="0"/>
              <a:cs typeface="Arial" panose="020B0604020202020204" pitchFamily="34" charset="0"/>
            </a:rPr>
            <a:t>pesos padrões</a:t>
          </a:r>
        </a:p>
      </xdr:txBody>
    </xdr:sp>
    <xdr:clientData/>
  </xdr:twoCellAnchor>
  <xdr:twoCellAnchor>
    <xdr:from>
      <xdr:col>1</xdr:col>
      <xdr:colOff>9524</xdr:colOff>
      <xdr:row>34</xdr:row>
      <xdr:rowOff>57150</xdr:rowOff>
    </xdr:from>
    <xdr:to>
      <xdr:col>4</xdr:col>
      <xdr:colOff>571500</xdr:colOff>
      <xdr:row>36</xdr:row>
      <xdr:rowOff>85725</xdr:rowOff>
    </xdr:to>
    <xdr:sp macro="[0]!VisualisardeDadosdetermohigrometros" textlink="">
      <xdr:nvSpPr>
        <xdr:cNvPr id="6" name="Retângulo de cantos arredondados 5">
          <a:extLst>
            <a:ext uri="{FF2B5EF4-FFF2-40B4-BE49-F238E27FC236}">
              <a16:creationId xmlns:a16="http://schemas.microsoft.com/office/drawing/2014/main" id="{00000000-0008-0000-0000-000006000000}"/>
            </a:ext>
          </a:extLst>
        </xdr:cNvPr>
        <xdr:cNvSpPr/>
      </xdr:nvSpPr>
      <xdr:spPr bwMode="auto">
        <a:xfrm>
          <a:off x="619124" y="7953375"/>
          <a:ext cx="2390776" cy="381000"/>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de </a:t>
          </a:r>
          <a:r>
            <a:rPr lang="pt-BR" sz="900" b="1">
              <a:solidFill>
                <a:schemeClr val="bg1"/>
              </a:solidFill>
              <a:latin typeface="Arial" panose="020B0604020202020204" pitchFamily="34" charset="0"/>
              <a:cs typeface="Arial" panose="020B0604020202020204" pitchFamily="34" charset="0"/>
            </a:rPr>
            <a:t>resultados de termohigrometros</a:t>
          </a:r>
          <a:r>
            <a:rPr lang="pt-BR" sz="900" b="1" baseline="0">
              <a:solidFill>
                <a:schemeClr val="bg1"/>
              </a:solidFill>
              <a:latin typeface="Arial" panose="020B0604020202020204" pitchFamily="34" charset="0"/>
              <a:cs typeface="Arial" panose="020B0604020202020204" pitchFamily="34" charset="0"/>
            </a:rPr>
            <a:t> </a:t>
          </a:r>
          <a:r>
            <a:rPr lang="pt-BR" sz="900">
              <a:solidFill>
                <a:schemeClr val="bg1"/>
              </a:solidFill>
              <a:latin typeface="Arial" panose="020B0604020202020204" pitchFamily="34" charset="0"/>
              <a:cs typeface="Arial" panose="020B0604020202020204" pitchFamily="34" charset="0"/>
            </a:rPr>
            <a:t>padrões</a:t>
          </a:r>
        </a:p>
      </xdr:txBody>
    </xdr:sp>
    <xdr:clientData/>
  </xdr:twoCellAnchor>
  <xdr:twoCellAnchor>
    <xdr:from>
      <xdr:col>1</xdr:col>
      <xdr:colOff>19049</xdr:colOff>
      <xdr:row>37</xdr:row>
      <xdr:rowOff>66675</xdr:rowOff>
    </xdr:from>
    <xdr:to>
      <xdr:col>4</xdr:col>
      <xdr:colOff>552450</xdr:colOff>
      <xdr:row>39</xdr:row>
      <xdr:rowOff>104775</xdr:rowOff>
    </xdr:to>
    <xdr:sp macro="[0]!VisualisarDadosCertificadosPadroes" textlink="">
      <xdr:nvSpPr>
        <xdr:cNvPr id="7" name="Retângulo de cantos arredondados 6">
          <a:extLst>
            <a:ext uri="{FF2B5EF4-FFF2-40B4-BE49-F238E27FC236}">
              <a16:creationId xmlns:a16="http://schemas.microsoft.com/office/drawing/2014/main" id="{00000000-0008-0000-0000-000007000000}"/>
            </a:ext>
          </a:extLst>
        </xdr:cNvPr>
        <xdr:cNvSpPr/>
      </xdr:nvSpPr>
      <xdr:spPr bwMode="auto">
        <a:xfrm>
          <a:off x="628649" y="8477250"/>
          <a:ext cx="2362201" cy="361950"/>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de </a:t>
          </a:r>
          <a:r>
            <a:rPr lang="pt-BR" sz="900" b="1">
              <a:solidFill>
                <a:schemeClr val="bg1"/>
              </a:solidFill>
              <a:latin typeface="Arial" panose="020B0604020202020204" pitchFamily="34" charset="0"/>
              <a:cs typeface="Arial" panose="020B0604020202020204" pitchFamily="34" charset="0"/>
            </a:rPr>
            <a:t>Certificados dos Padrões</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45</xdr:row>
          <xdr:rowOff>9525</xdr:rowOff>
        </xdr:from>
        <xdr:to>
          <xdr:col>19</xdr:col>
          <xdr:colOff>38100</xdr:colOff>
          <xdr:row>48</xdr:row>
          <xdr:rowOff>38100</xdr:rowOff>
        </xdr:to>
        <xdr:sp macro="" textlink="">
          <xdr:nvSpPr>
            <xdr:cNvPr id="229379" name="Check Box 3" hidden="1">
              <a:extLst>
                <a:ext uri="{63B3BB69-23CF-44E3-9099-C40C66FF867C}">
                  <a14:compatExt spid="_x0000_s229379"/>
                </a:ext>
                <a:ext uri="{FF2B5EF4-FFF2-40B4-BE49-F238E27FC236}">
                  <a16:creationId xmlns:a16="http://schemas.microsoft.com/office/drawing/2014/main" id="{00000000-0008-0000-0100-0000038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70907</xdr:colOff>
      <xdr:row>39</xdr:row>
      <xdr:rowOff>26631</xdr:rowOff>
    </xdr:from>
    <xdr:to>
      <xdr:col>12</xdr:col>
      <xdr:colOff>268340</xdr:colOff>
      <xdr:row>41</xdr:row>
      <xdr:rowOff>166209</xdr:rowOff>
    </xdr:to>
    <xdr:pic>
      <xdr:nvPicPr>
        <xdr:cNvPr id="6" name="Imagem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954634" y="5724313"/>
          <a:ext cx="517819" cy="520578"/>
        </a:xfrm>
        <a:prstGeom prst="rect">
          <a:avLst/>
        </a:prstGeom>
      </xdr:spPr>
    </xdr:pic>
    <xdr:clientData/>
  </xdr:twoCellAnchor>
  <xdr:twoCellAnchor editAs="oneCell">
    <xdr:from>
      <xdr:col>10</xdr:col>
      <xdr:colOff>181839</xdr:colOff>
      <xdr:row>43</xdr:row>
      <xdr:rowOff>17318</xdr:rowOff>
    </xdr:from>
    <xdr:to>
      <xdr:col>13</xdr:col>
      <xdr:colOff>133723</xdr:colOff>
      <xdr:row>46</xdr:row>
      <xdr:rowOff>1772</xdr:rowOff>
    </xdr:to>
    <xdr:pic>
      <xdr:nvPicPr>
        <xdr:cNvPr id="8" name="Imagem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065566" y="6702136"/>
          <a:ext cx="913044" cy="504000"/>
        </a:xfrm>
        <a:prstGeom prst="rect">
          <a:avLst/>
        </a:prstGeom>
      </xdr:spPr>
    </xdr:pic>
    <xdr:clientData/>
  </xdr:twoCellAnchor>
  <xdr:twoCellAnchor>
    <xdr:from>
      <xdr:col>11</xdr:col>
      <xdr:colOff>5195</xdr:colOff>
      <xdr:row>32</xdr:row>
      <xdr:rowOff>0</xdr:rowOff>
    </xdr:from>
    <xdr:to>
      <xdr:col>12</xdr:col>
      <xdr:colOff>299605</xdr:colOff>
      <xdr:row>32</xdr:row>
      <xdr:rowOff>1057</xdr:rowOff>
    </xdr:to>
    <xdr:sp macro="" textlink="">
      <xdr:nvSpPr>
        <xdr:cNvPr id="23" name="Retângulo 22">
          <a:extLst>
            <a:ext uri="{FF2B5EF4-FFF2-40B4-BE49-F238E27FC236}">
              <a16:creationId xmlns:a16="http://schemas.microsoft.com/office/drawing/2014/main" id="{00000000-0008-0000-0100-000017000000}"/>
            </a:ext>
          </a:extLst>
        </xdr:cNvPr>
        <xdr:cNvSpPr/>
      </xdr:nvSpPr>
      <xdr:spPr bwMode="auto">
        <a:xfrm>
          <a:off x="4485174" y="6299957"/>
          <a:ext cx="617291" cy="45719"/>
        </a:xfrm>
        <a:prstGeom prst="rect">
          <a:avLst/>
        </a:prstGeom>
        <a:solidFill>
          <a:sysClr val="window" lastClr="FFFFFF"/>
        </a:solidFill>
        <a:ln w="28575" cap="flat" cmpd="sng" algn="ctr">
          <a:no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24</xdr:col>
      <xdr:colOff>112568</xdr:colOff>
      <xdr:row>4</xdr:row>
      <xdr:rowOff>173173</xdr:rowOff>
    </xdr:from>
    <xdr:to>
      <xdr:col>25</xdr:col>
      <xdr:colOff>450273</xdr:colOff>
      <xdr:row>8</xdr:row>
      <xdr:rowOff>169513</xdr:rowOff>
    </xdr:to>
    <xdr:sp macro="[0]!ImprimirComDeclaração" textlink="">
      <xdr:nvSpPr>
        <xdr:cNvPr id="21" name="Retângulo de cantos arredondados 20">
          <a:extLst>
            <a:ext uri="{FF2B5EF4-FFF2-40B4-BE49-F238E27FC236}">
              <a16:creationId xmlns:a16="http://schemas.microsoft.com/office/drawing/2014/main" id="{00000000-0008-0000-0100-000015000000}"/>
            </a:ext>
          </a:extLst>
        </xdr:cNvPr>
        <xdr:cNvSpPr/>
      </xdr:nvSpPr>
      <xdr:spPr bwMode="auto">
        <a:xfrm>
          <a:off x="8951445" y="1448554"/>
          <a:ext cx="878531" cy="66631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1100" b="0">
              <a:effectLst/>
              <a:latin typeface="+mn-lt"/>
              <a:ea typeface="+mn-ea"/>
              <a:cs typeface="+mn-cs"/>
            </a:rPr>
            <a:t>Antes do ajuste +</a:t>
          </a:r>
          <a:r>
            <a:rPr lang="pt-BR" sz="1100" b="0" baseline="0">
              <a:effectLst/>
              <a:latin typeface="+mn-lt"/>
              <a:ea typeface="+mn-ea"/>
              <a:cs typeface="+mn-cs"/>
            </a:rPr>
            <a:t> </a:t>
          </a:r>
          <a:r>
            <a:rPr lang="pt-BR" sz="1100" b="0">
              <a:effectLst/>
              <a:latin typeface="+mn-lt"/>
              <a:ea typeface="+mn-ea"/>
              <a:cs typeface="+mn-cs"/>
            </a:rPr>
            <a:t>declaração</a:t>
          </a:r>
          <a:endParaRPr lang="pt-BR" sz="900">
            <a:effectLst/>
          </a:endParaRPr>
        </a:p>
      </xdr:txBody>
    </xdr:sp>
    <xdr:clientData/>
  </xdr:twoCellAnchor>
  <xdr:twoCellAnchor>
    <xdr:from>
      <xdr:col>24</xdr:col>
      <xdr:colOff>109104</xdr:colOff>
      <xdr:row>2</xdr:row>
      <xdr:rowOff>39827</xdr:rowOff>
    </xdr:from>
    <xdr:to>
      <xdr:col>25</xdr:col>
      <xdr:colOff>446809</xdr:colOff>
      <xdr:row>4</xdr:row>
      <xdr:rowOff>91783</xdr:rowOff>
    </xdr:to>
    <xdr:sp macro="[0]!ImprimirSemDeclaração" textlink="">
      <xdr:nvSpPr>
        <xdr:cNvPr id="22" name="Retângulo de cantos arredondados 21">
          <a:extLst>
            <a:ext uri="{FF2B5EF4-FFF2-40B4-BE49-F238E27FC236}">
              <a16:creationId xmlns:a16="http://schemas.microsoft.com/office/drawing/2014/main" id="{00000000-0008-0000-0100-000016000000}"/>
            </a:ext>
          </a:extLst>
        </xdr:cNvPr>
        <xdr:cNvSpPr/>
      </xdr:nvSpPr>
      <xdr:spPr bwMode="auto">
        <a:xfrm>
          <a:off x="9138804" y="468452"/>
          <a:ext cx="871105" cy="347231"/>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Antes do Ajuste</a:t>
          </a:r>
        </a:p>
      </xdr:txBody>
    </xdr:sp>
    <xdr:clientData/>
  </xdr:twoCellAnchor>
  <xdr:twoCellAnchor>
    <xdr:from>
      <xdr:col>24</xdr:col>
      <xdr:colOff>106199</xdr:colOff>
      <xdr:row>9</xdr:row>
      <xdr:rowOff>56779</xdr:rowOff>
    </xdr:from>
    <xdr:to>
      <xdr:col>25</xdr:col>
      <xdr:colOff>443904</xdr:colOff>
      <xdr:row>11</xdr:row>
      <xdr:rowOff>52230</xdr:rowOff>
    </xdr:to>
    <xdr:sp macro="[0]!ImprimirLpSemDeclaração" textlink="">
      <xdr:nvSpPr>
        <xdr:cNvPr id="25" name="Retângulo de cantos arredondados 24">
          <a:extLst>
            <a:ext uri="{FF2B5EF4-FFF2-40B4-BE49-F238E27FC236}">
              <a16:creationId xmlns:a16="http://schemas.microsoft.com/office/drawing/2014/main" id="{00000000-0008-0000-0100-000019000000}"/>
            </a:ext>
          </a:extLst>
        </xdr:cNvPr>
        <xdr:cNvSpPr/>
      </xdr:nvSpPr>
      <xdr:spPr bwMode="auto">
        <a:xfrm>
          <a:off x="8945076" y="2195868"/>
          <a:ext cx="878531"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Após Ajuste</a:t>
          </a:r>
        </a:p>
      </xdr:txBody>
    </xdr:sp>
    <xdr:clientData/>
  </xdr:twoCellAnchor>
  <xdr:twoCellAnchor>
    <xdr:from>
      <xdr:col>24</xdr:col>
      <xdr:colOff>111600</xdr:colOff>
      <xdr:row>11</xdr:row>
      <xdr:rowOff>139915</xdr:rowOff>
    </xdr:from>
    <xdr:to>
      <xdr:col>25</xdr:col>
      <xdr:colOff>449305</xdr:colOff>
      <xdr:row>16</xdr:row>
      <xdr:rowOff>15175</xdr:rowOff>
    </xdr:to>
    <xdr:sp macro="[0]!ImprimirLpComDeclaração" textlink="">
      <xdr:nvSpPr>
        <xdr:cNvPr id="26" name="Retângulo de cantos arredondados 25">
          <a:extLst>
            <a:ext uri="{FF2B5EF4-FFF2-40B4-BE49-F238E27FC236}">
              <a16:creationId xmlns:a16="http://schemas.microsoft.com/office/drawing/2014/main" id="{00000000-0008-0000-0100-00001A000000}"/>
            </a:ext>
          </a:extLst>
        </xdr:cNvPr>
        <xdr:cNvSpPr/>
      </xdr:nvSpPr>
      <xdr:spPr bwMode="auto">
        <a:xfrm>
          <a:off x="8950477" y="2666462"/>
          <a:ext cx="878531" cy="66631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1100" b="0">
              <a:effectLst/>
              <a:latin typeface="+mn-lt"/>
              <a:ea typeface="+mn-ea"/>
              <a:cs typeface="+mn-cs"/>
            </a:rPr>
            <a:t>Após ajuste +</a:t>
          </a:r>
          <a:r>
            <a:rPr lang="pt-BR" sz="1100" b="0" baseline="0">
              <a:effectLst/>
              <a:latin typeface="+mn-lt"/>
              <a:ea typeface="+mn-ea"/>
              <a:cs typeface="+mn-cs"/>
            </a:rPr>
            <a:t> </a:t>
          </a:r>
          <a:r>
            <a:rPr lang="pt-BR" sz="1100" b="0">
              <a:effectLst/>
              <a:latin typeface="+mn-lt"/>
              <a:ea typeface="+mn-ea"/>
              <a:cs typeface="+mn-cs"/>
            </a:rPr>
            <a:t>declaração</a:t>
          </a:r>
          <a:endParaRPr lang="pt-BR" sz="900">
            <a:effectLst/>
          </a:endParaRPr>
        </a:p>
      </xdr:txBody>
    </xdr:sp>
    <xdr:clientData/>
  </xdr:twoCellAnchor>
  <xdr:twoCellAnchor>
    <xdr:from>
      <xdr:col>24</xdr:col>
      <xdr:colOff>113303</xdr:colOff>
      <xdr:row>16</xdr:row>
      <xdr:rowOff>88099</xdr:rowOff>
    </xdr:from>
    <xdr:to>
      <xdr:col>25</xdr:col>
      <xdr:colOff>451008</xdr:colOff>
      <xdr:row>18</xdr:row>
      <xdr:rowOff>188487</xdr:rowOff>
    </xdr:to>
    <xdr:sp macro="[0]!ImprimirAnexo_1" textlink="">
      <xdr:nvSpPr>
        <xdr:cNvPr id="27" name="Retângulo de cantos arredondados 26">
          <a:extLst>
            <a:ext uri="{FF2B5EF4-FFF2-40B4-BE49-F238E27FC236}">
              <a16:creationId xmlns:a16="http://schemas.microsoft.com/office/drawing/2014/main" id="{00000000-0008-0000-0100-00001B000000}"/>
            </a:ext>
          </a:extLst>
        </xdr:cNvPr>
        <xdr:cNvSpPr/>
      </xdr:nvSpPr>
      <xdr:spPr bwMode="auto">
        <a:xfrm>
          <a:off x="8952180" y="2969815"/>
          <a:ext cx="878531"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solidFill>
                <a:schemeClr val="accent2"/>
              </a:solidFill>
              <a:latin typeface="Arial" panose="020B0604020202020204" pitchFamily="34" charset="0"/>
              <a:cs typeface="Arial" panose="020B0604020202020204" pitchFamily="34" charset="0"/>
            </a:rPr>
            <a:t>Excentricidade</a:t>
          </a:r>
        </a:p>
      </xdr:txBody>
    </xdr:sp>
    <xdr:clientData/>
  </xdr:twoCellAnchor>
  <xdr:twoCellAnchor>
    <xdr:from>
      <xdr:col>5</xdr:col>
      <xdr:colOff>231956</xdr:colOff>
      <xdr:row>33</xdr:row>
      <xdr:rowOff>11176</xdr:rowOff>
    </xdr:from>
    <xdr:to>
      <xdr:col>9</xdr:col>
      <xdr:colOff>72649</xdr:colOff>
      <xdr:row>34</xdr:row>
      <xdr:rowOff>16144</xdr:rowOff>
    </xdr:to>
    <xdr:sp macro="[0]!VisualisarGraficos" textlink="">
      <xdr:nvSpPr>
        <xdr:cNvPr id="31" name="Retângulo de cantos arredondados 30">
          <a:extLst>
            <a:ext uri="{FF2B5EF4-FFF2-40B4-BE49-F238E27FC236}">
              <a16:creationId xmlns:a16="http://schemas.microsoft.com/office/drawing/2014/main" id="{00000000-0008-0000-0100-00001F000000}"/>
            </a:ext>
          </a:extLst>
        </xdr:cNvPr>
        <xdr:cNvSpPr/>
      </xdr:nvSpPr>
      <xdr:spPr>
        <a:xfrm>
          <a:off x="2742359" y="5952193"/>
          <a:ext cx="1164506" cy="126048"/>
        </a:xfrm>
        <a:prstGeom prst="roundRect">
          <a:avLst/>
        </a:prstGeom>
        <a:solidFill>
          <a:schemeClr val="tx1"/>
        </a:solidFill>
        <a:ln>
          <a:solidFill>
            <a:schemeClr val="tx1"/>
          </a:solid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a:solidFill>
                <a:sysClr val="windowText" lastClr="000000"/>
              </a:solidFill>
              <a:latin typeface="Arial" panose="020B0604020202020204" pitchFamily="34" charset="0"/>
              <a:cs typeface="Arial" panose="020B0604020202020204" pitchFamily="34" charset="0"/>
            </a:rPr>
            <a:t>Visualizar Gráficos</a:t>
          </a:r>
        </a:p>
      </xdr:txBody>
    </xdr:sp>
    <xdr:clientData/>
  </xdr:twoCellAnchor>
  <xdr:oneCellAnchor>
    <xdr:from>
      <xdr:col>4</xdr:col>
      <xdr:colOff>72965</xdr:colOff>
      <xdr:row>34</xdr:row>
      <xdr:rowOff>152696</xdr:rowOff>
    </xdr:from>
    <xdr:ext cx="520271" cy="182229"/>
    <mc:AlternateContent xmlns:mc="http://schemas.openxmlformats.org/markup-compatibility/2006" xmlns:a14="http://schemas.microsoft.com/office/drawing/2010/main">
      <mc:Choice Requires="a14">
        <xdr:sp macro="" textlink="">
          <xdr:nvSpPr>
            <xdr:cNvPr id="32" name="CaixaDeTexto 31">
              <a:extLst>
                <a:ext uri="{FF2B5EF4-FFF2-40B4-BE49-F238E27FC236}">
                  <a16:creationId xmlns:a16="http://schemas.microsoft.com/office/drawing/2014/main" id="{00000000-0008-0000-0100-000020000000}"/>
                </a:ext>
              </a:extLst>
            </xdr:cNvPr>
            <xdr:cNvSpPr txBox="1"/>
          </xdr:nvSpPr>
          <xdr:spPr>
            <a:xfrm>
              <a:off x="2260486" y="6214793"/>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 xmlns:m="http://schemas.openxmlformats.org/officeDocument/2006/math">
                  <m:sSup>
                    <m:sSupPr>
                      <m:ctrlPr>
                        <a:rPr lang="pt-BR" sz="900" b="1" i="1">
                          <a:latin typeface="Cambria Math" panose="02040503050406030204" pitchFamily="18" charset="0"/>
                        </a:rPr>
                      </m:ctrlPr>
                    </m:sSupPr>
                    <m:e>
                      <m:r>
                        <m:rPr>
                          <m:nor/>
                        </m:rPr>
                        <a:rPr lang="pt-BR" sz="900" b="1" i="0">
                          <a:latin typeface="Arial" panose="020B0604020202020204" pitchFamily="34" charset="0"/>
                          <a:ea typeface="Cambria Math" panose="02040503050406030204" pitchFamily="18" charset="0"/>
                          <a:cs typeface="Arial" panose="020B0604020202020204" pitchFamily="34" charset="0"/>
                        </a:rPr>
                        <m:t>×</m:t>
                      </m:r>
                      <m:r>
                        <m:rPr>
                          <m:nor/>
                        </m:rPr>
                        <a:rPr lang="pt-BR" sz="900" b="1" i="0">
                          <a:latin typeface="Arial" panose="020B0604020202020204" pitchFamily="34" charset="0"/>
                          <a:ea typeface="Cambria Math" panose="02040503050406030204" pitchFamily="18" charset="0"/>
                          <a:cs typeface="Arial" panose="020B0604020202020204" pitchFamily="34" charset="0"/>
                        </a:rPr>
                        <m:t> </m:t>
                      </m:r>
                      <m:r>
                        <m:rPr>
                          <m:nor/>
                        </m:rPr>
                        <a:rPr lang="pt-BR" sz="900" b="1" i="0">
                          <a:latin typeface="Arial" panose="020B0604020202020204" pitchFamily="34" charset="0"/>
                          <a:cs typeface="Arial" panose="020B0604020202020204" pitchFamily="34" charset="0"/>
                        </a:rPr>
                        <m:t>VML</m:t>
                      </m:r>
                    </m:e>
                    <m:sup>
                      <m:r>
                        <m:rPr>
                          <m:nor/>
                        </m:rPr>
                        <a:rPr lang="pt-BR" sz="900" b="1" i="0">
                          <a:latin typeface="Arial" panose="020B0604020202020204" pitchFamily="34" charset="0"/>
                          <a:cs typeface="Arial" panose="020B0604020202020204" pitchFamily="34" charset="0"/>
                        </a:rPr>
                        <m:t>3</m:t>
                      </m:r>
                    </m:sup>
                  </m:sSup>
                </m:oMath>
              </a14:m>
              <a:r>
                <a:rPr lang="pt-BR" sz="900" b="1">
                  <a:latin typeface="Arial" panose="020B0604020202020204" pitchFamily="34" charset="0"/>
                  <a:cs typeface="Arial" panose="020B0604020202020204" pitchFamily="34" charset="0"/>
                </a:rPr>
                <a:t> +</a:t>
              </a:r>
            </a:p>
          </xdr:txBody>
        </xdr:sp>
      </mc:Choice>
      <mc:Fallback xmlns="">
        <xdr:sp macro="" textlink="">
          <xdr:nvSpPr>
            <xdr:cNvPr id="32" name="CaixaDeTexto 31"/>
            <xdr:cNvSpPr txBox="1"/>
          </xdr:nvSpPr>
          <xdr:spPr>
            <a:xfrm>
              <a:off x="2260486" y="6214793"/>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pt-BR" sz="900" b="1" i="0">
                  <a:latin typeface="Cambria Math" panose="02040503050406030204" pitchFamily="18" charset="0"/>
                </a:rPr>
                <a:t>〖</a:t>
              </a:r>
              <a:r>
                <a:rPr lang="pt-BR" sz="900" b="1" i="0">
                  <a:latin typeface="Cambria Math" panose="02040503050406030204" pitchFamily="18" charset="0"/>
                  <a:ea typeface="Cambria Math" panose="02040503050406030204" pitchFamily="18" charset="0"/>
                </a:rPr>
                <a:t>"</a:t>
              </a:r>
              <a:r>
                <a:rPr lang="pt-BR" sz="900" b="1" i="0">
                  <a:latin typeface="Arial" panose="020B0604020202020204" pitchFamily="34" charset="0"/>
                  <a:ea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VML</a:t>
              </a:r>
              <a:r>
                <a:rPr lang="pt-BR" sz="900" b="1" i="0">
                  <a:latin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3</a:t>
              </a:r>
              <a:r>
                <a:rPr lang="pt-BR" sz="900" b="1" i="0">
                  <a:latin typeface="Cambria Math" panose="02040503050406030204" pitchFamily="18" charset="0"/>
                  <a:cs typeface="Arial" panose="020B0604020202020204" pitchFamily="34" charset="0"/>
                </a:rPr>
                <a:t>" </a:t>
              </a:r>
              <a:r>
                <a:rPr lang="pt-BR" sz="900" b="1">
                  <a:latin typeface="Arial" panose="020B0604020202020204" pitchFamily="34" charset="0"/>
                  <a:cs typeface="Arial" panose="020B0604020202020204" pitchFamily="34" charset="0"/>
                </a:rPr>
                <a:t> +</a:t>
              </a:r>
            </a:p>
          </xdr:txBody>
        </xdr:sp>
      </mc:Fallback>
    </mc:AlternateContent>
    <xdr:clientData/>
  </xdr:oneCellAnchor>
  <xdr:oneCellAnchor>
    <xdr:from>
      <xdr:col>7</xdr:col>
      <xdr:colOff>53915</xdr:colOff>
      <xdr:row>35</xdr:row>
      <xdr:rowOff>2741</xdr:rowOff>
    </xdr:from>
    <xdr:ext cx="520271" cy="182229"/>
    <mc:AlternateContent xmlns:mc="http://schemas.openxmlformats.org/markup-compatibility/2006" xmlns:a14="http://schemas.microsoft.com/office/drawing/2010/main">
      <mc:Choice Requires="a14">
        <xdr:sp macro="" textlink="">
          <xdr:nvSpPr>
            <xdr:cNvPr id="33" name="CaixaDeTexto 32">
              <a:extLst>
                <a:ext uri="{FF2B5EF4-FFF2-40B4-BE49-F238E27FC236}">
                  <a16:creationId xmlns:a16="http://schemas.microsoft.com/office/drawing/2014/main" id="{00000000-0008-0000-0100-000021000000}"/>
                </a:ext>
              </a:extLst>
            </xdr:cNvPr>
            <xdr:cNvSpPr txBox="1"/>
          </xdr:nvSpPr>
          <xdr:spPr>
            <a:xfrm>
              <a:off x="3242368" y="6218207"/>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 xmlns:m="http://schemas.openxmlformats.org/officeDocument/2006/math">
                  <m:sSup>
                    <m:sSupPr>
                      <m:ctrlPr>
                        <a:rPr lang="pt-BR" sz="900" b="1" i="1">
                          <a:latin typeface="Cambria Math" panose="02040503050406030204" pitchFamily="18" charset="0"/>
                        </a:rPr>
                      </m:ctrlPr>
                    </m:sSupPr>
                    <m:e>
                      <m:r>
                        <m:rPr>
                          <m:nor/>
                        </m:rPr>
                        <a:rPr lang="pt-BR" sz="900" b="1" i="0">
                          <a:latin typeface="Arial" panose="020B0604020202020204" pitchFamily="34" charset="0"/>
                          <a:ea typeface="Cambria Math" panose="02040503050406030204" pitchFamily="18" charset="0"/>
                          <a:cs typeface="Arial" panose="020B0604020202020204" pitchFamily="34" charset="0"/>
                        </a:rPr>
                        <m:t>×</m:t>
                      </m:r>
                      <m:r>
                        <m:rPr>
                          <m:nor/>
                        </m:rPr>
                        <a:rPr lang="pt-BR" sz="900" b="1" i="0">
                          <a:latin typeface="Arial" panose="020B0604020202020204" pitchFamily="34" charset="0"/>
                          <a:ea typeface="Cambria Math" panose="02040503050406030204" pitchFamily="18" charset="0"/>
                          <a:cs typeface="Arial" panose="020B0604020202020204" pitchFamily="34" charset="0"/>
                        </a:rPr>
                        <m:t> </m:t>
                      </m:r>
                      <m:r>
                        <m:rPr>
                          <m:nor/>
                        </m:rPr>
                        <a:rPr lang="pt-BR" sz="900" b="1" i="0">
                          <a:latin typeface="Arial" panose="020B0604020202020204" pitchFamily="34" charset="0"/>
                          <a:cs typeface="Arial" panose="020B0604020202020204" pitchFamily="34" charset="0"/>
                        </a:rPr>
                        <m:t>VML</m:t>
                      </m:r>
                    </m:e>
                    <m:sup>
                      <m:r>
                        <m:rPr>
                          <m:nor/>
                        </m:rPr>
                        <a:rPr lang="pt-BR" sz="900" b="1" i="0">
                          <a:latin typeface="Arial" panose="020B0604020202020204" pitchFamily="34" charset="0"/>
                          <a:cs typeface="Arial" panose="020B0604020202020204" pitchFamily="34" charset="0"/>
                        </a:rPr>
                        <m:t>2</m:t>
                      </m:r>
                    </m:sup>
                  </m:sSup>
                </m:oMath>
              </a14:m>
              <a:r>
                <a:rPr lang="pt-BR" sz="900" b="1">
                  <a:latin typeface="Arial" panose="020B0604020202020204" pitchFamily="34" charset="0"/>
                  <a:cs typeface="Arial" panose="020B0604020202020204" pitchFamily="34" charset="0"/>
                </a:rPr>
                <a:t> +</a:t>
              </a:r>
            </a:p>
          </xdr:txBody>
        </xdr:sp>
      </mc:Choice>
      <mc:Fallback xmlns="">
        <xdr:sp macro="" textlink="">
          <xdr:nvSpPr>
            <xdr:cNvPr id="33" name="CaixaDeTexto 32"/>
            <xdr:cNvSpPr txBox="1"/>
          </xdr:nvSpPr>
          <xdr:spPr>
            <a:xfrm>
              <a:off x="3242368" y="6218207"/>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pt-BR" sz="900" b="1" i="0">
                  <a:latin typeface="Cambria Math" panose="02040503050406030204" pitchFamily="18" charset="0"/>
                </a:rPr>
                <a:t>〖</a:t>
              </a:r>
              <a:r>
                <a:rPr lang="pt-BR" sz="900" b="1" i="0">
                  <a:latin typeface="Cambria Math" panose="02040503050406030204" pitchFamily="18" charset="0"/>
                  <a:ea typeface="Cambria Math" panose="02040503050406030204" pitchFamily="18" charset="0"/>
                </a:rPr>
                <a:t>"</a:t>
              </a:r>
              <a:r>
                <a:rPr lang="pt-BR" sz="900" b="1" i="0">
                  <a:latin typeface="Arial" panose="020B0604020202020204" pitchFamily="34" charset="0"/>
                  <a:ea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VML</a:t>
              </a:r>
              <a:r>
                <a:rPr lang="pt-BR" sz="900" b="1" i="0">
                  <a:latin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2</a:t>
              </a:r>
              <a:r>
                <a:rPr lang="pt-BR" sz="900" b="1" i="0">
                  <a:latin typeface="Cambria Math" panose="02040503050406030204" pitchFamily="18" charset="0"/>
                  <a:cs typeface="Arial" panose="020B0604020202020204" pitchFamily="34" charset="0"/>
                </a:rPr>
                <a:t>" </a:t>
              </a:r>
              <a:r>
                <a:rPr lang="pt-BR" sz="900" b="1">
                  <a:latin typeface="Arial" panose="020B0604020202020204" pitchFamily="34" charset="0"/>
                  <a:cs typeface="Arial" panose="020B0604020202020204" pitchFamily="34" charset="0"/>
                </a:rPr>
                <a:t> +</a:t>
              </a:r>
            </a:p>
          </xdr:txBody>
        </xdr:sp>
      </mc:Fallback>
    </mc:AlternateContent>
    <xdr:clientData/>
  </xdr:oneCellAnchor>
  <xdr:oneCellAnchor>
    <xdr:from>
      <xdr:col>10</xdr:col>
      <xdr:colOff>108908</xdr:colOff>
      <xdr:row>35</xdr:row>
      <xdr:rowOff>44256</xdr:rowOff>
    </xdr:from>
    <xdr:ext cx="488082" cy="135293"/>
    <mc:AlternateContent xmlns:mc="http://schemas.openxmlformats.org/markup-compatibility/2006" xmlns:a14="http://schemas.microsoft.com/office/drawing/2010/main">
      <mc:Choice Requires="a14">
        <xdr:sp macro="" textlink="">
          <xdr:nvSpPr>
            <xdr:cNvPr id="34" name="CaixaDeTexto 33">
              <a:extLst>
                <a:ext uri="{FF2B5EF4-FFF2-40B4-BE49-F238E27FC236}">
                  <a16:creationId xmlns:a16="http://schemas.microsoft.com/office/drawing/2014/main" id="{00000000-0008-0000-0100-000022000000}"/>
                </a:ext>
              </a:extLst>
            </xdr:cNvPr>
            <xdr:cNvSpPr txBox="1"/>
          </xdr:nvSpPr>
          <xdr:spPr>
            <a:xfrm>
              <a:off x="4266005" y="6259722"/>
              <a:ext cx="488082" cy="135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m:rPr>
                        <m:nor/>
                      </m:rPr>
                      <a:rPr lang="pt-BR" sz="900" b="1" i="0">
                        <a:latin typeface="Arial" panose="020B0604020202020204" pitchFamily="34" charset="0"/>
                        <a:ea typeface="Cambria Math" panose="02040503050406030204" pitchFamily="18" charset="0"/>
                        <a:cs typeface="Arial" panose="020B0604020202020204" pitchFamily="34" charset="0"/>
                      </a:rPr>
                      <m:t>×</m:t>
                    </m:r>
                    <m:r>
                      <m:rPr>
                        <m:nor/>
                      </m:rPr>
                      <a:rPr lang="pt-BR" sz="900" b="1" i="0">
                        <a:latin typeface="Arial" panose="020B0604020202020204" pitchFamily="34" charset="0"/>
                        <a:ea typeface="Cambria Math" panose="02040503050406030204" pitchFamily="18" charset="0"/>
                        <a:cs typeface="Arial" panose="020B0604020202020204" pitchFamily="34" charset="0"/>
                      </a:rPr>
                      <m:t> </m:t>
                    </m:r>
                    <m:r>
                      <m:rPr>
                        <m:nor/>
                      </m:rPr>
                      <a:rPr lang="pt-BR" sz="900" b="1" i="0">
                        <a:latin typeface="Arial" panose="020B0604020202020204" pitchFamily="34" charset="0"/>
                        <a:ea typeface="Cambria Math" panose="02040503050406030204" pitchFamily="18" charset="0"/>
                        <a:cs typeface="Arial" panose="020B0604020202020204" pitchFamily="34" charset="0"/>
                      </a:rPr>
                      <m:t>VML</m:t>
                    </m:r>
                    <m:r>
                      <m:rPr>
                        <m:nor/>
                      </m:rPr>
                      <a:rPr lang="pt-BR" sz="900" b="1" i="0">
                        <a:latin typeface="Arial" panose="020B0604020202020204" pitchFamily="34" charset="0"/>
                        <a:ea typeface="Cambria Math" panose="02040503050406030204" pitchFamily="18" charset="0"/>
                        <a:cs typeface="Arial" panose="020B0604020202020204" pitchFamily="34" charset="0"/>
                      </a:rPr>
                      <m:t> +</m:t>
                    </m:r>
                  </m:oMath>
                </m:oMathPara>
              </a14:m>
              <a:endParaRPr lang="pt-BR" sz="900" b="1" i="0">
                <a:latin typeface="Arial" panose="020B0604020202020204" pitchFamily="34" charset="0"/>
                <a:cs typeface="Arial" panose="020B0604020202020204" pitchFamily="34" charset="0"/>
              </a:endParaRPr>
            </a:p>
          </xdr:txBody>
        </xdr:sp>
      </mc:Choice>
      <mc:Fallback xmlns="">
        <xdr:sp macro="" textlink="">
          <xdr:nvSpPr>
            <xdr:cNvPr id="34" name="CaixaDeTexto 33"/>
            <xdr:cNvSpPr txBox="1"/>
          </xdr:nvSpPr>
          <xdr:spPr>
            <a:xfrm>
              <a:off x="4266005" y="6259722"/>
              <a:ext cx="488082" cy="135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pt-BR" sz="900" b="1" i="0">
                  <a:latin typeface="Cambria Math" panose="02040503050406030204" pitchFamily="18" charset="0"/>
                  <a:ea typeface="Cambria Math" panose="02040503050406030204" pitchFamily="18" charset="0"/>
                  <a:cs typeface="Arial" panose="020B0604020202020204" pitchFamily="34" charset="0"/>
                </a:rPr>
                <a:t>"× VML +</a:t>
              </a:r>
              <a:r>
                <a:rPr lang="pt-BR" sz="900" b="1" i="0">
                  <a:latin typeface="Arial" panose="020B0604020202020204" pitchFamily="34" charset="0"/>
                  <a:ea typeface="Cambria Math" panose="02040503050406030204" pitchFamily="18" charset="0"/>
                  <a:cs typeface="Arial" panose="020B0604020202020204" pitchFamily="34" charset="0"/>
                </a:rPr>
                <a:t>"</a:t>
              </a:r>
              <a:endParaRPr lang="pt-BR" sz="900" b="1" i="0">
                <a:latin typeface="Arial" panose="020B0604020202020204" pitchFamily="34" charset="0"/>
                <a:cs typeface="Arial" panose="020B0604020202020204" pitchFamily="34" charset="0"/>
              </a:endParaRPr>
            </a:p>
          </xdr:txBody>
        </xdr:sp>
      </mc:Fallback>
    </mc:AlternateContent>
    <xdr:clientData/>
  </xdr:oneCellAnchor>
  <xdr:twoCellAnchor>
    <xdr:from>
      <xdr:col>8</xdr:col>
      <xdr:colOff>88435</xdr:colOff>
      <xdr:row>24</xdr:row>
      <xdr:rowOff>39750</xdr:rowOff>
    </xdr:from>
    <xdr:to>
      <xdr:col>11</xdr:col>
      <xdr:colOff>113008</xdr:colOff>
      <xdr:row>24</xdr:row>
      <xdr:rowOff>193727</xdr:rowOff>
    </xdr:to>
    <xdr:sp macro="[0]!InserirCargas" textlink="">
      <xdr:nvSpPr>
        <xdr:cNvPr id="35" name="Retângulo de cantos arredondados 34">
          <a:extLst>
            <a:ext uri="{FF2B5EF4-FFF2-40B4-BE49-F238E27FC236}">
              <a16:creationId xmlns:a16="http://schemas.microsoft.com/office/drawing/2014/main" id="{00000000-0008-0000-0100-000023000000}"/>
            </a:ext>
          </a:extLst>
        </xdr:cNvPr>
        <xdr:cNvSpPr/>
      </xdr:nvSpPr>
      <xdr:spPr>
        <a:xfrm>
          <a:off x="3599770" y="4212992"/>
          <a:ext cx="993217" cy="153977"/>
        </a:xfrm>
        <a:prstGeom prst="roundRect">
          <a:avLst/>
        </a:prstGeom>
        <a:solidFill>
          <a:schemeClr val="tx1"/>
        </a:solidFill>
        <a:ln>
          <a:solidFill>
            <a:schemeClr val="tx1"/>
          </a:solid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a:solidFill>
                <a:sysClr val="windowText" lastClr="000000"/>
              </a:solidFill>
              <a:latin typeface="Arial" panose="020B0604020202020204" pitchFamily="34" charset="0"/>
              <a:cs typeface="Arial" panose="020B0604020202020204" pitchFamily="34" charset="0"/>
            </a:rPr>
            <a:t>Inserir Cargas</a:t>
          </a:r>
        </a:p>
      </xdr:txBody>
    </xdr:sp>
    <xdr:clientData/>
  </xdr:twoCellAnchor>
  <xdr:twoCellAnchor>
    <xdr:from>
      <xdr:col>24</xdr:col>
      <xdr:colOff>128478</xdr:colOff>
      <xdr:row>19</xdr:row>
      <xdr:rowOff>38698</xdr:rowOff>
    </xdr:from>
    <xdr:to>
      <xdr:col>25</xdr:col>
      <xdr:colOff>466183</xdr:colOff>
      <xdr:row>21</xdr:row>
      <xdr:rowOff>34149</xdr:rowOff>
    </xdr:to>
    <xdr:sp macro="[0]!ImprimirAnexo_1_2" textlink="">
      <xdr:nvSpPr>
        <xdr:cNvPr id="17" name="Retângulo de cantos arredondados 16">
          <a:extLst>
            <a:ext uri="{FF2B5EF4-FFF2-40B4-BE49-F238E27FC236}">
              <a16:creationId xmlns:a16="http://schemas.microsoft.com/office/drawing/2014/main" id="{00000000-0008-0000-0100-000011000000}"/>
            </a:ext>
          </a:extLst>
        </xdr:cNvPr>
        <xdr:cNvSpPr/>
      </xdr:nvSpPr>
      <xdr:spPr bwMode="auto">
        <a:xfrm>
          <a:off x="8967355" y="3428952"/>
          <a:ext cx="878531"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solidFill>
                <a:schemeClr val="accent2"/>
              </a:solidFill>
              <a:latin typeface="Arial" panose="020B0604020202020204" pitchFamily="34" charset="0"/>
              <a:cs typeface="Arial" panose="020B0604020202020204" pitchFamily="34" charset="0"/>
            </a:rPr>
            <a:t>Ensaio</a:t>
          </a:r>
          <a:r>
            <a:rPr lang="pt-BR" sz="900" baseline="0">
              <a:solidFill>
                <a:schemeClr val="accent2"/>
              </a:solidFill>
              <a:latin typeface="Arial" panose="020B0604020202020204" pitchFamily="34" charset="0"/>
              <a:cs typeface="Arial" panose="020B0604020202020204" pitchFamily="34" charset="0"/>
            </a:rPr>
            <a:t> de Seção</a:t>
          </a:r>
          <a:endParaRPr lang="pt-BR" sz="900">
            <a:solidFill>
              <a:schemeClr val="accent2"/>
            </a:solidFill>
            <a:latin typeface="Arial" panose="020B0604020202020204" pitchFamily="34" charset="0"/>
            <a:cs typeface="Arial" panose="020B0604020202020204" pitchFamily="34" charset="0"/>
          </a:endParaRPr>
        </a:p>
      </xdr:txBody>
    </xdr:sp>
    <xdr:clientData/>
  </xdr:twoCellAnchor>
  <xdr:twoCellAnchor>
    <xdr:from>
      <xdr:col>0</xdr:col>
      <xdr:colOff>24216</xdr:colOff>
      <xdr:row>0</xdr:row>
      <xdr:rowOff>158810</xdr:rowOff>
    </xdr:from>
    <xdr:to>
      <xdr:col>0</xdr:col>
      <xdr:colOff>1202733</xdr:colOff>
      <xdr:row>2</xdr:row>
      <xdr:rowOff>33181</xdr:rowOff>
    </xdr:to>
    <xdr:sp macro="[0]!SalvarComo" textlink="">
      <xdr:nvSpPr>
        <xdr:cNvPr id="18" name="Retângulo de cantos arredondados 17">
          <a:extLst>
            <a:ext uri="{FF2B5EF4-FFF2-40B4-BE49-F238E27FC236}">
              <a16:creationId xmlns:a16="http://schemas.microsoft.com/office/drawing/2014/main" id="{00000000-0008-0000-0100-000012000000}"/>
            </a:ext>
          </a:extLst>
        </xdr:cNvPr>
        <xdr:cNvSpPr/>
      </xdr:nvSpPr>
      <xdr:spPr bwMode="auto">
        <a:xfrm>
          <a:off x="24216" y="158810"/>
          <a:ext cx="1178517"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solidFill>
                <a:sysClr val="windowText" lastClr="000000"/>
              </a:solidFill>
              <a:latin typeface="Arial" panose="020B0604020202020204" pitchFamily="34" charset="0"/>
              <a:cs typeface="Arial" panose="020B0604020202020204" pitchFamily="34" charset="0"/>
            </a:rPr>
            <a:t>Salvar como na pasta do Cliente</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46785" name="Check Box 1" hidden="1">
              <a:extLst>
                <a:ext uri="{63B3BB69-23CF-44E3-9099-C40C66FF867C}">
                  <a14:compatExt spid="_x0000_s246785"/>
                </a:ext>
                <a:ext uri="{FF2B5EF4-FFF2-40B4-BE49-F238E27FC236}">
                  <a16:creationId xmlns:a16="http://schemas.microsoft.com/office/drawing/2014/main" id="{00000000-0008-0000-0200-000001C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46786" name="Check Box 2" hidden="1">
              <a:extLst>
                <a:ext uri="{63B3BB69-23CF-44E3-9099-C40C66FF867C}">
                  <a14:compatExt spid="_x0000_s246786"/>
                </a:ext>
                <a:ext uri="{FF2B5EF4-FFF2-40B4-BE49-F238E27FC236}">
                  <a16:creationId xmlns:a16="http://schemas.microsoft.com/office/drawing/2014/main" id="{00000000-0008-0000-0200-000002C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46787" name="Check Box 3" hidden="1">
              <a:extLst>
                <a:ext uri="{63B3BB69-23CF-44E3-9099-C40C66FF867C}">
                  <a14:compatExt spid="_x0000_s246787"/>
                </a:ext>
                <a:ext uri="{FF2B5EF4-FFF2-40B4-BE49-F238E27FC236}">
                  <a16:creationId xmlns:a16="http://schemas.microsoft.com/office/drawing/2014/main" id="{00000000-0008-0000-0200-000003C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95251</xdr:colOff>
      <xdr:row>1</xdr:row>
      <xdr:rowOff>55562</xdr:rowOff>
    </xdr:from>
    <xdr:to>
      <xdr:col>6</xdr:col>
      <xdr:colOff>190500</xdr:colOff>
      <xdr:row>4</xdr:row>
      <xdr:rowOff>134937</xdr:rowOff>
    </xdr:to>
    <xdr:pic>
      <xdr:nvPicPr>
        <xdr:cNvPr id="4" name="Imagem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76376" y="246062"/>
          <a:ext cx="1762124" cy="74612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19540" name="Check Box 1108" hidden="1">
              <a:extLst>
                <a:ext uri="{63B3BB69-23CF-44E3-9099-C40C66FF867C}">
                  <a14:compatExt spid="_x0000_s19540"/>
                </a:ext>
                <a:ext uri="{FF2B5EF4-FFF2-40B4-BE49-F238E27FC236}">
                  <a16:creationId xmlns:a16="http://schemas.microsoft.com/office/drawing/2014/main" id="{00000000-0008-0000-0300-000054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19541" name="Check Box 1109" hidden="1">
              <a:extLst>
                <a:ext uri="{63B3BB69-23CF-44E3-9099-C40C66FF867C}">
                  <a14:compatExt spid="_x0000_s19541"/>
                </a:ext>
                <a:ext uri="{FF2B5EF4-FFF2-40B4-BE49-F238E27FC236}">
                  <a16:creationId xmlns:a16="http://schemas.microsoft.com/office/drawing/2014/main" id="{00000000-0008-0000-0300-000055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19542" name="Check Box 1110" hidden="1">
              <a:extLst>
                <a:ext uri="{63B3BB69-23CF-44E3-9099-C40C66FF867C}">
                  <a14:compatExt spid="_x0000_s19542"/>
                </a:ext>
                <a:ext uri="{FF2B5EF4-FFF2-40B4-BE49-F238E27FC236}">
                  <a16:creationId xmlns:a16="http://schemas.microsoft.com/office/drawing/2014/main" id="{00000000-0008-0000-0300-000056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71438</xdr:colOff>
      <xdr:row>1</xdr:row>
      <xdr:rowOff>47627</xdr:rowOff>
    </xdr:from>
    <xdr:to>
      <xdr:col>6</xdr:col>
      <xdr:colOff>150813</xdr:colOff>
      <xdr:row>4</xdr:row>
      <xdr:rowOff>190501</xdr:rowOff>
    </xdr:to>
    <xdr:pic>
      <xdr:nvPicPr>
        <xdr:cNvPr id="3" name="Imagem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79501" y="238127"/>
          <a:ext cx="1746250" cy="80962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47809" name="Check Box 1" hidden="1">
              <a:extLst>
                <a:ext uri="{63B3BB69-23CF-44E3-9099-C40C66FF867C}">
                  <a14:compatExt spid="_x0000_s247809"/>
                </a:ext>
                <a:ext uri="{FF2B5EF4-FFF2-40B4-BE49-F238E27FC236}">
                  <a16:creationId xmlns:a16="http://schemas.microsoft.com/office/drawing/2014/main" id="{00000000-0008-0000-0400-000001C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71439</xdr:colOff>
      <xdr:row>1</xdr:row>
      <xdr:rowOff>47626</xdr:rowOff>
    </xdr:from>
    <xdr:to>
      <xdr:col>7</xdr:col>
      <xdr:colOff>23813</xdr:colOff>
      <xdr:row>4</xdr:row>
      <xdr:rowOff>174625</xdr:rowOff>
    </xdr:to>
    <xdr:pic>
      <xdr:nvPicPr>
        <xdr:cNvPr id="3" name="Imagem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52564" y="238126"/>
          <a:ext cx="1952624" cy="79374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39617" name="Check Box 1" hidden="1">
              <a:extLst>
                <a:ext uri="{63B3BB69-23CF-44E3-9099-C40C66FF867C}">
                  <a14:compatExt spid="_x0000_s239617"/>
                </a:ext>
                <a:ext uri="{FF2B5EF4-FFF2-40B4-BE49-F238E27FC236}">
                  <a16:creationId xmlns:a16="http://schemas.microsoft.com/office/drawing/2014/main" id="{00000000-0008-0000-0500-000001A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39618" name="Check Box 2" hidden="1">
              <a:extLst>
                <a:ext uri="{63B3BB69-23CF-44E3-9099-C40C66FF867C}">
                  <a14:compatExt spid="_x0000_s239618"/>
                </a:ext>
                <a:ext uri="{FF2B5EF4-FFF2-40B4-BE49-F238E27FC236}">
                  <a16:creationId xmlns:a16="http://schemas.microsoft.com/office/drawing/2014/main" id="{00000000-0008-0000-0500-000002A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55563</xdr:colOff>
      <xdr:row>1</xdr:row>
      <xdr:rowOff>47625</xdr:rowOff>
    </xdr:from>
    <xdr:to>
      <xdr:col>6</xdr:col>
      <xdr:colOff>127000</xdr:colOff>
      <xdr:row>4</xdr:row>
      <xdr:rowOff>190500</xdr:rowOff>
    </xdr:to>
    <xdr:pic>
      <xdr:nvPicPr>
        <xdr:cNvPr id="3" name="Imagem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63626" y="238125"/>
          <a:ext cx="1738312" cy="80962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0</xdr:colOff>
          <xdr:row>16</xdr:row>
          <xdr:rowOff>0</xdr:rowOff>
        </xdr:from>
        <xdr:to>
          <xdr:col>18</xdr:col>
          <xdr:colOff>0</xdr:colOff>
          <xdr:row>18</xdr:row>
          <xdr:rowOff>76200</xdr:rowOff>
        </xdr:to>
        <xdr:sp macro="" textlink="">
          <xdr:nvSpPr>
            <xdr:cNvPr id="223236" name="Check Box 4" hidden="1">
              <a:extLst>
                <a:ext uri="{63B3BB69-23CF-44E3-9099-C40C66FF867C}">
                  <a14:compatExt spid="_x0000_s223236"/>
                </a:ext>
                <a:ext uri="{FF2B5EF4-FFF2-40B4-BE49-F238E27FC236}">
                  <a16:creationId xmlns:a16="http://schemas.microsoft.com/office/drawing/2014/main" id="{00000000-0008-0000-0600-0000046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127000</xdr:colOff>
          <xdr:row>13</xdr:row>
          <xdr:rowOff>47621</xdr:rowOff>
        </xdr:from>
        <xdr:to>
          <xdr:col>15</xdr:col>
          <xdr:colOff>320687</xdr:colOff>
          <xdr:row>16</xdr:row>
          <xdr:rowOff>142121</xdr:rowOff>
        </xdr:to>
        <xdr:pic>
          <xdr:nvPicPr>
            <xdr:cNvPr id="6" name="Imagem 5">
              <a:extLst>
                <a:ext uri="{FF2B5EF4-FFF2-40B4-BE49-F238E27FC236}">
                  <a16:creationId xmlns:a16="http://schemas.microsoft.com/office/drawing/2014/main" id="{00000000-0008-0000-0600-000006000000}"/>
                </a:ext>
              </a:extLst>
            </xdr:cNvPr>
            <xdr:cNvPicPr preferRelativeResize="0">
              <a:picLocks noChangeArrowheads="1"/>
              <a:extLst>
                <a:ext uri="{84589F7E-364E-4C9E-8A38-B11213B215E9}">
                  <a14:cameraTool cellRange="Plataforma" spid="_x0000_s224247"/>
                </a:ext>
              </a:extLst>
            </xdr:cNvPicPr>
          </xdr:nvPicPr>
          <xdr:blipFill rotWithShape="1">
            <a:blip xmlns:r="http://schemas.openxmlformats.org/officeDocument/2006/relationships" r:embed="rId1"/>
            <a:srcRect l="13253" t="2532" r="15871" b="4137"/>
            <a:stretch>
              <a:fillRect/>
            </a:stretch>
          </xdr:blipFill>
          <xdr:spPr bwMode="auto">
            <a:xfrm>
              <a:off x="4230688" y="2309809"/>
              <a:ext cx="1170000" cy="66600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editAs="oneCell">
    <xdr:from>
      <xdr:col>1</xdr:col>
      <xdr:colOff>71438</xdr:colOff>
      <xdr:row>1</xdr:row>
      <xdr:rowOff>39688</xdr:rowOff>
    </xdr:from>
    <xdr:to>
      <xdr:col>6</xdr:col>
      <xdr:colOff>269876</xdr:colOff>
      <xdr:row>5</xdr:row>
      <xdr:rowOff>0</xdr:rowOff>
    </xdr:to>
    <xdr:pic>
      <xdr:nvPicPr>
        <xdr:cNvPr id="3" name="Imagem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08001" y="198438"/>
          <a:ext cx="1825625" cy="8572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0</xdr:colOff>
          <xdr:row>16</xdr:row>
          <xdr:rowOff>0</xdr:rowOff>
        </xdr:from>
        <xdr:to>
          <xdr:col>18</xdr:col>
          <xdr:colOff>0</xdr:colOff>
          <xdr:row>18</xdr:row>
          <xdr:rowOff>76200</xdr:rowOff>
        </xdr:to>
        <xdr:sp macro="" textlink="">
          <xdr:nvSpPr>
            <xdr:cNvPr id="258049" name="Check Box 1" hidden="1">
              <a:extLst>
                <a:ext uri="{63B3BB69-23CF-44E3-9099-C40C66FF867C}">
                  <a14:compatExt spid="_x0000_s258049"/>
                </a:ext>
                <a:ext uri="{FF2B5EF4-FFF2-40B4-BE49-F238E27FC236}">
                  <a16:creationId xmlns:a16="http://schemas.microsoft.com/office/drawing/2014/main" id="{00000000-0008-0000-0700-000001F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150812</xdr:colOff>
      <xdr:row>13</xdr:row>
      <xdr:rowOff>39688</xdr:rowOff>
    </xdr:from>
    <xdr:to>
      <xdr:col>17</xdr:col>
      <xdr:colOff>182562</xdr:colOff>
      <xdr:row>16</xdr:row>
      <xdr:rowOff>172321</xdr:rowOff>
    </xdr:to>
    <xdr:pic>
      <xdr:nvPicPr>
        <xdr:cNvPr id="2" name="Imagem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41750" y="2492376"/>
          <a:ext cx="1984375" cy="704133"/>
        </a:xfrm>
        <a:prstGeom prst="rect">
          <a:avLst/>
        </a:prstGeom>
      </xdr:spPr>
    </xdr:pic>
    <xdr:clientData/>
  </xdr:twoCellAnchor>
  <xdr:twoCellAnchor editAs="oneCell">
    <xdr:from>
      <xdr:col>3</xdr:col>
      <xdr:colOff>0</xdr:colOff>
      <xdr:row>58</xdr:row>
      <xdr:rowOff>0</xdr:rowOff>
    </xdr:from>
    <xdr:to>
      <xdr:col>17</xdr:col>
      <xdr:colOff>196850</xdr:colOff>
      <xdr:row>77</xdr:row>
      <xdr:rowOff>60325</xdr:rowOff>
    </xdr:to>
    <xdr:pic>
      <xdr:nvPicPr>
        <xdr:cNvPr id="4" name="Imagem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087438" y="9834563"/>
          <a:ext cx="4752975" cy="3076575"/>
        </a:xfrm>
        <a:prstGeom prst="rect">
          <a:avLst/>
        </a:prstGeom>
      </xdr:spPr>
    </xdr:pic>
    <xdr:clientData/>
  </xdr:twoCellAnchor>
  <xdr:twoCellAnchor editAs="oneCell">
    <xdr:from>
      <xdr:col>1</xdr:col>
      <xdr:colOff>103189</xdr:colOff>
      <xdr:row>1</xdr:row>
      <xdr:rowOff>63501</xdr:rowOff>
    </xdr:from>
    <xdr:to>
      <xdr:col>6</xdr:col>
      <xdr:colOff>182564</xdr:colOff>
      <xdr:row>4</xdr:row>
      <xdr:rowOff>119063</xdr:rowOff>
    </xdr:to>
    <xdr:pic>
      <xdr:nvPicPr>
        <xdr:cNvPr id="7" name="Imagem 6">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39752" y="222251"/>
          <a:ext cx="1706562" cy="7937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68</xdr:col>
      <xdr:colOff>11616</xdr:colOff>
      <xdr:row>3</xdr:row>
      <xdr:rowOff>174237</xdr:rowOff>
    </xdr:from>
    <xdr:to>
      <xdr:col>71</xdr:col>
      <xdr:colOff>1</xdr:colOff>
      <xdr:row>3</xdr:row>
      <xdr:rowOff>348475</xdr:rowOff>
    </xdr:to>
    <xdr:sp macro="[0]!ConcluirEntradaDeCargas" textlink="">
      <xdr:nvSpPr>
        <xdr:cNvPr id="2" name="Retângulo de cantos arredondados 1">
          <a:extLst>
            <a:ext uri="{FF2B5EF4-FFF2-40B4-BE49-F238E27FC236}">
              <a16:creationId xmlns:a16="http://schemas.microsoft.com/office/drawing/2014/main" id="{00000000-0008-0000-0800-000002000000}"/>
            </a:ext>
          </a:extLst>
        </xdr:cNvPr>
        <xdr:cNvSpPr/>
      </xdr:nvSpPr>
      <xdr:spPr bwMode="auto">
        <a:xfrm>
          <a:off x="12603201" y="743414"/>
          <a:ext cx="1068660" cy="174238"/>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Concluido</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19</xdr:col>
      <xdr:colOff>180975</xdr:colOff>
      <xdr:row>15</xdr:row>
      <xdr:rowOff>123825</xdr:rowOff>
    </xdr:from>
    <xdr:to>
      <xdr:col>20</xdr:col>
      <xdr:colOff>563834</xdr:colOff>
      <xdr:row>16</xdr:row>
      <xdr:rowOff>107563</xdr:rowOff>
    </xdr:to>
    <xdr:sp macro="[0]!FecharDadosdetermohigrometros" textlink="">
      <xdr:nvSpPr>
        <xdr:cNvPr id="2" name="Retângulo de cantos arredondados 1">
          <a:extLst>
            <a:ext uri="{FF2B5EF4-FFF2-40B4-BE49-F238E27FC236}">
              <a16:creationId xmlns:a16="http://schemas.microsoft.com/office/drawing/2014/main" id="{00000000-0008-0000-0900-000002000000}"/>
            </a:ext>
          </a:extLst>
        </xdr:cNvPr>
        <xdr:cNvSpPr/>
      </xdr:nvSpPr>
      <xdr:spPr bwMode="auto">
        <a:xfrm>
          <a:off x="11144250" y="2990850"/>
          <a:ext cx="1068659" cy="174238"/>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Concluido</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38</xdr:col>
      <xdr:colOff>17318</xdr:colOff>
      <xdr:row>0</xdr:row>
      <xdr:rowOff>86591</xdr:rowOff>
    </xdr:from>
    <xdr:to>
      <xdr:col>43</xdr:col>
      <xdr:colOff>176773</xdr:colOff>
      <xdr:row>1</xdr:row>
      <xdr:rowOff>96306</xdr:rowOff>
    </xdr:to>
    <xdr:sp macro="[0]!FecharDadosCertificadosPadroes" textlink="">
      <xdr:nvSpPr>
        <xdr:cNvPr id="2" name="Retângulo de cantos arredondados 1">
          <a:extLst>
            <a:ext uri="{FF2B5EF4-FFF2-40B4-BE49-F238E27FC236}">
              <a16:creationId xmlns:a16="http://schemas.microsoft.com/office/drawing/2014/main" id="{00000000-0008-0000-0A00-000002000000}"/>
            </a:ext>
          </a:extLst>
        </xdr:cNvPr>
        <xdr:cNvSpPr/>
      </xdr:nvSpPr>
      <xdr:spPr bwMode="auto">
        <a:xfrm>
          <a:off x="8459932" y="86591"/>
          <a:ext cx="1068659" cy="174238"/>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Concluido</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4</xdr:col>
      <xdr:colOff>304801</xdr:colOff>
      <xdr:row>1</xdr:row>
      <xdr:rowOff>85724</xdr:rowOff>
    </xdr:from>
    <xdr:to>
      <xdr:col>13</xdr:col>
      <xdr:colOff>38101</xdr:colOff>
      <xdr:row>13</xdr:row>
      <xdr:rowOff>38100</xdr:rowOff>
    </xdr:to>
    <xdr:graphicFrame macro="">
      <xdr:nvGraphicFramePr>
        <xdr:cNvPr id="2" name="Gráfico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314325</xdr:colOff>
      <xdr:row>14</xdr:row>
      <xdr:rowOff>66675</xdr:rowOff>
    </xdr:from>
    <xdr:to>
      <xdr:col>13</xdr:col>
      <xdr:colOff>47625</xdr:colOff>
      <xdr:row>33</xdr:row>
      <xdr:rowOff>19051</xdr:rowOff>
    </xdr:to>
    <xdr:graphicFrame macro="">
      <xdr:nvGraphicFramePr>
        <xdr:cNvPr id="3" name="Gráfico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447674</xdr:colOff>
      <xdr:row>1</xdr:row>
      <xdr:rowOff>152400</xdr:rowOff>
    </xdr:from>
    <xdr:to>
      <xdr:col>16</xdr:col>
      <xdr:colOff>57149</xdr:colOff>
      <xdr:row>3</xdr:row>
      <xdr:rowOff>28576</xdr:rowOff>
    </xdr:to>
    <xdr:sp macro="[0]!FecharGrágicos" textlink="">
      <xdr:nvSpPr>
        <xdr:cNvPr id="4" name="Retângulo de cantos arredondados 3">
          <a:extLst>
            <a:ext uri="{FF2B5EF4-FFF2-40B4-BE49-F238E27FC236}">
              <a16:creationId xmlns:a16="http://schemas.microsoft.com/office/drawing/2014/main" id="{00000000-0008-0000-0B00-000004000000}"/>
            </a:ext>
          </a:extLst>
        </xdr:cNvPr>
        <xdr:cNvSpPr/>
      </xdr:nvSpPr>
      <xdr:spPr>
        <a:xfrm>
          <a:off x="9010649" y="238125"/>
          <a:ext cx="1438275" cy="257176"/>
        </a:xfrm>
        <a:prstGeom prst="roundRect">
          <a:avLst/>
        </a:prstGeom>
        <a:solidFill>
          <a:schemeClr val="bg2">
            <a:lumMod val="90000"/>
          </a:schemeClr>
        </a:solidFill>
        <a:ln>
          <a:solidFill>
            <a:schemeClr val="tx1"/>
          </a:solid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a:solidFill>
                <a:sysClr val="windowText" lastClr="000000"/>
              </a:solidFill>
              <a:latin typeface="Arial" panose="020B0604020202020204" pitchFamily="34" charset="0"/>
              <a:cs typeface="Arial" panose="020B0604020202020204" pitchFamily="34" charset="0"/>
            </a:rPr>
            <a:t>Fechar Visualização</a:t>
          </a:r>
        </a:p>
      </xdr:txBody>
    </xdr:sp>
    <xdr:clientData/>
  </xdr:twoCellAnchor>
  <xdr:twoCellAnchor>
    <xdr:from>
      <xdr:col>2</xdr:col>
      <xdr:colOff>247650</xdr:colOff>
      <xdr:row>16</xdr:row>
      <xdr:rowOff>19049</xdr:rowOff>
    </xdr:from>
    <xdr:to>
      <xdr:col>3</xdr:col>
      <xdr:colOff>904875</xdr:colOff>
      <xdr:row>27</xdr:row>
      <xdr:rowOff>106914</xdr:rowOff>
    </xdr:to>
    <xdr:sp macro="" textlink="">
      <xdr:nvSpPr>
        <xdr:cNvPr id="5" name="Texto explicativo retangular 4">
          <a:extLst>
            <a:ext uri="{FF2B5EF4-FFF2-40B4-BE49-F238E27FC236}">
              <a16:creationId xmlns:a16="http://schemas.microsoft.com/office/drawing/2014/main" id="{00000000-0008-0000-0B00-000005000000}"/>
            </a:ext>
          </a:extLst>
        </xdr:cNvPr>
        <xdr:cNvSpPr/>
      </xdr:nvSpPr>
      <xdr:spPr>
        <a:xfrm>
          <a:off x="1466850" y="2867024"/>
          <a:ext cx="1266825" cy="764140"/>
        </a:xfrm>
        <a:prstGeom prst="wedgeRectCallout">
          <a:avLst>
            <a:gd name="adj1" fmla="val 97111"/>
            <a:gd name="adj2" fmla="val 80785"/>
          </a:avLst>
        </a:prstGeom>
        <a:solidFill>
          <a:schemeClr val="bg2"/>
        </a:solidFill>
        <a:ln w="28575">
          <a:solidFill>
            <a:schemeClr val="tx1"/>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ctr" anchorCtr="1"/>
        <a:lstStyle/>
        <a:p>
          <a:pPr algn="l"/>
          <a:r>
            <a:rPr lang="pt-BR" sz="1100"/>
            <a:t>Dê</a:t>
          </a:r>
          <a:r>
            <a:rPr lang="pt-BR" sz="1100" baseline="0"/>
            <a:t> 2 cliques em cima da linha, para abrir as opções de tendência.</a:t>
          </a:r>
          <a:endParaRPr lang="pt-BR" sz="1100"/>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47625</xdr:colOff>
      <xdr:row>0</xdr:row>
      <xdr:rowOff>19050</xdr:rowOff>
    </xdr:from>
    <xdr:to>
      <xdr:col>0</xdr:col>
      <xdr:colOff>1116284</xdr:colOff>
      <xdr:row>0</xdr:row>
      <xdr:rowOff>193288</xdr:rowOff>
    </xdr:to>
    <xdr:sp macro="[0]!FecharDadosClientes" textlink="">
      <xdr:nvSpPr>
        <xdr:cNvPr id="2" name="Retângulo de cantos arredondados 1">
          <a:extLst>
            <a:ext uri="{FF2B5EF4-FFF2-40B4-BE49-F238E27FC236}">
              <a16:creationId xmlns:a16="http://schemas.microsoft.com/office/drawing/2014/main" id="{00000000-0008-0000-0D00-000002000000}"/>
            </a:ext>
          </a:extLst>
        </xdr:cNvPr>
        <xdr:cNvSpPr/>
      </xdr:nvSpPr>
      <xdr:spPr bwMode="auto">
        <a:xfrm>
          <a:off x="47625" y="19050"/>
          <a:ext cx="1068659" cy="174238"/>
        </a:xfrm>
        <a:prstGeom prst="roundRect">
          <a:avLst>
            <a:gd name="adj" fmla="val 37180"/>
          </a:avLst>
        </a:prstGeom>
        <a:solidFill>
          <a:schemeClr val="bg1">
            <a:lumMod val="95000"/>
          </a:schemeClr>
        </a:solid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Concluido</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noFill/>
        <a:ln w="28575" cap="flat" cmpd="sng" algn="ctr">
          <a:solidFill>
            <a:schemeClr val="tx1"/>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rtlCol="0" anchor="ctr" upright="1"/>
      <a:lstStyle>
        <a:defPPr algn="ctr">
          <a:defRPr sz="1100"/>
        </a:defPPr>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ctrlProp" Target="../ctrlProps/ctrlProp1.xml"/><Relationship Id="rId4" Type="http://schemas.openxmlformats.org/officeDocument/2006/relationships/vmlDrawing" Target="../drawings/vmlDrawing3.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5.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trlProp" Target="../ctrlProps/ctrlProp7.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7.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trlProp" Target="../ctrlProps/ctrlProp8.xml"/><Relationship Id="rId4" Type="http://schemas.openxmlformats.org/officeDocument/2006/relationships/vmlDrawing" Target="../drawings/vmlDrawing9.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vmlDrawing" Target="../drawings/vmlDrawing11.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trlProp" Target="../ctrlProps/ctrlProp11.xml"/><Relationship Id="rId4" Type="http://schemas.openxmlformats.org/officeDocument/2006/relationships/vmlDrawing" Target="../drawings/vmlDrawing13.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trlProp" Target="../ctrlProps/ctrlProp12.xml"/><Relationship Id="rId4" Type="http://schemas.openxmlformats.org/officeDocument/2006/relationships/vmlDrawing" Target="../drawings/vmlDrawing1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2.bin"/><Relationship Id="rId1" Type="http://schemas.openxmlformats.org/officeDocument/2006/relationships/hyperlink" Target="mailto:dario.rosa@jbs.com.br"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4"/>
  <dimension ref="B2:S36"/>
  <sheetViews>
    <sheetView showGridLines="0" topLeftCell="A13" workbookViewId="0">
      <selection activeCell="Q7" sqref="Q7"/>
    </sheetView>
  </sheetViews>
  <sheetFormatPr defaultRowHeight="12.75" x14ac:dyDescent="0.2"/>
  <cols>
    <col min="1" max="16384" width="9.140625" style="328"/>
  </cols>
  <sheetData>
    <row r="2" spans="2:19" ht="18" x14ac:dyDescent="0.2">
      <c r="B2" s="366" t="s">
        <v>277</v>
      </c>
      <c r="C2" s="366"/>
      <c r="D2" s="366"/>
      <c r="E2" s="366"/>
      <c r="F2" s="366"/>
      <c r="G2" s="366"/>
      <c r="H2" s="366"/>
      <c r="I2" s="366"/>
      <c r="J2" s="366"/>
      <c r="K2" s="366"/>
      <c r="L2" s="366"/>
      <c r="M2" s="366"/>
      <c r="N2" s="366"/>
    </row>
    <row r="3" spans="2:19" ht="1.5" customHeight="1" x14ac:dyDescent="0.2">
      <c r="S3" s="329"/>
    </row>
    <row r="4" spans="2:19" ht="17.25" customHeight="1" x14ac:dyDescent="0.25">
      <c r="B4" s="376" t="s">
        <v>285</v>
      </c>
      <c r="C4" s="376"/>
      <c r="D4" s="376"/>
      <c r="E4" s="376"/>
      <c r="F4" s="376"/>
      <c r="G4" s="376"/>
      <c r="H4" s="376"/>
      <c r="I4" s="376"/>
      <c r="J4" s="376"/>
      <c r="K4" s="376"/>
      <c r="L4" s="376"/>
      <c r="M4" s="376"/>
      <c r="N4" s="376"/>
    </row>
    <row r="5" spans="2:19" ht="105" customHeight="1" x14ac:dyDescent="0.2">
      <c r="B5" s="375" t="s">
        <v>288</v>
      </c>
      <c r="C5" s="375"/>
      <c r="D5" s="375"/>
      <c r="E5" s="375"/>
      <c r="F5" s="375"/>
      <c r="G5" s="375"/>
      <c r="H5" s="375"/>
      <c r="I5" s="375"/>
      <c r="J5" s="375"/>
      <c r="K5" s="375"/>
      <c r="L5" s="375"/>
      <c r="M5" s="375"/>
      <c r="N5" s="375"/>
    </row>
    <row r="6" spans="2:19" ht="13.5" thickBot="1" x14ac:dyDescent="0.25">
      <c r="R6" s="330"/>
    </row>
    <row r="7" spans="2:19" ht="27" customHeight="1" thickBot="1" x14ac:dyDescent="0.25">
      <c r="B7" s="361">
        <v>1</v>
      </c>
      <c r="C7" s="367" t="s">
        <v>278</v>
      </c>
      <c r="D7" s="368"/>
      <c r="E7" s="368"/>
      <c r="F7" s="369" t="s">
        <v>290</v>
      </c>
      <c r="G7" s="369"/>
      <c r="H7" s="369"/>
      <c r="I7" s="369"/>
      <c r="J7" s="369"/>
      <c r="K7" s="369"/>
      <c r="L7" s="369"/>
      <c r="M7" s="369"/>
      <c r="N7" s="370"/>
      <c r="R7" s="330"/>
    </row>
    <row r="8" spans="2:19" ht="27" customHeight="1" thickBot="1" x14ac:dyDescent="0.25">
      <c r="B8" s="361">
        <v>2</v>
      </c>
      <c r="C8" s="367" t="s">
        <v>281</v>
      </c>
      <c r="D8" s="368"/>
      <c r="E8" s="368"/>
      <c r="F8" s="369" t="str">
        <f>CONCATENATE('Entrada de Dados'!E5,"\")</f>
        <v>ADAIR JOSE MENEGOL\</v>
      </c>
      <c r="G8" s="369"/>
      <c r="H8" s="369"/>
      <c r="I8" s="369"/>
      <c r="J8" s="369"/>
      <c r="K8" s="369"/>
      <c r="L8" s="369"/>
      <c r="M8" s="369"/>
      <c r="N8" s="370"/>
      <c r="R8" s="330"/>
    </row>
    <row r="9" spans="2:19" ht="30" customHeight="1" thickBot="1" x14ac:dyDescent="0.25">
      <c r="B9" s="361">
        <v>3</v>
      </c>
      <c r="C9" s="367" t="s">
        <v>282</v>
      </c>
      <c r="D9" s="368"/>
      <c r="E9" s="368"/>
      <c r="F9" s="369" t="str">
        <f ca="1">CONCATENATE(YEAR(TODAY()),"\")</f>
        <v>2024\</v>
      </c>
      <c r="G9" s="369"/>
      <c r="H9" s="369"/>
      <c r="I9" s="369"/>
      <c r="J9" s="369"/>
      <c r="K9" s="369"/>
      <c r="L9" s="369"/>
      <c r="M9" s="369"/>
      <c r="N9" s="370"/>
      <c r="R9" s="330"/>
    </row>
    <row r="10" spans="2:19" ht="28.5" customHeight="1" thickBot="1" x14ac:dyDescent="0.25">
      <c r="B10" s="361">
        <v>4</v>
      </c>
      <c r="C10" s="373" t="s">
        <v>283</v>
      </c>
      <c r="D10" s="374"/>
      <c r="E10" s="374"/>
      <c r="F10" s="371" t="str">
        <f>CONCATENATE("OS ",'Entrada de Dados'!V5,"\")</f>
        <v>OS 404\</v>
      </c>
      <c r="G10" s="371"/>
      <c r="H10" s="371"/>
      <c r="I10" s="371"/>
      <c r="J10" s="371"/>
      <c r="K10" s="371"/>
      <c r="L10" s="371"/>
      <c r="M10" s="371"/>
      <c r="N10" s="372"/>
      <c r="R10" s="330"/>
    </row>
    <row r="11" spans="2:19" x14ac:dyDescent="0.2">
      <c r="R11" s="331"/>
    </row>
    <row r="12" spans="2:19" ht="39.75" customHeight="1" x14ac:dyDescent="0.2">
      <c r="B12" s="375" t="s">
        <v>289</v>
      </c>
      <c r="C12" s="375"/>
      <c r="D12" s="375"/>
      <c r="E12" s="375"/>
      <c r="F12" s="375"/>
      <c r="G12" s="375"/>
      <c r="H12" s="375"/>
      <c r="I12" s="375"/>
      <c r="J12" s="375"/>
      <c r="K12" s="375"/>
      <c r="L12" s="375"/>
      <c r="M12" s="375"/>
      <c r="N12" s="375"/>
      <c r="R12" s="331"/>
    </row>
    <row r="13" spans="2:19" x14ac:dyDescent="0.2">
      <c r="R13" s="331"/>
    </row>
    <row r="14" spans="2:19" ht="15" x14ac:dyDescent="0.2">
      <c r="B14" s="365" t="s">
        <v>287</v>
      </c>
      <c r="C14" s="365"/>
      <c r="D14" s="365"/>
      <c r="E14" s="365"/>
      <c r="F14" s="365"/>
      <c r="G14" s="365"/>
      <c r="H14" s="365"/>
      <c r="I14" s="365"/>
      <c r="J14" s="365"/>
      <c r="K14" s="365"/>
      <c r="L14" s="365"/>
      <c r="M14" s="365"/>
      <c r="N14" s="365"/>
      <c r="R14" s="331"/>
    </row>
    <row r="15" spans="2:19" x14ac:dyDescent="0.2">
      <c r="B15" s="364" t="s">
        <v>291</v>
      </c>
      <c r="C15" s="364"/>
      <c r="D15" s="364"/>
      <c r="E15" s="364"/>
      <c r="F15" s="332"/>
      <c r="G15" s="332"/>
      <c r="H15" s="332"/>
      <c r="I15" s="332"/>
      <c r="J15" s="332"/>
      <c r="K15" s="332"/>
      <c r="L15" s="332"/>
      <c r="M15" s="332"/>
      <c r="N15" s="332"/>
      <c r="R15" s="331"/>
    </row>
    <row r="16" spans="2:19" x14ac:dyDescent="0.2">
      <c r="B16" s="364" t="s">
        <v>292</v>
      </c>
      <c r="C16" s="364"/>
      <c r="D16" s="364"/>
      <c r="E16" s="364"/>
      <c r="F16" s="332"/>
      <c r="G16" s="332"/>
      <c r="H16" s="332"/>
      <c r="I16" s="332"/>
      <c r="J16" s="332"/>
      <c r="K16" s="332"/>
      <c r="L16" s="332"/>
      <c r="M16" s="332"/>
      <c r="N16" s="332"/>
      <c r="R16" s="331"/>
    </row>
    <row r="17" spans="2:18" x14ac:dyDescent="0.2">
      <c r="B17" s="364" t="s">
        <v>354</v>
      </c>
      <c r="C17" s="364"/>
      <c r="D17" s="364"/>
      <c r="E17" s="364"/>
      <c r="F17" s="332"/>
      <c r="G17" s="332"/>
      <c r="H17" s="332"/>
      <c r="I17" s="332"/>
      <c r="J17" s="332"/>
      <c r="K17" s="332"/>
      <c r="L17" s="332"/>
      <c r="M17" s="332"/>
      <c r="N17" s="332"/>
      <c r="R17" s="331"/>
    </row>
    <row r="18" spans="2:18" x14ac:dyDescent="0.2">
      <c r="B18" s="364" t="s">
        <v>284</v>
      </c>
      <c r="C18" s="364"/>
      <c r="D18" s="364"/>
      <c r="E18" s="364"/>
      <c r="F18" s="332"/>
      <c r="G18" s="332"/>
      <c r="H18" s="332"/>
      <c r="I18" s="332"/>
      <c r="J18" s="332"/>
      <c r="K18" s="332"/>
      <c r="L18" s="332"/>
      <c r="M18" s="332"/>
      <c r="N18" s="332"/>
      <c r="R18" s="331"/>
    </row>
    <row r="19" spans="2:18" x14ac:dyDescent="0.2">
      <c r="B19" s="364"/>
      <c r="C19" s="364"/>
      <c r="D19" s="364"/>
      <c r="E19" s="364"/>
      <c r="F19" s="332"/>
      <c r="G19" s="332"/>
      <c r="H19" s="332"/>
      <c r="I19" s="332"/>
      <c r="J19" s="332"/>
      <c r="K19" s="332"/>
      <c r="L19" s="332"/>
      <c r="M19" s="332"/>
      <c r="N19" s="332"/>
      <c r="R19" s="331"/>
    </row>
    <row r="20" spans="2:18" x14ac:dyDescent="0.2">
      <c r="B20" s="364"/>
      <c r="C20" s="364"/>
      <c r="D20" s="364"/>
      <c r="E20" s="364"/>
      <c r="F20" s="332"/>
      <c r="G20" s="332"/>
      <c r="H20" s="332"/>
      <c r="I20" s="332"/>
      <c r="J20" s="332"/>
      <c r="K20" s="332"/>
      <c r="L20" s="332"/>
      <c r="M20" s="332"/>
      <c r="N20" s="332"/>
      <c r="R20" s="331"/>
    </row>
    <row r="21" spans="2:18" x14ac:dyDescent="0.2">
      <c r="B21" s="364"/>
      <c r="C21" s="364"/>
      <c r="D21" s="364"/>
      <c r="E21" s="364"/>
      <c r="F21" s="332"/>
      <c r="G21" s="332"/>
      <c r="H21" s="332"/>
      <c r="I21" s="332"/>
      <c r="J21" s="332"/>
      <c r="K21" s="332"/>
      <c r="L21" s="332"/>
      <c r="M21" s="332"/>
      <c r="N21" s="332"/>
      <c r="R21" s="331"/>
    </row>
    <row r="22" spans="2:18" x14ac:dyDescent="0.2">
      <c r="B22" s="332"/>
      <c r="C22" s="332"/>
      <c r="D22" s="332"/>
      <c r="E22" s="332"/>
      <c r="F22" s="332"/>
      <c r="G22" s="332"/>
      <c r="H22" s="332"/>
      <c r="I22" s="332"/>
      <c r="J22" s="332"/>
      <c r="K22" s="332"/>
      <c r="L22" s="332"/>
      <c r="M22" s="332"/>
      <c r="N22" s="332"/>
      <c r="R22" s="331"/>
    </row>
    <row r="23" spans="2:18" ht="15" x14ac:dyDescent="0.2">
      <c r="B23" s="365" t="s">
        <v>286</v>
      </c>
      <c r="C23" s="365"/>
      <c r="D23" s="365"/>
      <c r="E23" s="365"/>
      <c r="F23" s="365"/>
      <c r="G23" s="365"/>
      <c r="H23" s="365"/>
      <c r="I23" s="365"/>
      <c r="J23" s="365"/>
      <c r="K23" s="365"/>
      <c r="L23" s="365"/>
      <c r="M23" s="365"/>
      <c r="N23" s="365"/>
      <c r="R23" s="331"/>
    </row>
    <row r="24" spans="2:18" x14ac:dyDescent="0.2">
      <c r="B24" s="364" t="s">
        <v>291</v>
      </c>
      <c r="C24" s="364"/>
      <c r="D24" s="364"/>
      <c r="E24" s="364"/>
      <c r="F24" s="332"/>
      <c r="G24" s="332"/>
      <c r="H24" s="332"/>
      <c r="I24" s="332"/>
      <c r="J24" s="332"/>
      <c r="K24" s="332"/>
      <c r="L24" s="332"/>
      <c r="M24" s="332"/>
      <c r="N24" s="332"/>
      <c r="R24" s="331"/>
    </row>
    <row r="25" spans="2:18" x14ac:dyDescent="0.2">
      <c r="B25" s="364" t="s">
        <v>279</v>
      </c>
      <c r="C25" s="364"/>
      <c r="D25" s="364"/>
      <c r="E25" s="364"/>
      <c r="F25" s="332"/>
      <c r="G25" s="332"/>
      <c r="H25" s="332"/>
      <c r="I25" s="332"/>
      <c r="J25" s="332"/>
      <c r="K25" s="332"/>
      <c r="L25" s="332"/>
      <c r="M25" s="332"/>
      <c r="N25" s="332"/>
      <c r="R25" s="331"/>
    </row>
    <row r="26" spans="2:18" x14ac:dyDescent="0.2">
      <c r="B26" s="364" t="s">
        <v>280</v>
      </c>
      <c r="C26" s="364"/>
      <c r="D26" s="364"/>
      <c r="E26" s="364"/>
      <c r="F26" s="332"/>
      <c r="G26" s="332"/>
      <c r="H26" s="332"/>
      <c r="I26" s="332"/>
      <c r="J26" s="332"/>
      <c r="K26" s="332"/>
      <c r="L26" s="332"/>
      <c r="M26" s="332"/>
      <c r="N26" s="332"/>
      <c r="R26" s="331"/>
    </row>
    <row r="27" spans="2:18" x14ac:dyDescent="0.2">
      <c r="B27" s="364"/>
      <c r="C27" s="364"/>
      <c r="D27" s="364"/>
      <c r="E27" s="364"/>
      <c r="F27" s="332"/>
      <c r="G27" s="332"/>
      <c r="H27" s="332"/>
      <c r="I27" s="332"/>
      <c r="J27" s="332"/>
      <c r="K27" s="332"/>
      <c r="L27" s="332"/>
      <c r="M27" s="332"/>
      <c r="N27" s="332"/>
      <c r="R27" s="331"/>
    </row>
    <row r="28" spans="2:18" x14ac:dyDescent="0.2">
      <c r="B28" s="364"/>
      <c r="C28" s="364"/>
      <c r="D28" s="364"/>
      <c r="E28" s="364"/>
      <c r="F28" s="332"/>
      <c r="G28" s="332"/>
      <c r="H28" s="332"/>
      <c r="I28" s="332"/>
      <c r="J28" s="332"/>
      <c r="K28" s="332"/>
      <c r="L28" s="332"/>
      <c r="M28" s="332"/>
      <c r="N28" s="332"/>
      <c r="R28" s="331"/>
    </row>
    <row r="29" spans="2:18" x14ac:dyDescent="0.2">
      <c r="R29" s="331"/>
    </row>
    <row r="30" spans="2:18" ht="15" x14ac:dyDescent="0.2">
      <c r="B30" s="365"/>
      <c r="C30" s="365"/>
      <c r="D30" s="365"/>
      <c r="E30" s="365"/>
      <c r="F30" s="365"/>
      <c r="G30" s="365"/>
      <c r="H30" s="365"/>
      <c r="I30" s="365"/>
      <c r="J30" s="365"/>
      <c r="K30" s="365"/>
      <c r="L30" s="365"/>
      <c r="M30" s="365"/>
      <c r="N30" s="365"/>
    </row>
    <row r="31" spans="2:18" x14ac:dyDescent="0.2">
      <c r="B31" s="332"/>
      <c r="C31" s="332"/>
      <c r="D31" s="332"/>
      <c r="E31" s="332"/>
      <c r="F31" s="332"/>
      <c r="G31" s="332"/>
      <c r="H31" s="332"/>
      <c r="I31" s="332"/>
      <c r="J31" s="332"/>
      <c r="K31" s="332"/>
      <c r="L31" s="332"/>
      <c r="M31" s="332"/>
      <c r="N31" s="332"/>
      <c r="R31" s="331"/>
    </row>
    <row r="32" spans="2:18" ht="15" x14ac:dyDescent="0.2">
      <c r="B32" s="365"/>
      <c r="C32" s="365"/>
      <c r="D32" s="365"/>
      <c r="E32" s="365"/>
      <c r="F32" s="365"/>
      <c r="G32" s="365"/>
      <c r="H32" s="365"/>
      <c r="I32" s="365"/>
      <c r="J32" s="365"/>
      <c r="K32" s="365"/>
      <c r="L32" s="365"/>
      <c r="M32" s="365"/>
      <c r="N32" s="365"/>
    </row>
    <row r="33" spans="2:14" x14ac:dyDescent="0.2">
      <c r="B33" s="332"/>
      <c r="C33" s="332"/>
      <c r="D33" s="332"/>
      <c r="E33" s="332"/>
      <c r="F33" s="332"/>
      <c r="G33" s="332"/>
      <c r="H33" s="332"/>
      <c r="I33" s="332"/>
      <c r="J33" s="332"/>
      <c r="K33" s="332"/>
      <c r="L33" s="332"/>
      <c r="M33" s="332"/>
      <c r="N33" s="332"/>
    </row>
    <row r="34" spans="2:14" ht="15" x14ac:dyDescent="0.2">
      <c r="B34" s="365"/>
      <c r="C34" s="365"/>
      <c r="D34" s="365"/>
      <c r="E34" s="365"/>
      <c r="F34" s="365"/>
      <c r="G34" s="365"/>
      <c r="H34" s="365"/>
      <c r="I34" s="365"/>
      <c r="J34" s="365"/>
      <c r="K34" s="365"/>
      <c r="L34" s="365"/>
      <c r="M34" s="365"/>
      <c r="N34" s="365"/>
    </row>
    <row r="35" spans="2:14" x14ac:dyDescent="0.2">
      <c r="B35" s="332"/>
      <c r="C35" s="332"/>
      <c r="D35" s="332"/>
      <c r="E35" s="332"/>
      <c r="F35" s="332"/>
      <c r="G35" s="332"/>
      <c r="H35" s="332"/>
      <c r="I35" s="332"/>
      <c r="J35" s="332"/>
      <c r="K35" s="332"/>
      <c r="L35" s="332"/>
      <c r="M35" s="332"/>
      <c r="N35" s="332"/>
    </row>
    <row r="36" spans="2:14" ht="15" x14ac:dyDescent="0.2">
      <c r="B36" s="365"/>
      <c r="C36" s="365"/>
      <c r="D36" s="365"/>
      <c r="E36" s="365"/>
      <c r="F36" s="365"/>
      <c r="G36" s="365"/>
      <c r="H36" s="365"/>
      <c r="I36" s="365"/>
      <c r="J36" s="365"/>
      <c r="K36" s="365"/>
      <c r="L36" s="365"/>
      <c r="M36" s="365"/>
      <c r="N36" s="365"/>
    </row>
  </sheetData>
  <mergeCells count="30">
    <mergeCell ref="B5:N5"/>
    <mergeCell ref="B4:N4"/>
    <mergeCell ref="C7:E7"/>
    <mergeCell ref="F7:N7"/>
    <mergeCell ref="C9:E9"/>
    <mergeCell ref="F9:N9"/>
    <mergeCell ref="B14:N14"/>
    <mergeCell ref="B23:N23"/>
    <mergeCell ref="B36:N36"/>
    <mergeCell ref="B2:N2"/>
    <mergeCell ref="C8:E8"/>
    <mergeCell ref="F8:N8"/>
    <mergeCell ref="B15:E15"/>
    <mergeCell ref="B16:E16"/>
    <mergeCell ref="B17:E17"/>
    <mergeCell ref="B18:E18"/>
    <mergeCell ref="F10:N10"/>
    <mergeCell ref="C10:E10"/>
    <mergeCell ref="B12:N12"/>
    <mergeCell ref="B30:N30"/>
    <mergeCell ref="B32:N32"/>
    <mergeCell ref="B34:N34"/>
    <mergeCell ref="B27:E27"/>
    <mergeCell ref="B28:E28"/>
    <mergeCell ref="B19:E19"/>
    <mergeCell ref="B20:E20"/>
    <mergeCell ref="B21:E21"/>
    <mergeCell ref="B24:E24"/>
    <mergeCell ref="B25:E25"/>
    <mergeCell ref="B26:E26"/>
  </mergeCells>
  <pageMargins left="0.511811024" right="0.511811024" top="0.78740157499999996" bottom="0.78740157499999996" header="0.31496062000000002" footer="0.31496062000000002"/>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5">
    <tabColor theme="0" tint="-0.499984740745262"/>
  </sheetPr>
  <dimension ref="A1:AA202"/>
  <sheetViews>
    <sheetView showGridLines="0" tabSelected="1" topLeftCell="A8" zoomScale="118" zoomScaleNormal="118" zoomScaleSheetLayoutView="120" zoomScalePageLayoutView="120" workbookViewId="0">
      <selection activeCell="P63" sqref="P63"/>
    </sheetView>
  </sheetViews>
  <sheetFormatPr defaultColWidth="0" defaultRowHeight="12.75" x14ac:dyDescent="0.2"/>
  <cols>
    <col min="1" max="1" width="18.28515625" style="350" customWidth="1"/>
    <col min="2" max="3" width="4.85546875" style="178" customWidth="1"/>
    <col min="4" max="5" width="4.85546875" style="166" customWidth="1"/>
    <col min="6" max="6" width="5.28515625" style="166" customWidth="1"/>
    <col min="7" max="23" width="4.85546875" style="166" customWidth="1"/>
    <col min="24" max="24" width="7.28515625" style="165" customWidth="1"/>
    <col min="25" max="26" width="8.140625" style="165" customWidth="1"/>
    <col min="27" max="27" width="2.7109375" style="165" customWidth="1"/>
    <col min="28" max="16384" width="0" style="165" hidden="1"/>
  </cols>
  <sheetData>
    <row r="1" spans="1:27" ht="13.5" thickBot="1" x14ac:dyDescent="0.25">
      <c r="A1" s="346">
        <f ca="1">YEAR(TODAY())</f>
        <v>2024</v>
      </c>
      <c r="B1" s="164"/>
      <c r="C1" s="164"/>
      <c r="D1" s="165"/>
      <c r="E1" s="165"/>
      <c r="F1" s="165"/>
      <c r="G1" s="165"/>
      <c r="H1" s="165"/>
      <c r="I1" s="165"/>
      <c r="J1" s="165"/>
      <c r="K1" s="165"/>
      <c r="L1" s="165"/>
      <c r="M1" s="165"/>
      <c r="N1" s="165"/>
      <c r="O1" s="165"/>
      <c r="P1" s="165"/>
      <c r="Q1" s="165"/>
      <c r="R1" s="165"/>
      <c r="S1" s="165"/>
      <c r="T1" s="165"/>
      <c r="U1" s="165"/>
      <c r="V1" s="165"/>
      <c r="W1" s="165"/>
    </row>
    <row r="2" spans="1:27" ht="27" customHeight="1" thickTop="1" x14ac:dyDescent="0.2">
      <c r="A2" s="347" t="str">
        <f>Definições!F8</f>
        <v>ADAIR JOSE MENEGOL\</v>
      </c>
      <c r="B2" s="462" t="s">
        <v>138</v>
      </c>
      <c r="C2" s="463"/>
      <c r="D2" s="463"/>
      <c r="E2" s="463"/>
      <c r="F2" s="377" t="s">
        <v>383</v>
      </c>
      <c r="G2" s="377"/>
      <c r="H2" s="377"/>
      <c r="I2" s="377"/>
      <c r="J2" s="377"/>
      <c r="K2" s="299"/>
      <c r="L2" s="299"/>
      <c r="M2" s="300"/>
      <c r="N2" s="299"/>
      <c r="O2" s="300"/>
      <c r="P2" s="300"/>
      <c r="Q2" s="466" t="s">
        <v>139</v>
      </c>
      <c r="R2" s="466"/>
      <c r="S2" s="466"/>
      <c r="T2" s="466"/>
      <c r="U2" s="464"/>
      <c r="V2" s="464"/>
      <c r="W2" s="465"/>
      <c r="Y2" s="383" t="s">
        <v>232</v>
      </c>
      <c r="Z2" s="384"/>
    </row>
    <row r="3" spans="1:27" ht="10.5" customHeight="1" x14ac:dyDescent="0.25">
      <c r="A3" s="347" t="str">
        <f ca="1">Definições!F9</f>
        <v>2024\</v>
      </c>
      <c r="B3" s="263"/>
      <c r="C3" s="301"/>
      <c r="D3" s="301"/>
      <c r="E3" s="301"/>
      <c r="F3" s="301"/>
      <c r="G3" s="301"/>
      <c r="H3" s="302"/>
      <c r="I3" s="302"/>
      <c r="J3" s="303"/>
      <c r="K3" s="304"/>
      <c r="L3" s="304"/>
      <c r="M3" s="304"/>
      <c r="N3" s="304"/>
      <c r="O3" s="304"/>
      <c r="P3" s="304"/>
      <c r="Q3" s="304"/>
      <c r="R3" s="304"/>
      <c r="S3" s="305"/>
      <c r="T3" s="199"/>
      <c r="U3" s="199"/>
      <c r="W3" s="268"/>
      <c r="Y3" s="211"/>
      <c r="Z3" s="212"/>
    </row>
    <row r="4" spans="1:27" ht="15" customHeight="1" x14ac:dyDescent="0.2">
      <c r="A4" s="347"/>
      <c r="B4" s="378" t="s">
        <v>140</v>
      </c>
      <c r="C4" s="379"/>
      <c r="D4" s="379"/>
      <c r="E4" s="379"/>
      <c r="F4" s="379"/>
      <c r="G4" s="379"/>
      <c r="H4" s="379"/>
      <c r="I4" s="379"/>
      <c r="Q4" s="3"/>
      <c r="R4" s="3"/>
      <c r="S4" s="3"/>
      <c r="T4" s="3"/>
      <c r="U4" s="3"/>
      <c r="V4" s="3"/>
      <c r="W4" s="266"/>
      <c r="X4" s="105"/>
      <c r="Y4" s="213"/>
      <c r="Z4" s="214"/>
    </row>
    <row r="5" spans="1:27" ht="15" customHeight="1" x14ac:dyDescent="0.2">
      <c r="A5" s="347" t="str">
        <f>Definições!F10</f>
        <v>OS 404\</v>
      </c>
      <c r="B5" s="388" t="s">
        <v>16</v>
      </c>
      <c r="C5" s="389"/>
      <c r="D5" s="389"/>
      <c r="E5" s="380" t="s">
        <v>384</v>
      </c>
      <c r="F5" s="380"/>
      <c r="G5" s="380"/>
      <c r="H5" s="380"/>
      <c r="I5" s="380"/>
      <c r="J5" s="380"/>
      <c r="K5" s="380"/>
      <c r="L5" s="380"/>
      <c r="M5" s="456" t="s">
        <v>169</v>
      </c>
      <c r="N5" s="456"/>
      <c r="O5" s="456"/>
      <c r="P5" s="456"/>
      <c r="Q5" s="457">
        <v>45295</v>
      </c>
      <c r="R5" s="457"/>
      <c r="S5" s="457"/>
      <c r="T5" s="453" t="s">
        <v>339</v>
      </c>
      <c r="U5" s="453"/>
      <c r="V5" s="380">
        <v>404</v>
      </c>
      <c r="W5" s="494"/>
      <c r="X5" s="168"/>
      <c r="Y5" s="215"/>
      <c r="Z5" s="216"/>
    </row>
    <row r="6" spans="1:27" ht="15" customHeight="1" x14ac:dyDescent="0.2">
      <c r="A6" s="348" t="str">
        <f>Definições!F7</f>
        <v>C:\Users\Roldão Batista\OneDrive\PASTA COMPARTILHADA SOLUTION\CERTIFICADO\</v>
      </c>
      <c r="B6" s="264"/>
      <c r="C6" s="3"/>
      <c r="D6" s="3"/>
      <c r="E6" s="169"/>
      <c r="F6" s="169"/>
      <c r="G6" s="169"/>
      <c r="H6" s="169"/>
      <c r="I6" s="169"/>
      <c r="J6" s="169"/>
      <c r="K6" s="169"/>
      <c r="L6" s="169"/>
      <c r="M6" s="169"/>
      <c r="R6" s="170"/>
      <c r="S6" s="171"/>
      <c r="T6" s="171"/>
      <c r="U6" s="171"/>
      <c r="V6" s="171"/>
      <c r="W6" s="265"/>
      <c r="X6" s="107"/>
      <c r="Y6" s="217"/>
      <c r="Z6" s="218"/>
    </row>
    <row r="7" spans="1:27" ht="15" customHeight="1" x14ac:dyDescent="0.2">
      <c r="A7" s="349"/>
      <c r="B7" s="378" t="s">
        <v>141</v>
      </c>
      <c r="C7" s="387"/>
      <c r="D7" s="387"/>
      <c r="E7" s="387"/>
      <c r="F7" s="387"/>
      <c r="G7" s="387"/>
      <c r="H7" s="387"/>
      <c r="I7" s="3"/>
      <c r="J7" s="3"/>
      <c r="K7" s="3"/>
      <c r="L7" s="3"/>
      <c r="M7" s="3"/>
      <c r="N7" s="3"/>
      <c r="O7" s="3"/>
      <c r="P7" s="3"/>
      <c r="Q7" s="3"/>
      <c r="R7" s="3"/>
      <c r="S7" s="3"/>
      <c r="T7" s="3"/>
      <c r="U7" s="3"/>
      <c r="V7" s="169"/>
      <c r="W7" s="266"/>
      <c r="X7" s="105"/>
      <c r="Y7" s="213"/>
      <c r="Z7" s="214"/>
    </row>
    <row r="8" spans="1:27" ht="15" customHeight="1" x14ac:dyDescent="0.2">
      <c r="B8" s="388" t="s">
        <v>19</v>
      </c>
      <c r="C8" s="389"/>
      <c r="D8" s="389"/>
      <c r="E8" s="380" t="s">
        <v>390</v>
      </c>
      <c r="F8" s="380"/>
      <c r="G8" s="380"/>
      <c r="H8" s="380"/>
      <c r="I8" s="380"/>
      <c r="J8" s="380"/>
      <c r="K8" s="380"/>
      <c r="L8" s="380"/>
      <c r="N8" s="389" t="s">
        <v>213</v>
      </c>
      <c r="O8" s="389"/>
      <c r="P8" s="389"/>
      <c r="Q8" s="389"/>
      <c r="R8" s="1290">
        <v>140000</v>
      </c>
      <c r="S8" s="1290"/>
      <c r="T8" s="262" t="str">
        <f>IF($D$23="micrograma (µg)","µg",IF($D$23="miligrama (mg)","mg",IF($D$23="grama (g)","g",IF($D$23="quilograma (kg)","kg",IF($D$23="tonelada (t)","t","")))))</f>
        <v>kg</v>
      </c>
      <c r="U8" s="204"/>
      <c r="V8" s="204"/>
      <c r="W8" s="266"/>
      <c r="X8" s="105"/>
      <c r="Y8" s="211"/>
      <c r="Z8" s="212"/>
    </row>
    <row r="9" spans="1:27" ht="15" customHeight="1" x14ac:dyDescent="0.2">
      <c r="B9" s="388" t="s">
        <v>21</v>
      </c>
      <c r="C9" s="389"/>
      <c r="D9" s="389"/>
      <c r="E9" s="449" t="s">
        <v>391</v>
      </c>
      <c r="F9" s="449"/>
      <c r="G9" s="449"/>
      <c r="H9" s="449"/>
      <c r="I9" s="449"/>
      <c r="J9" s="449"/>
      <c r="K9" s="449"/>
      <c r="L9" s="449"/>
      <c r="N9" s="389" t="s">
        <v>214</v>
      </c>
      <c r="O9" s="389"/>
      <c r="P9" s="389"/>
      <c r="Q9" s="389"/>
      <c r="R9" s="1291">
        <v>20</v>
      </c>
      <c r="S9" s="1291"/>
      <c r="T9" s="262" t="str">
        <f>IF($D$23="micrograma (µg)","µg",IF($D$23="miligrama (mg)","mg",IF($D$23="grama (g)","g",IF($D$23="quilograma (kg)","kg",IF($D$23="tonelada (t)","t","")))))</f>
        <v>kg</v>
      </c>
      <c r="U9" s="204"/>
      <c r="V9" s="204"/>
      <c r="W9" s="267"/>
      <c r="X9" s="172"/>
      <c r="Y9" s="211"/>
      <c r="Z9" s="212"/>
    </row>
    <row r="10" spans="1:27" ht="15" customHeight="1" x14ac:dyDescent="0.2">
      <c r="B10" s="388" t="s">
        <v>20</v>
      </c>
      <c r="C10" s="389"/>
      <c r="D10" s="389"/>
      <c r="E10" s="458" t="s">
        <v>392</v>
      </c>
      <c r="F10" s="459"/>
      <c r="G10" s="459"/>
      <c r="H10" s="459"/>
      <c r="I10" s="459"/>
      <c r="J10" s="459"/>
      <c r="K10" s="459"/>
      <c r="L10" s="459"/>
      <c r="N10" s="389" t="s">
        <v>215</v>
      </c>
      <c r="O10" s="389"/>
      <c r="P10" s="389"/>
      <c r="Q10" s="389"/>
      <c r="R10" s="1291">
        <v>20</v>
      </c>
      <c r="S10" s="1291"/>
      <c r="T10" s="262" t="str">
        <f>IF($D$23="micrograma (µg)","µg",IF($D$23="miligrama (mg)","mg",IF($D$23="grama (g)","g",IF($D$23="quilograma (kg)","kg",IF($D$23="tonelada (t)","t","")))))</f>
        <v>kg</v>
      </c>
      <c r="U10" s="204"/>
      <c r="V10" s="204"/>
      <c r="W10" s="268"/>
      <c r="X10" s="168"/>
      <c r="Y10" s="211"/>
      <c r="Z10" s="212"/>
    </row>
    <row r="11" spans="1:27" ht="15" customHeight="1" x14ac:dyDescent="0.2">
      <c r="B11" s="388" t="s">
        <v>22</v>
      </c>
      <c r="C11" s="389"/>
      <c r="D11" s="389"/>
      <c r="E11" s="449">
        <v>61023</v>
      </c>
      <c r="F11" s="449"/>
      <c r="G11" s="449"/>
      <c r="H11" s="449"/>
      <c r="I11" s="449"/>
      <c r="J11" s="449"/>
      <c r="K11" s="449"/>
      <c r="L11" s="449"/>
      <c r="N11" s="291"/>
      <c r="O11" s="291"/>
      <c r="P11" s="291"/>
      <c r="Q11" s="291"/>
      <c r="T11" s="261"/>
      <c r="W11" s="268"/>
      <c r="X11" s="173"/>
      <c r="Y11" s="211"/>
      <c r="Z11" s="212"/>
    </row>
    <row r="12" spans="1:27" ht="15" customHeight="1" x14ac:dyDescent="0.2">
      <c r="B12" s="388" t="s">
        <v>93</v>
      </c>
      <c r="C12" s="389"/>
      <c r="D12" s="389"/>
      <c r="E12" s="460" t="s">
        <v>393</v>
      </c>
      <c r="F12" s="460"/>
      <c r="G12" s="460"/>
      <c r="H12" s="460"/>
      <c r="I12" s="460"/>
      <c r="J12" s="460"/>
      <c r="K12" s="460"/>
      <c r="L12" s="460"/>
      <c r="N12" s="435" t="s">
        <v>216</v>
      </c>
      <c r="O12" s="435"/>
      <c r="P12" s="435"/>
      <c r="Q12" s="435"/>
      <c r="R12" s="455"/>
      <c r="S12" s="455"/>
      <c r="T12" s="262" t="str">
        <f>IF(R12="","",IF($D$23="micrograma (µg)","µg",IF($D$23="miligrama (mg)","mg",IF($D$23="grama (g)","g",IF($D$23="quilograma (kg)","kg",IF($D$23="tonelada (t)","t",""))))))</f>
        <v/>
      </c>
      <c r="W12" s="268"/>
      <c r="X12" s="168"/>
      <c r="Y12" s="211"/>
      <c r="Z12" s="212"/>
    </row>
    <row r="13" spans="1:27" ht="13.5" customHeight="1" x14ac:dyDescent="0.2">
      <c r="B13" s="388" t="s">
        <v>38</v>
      </c>
      <c r="C13" s="389"/>
      <c r="D13" s="389"/>
      <c r="E13" s="389"/>
      <c r="F13" s="389"/>
      <c r="G13" s="390" t="s">
        <v>335</v>
      </c>
      <c r="H13" s="390"/>
      <c r="I13" s="390"/>
      <c r="J13" s="390"/>
      <c r="K13" s="390"/>
      <c r="L13" s="292"/>
      <c r="N13" s="435" t="s">
        <v>217</v>
      </c>
      <c r="O13" s="435"/>
      <c r="P13" s="435"/>
      <c r="Q13" s="435"/>
      <c r="R13" s="454"/>
      <c r="S13" s="454"/>
      <c r="T13" s="262" t="str">
        <f>IF(R13="","",IF($D$23="micrograma (µg)","µg",IF($D$23="miligrama (mg)","mg",IF($D$23="grama (g)","g",IF($D$23="quilograma (kg)","kg",IF($D$23="tonelada (t)","t",""))))))</f>
        <v/>
      </c>
      <c r="W13" s="269"/>
      <c r="X13" s="168"/>
      <c r="Y13" s="211"/>
      <c r="Z13" s="212"/>
    </row>
    <row r="14" spans="1:27" ht="13.5" customHeight="1" x14ac:dyDescent="0.2">
      <c r="A14" s="349"/>
      <c r="B14" s="388" t="s">
        <v>36</v>
      </c>
      <c r="C14" s="389"/>
      <c r="D14" s="389"/>
      <c r="E14" s="389"/>
      <c r="F14" s="389"/>
      <c r="G14" s="390" t="s">
        <v>69</v>
      </c>
      <c r="H14" s="390"/>
      <c r="I14" s="390"/>
      <c r="J14" s="390"/>
      <c r="K14" s="390"/>
      <c r="L14" s="291"/>
      <c r="N14" s="435" t="s">
        <v>218</v>
      </c>
      <c r="O14" s="435"/>
      <c r="P14" s="435"/>
      <c r="Q14" s="435"/>
      <c r="R14" s="454"/>
      <c r="S14" s="454"/>
      <c r="T14" s="262" t="str">
        <f>IF(R14="","",IF($D$23="micrograma (µg)","µg",IF($D$23="miligrama (mg)","mg",IF($D$23="grama (g)","g",IF($D$23="quilograma (kg)","kg",IF($D$23="tonelada (t)","t",""))))))</f>
        <v/>
      </c>
      <c r="U14" s="205"/>
      <c r="V14" s="206"/>
      <c r="W14" s="269"/>
      <c r="X14" s="168"/>
      <c r="Y14" s="211"/>
      <c r="Z14" s="212"/>
    </row>
    <row r="15" spans="1:27" ht="6.75" customHeight="1" x14ac:dyDescent="0.2">
      <c r="B15" s="263"/>
      <c r="D15" s="3"/>
      <c r="E15" s="208"/>
      <c r="F15" s="208"/>
      <c r="G15" s="208"/>
      <c r="H15" s="208"/>
      <c r="I15" s="208"/>
      <c r="J15" s="208"/>
      <c r="K15" s="208"/>
      <c r="L15" s="208"/>
      <c r="Q15" s="97"/>
      <c r="R15" s="97"/>
      <c r="S15" s="207"/>
      <c r="T15" s="260"/>
      <c r="U15" s="205"/>
      <c r="V15" s="206"/>
      <c r="W15" s="269"/>
      <c r="X15" s="168"/>
      <c r="Y15" s="215"/>
      <c r="Z15" s="216"/>
      <c r="AA15" s="112"/>
    </row>
    <row r="16" spans="1:27" ht="13.5" customHeight="1" x14ac:dyDescent="0.2">
      <c r="A16" s="349"/>
      <c r="B16" s="461" t="s">
        <v>212</v>
      </c>
      <c r="C16" s="406"/>
      <c r="D16" s="406"/>
      <c r="E16" s="495">
        <v>6</v>
      </c>
      <c r="F16" s="495"/>
      <c r="G16" s="491" t="s">
        <v>382</v>
      </c>
      <c r="H16" s="492"/>
      <c r="I16" s="208"/>
      <c r="J16" s="208"/>
      <c r="K16" s="208"/>
      <c r="L16" s="208"/>
      <c r="M16" s="97"/>
      <c r="N16" s="97"/>
      <c r="O16" s="97"/>
      <c r="P16" s="97"/>
      <c r="Q16" s="97"/>
      <c r="R16" s="97"/>
      <c r="S16" s="207"/>
      <c r="T16" s="207"/>
      <c r="U16" s="205"/>
      <c r="V16" s="206"/>
      <c r="W16" s="269"/>
      <c r="X16" s="168"/>
      <c r="Y16" s="215"/>
      <c r="Z16" s="216"/>
      <c r="AA16" s="112"/>
    </row>
    <row r="17" spans="1:26" ht="6.75" customHeight="1" x14ac:dyDescent="0.2">
      <c r="B17" s="270"/>
      <c r="C17" s="58"/>
      <c r="D17" s="33"/>
      <c r="E17" s="33"/>
      <c r="F17" s="33"/>
      <c r="G17" s="33"/>
      <c r="H17" s="33"/>
      <c r="I17" s="33"/>
      <c r="J17" s="33"/>
      <c r="K17" s="33"/>
      <c r="L17" s="96"/>
      <c r="M17" s="493"/>
      <c r="N17" s="493"/>
      <c r="O17" s="493"/>
      <c r="P17" s="493"/>
      <c r="Q17" s="493"/>
      <c r="R17" s="493"/>
      <c r="S17" s="34"/>
      <c r="T17" s="34"/>
      <c r="U17" s="34"/>
      <c r="V17" s="34"/>
      <c r="W17" s="271"/>
      <c r="X17" s="113"/>
      <c r="Y17" s="219"/>
      <c r="Z17" s="220"/>
    </row>
    <row r="18" spans="1:26" s="173" customFormat="1" ht="15" customHeight="1" x14ac:dyDescent="0.2">
      <c r="A18" s="351"/>
      <c r="B18" s="378" t="s">
        <v>142</v>
      </c>
      <c r="C18" s="387"/>
      <c r="D18" s="387"/>
      <c r="E18" s="387"/>
      <c r="F18" s="387"/>
      <c r="G18" s="387"/>
      <c r="H18" s="387"/>
      <c r="I18" s="387"/>
      <c r="J18" s="387"/>
      <c r="K18" s="387"/>
      <c r="L18" s="80"/>
      <c r="M18" s="97"/>
      <c r="N18" s="97"/>
      <c r="O18" s="97"/>
      <c r="P18" s="97"/>
      <c r="Q18" s="97"/>
      <c r="R18" s="97"/>
      <c r="S18" s="97"/>
      <c r="T18" s="97"/>
      <c r="U18" s="97"/>
      <c r="V18" s="97"/>
      <c r="W18" s="272"/>
      <c r="X18" s="114"/>
      <c r="Y18" s="221"/>
      <c r="Z18" s="222"/>
    </row>
    <row r="19" spans="1:26" ht="18" customHeight="1" x14ac:dyDescent="0.2">
      <c r="B19" s="450" t="s">
        <v>57</v>
      </c>
      <c r="C19" s="451"/>
      <c r="D19" s="451"/>
      <c r="E19" s="451"/>
      <c r="F19" s="451"/>
      <c r="G19" s="451"/>
      <c r="H19" s="451"/>
      <c r="I19" s="451"/>
      <c r="J19" s="451"/>
      <c r="K19" s="451"/>
      <c r="L19" s="451"/>
      <c r="M19" s="451"/>
      <c r="N19" s="451"/>
      <c r="O19" s="451"/>
      <c r="P19" s="451"/>
      <c r="Q19" s="451"/>
      <c r="R19" s="451"/>
      <c r="S19" s="451"/>
      <c r="T19" s="451"/>
      <c r="U19" s="451"/>
      <c r="V19" s="451"/>
      <c r="W19" s="452"/>
      <c r="X19" s="123"/>
      <c r="Y19" s="297"/>
      <c r="Z19" s="298"/>
    </row>
    <row r="20" spans="1:26" ht="21.75" customHeight="1" x14ac:dyDescent="0.2">
      <c r="B20" s="273"/>
      <c r="C20" s="174"/>
      <c r="D20" s="485" t="s">
        <v>40</v>
      </c>
      <c r="E20" s="485"/>
      <c r="F20" s="486">
        <v>48</v>
      </c>
      <c r="G20" s="486"/>
      <c r="H20" s="175" t="s">
        <v>44</v>
      </c>
      <c r="I20" s="176"/>
      <c r="J20" s="406" t="s">
        <v>41</v>
      </c>
      <c r="K20" s="406"/>
      <c r="L20" s="486">
        <v>1019</v>
      </c>
      <c r="M20" s="486"/>
      <c r="N20" s="175" t="s">
        <v>43</v>
      </c>
      <c r="O20" s="177"/>
      <c r="P20" s="485" t="s">
        <v>99</v>
      </c>
      <c r="Q20" s="485"/>
      <c r="R20" s="485"/>
      <c r="S20" s="485"/>
      <c r="T20" s="486">
        <v>34</v>
      </c>
      <c r="U20" s="486"/>
      <c r="V20" s="175" t="s">
        <v>91</v>
      </c>
      <c r="W20" s="274"/>
      <c r="X20" s="168"/>
      <c r="Y20" s="297"/>
      <c r="Z20" s="298"/>
    </row>
    <row r="21" spans="1:26" ht="9" customHeight="1" x14ac:dyDescent="0.2">
      <c r="B21" s="273"/>
      <c r="C21" s="174"/>
      <c r="D21" s="252"/>
      <c r="E21" s="252"/>
      <c r="F21" s="209"/>
      <c r="G21" s="209"/>
      <c r="H21" s="175"/>
      <c r="I21" s="176"/>
      <c r="J21" s="257"/>
      <c r="K21" s="257"/>
      <c r="L21" s="209"/>
      <c r="M21" s="209"/>
      <c r="N21" s="175"/>
      <c r="O21" s="177"/>
      <c r="P21" s="252"/>
      <c r="Q21" s="252"/>
      <c r="R21" s="252"/>
      <c r="S21" s="252"/>
      <c r="T21" s="209"/>
      <c r="U21" s="209"/>
      <c r="V21" s="175"/>
      <c r="W21" s="274"/>
      <c r="X21" s="168"/>
      <c r="Y21" s="297"/>
      <c r="Z21" s="298"/>
    </row>
    <row r="22" spans="1:26" ht="8.25" customHeight="1" thickBot="1" x14ac:dyDescent="0.25">
      <c r="B22" s="263"/>
      <c r="D22" s="31"/>
      <c r="E22" s="31"/>
      <c r="F22" s="31"/>
      <c r="G22" s="31"/>
      <c r="H22" s="178"/>
      <c r="I22" s="178"/>
      <c r="J22" s="179"/>
      <c r="K22" s="3"/>
      <c r="L22" s="96"/>
      <c r="M22" s="96"/>
      <c r="N22" s="178"/>
      <c r="O22" s="178"/>
      <c r="P22" s="179"/>
      <c r="Q22" s="3"/>
      <c r="R22" s="31"/>
      <c r="S22" s="31"/>
      <c r="T22" s="31"/>
      <c r="U22" s="31"/>
      <c r="V22" s="200"/>
      <c r="W22" s="269"/>
      <c r="X22" s="168"/>
      <c r="Y22" s="223"/>
      <c r="Z22" s="224"/>
    </row>
    <row r="23" spans="1:26" ht="13.5" customHeight="1" thickTop="1" x14ac:dyDescent="0.2">
      <c r="B23" s="381" t="s">
        <v>211</v>
      </c>
      <c r="C23" s="382"/>
      <c r="D23" s="444" t="s">
        <v>367</v>
      </c>
      <c r="E23" s="444"/>
      <c r="F23" s="444"/>
      <c r="G23" s="444"/>
      <c r="H23" s="444"/>
      <c r="I23" s="185"/>
      <c r="J23" s="185"/>
      <c r="K23" s="185"/>
      <c r="L23" s="185"/>
      <c r="M23" s="185"/>
      <c r="N23" s="185"/>
      <c r="O23" s="185"/>
      <c r="P23" s="487" t="s">
        <v>143</v>
      </c>
      <c r="Q23" s="488"/>
      <c r="R23" s="488"/>
      <c r="S23" s="488"/>
      <c r="T23" s="488"/>
      <c r="U23" s="489" t="s">
        <v>348</v>
      </c>
      <c r="V23" s="489"/>
      <c r="W23" s="490"/>
      <c r="X23" s="128"/>
      <c r="Z23" s="128"/>
    </row>
    <row r="24" spans="1:26" ht="9.75" customHeight="1" x14ac:dyDescent="0.2">
      <c r="B24" s="263"/>
      <c r="D24" s="199"/>
      <c r="E24" s="199"/>
      <c r="F24" s="199"/>
      <c r="G24" s="199"/>
      <c r="M24" s="199"/>
      <c r="N24" s="199"/>
      <c r="O24" s="178"/>
      <c r="P24" s="199"/>
      <c r="Q24" s="199"/>
      <c r="R24" s="199"/>
      <c r="S24" s="199"/>
      <c r="T24" s="199"/>
      <c r="U24" s="199"/>
      <c r="V24" s="199"/>
      <c r="W24" s="275"/>
      <c r="X24" s="180"/>
      <c r="Z24" s="180"/>
    </row>
    <row r="25" spans="1:26" s="173" customFormat="1" ht="15" customHeight="1" x14ac:dyDescent="0.2">
      <c r="A25" s="351"/>
      <c r="B25" s="391" t="s">
        <v>144</v>
      </c>
      <c r="C25" s="392"/>
      <c r="D25" s="392"/>
      <c r="E25" s="392"/>
      <c r="F25" s="392"/>
      <c r="G25" s="392"/>
      <c r="H25" s="392"/>
      <c r="I25" s="392"/>
      <c r="J25" s="392"/>
      <c r="K25" s="179"/>
      <c r="L25" s="179"/>
      <c r="M25" s="179"/>
      <c r="N25" s="179"/>
      <c r="O25" s="179"/>
      <c r="P25" s="179"/>
      <c r="Q25" s="179"/>
      <c r="R25" s="179"/>
      <c r="S25" s="179"/>
      <c r="T25" s="179"/>
      <c r="U25" s="179"/>
      <c r="V25" s="179"/>
      <c r="W25" s="276"/>
    </row>
    <row r="26" spans="1:26" ht="6.95" customHeight="1" thickBot="1" x14ac:dyDescent="0.25">
      <c r="B26" s="482"/>
      <c r="C26" s="483"/>
      <c r="D26" s="483"/>
      <c r="E26" s="483"/>
      <c r="F26" s="483"/>
      <c r="G26" s="483"/>
      <c r="H26" s="483"/>
      <c r="I26" s="483"/>
      <c r="J26" s="483"/>
      <c r="K26" s="483"/>
      <c r="L26" s="483"/>
      <c r="M26" s="483"/>
      <c r="N26" s="483"/>
      <c r="O26" s="483"/>
      <c r="P26" s="483"/>
      <c r="Q26" s="483"/>
      <c r="R26" s="483"/>
      <c r="S26" s="483"/>
      <c r="T26" s="483"/>
      <c r="U26" s="483"/>
      <c r="V26" s="483"/>
      <c r="W26" s="484"/>
      <c r="X26" s="116"/>
      <c r="Z26" s="116"/>
    </row>
    <row r="27" spans="1:26" ht="12.75" customHeight="1" x14ac:dyDescent="0.2">
      <c r="B27" s="277"/>
      <c r="C27" s="412" t="s">
        <v>146</v>
      </c>
      <c r="D27" s="413"/>
      <c r="E27" s="413"/>
      <c r="F27" s="413" t="s">
        <v>105</v>
      </c>
      <c r="G27" s="413"/>
      <c r="H27" s="413" t="s">
        <v>95</v>
      </c>
      <c r="I27" s="413"/>
      <c r="J27" s="413" t="s">
        <v>96</v>
      </c>
      <c r="K27" s="413"/>
      <c r="L27" s="413" t="s">
        <v>97</v>
      </c>
      <c r="M27" s="416"/>
      <c r="N27" s="96"/>
      <c r="O27" s="96"/>
      <c r="P27" s="411" t="s">
        <v>145</v>
      </c>
      <c r="Q27" s="411"/>
      <c r="R27" s="411"/>
      <c r="S27" s="411"/>
      <c r="T27" s="411"/>
      <c r="U27" s="411"/>
      <c r="W27" s="278"/>
      <c r="X27" s="116"/>
      <c r="Y27" s="180"/>
    </row>
    <row r="28" spans="1:26" ht="16.5" customHeight="1" x14ac:dyDescent="0.2">
      <c r="B28" s="279"/>
      <c r="C28" s="414"/>
      <c r="D28" s="415"/>
      <c r="E28" s="415"/>
      <c r="F28" s="415"/>
      <c r="G28" s="415"/>
      <c r="H28" s="415"/>
      <c r="I28" s="415"/>
      <c r="J28" s="415"/>
      <c r="K28" s="415"/>
      <c r="L28" s="415"/>
      <c r="M28" s="417"/>
      <c r="N28" s="38"/>
      <c r="O28" s="38"/>
      <c r="P28" s="386" t="s">
        <v>305</v>
      </c>
      <c r="Q28" s="386"/>
      <c r="R28" s="386"/>
      <c r="S28" s="386"/>
      <c r="T28" s="386"/>
      <c r="U28" s="386"/>
      <c r="W28" s="280"/>
      <c r="X28" s="117"/>
      <c r="Y28" s="128"/>
    </row>
    <row r="29" spans="1:26" ht="20.25" customHeight="1" x14ac:dyDescent="0.2">
      <c r="B29" s="279"/>
      <c r="C29" s="245">
        <v>1</v>
      </c>
      <c r="D29" s="1292">
        <f>20*R9</f>
        <v>400</v>
      </c>
      <c r="E29" s="1293"/>
      <c r="F29" s="1292">
        <v>400</v>
      </c>
      <c r="G29" s="1293"/>
      <c r="H29" s="1294">
        <f>D29</f>
        <v>400</v>
      </c>
      <c r="I29" s="1295"/>
      <c r="J29" s="1294">
        <f>D29</f>
        <v>400</v>
      </c>
      <c r="K29" s="1295"/>
      <c r="L29" s="1294">
        <f>D29</f>
        <v>400</v>
      </c>
      <c r="M29" s="1295"/>
      <c r="P29" s="386" t="s">
        <v>321</v>
      </c>
      <c r="Q29" s="386"/>
      <c r="R29" s="386"/>
      <c r="S29" s="386"/>
      <c r="T29" s="386"/>
      <c r="U29" s="386"/>
      <c r="W29" s="280"/>
      <c r="X29" s="117"/>
      <c r="Y29" s="168"/>
    </row>
    <row r="30" spans="1:26" ht="20.25" customHeight="1" x14ac:dyDescent="0.2">
      <c r="B30" s="279"/>
      <c r="C30" s="246">
        <v>2</v>
      </c>
      <c r="D30" s="1292">
        <v>5000</v>
      </c>
      <c r="E30" s="1293"/>
      <c r="F30" s="1292">
        <v>5000</v>
      </c>
      <c r="G30" s="1293"/>
      <c r="H30" s="1294">
        <f>D30</f>
        <v>5000</v>
      </c>
      <c r="I30" s="1295"/>
      <c r="J30" s="1294">
        <f>D30</f>
        <v>5000</v>
      </c>
      <c r="K30" s="1295"/>
      <c r="L30" s="1294">
        <f>D30</f>
        <v>5000</v>
      </c>
      <c r="M30" s="1295"/>
      <c r="P30" s="386"/>
      <c r="Q30" s="386"/>
      <c r="R30" s="386"/>
      <c r="S30" s="386"/>
      <c r="T30" s="386"/>
      <c r="U30" s="386"/>
      <c r="W30" s="280"/>
      <c r="X30" s="117"/>
    </row>
    <row r="31" spans="1:26" ht="20.25" customHeight="1" x14ac:dyDescent="0.2">
      <c r="B31" s="281"/>
      <c r="C31" s="246">
        <v>3</v>
      </c>
      <c r="D31" s="1292">
        <v>10000</v>
      </c>
      <c r="E31" s="1293"/>
      <c r="F31" s="1292">
        <v>10000</v>
      </c>
      <c r="G31" s="1293"/>
      <c r="H31" s="1294">
        <f>D31</f>
        <v>10000</v>
      </c>
      <c r="I31" s="1295"/>
      <c r="J31" s="1294">
        <f>D31</f>
        <v>10000</v>
      </c>
      <c r="K31" s="1295"/>
      <c r="L31" s="1294">
        <f>D31</f>
        <v>10000</v>
      </c>
      <c r="M31" s="1295"/>
      <c r="P31" s="386"/>
      <c r="Q31" s="386"/>
      <c r="R31" s="386"/>
      <c r="S31" s="386"/>
      <c r="T31" s="386"/>
      <c r="U31" s="386"/>
      <c r="W31" s="282"/>
      <c r="X31" s="181"/>
    </row>
    <row r="32" spans="1:26" ht="17.25" customHeight="1" thickBot="1" x14ac:dyDescent="0.25">
      <c r="B32" s="281"/>
      <c r="C32" s="247">
        <v>4</v>
      </c>
      <c r="D32" s="1292">
        <v>11000</v>
      </c>
      <c r="E32" s="1293"/>
      <c r="F32" s="1292">
        <v>11000</v>
      </c>
      <c r="G32" s="1293"/>
      <c r="H32" s="1294">
        <f t="shared" ref="H32" si="0">D32</f>
        <v>11000</v>
      </c>
      <c r="I32" s="1295"/>
      <c r="J32" s="1294">
        <f>D32</f>
        <v>11000</v>
      </c>
      <c r="K32" s="1295"/>
      <c r="L32" s="1294">
        <f>D32</f>
        <v>11000</v>
      </c>
      <c r="M32" s="1295"/>
      <c r="P32" s="386"/>
      <c r="Q32" s="386"/>
      <c r="R32" s="386"/>
      <c r="S32" s="386"/>
      <c r="T32" s="386"/>
      <c r="U32" s="386"/>
      <c r="W32" s="282"/>
      <c r="X32" s="181"/>
    </row>
    <row r="33" spans="1:26" ht="9.75" customHeight="1" x14ac:dyDescent="0.2">
      <c r="B33" s="281"/>
      <c r="C33" s="124"/>
      <c r="D33" s="129"/>
      <c r="E33" s="130"/>
      <c r="F33" s="129"/>
      <c r="G33" s="130"/>
      <c r="H33" s="129"/>
      <c r="I33" s="130"/>
      <c r="J33" s="129"/>
      <c r="K33" s="130"/>
      <c r="L33" s="129"/>
      <c r="M33" s="130"/>
      <c r="N33" s="129"/>
      <c r="O33" s="130"/>
      <c r="P33" s="129"/>
      <c r="Q33" s="130"/>
      <c r="S33" s="182"/>
      <c r="T33" s="178"/>
      <c r="U33" s="178"/>
      <c r="V33" s="178"/>
      <c r="W33" s="282"/>
      <c r="X33" s="181"/>
      <c r="Y33" s="181"/>
      <c r="Z33" s="181"/>
    </row>
    <row r="34" spans="1:26" ht="9.75" customHeight="1" x14ac:dyDescent="0.2">
      <c r="B34" s="281"/>
      <c r="C34" s="436" t="s">
        <v>249</v>
      </c>
      <c r="D34" s="437"/>
      <c r="E34" s="437"/>
      <c r="F34" s="437"/>
      <c r="G34" s="437"/>
      <c r="H34" s="437"/>
      <c r="I34" s="437"/>
      <c r="J34" s="437"/>
      <c r="K34" s="437"/>
      <c r="L34" s="437"/>
      <c r="M34" s="437"/>
      <c r="N34" s="242"/>
      <c r="O34" s="130"/>
      <c r="P34" s="129"/>
      <c r="Q34" s="130"/>
      <c r="S34" s="182"/>
      <c r="T34" s="178"/>
      <c r="U34" s="178"/>
      <c r="V34" s="178"/>
      <c r="W34" s="282"/>
      <c r="X34" s="181"/>
      <c r="Y34" s="181"/>
      <c r="Z34" s="181"/>
    </row>
    <row r="35" spans="1:26" ht="12" customHeight="1" thickBot="1" x14ac:dyDescent="0.25">
      <c r="B35" s="281"/>
      <c r="C35" s="254"/>
      <c r="D35" s="255"/>
      <c r="E35" s="255"/>
      <c r="F35" s="255"/>
      <c r="G35" s="255"/>
      <c r="H35" s="255"/>
      <c r="I35" s="255"/>
      <c r="J35" s="255"/>
      <c r="K35" s="255"/>
      <c r="L35" s="255"/>
      <c r="M35" s="255"/>
      <c r="N35" s="242"/>
      <c r="O35" s="130"/>
      <c r="P35" s="129"/>
      <c r="Q35" s="130"/>
      <c r="S35" s="182"/>
      <c r="T35" s="178"/>
      <c r="U35" s="178"/>
      <c r="V35" s="178"/>
      <c r="W35" s="282"/>
      <c r="X35" s="181"/>
      <c r="Y35" s="181"/>
      <c r="Z35" s="181"/>
    </row>
    <row r="36" spans="1:26" ht="14.25" customHeight="1" thickBot="1" x14ac:dyDescent="0.25">
      <c r="B36" s="281"/>
      <c r="C36" s="294" t="s">
        <v>250</v>
      </c>
      <c r="D36" s="293"/>
      <c r="E36" s="438" t="s">
        <v>256</v>
      </c>
      <c r="F36" s="438"/>
      <c r="G36" s="295"/>
      <c r="H36" s="438" t="s">
        <v>255</v>
      </c>
      <c r="I36" s="438"/>
      <c r="J36" s="296"/>
      <c r="K36" s="438" t="s">
        <v>254</v>
      </c>
      <c r="L36" s="438"/>
      <c r="M36" s="439"/>
      <c r="N36" s="440"/>
      <c r="O36" s="441" t="str">
        <f ca="1">IF('Entrada de Dados'!M36="",'Sem ajuste+Declaração'!J49,IF('Entrada de Dados'!G36="",CONCATENATE('Entrada de Dados'!C36,'Entrada de Dados'!J36,'Entrada de Dados'!K36,'Entrada de Dados'!M36),IF('Entrada de Dados'!D36="",CONCATENATE('Entrada de Dados'!C36,'Entrada de Dados'!G36,'Entrada de Dados'!H36,'Entrada de Dados'!J36,'Entrada de Dados'!K36,'Entrada de Dados'!M36),CONCATENATE('Entrada de Dados'!C36,'Entrada de Dados'!D36,'Entrada de Dados'!E36,'Entrada de Dados'!G36,'Entrada de Dados'!H36,'Entrada de Dados'!J36,'Entrada de Dados'!K36,'Entrada de Dados'!M36))))</f>
        <v>VR= 1,00000x VML - 0,00091</v>
      </c>
      <c r="P36" s="442"/>
      <c r="Q36" s="442"/>
      <c r="R36" s="442"/>
      <c r="S36" s="442"/>
      <c r="T36" s="442"/>
      <c r="U36" s="442"/>
      <c r="V36" s="443"/>
      <c r="W36" s="282"/>
      <c r="X36" s="181"/>
      <c r="Y36" s="181"/>
      <c r="Z36" s="181"/>
    </row>
    <row r="37" spans="1:26" ht="12" customHeight="1" x14ac:dyDescent="0.2">
      <c r="B37" s="281"/>
      <c r="C37" s="124"/>
      <c r="D37" s="129"/>
      <c r="E37" s="130"/>
      <c r="F37" s="129"/>
      <c r="G37" s="130"/>
      <c r="H37" s="129"/>
      <c r="I37" s="130"/>
      <c r="J37" s="129"/>
      <c r="K37" s="130"/>
      <c r="L37" s="129"/>
      <c r="M37" s="130"/>
      <c r="N37" s="129"/>
      <c r="O37" s="130"/>
      <c r="P37" s="129"/>
      <c r="Q37" s="130"/>
      <c r="S37" s="182"/>
      <c r="T37" s="178"/>
      <c r="U37" s="178"/>
      <c r="V37" s="178"/>
      <c r="W37" s="282"/>
      <c r="X37" s="181"/>
      <c r="Y37" s="181"/>
      <c r="Z37" s="181"/>
    </row>
    <row r="38" spans="1:26" ht="17.25" customHeight="1" x14ac:dyDescent="0.2">
      <c r="B38" s="391" t="s">
        <v>263</v>
      </c>
      <c r="C38" s="392"/>
      <c r="D38" s="392"/>
      <c r="E38" s="392"/>
      <c r="F38" s="392"/>
      <c r="G38" s="392"/>
      <c r="H38" s="392"/>
      <c r="I38" s="392"/>
      <c r="J38" s="37"/>
      <c r="K38" s="37"/>
      <c r="L38" s="37"/>
      <c r="M38" s="125"/>
      <c r="O38" s="130"/>
      <c r="P38" s="395" t="s">
        <v>148</v>
      </c>
      <c r="Q38" s="395"/>
      <c r="R38" s="395"/>
      <c r="S38" s="395"/>
      <c r="T38" s="395"/>
      <c r="U38" s="395"/>
      <c r="V38" s="253"/>
      <c r="W38" s="283"/>
      <c r="X38" s="181"/>
      <c r="Y38" s="181"/>
      <c r="Z38" s="181"/>
    </row>
    <row r="39" spans="1:26" ht="6.75" customHeight="1" x14ac:dyDescent="0.2">
      <c r="B39" s="284"/>
      <c r="C39" s="166"/>
      <c r="H39" s="3"/>
      <c r="M39" s="125"/>
      <c r="O39" s="130"/>
      <c r="P39" s="129"/>
      <c r="Q39" s="130"/>
      <c r="S39" s="182"/>
      <c r="T39" s="178"/>
      <c r="W39" s="282"/>
      <c r="X39" s="181"/>
      <c r="Y39" s="181"/>
      <c r="Z39" s="181"/>
    </row>
    <row r="40" spans="1:26" ht="18" customHeight="1" x14ac:dyDescent="0.2">
      <c r="A40" s="352" t="s">
        <v>275</v>
      </c>
      <c r="B40" s="284"/>
      <c r="C40" s="445" t="str">
        <f>IF(D23="micrograma (µg)","Carga (µg):",IF(D23="miligrama (mg)","Carga (mg):",IF(D23="grama (g)","Carga (g):",IF(D23="quilograma (kg)","Carga (kg):",IF(D23="tonelada (t)","Carga (t):","Carga")))))</f>
        <v>Carga (kg):</v>
      </c>
      <c r="D40" s="446"/>
      <c r="E40" s="427">
        <v>22000</v>
      </c>
      <c r="F40" s="428"/>
      <c r="G40" s="126"/>
      <c r="H40" s="127"/>
      <c r="I40" s="429" t="s">
        <v>147</v>
      </c>
      <c r="J40" s="429"/>
      <c r="K40" s="431"/>
      <c r="L40" s="431"/>
      <c r="M40" s="431"/>
      <c r="N40" s="432"/>
      <c r="P40" s="396" t="s">
        <v>135</v>
      </c>
      <c r="Q40" s="397"/>
      <c r="R40" s="397"/>
      <c r="S40" s="397"/>
      <c r="T40" s="397"/>
      <c r="U40" s="398"/>
      <c r="W40" s="268"/>
    </row>
    <row r="41" spans="1:26" ht="12" customHeight="1" x14ac:dyDescent="0.2">
      <c r="B41" s="284"/>
      <c r="C41" s="447"/>
      <c r="D41" s="448"/>
      <c r="E41" s="433" t="s">
        <v>0</v>
      </c>
      <c r="F41" s="434"/>
      <c r="H41" s="188"/>
      <c r="I41" s="430"/>
      <c r="J41" s="430"/>
      <c r="K41" s="407"/>
      <c r="L41" s="407"/>
      <c r="M41" s="407"/>
      <c r="N41" s="408"/>
      <c r="P41" s="399" t="str">
        <f>IF($D$23="micrograma (µg)","Outro (µg)",IF($D$23="miligrama (mg)","Outro (mg)",IF($D$23="grama (g)","Outro (g)",IF($D$23="quilograma (kg)","Outro (kg)",IF($D$23="tonelada (t)","Outro (t)","Outro")))))</f>
        <v>Outro (kg)</v>
      </c>
      <c r="Q41" s="400"/>
      <c r="R41" s="400"/>
      <c r="S41" s="400" t="str">
        <f>IF($D$23="micrograma (µg)","Portaria (µg)",IF($D$23="miligrama (mg)","Portaria (mg)",IF($D$23="grama (g)","Portaria (g)",IF($D$23="quilograma (kg)","Portaria (kg)",IF($D$23="tonelada (t)","Portaria (t)","Portaria")))))</f>
        <v>Portaria (kg)</v>
      </c>
      <c r="T41" s="400"/>
      <c r="U41" s="401"/>
      <c r="W41" s="268"/>
    </row>
    <row r="42" spans="1:26" ht="13.5" customHeight="1" x14ac:dyDescent="0.2">
      <c r="B42" s="284"/>
      <c r="C42" s="402" t="s">
        <v>264</v>
      </c>
      <c r="D42" s="403"/>
      <c r="E42" s="423">
        <v>22000</v>
      </c>
      <c r="F42" s="424"/>
      <c r="G42" s="183"/>
      <c r="I42" s="430"/>
      <c r="J42" s="430"/>
      <c r="K42" s="407"/>
      <c r="L42" s="407"/>
      <c r="M42" s="407"/>
      <c r="N42" s="408"/>
      <c r="P42" s="418"/>
      <c r="Q42" s="418"/>
      <c r="R42" s="418"/>
      <c r="S42" s="419" t="s">
        <v>337</v>
      </c>
      <c r="T42" s="419"/>
      <c r="U42" s="419"/>
      <c r="W42" s="268"/>
    </row>
    <row r="43" spans="1:26" ht="13.5" customHeight="1" x14ac:dyDescent="0.2">
      <c r="B43" s="284"/>
      <c r="C43" s="404" t="s">
        <v>265</v>
      </c>
      <c r="D43" s="405"/>
      <c r="E43" s="420">
        <v>22000</v>
      </c>
      <c r="F43" s="421"/>
      <c r="N43" s="167"/>
      <c r="P43" s="418"/>
      <c r="Q43" s="418"/>
      <c r="R43" s="418"/>
      <c r="S43" s="419"/>
      <c r="T43" s="419"/>
      <c r="U43" s="419"/>
      <c r="W43" s="268"/>
    </row>
    <row r="44" spans="1:26" ht="13.5" customHeight="1" x14ac:dyDescent="0.2">
      <c r="B44" s="284"/>
      <c r="C44" s="404" t="s">
        <v>266</v>
      </c>
      <c r="D44" s="405"/>
      <c r="E44" s="423">
        <v>22000</v>
      </c>
      <c r="F44" s="424"/>
      <c r="I44" s="425" t="s">
        <v>219</v>
      </c>
      <c r="J44" s="425"/>
      <c r="K44" s="407"/>
      <c r="L44" s="407"/>
      <c r="M44" s="407"/>
      <c r="N44" s="408"/>
      <c r="P44" s="306"/>
      <c r="Q44" s="306"/>
      <c r="R44" s="306"/>
      <c r="S44" s="307"/>
      <c r="T44" s="307"/>
      <c r="U44" s="307"/>
      <c r="W44" s="268"/>
    </row>
    <row r="45" spans="1:26" ht="13.5" customHeight="1" x14ac:dyDescent="0.2">
      <c r="B45" s="284"/>
      <c r="C45" s="404" t="s">
        <v>267</v>
      </c>
      <c r="D45" s="405"/>
      <c r="E45" s="420">
        <v>22000</v>
      </c>
      <c r="F45" s="421"/>
      <c r="H45" s="189" t="s">
        <v>337</v>
      </c>
      <c r="I45" s="425"/>
      <c r="J45" s="425"/>
      <c r="K45" s="407"/>
      <c r="L45" s="407"/>
      <c r="M45" s="407"/>
      <c r="N45" s="408"/>
      <c r="P45" s="306"/>
      <c r="Q45" s="306"/>
      <c r="R45" s="306"/>
      <c r="S45" s="307"/>
      <c r="T45" s="307"/>
      <c r="U45" s="307"/>
      <c r="W45" s="268"/>
    </row>
    <row r="46" spans="1:26" ht="13.5" customHeight="1" x14ac:dyDescent="0.2">
      <c r="B46" s="284"/>
      <c r="C46" s="422" t="s">
        <v>268</v>
      </c>
      <c r="D46" s="382"/>
      <c r="E46" s="423">
        <v>22000</v>
      </c>
      <c r="F46" s="424"/>
      <c r="G46" s="184"/>
      <c r="H46" s="185"/>
      <c r="I46" s="426"/>
      <c r="J46" s="426"/>
      <c r="K46" s="409"/>
      <c r="L46" s="409"/>
      <c r="M46" s="409"/>
      <c r="N46" s="410"/>
      <c r="P46" s="306"/>
      <c r="Q46" s="306"/>
      <c r="R46" s="306"/>
      <c r="S46" s="307"/>
      <c r="T46" s="307"/>
      <c r="U46" s="307"/>
      <c r="W46" s="268"/>
    </row>
    <row r="47" spans="1:26" ht="7.5" customHeight="1" x14ac:dyDescent="0.2">
      <c r="B47" s="284"/>
      <c r="C47" s="96"/>
      <c r="D47" s="96"/>
      <c r="E47" s="131"/>
      <c r="F47" s="131"/>
      <c r="I47" s="256"/>
      <c r="J47" s="256"/>
      <c r="K47" s="199"/>
      <c r="L47" s="199"/>
      <c r="M47" s="199"/>
      <c r="N47" s="199"/>
      <c r="P47" s="178"/>
      <c r="Q47" s="178"/>
      <c r="R47" s="178"/>
      <c r="S47" s="178"/>
      <c r="T47" s="178"/>
      <c r="U47" s="178"/>
      <c r="W47" s="268"/>
    </row>
    <row r="48" spans="1:26" x14ac:dyDescent="0.2">
      <c r="B48" s="391" t="s">
        <v>149</v>
      </c>
      <c r="C48" s="392"/>
      <c r="D48" s="392"/>
      <c r="E48" s="392"/>
      <c r="F48" s="392"/>
      <c r="G48" s="392"/>
      <c r="H48" s="392"/>
      <c r="I48" s="392"/>
      <c r="J48" s="132"/>
      <c r="K48" s="132"/>
      <c r="L48" s="132"/>
      <c r="M48" s="132"/>
      <c r="N48" s="132"/>
      <c r="O48" s="132"/>
      <c r="P48" s="132"/>
      <c r="Q48" s="132"/>
      <c r="R48" s="132"/>
      <c r="S48" s="132"/>
      <c r="T48" s="132"/>
      <c r="U48" s="132"/>
      <c r="V48" s="132"/>
      <c r="W48" s="285"/>
      <c r="X48" s="133"/>
      <c r="Y48" s="133"/>
      <c r="Z48" s="133"/>
    </row>
    <row r="49" spans="1:26" s="102" customFormat="1" ht="20.25" customHeight="1" x14ac:dyDescent="0.2">
      <c r="A49" s="353"/>
      <c r="B49" s="473" t="s">
        <v>338</v>
      </c>
      <c r="C49" s="474"/>
      <c r="D49" s="474"/>
      <c r="E49" s="474"/>
      <c r="F49" s="474"/>
      <c r="G49" s="474"/>
      <c r="H49" s="474"/>
      <c r="I49" s="474"/>
      <c r="J49" s="474"/>
      <c r="K49" s="474"/>
      <c r="L49" s="474"/>
      <c r="M49" s="474"/>
      <c r="N49" s="474"/>
      <c r="O49" s="474"/>
      <c r="P49" s="474"/>
      <c r="Q49" s="474"/>
      <c r="R49" s="474"/>
      <c r="S49" s="474"/>
      <c r="T49" s="474"/>
      <c r="U49" s="474"/>
      <c r="V49" s="474"/>
      <c r="W49" s="475"/>
      <c r="X49" s="134"/>
      <c r="Y49" s="134"/>
      <c r="Z49" s="134"/>
    </row>
    <row r="50" spans="1:26" s="102" customFormat="1" ht="20.25" customHeight="1" x14ac:dyDescent="0.2">
      <c r="A50" s="353"/>
      <c r="B50" s="476"/>
      <c r="C50" s="477"/>
      <c r="D50" s="477"/>
      <c r="E50" s="477"/>
      <c r="F50" s="477"/>
      <c r="G50" s="477"/>
      <c r="H50" s="477"/>
      <c r="I50" s="477"/>
      <c r="J50" s="477"/>
      <c r="K50" s="477"/>
      <c r="L50" s="477"/>
      <c r="M50" s="477"/>
      <c r="N50" s="477"/>
      <c r="O50" s="477"/>
      <c r="P50" s="477"/>
      <c r="Q50" s="477"/>
      <c r="R50" s="477"/>
      <c r="S50" s="477"/>
      <c r="T50" s="477"/>
      <c r="U50" s="477"/>
      <c r="V50" s="477"/>
      <c r="W50" s="478"/>
      <c r="X50" s="134"/>
      <c r="Y50" s="134"/>
      <c r="Z50" s="134"/>
    </row>
    <row r="51" spans="1:26" s="102" customFormat="1" ht="20.25" customHeight="1" x14ac:dyDescent="0.2">
      <c r="A51" s="353"/>
      <c r="B51" s="476"/>
      <c r="C51" s="477"/>
      <c r="D51" s="477"/>
      <c r="E51" s="477"/>
      <c r="F51" s="477"/>
      <c r="G51" s="477"/>
      <c r="H51" s="477"/>
      <c r="I51" s="477"/>
      <c r="J51" s="477"/>
      <c r="K51" s="477"/>
      <c r="L51" s="477"/>
      <c r="M51" s="477"/>
      <c r="N51" s="477"/>
      <c r="O51" s="477"/>
      <c r="P51" s="477"/>
      <c r="Q51" s="477"/>
      <c r="R51" s="477"/>
      <c r="S51" s="477"/>
      <c r="T51" s="477"/>
      <c r="U51" s="477"/>
      <c r="V51" s="477"/>
      <c r="W51" s="478"/>
      <c r="X51" s="134"/>
      <c r="Y51" s="134"/>
      <c r="Z51" s="134"/>
    </row>
    <row r="52" spans="1:26" s="102" customFormat="1" ht="20.25" customHeight="1" x14ac:dyDescent="0.2">
      <c r="A52" s="353"/>
      <c r="B52" s="476"/>
      <c r="C52" s="477"/>
      <c r="D52" s="477"/>
      <c r="E52" s="477"/>
      <c r="F52" s="477"/>
      <c r="G52" s="477"/>
      <c r="H52" s="477"/>
      <c r="I52" s="477"/>
      <c r="J52" s="477"/>
      <c r="K52" s="477"/>
      <c r="L52" s="477"/>
      <c r="M52" s="477"/>
      <c r="N52" s="477"/>
      <c r="O52" s="477"/>
      <c r="P52" s="477"/>
      <c r="Q52" s="477"/>
      <c r="R52" s="477"/>
      <c r="S52" s="477"/>
      <c r="T52" s="477"/>
      <c r="U52" s="477"/>
      <c r="V52" s="477"/>
      <c r="W52" s="478"/>
      <c r="X52" s="134"/>
      <c r="Y52" s="134"/>
      <c r="Z52" s="134"/>
    </row>
    <row r="53" spans="1:26" s="102" customFormat="1" ht="20.25" customHeight="1" x14ac:dyDescent="0.2">
      <c r="A53" s="353"/>
      <c r="B53" s="476"/>
      <c r="C53" s="477"/>
      <c r="D53" s="477"/>
      <c r="E53" s="477"/>
      <c r="F53" s="477"/>
      <c r="G53" s="477"/>
      <c r="H53" s="477"/>
      <c r="I53" s="477"/>
      <c r="J53" s="477"/>
      <c r="K53" s="477"/>
      <c r="L53" s="477"/>
      <c r="M53" s="477"/>
      <c r="N53" s="477"/>
      <c r="O53" s="477"/>
      <c r="P53" s="477"/>
      <c r="Q53" s="477"/>
      <c r="R53" s="477"/>
      <c r="S53" s="477"/>
      <c r="T53" s="477"/>
      <c r="U53" s="477"/>
      <c r="V53" s="477"/>
      <c r="W53" s="478"/>
      <c r="X53" s="134"/>
      <c r="Y53" s="134"/>
      <c r="Z53" s="134"/>
    </row>
    <row r="54" spans="1:26" s="102" customFormat="1" ht="20.25" customHeight="1" x14ac:dyDescent="0.2">
      <c r="A54" s="353"/>
      <c r="B54" s="476"/>
      <c r="C54" s="477"/>
      <c r="D54" s="477"/>
      <c r="E54" s="477"/>
      <c r="F54" s="477"/>
      <c r="G54" s="477"/>
      <c r="H54" s="477"/>
      <c r="I54" s="477"/>
      <c r="J54" s="477"/>
      <c r="K54" s="477"/>
      <c r="L54" s="477"/>
      <c r="M54" s="477"/>
      <c r="N54" s="477"/>
      <c r="O54" s="477"/>
      <c r="P54" s="477"/>
      <c r="Q54" s="477"/>
      <c r="R54" s="477"/>
      <c r="S54" s="477"/>
      <c r="T54" s="477"/>
      <c r="U54" s="477"/>
      <c r="V54" s="477"/>
      <c r="W54" s="478"/>
      <c r="X54" s="134"/>
      <c r="Y54" s="134"/>
      <c r="Z54" s="134"/>
    </row>
    <row r="55" spans="1:26" s="102" customFormat="1" ht="20.25" customHeight="1" x14ac:dyDescent="0.2">
      <c r="A55" s="353"/>
      <c r="B55" s="476"/>
      <c r="C55" s="477"/>
      <c r="D55" s="477"/>
      <c r="E55" s="477"/>
      <c r="F55" s="477"/>
      <c r="G55" s="477"/>
      <c r="H55" s="477"/>
      <c r="I55" s="477"/>
      <c r="J55" s="477"/>
      <c r="K55" s="477"/>
      <c r="L55" s="477"/>
      <c r="M55" s="477"/>
      <c r="N55" s="477"/>
      <c r="O55" s="477"/>
      <c r="P55" s="477"/>
      <c r="Q55" s="477"/>
      <c r="R55" s="477"/>
      <c r="S55" s="477"/>
      <c r="T55" s="477"/>
      <c r="U55" s="477"/>
      <c r="V55" s="477"/>
      <c r="W55" s="478"/>
      <c r="X55" s="134"/>
      <c r="Y55" s="134"/>
      <c r="Z55" s="134"/>
    </row>
    <row r="56" spans="1:26" s="102" customFormat="1" ht="20.25" customHeight="1" x14ac:dyDescent="0.2">
      <c r="A56" s="353"/>
      <c r="B56" s="476"/>
      <c r="C56" s="477"/>
      <c r="D56" s="477"/>
      <c r="E56" s="477"/>
      <c r="F56" s="477"/>
      <c r="G56" s="477"/>
      <c r="H56" s="477"/>
      <c r="I56" s="477"/>
      <c r="J56" s="477"/>
      <c r="K56" s="477"/>
      <c r="L56" s="477"/>
      <c r="M56" s="477"/>
      <c r="N56" s="477"/>
      <c r="O56" s="477"/>
      <c r="P56" s="477"/>
      <c r="Q56" s="477"/>
      <c r="R56" s="477"/>
      <c r="S56" s="477"/>
      <c r="T56" s="477"/>
      <c r="U56" s="477"/>
      <c r="V56" s="477"/>
      <c r="W56" s="478"/>
      <c r="X56" s="134"/>
      <c r="Y56" s="134"/>
      <c r="Z56" s="134"/>
    </row>
    <row r="57" spans="1:26" s="102" customFormat="1" ht="20.25" customHeight="1" x14ac:dyDescent="0.2">
      <c r="A57" s="353"/>
      <c r="B57" s="476"/>
      <c r="C57" s="477"/>
      <c r="D57" s="477"/>
      <c r="E57" s="477"/>
      <c r="F57" s="477"/>
      <c r="G57" s="477"/>
      <c r="H57" s="477"/>
      <c r="I57" s="477"/>
      <c r="J57" s="477"/>
      <c r="K57" s="477"/>
      <c r="L57" s="477"/>
      <c r="M57" s="477"/>
      <c r="N57" s="477"/>
      <c r="O57" s="477"/>
      <c r="P57" s="477"/>
      <c r="Q57" s="477"/>
      <c r="R57" s="477"/>
      <c r="S57" s="477"/>
      <c r="T57" s="477"/>
      <c r="U57" s="477"/>
      <c r="V57" s="477"/>
      <c r="W57" s="478"/>
      <c r="X57" s="134"/>
      <c r="Y57" s="134"/>
      <c r="Z57" s="134"/>
    </row>
    <row r="58" spans="1:26" s="102" customFormat="1" ht="20.25" customHeight="1" x14ac:dyDescent="0.2">
      <c r="A58" s="353"/>
      <c r="B58" s="476"/>
      <c r="C58" s="477"/>
      <c r="D58" s="477"/>
      <c r="E58" s="477"/>
      <c r="F58" s="477"/>
      <c r="G58" s="477"/>
      <c r="H58" s="477"/>
      <c r="I58" s="477"/>
      <c r="J58" s="477"/>
      <c r="K58" s="477"/>
      <c r="L58" s="477"/>
      <c r="M58" s="477"/>
      <c r="N58" s="477"/>
      <c r="O58" s="477"/>
      <c r="P58" s="477"/>
      <c r="Q58" s="477"/>
      <c r="R58" s="477"/>
      <c r="S58" s="477"/>
      <c r="T58" s="477"/>
      <c r="U58" s="477"/>
      <c r="V58" s="477"/>
      <c r="W58" s="478"/>
      <c r="X58" s="134"/>
      <c r="Y58" s="134"/>
      <c r="Z58" s="134"/>
    </row>
    <row r="59" spans="1:26" s="102" customFormat="1" ht="20.25" customHeight="1" x14ac:dyDescent="0.2">
      <c r="A59" s="353"/>
      <c r="B59" s="476"/>
      <c r="C59" s="477"/>
      <c r="D59" s="477"/>
      <c r="E59" s="477"/>
      <c r="F59" s="477"/>
      <c r="G59" s="477"/>
      <c r="H59" s="477"/>
      <c r="I59" s="477"/>
      <c r="J59" s="477"/>
      <c r="K59" s="477"/>
      <c r="L59" s="477"/>
      <c r="M59" s="477"/>
      <c r="N59" s="477"/>
      <c r="O59" s="477"/>
      <c r="P59" s="477"/>
      <c r="Q59" s="477"/>
      <c r="R59" s="477"/>
      <c r="S59" s="477"/>
      <c r="T59" s="477"/>
      <c r="U59" s="477"/>
      <c r="V59" s="477"/>
      <c r="W59" s="478"/>
      <c r="X59" s="134"/>
      <c r="Y59" s="134"/>
      <c r="Z59" s="134"/>
    </row>
    <row r="60" spans="1:26" s="102" customFormat="1" ht="20.25" customHeight="1" x14ac:dyDescent="0.2">
      <c r="A60" s="353"/>
      <c r="B60" s="479"/>
      <c r="C60" s="480"/>
      <c r="D60" s="480"/>
      <c r="E60" s="480"/>
      <c r="F60" s="480"/>
      <c r="G60" s="480"/>
      <c r="H60" s="480"/>
      <c r="I60" s="480"/>
      <c r="J60" s="480"/>
      <c r="K60" s="480"/>
      <c r="L60" s="480"/>
      <c r="M60" s="480"/>
      <c r="N60" s="480"/>
      <c r="O60" s="480"/>
      <c r="P60" s="480"/>
      <c r="Q60" s="480"/>
      <c r="R60" s="480"/>
      <c r="S60" s="480"/>
      <c r="T60" s="480"/>
      <c r="U60" s="480"/>
      <c r="V60" s="480"/>
      <c r="W60" s="481"/>
      <c r="X60" s="134"/>
      <c r="Y60" s="134"/>
      <c r="Z60" s="134"/>
    </row>
    <row r="61" spans="1:26" ht="12" customHeight="1" x14ac:dyDescent="0.2">
      <c r="B61" s="277"/>
      <c r="C61" s="96"/>
      <c r="D61" s="96"/>
      <c r="E61" s="96"/>
      <c r="F61" s="96"/>
      <c r="G61" s="186"/>
      <c r="H61" s="186"/>
      <c r="I61" s="186"/>
      <c r="J61" s="169"/>
      <c r="K61" s="169"/>
      <c r="L61" s="169"/>
      <c r="M61" s="31"/>
      <c r="N61" s="31"/>
      <c r="O61" s="31"/>
      <c r="P61" s="31"/>
      <c r="Q61" s="31"/>
      <c r="R61" s="31"/>
      <c r="S61" s="31"/>
      <c r="T61" s="31"/>
      <c r="U61" s="186"/>
      <c r="V61" s="186"/>
      <c r="W61" s="286"/>
      <c r="X61" s="187"/>
      <c r="Y61" s="187"/>
      <c r="Z61" s="187"/>
    </row>
    <row r="62" spans="1:26" ht="12.75" customHeight="1" x14ac:dyDescent="0.2">
      <c r="B62" s="471" t="s">
        <v>35</v>
      </c>
      <c r="C62" s="415"/>
      <c r="D62" s="415"/>
      <c r="E62" s="415"/>
      <c r="F62" s="415"/>
      <c r="G62" s="415"/>
      <c r="H62" s="38"/>
      <c r="I62" s="38"/>
      <c r="J62" s="38"/>
      <c r="K62" s="38"/>
      <c r="L62" s="38"/>
      <c r="M62" s="38"/>
      <c r="N62" s="169"/>
      <c r="O62" s="169"/>
      <c r="P62" s="169"/>
      <c r="Q62" s="169"/>
      <c r="R62" s="415" t="s">
        <v>2</v>
      </c>
      <c r="S62" s="415"/>
      <c r="T62" s="415"/>
      <c r="U62" s="415"/>
      <c r="V62" s="415"/>
      <c r="W62" s="472"/>
      <c r="X62" s="117"/>
      <c r="Y62" s="117"/>
      <c r="Z62" s="117"/>
    </row>
    <row r="63" spans="1:26" s="164" customFormat="1" ht="16.5" customHeight="1" x14ac:dyDescent="0.2">
      <c r="A63" s="354"/>
      <c r="B63" s="467" t="s">
        <v>291</v>
      </c>
      <c r="C63" s="468"/>
      <c r="D63" s="468"/>
      <c r="E63" s="468"/>
      <c r="F63" s="468"/>
      <c r="G63" s="468"/>
      <c r="H63" s="178"/>
      <c r="I63" s="393" t="s">
        <v>103</v>
      </c>
      <c r="J63" s="393"/>
      <c r="K63" s="393"/>
      <c r="L63" s="393"/>
      <c r="M63" s="394">
        <v>45296</v>
      </c>
      <c r="N63" s="394"/>
      <c r="O63" s="394"/>
      <c r="P63" s="178"/>
      <c r="Q63" s="178"/>
      <c r="R63" s="469" t="s">
        <v>291</v>
      </c>
      <c r="S63" s="468"/>
      <c r="T63" s="468"/>
      <c r="U63" s="468"/>
      <c r="V63" s="468"/>
      <c r="W63" s="470"/>
      <c r="X63" s="116"/>
      <c r="Y63" s="116"/>
      <c r="Z63" s="116"/>
    </row>
    <row r="64" spans="1:26" x14ac:dyDescent="0.2">
      <c r="B64" s="287"/>
      <c r="C64" s="288"/>
      <c r="D64" s="289"/>
      <c r="E64" s="289"/>
      <c r="F64" s="289"/>
      <c r="G64" s="289"/>
      <c r="H64" s="289"/>
      <c r="I64" s="289"/>
      <c r="J64" s="289"/>
      <c r="K64" s="289"/>
      <c r="L64" s="289"/>
      <c r="M64" s="289"/>
      <c r="N64" s="289"/>
      <c r="O64" s="289"/>
      <c r="P64" s="289"/>
      <c r="Q64" s="289"/>
      <c r="R64" s="289"/>
      <c r="S64" s="289"/>
      <c r="T64" s="289"/>
      <c r="U64" s="289"/>
      <c r="V64" s="289"/>
      <c r="W64" s="290"/>
      <c r="X64" s="121"/>
      <c r="Y64" s="121"/>
      <c r="Z64" s="121"/>
    </row>
    <row r="65" spans="2:23" x14ac:dyDescent="0.2">
      <c r="B65" s="385"/>
      <c r="C65" s="385"/>
      <c r="D65" s="385"/>
      <c r="E65" s="385"/>
      <c r="F65" s="385"/>
      <c r="G65" s="385"/>
      <c r="H65" s="385"/>
      <c r="I65" s="385"/>
      <c r="J65" s="385"/>
      <c r="K65" s="385"/>
      <c r="L65" s="385"/>
      <c r="M65" s="385"/>
      <c r="N65" s="385"/>
      <c r="O65" s="385"/>
      <c r="P65" s="385"/>
      <c r="Q65" s="385"/>
      <c r="R65" s="385"/>
      <c r="S65" s="385"/>
      <c r="T65" s="385"/>
      <c r="U65" s="385"/>
      <c r="V65" s="385"/>
      <c r="W65" s="385"/>
    </row>
    <row r="66" spans="2:23" x14ac:dyDescent="0.2">
      <c r="B66" s="164"/>
      <c r="C66" s="164"/>
      <c r="D66" s="165"/>
      <c r="E66" s="165"/>
      <c r="F66" s="165"/>
      <c r="G66" s="165"/>
      <c r="H66" s="165"/>
      <c r="I66" s="165"/>
      <c r="J66" s="165"/>
      <c r="K66" s="165"/>
      <c r="L66" s="165"/>
      <c r="M66" s="165"/>
      <c r="N66" s="165"/>
      <c r="O66" s="165"/>
      <c r="P66" s="165"/>
      <c r="Q66" s="165"/>
      <c r="R66" s="165"/>
      <c r="S66" s="165"/>
      <c r="T66" s="165"/>
      <c r="U66" s="165"/>
      <c r="V66" s="165"/>
      <c r="W66" s="165"/>
    </row>
    <row r="67" spans="2:23" x14ac:dyDescent="0.2">
      <c r="B67" s="164"/>
      <c r="C67" s="164"/>
      <c r="D67" s="165"/>
      <c r="E67" s="165"/>
      <c r="F67" s="165"/>
      <c r="G67" s="165"/>
      <c r="H67" s="165"/>
      <c r="I67" s="165"/>
      <c r="J67" s="165"/>
      <c r="K67" s="165"/>
      <c r="L67" s="165"/>
      <c r="M67" s="165"/>
      <c r="N67" s="165"/>
      <c r="O67" s="165"/>
      <c r="P67" s="165"/>
      <c r="Q67" s="165"/>
      <c r="R67" s="165"/>
      <c r="S67" s="165"/>
      <c r="T67" s="165"/>
      <c r="U67" s="165"/>
      <c r="V67" s="165"/>
      <c r="W67" s="165"/>
    </row>
    <row r="68" spans="2:23" x14ac:dyDescent="0.2">
      <c r="B68" s="164"/>
      <c r="C68" s="164"/>
      <c r="D68" s="165"/>
      <c r="E68" s="165"/>
      <c r="F68" s="165"/>
      <c r="G68" s="165"/>
      <c r="H68" s="165"/>
      <c r="I68" s="165"/>
      <c r="J68" s="165"/>
      <c r="K68" s="165"/>
      <c r="L68" s="165"/>
      <c r="M68" s="165"/>
      <c r="N68" s="165"/>
      <c r="O68" s="165"/>
      <c r="P68" s="165"/>
      <c r="Q68" s="165"/>
      <c r="R68" s="165"/>
      <c r="S68" s="165"/>
      <c r="T68" s="165"/>
      <c r="U68" s="165"/>
      <c r="V68" s="165"/>
      <c r="W68" s="165"/>
    </row>
    <row r="69" spans="2:23" x14ac:dyDescent="0.2">
      <c r="B69" s="164"/>
      <c r="C69" s="164"/>
      <c r="D69" s="165"/>
      <c r="E69" s="165"/>
      <c r="F69" s="165"/>
      <c r="G69" s="165"/>
      <c r="H69" s="165"/>
      <c r="I69" s="165"/>
      <c r="J69" s="165"/>
      <c r="K69" s="165"/>
      <c r="L69" s="165"/>
      <c r="M69" s="165"/>
      <c r="N69" s="165"/>
      <c r="O69" s="165"/>
      <c r="P69" s="165"/>
      <c r="Q69" s="165"/>
      <c r="R69" s="165"/>
      <c r="S69" s="165"/>
      <c r="T69" s="165"/>
      <c r="U69" s="165"/>
      <c r="V69" s="165"/>
      <c r="W69" s="165"/>
    </row>
    <row r="70" spans="2:23" x14ac:dyDescent="0.2">
      <c r="B70" s="164"/>
      <c r="C70" s="164"/>
      <c r="D70" s="165"/>
      <c r="E70" s="165"/>
      <c r="F70" s="165"/>
      <c r="G70" s="165"/>
      <c r="H70" s="165"/>
      <c r="I70" s="165"/>
      <c r="J70" s="165"/>
      <c r="K70" s="165"/>
      <c r="L70" s="165"/>
      <c r="M70" s="165"/>
      <c r="N70" s="165"/>
      <c r="O70" s="165"/>
      <c r="P70" s="165"/>
      <c r="Q70" s="165"/>
      <c r="R70" s="165"/>
      <c r="S70" s="165"/>
      <c r="T70" s="165"/>
      <c r="U70" s="165"/>
      <c r="V70" s="165"/>
      <c r="W70" s="165"/>
    </row>
    <row r="71" spans="2:23" x14ac:dyDescent="0.2">
      <c r="B71" s="164"/>
      <c r="C71" s="164"/>
      <c r="D71" s="165"/>
      <c r="E71" s="165"/>
      <c r="F71" s="165"/>
      <c r="G71" s="165"/>
      <c r="H71" s="165"/>
      <c r="I71" s="165"/>
      <c r="J71" s="165"/>
      <c r="K71" s="165"/>
      <c r="L71" s="165"/>
      <c r="M71" s="165"/>
      <c r="N71" s="165"/>
      <c r="O71" s="165"/>
      <c r="P71" s="165"/>
      <c r="Q71" s="165"/>
      <c r="R71" s="165"/>
      <c r="S71" s="165"/>
      <c r="T71" s="165"/>
      <c r="U71" s="165"/>
      <c r="V71" s="165"/>
      <c r="W71" s="165"/>
    </row>
    <row r="72" spans="2:23" x14ac:dyDescent="0.2">
      <c r="B72" s="164"/>
      <c r="C72" s="164"/>
      <c r="D72" s="165"/>
      <c r="E72" s="165"/>
      <c r="F72" s="165"/>
      <c r="G72" s="165"/>
      <c r="H72" s="165"/>
      <c r="I72" s="165"/>
      <c r="J72" s="165"/>
      <c r="K72" s="165"/>
      <c r="L72" s="165"/>
      <c r="M72" s="165"/>
      <c r="N72" s="165"/>
      <c r="O72" s="165"/>
      <c r="P72" s="165"/>
      <c r="Q72" s="165"/>
      <c r="R72" s="165"/>
      <c r="S72" s="165"/>
      <c r="T72" s="165"/>
      <c r="U72" s="165"/>
      <c r="V72" s="165"/>
      <c r="W72" s="165"/>
    </row>
    <row r="73" spans="2:23" x14ac:dyDescent="0.2">
      <c r="B73" s="164"/>
      <c r="C73" s="164"/>
      <c r="D73" s="165"/>
      <c r="E73" s="165"/>
      <c r="F73" s="165"/>
      <c r="G73" s="165"/>
      <c r="H73" s="165"/>
      <c r="I73" s="165"/>
      <c r="J73" s="165"/>
      <c r="K73" s="165"/>
      <c r="L73" s="165"/>
      <c r="M73" s="165"/>
      <c r="N73" s="165"/>
      <c r="O73" s="165"/>
      <c r="P73" s="165"/>
      <c r="Q73" s="165"/>
      <c r="R73" s="165"/>
      <c r="S73" s="165"/>
      <c r="T73" s="165"/>
      <c r="U73" s="165"/>
      <c r="V73" s="165"/>
      <c r="W73" s="165"/>
    </row>
    <row r="74" spans="2:23" x14ac:dyDescent="0.2">
      <c r="B74" s="164"/>
      <c r="C74" s="164"/>
      <c r="D74" s="165"/>
      <c r="E74" s="165"/>
      <c r="F74" s="165"/>
      <c r="G74" s="165"/>
      <c r="H74" s="165"/>
      <c r="I74" s="165"/>
      <c r="J74" s="165"/>
      <c r="K74" s="165"/>
      <c r="L74" s="165"/>
      <c r="M74" s="165"/>
      <c r="N74" s="165"/>
      <c r="O74" s="165"/>
      <c r="P74" s="165"/>
      <c r="Q74" s="165"/>
      <c r="R74" s="165"/>
      <c r="S74" s="165"/>
      <c r="T74" s="165"/>
      <c r="U74" s="165"/>
      <c r="V74" s="165"/>
      <c r="W74" s="165"/>
    </row>
    <row r="75" spans="2:23" x14ac:dyDescent="0.2">
      <c r="B75" s="164"/>
      <c r="C75" s="164"/>
      <c r="D75" s="165"/>
      <c r="E75" s="165"/>
      <c r="F75" s="165"/>
      <c r="G75" s="165"/>
      <c r="H75" s="165"/>
      <c r="I75" s="165"/>
      <c r="J75" s="165"/>
      <c r="K75" s="165"/>
      <c r="L75" s="165"/>
      <c r="M75" s="165"/>
      <c r="N75" s="165"/>
      <c r="O75" s="165"/>
      <c r="P75" s="165"/>
      <c r="Q75" s="165"/>
      <c r="R75" s="165"/>
      <c r="S75" s="165"/>
      <c r="T75" s="165"/>
      <c r="U75" s="165"/>
      <c r="V75" s="165"/>
      <c r="W75" s="165"/>
    </row>
    <row r="76" spans="2:23" x14ac:dyDescent="0.2">
      <c r="B76" s="164"/>
      <c r="C76" s="164"/>
      <c r="D76" s="165"/>
      <c r="E76" s="165"/>
      <c r="F76" s="165"/>
      <c r="G76" s="165"/>
      <c r="H76" s="165"/>
      <c r="I76" s="165"/>
      <c r="J76" s="165"/>
      <c r="K76" s="165"/>
      <c r="L76" s="165"/>
      <c r="M76" s="165"/>
      <c r="N76" s="165"/>
      <c r="O76" s="165"/>
      <c r="P76" s="165"/>
      <c r="Q76" s="165"/>
      <c r="R76" s="165"/>
      <c r="S76" s="165"/>
      <c r="T76" s="165"/>
      <c r="U76" s="165"/>
      <c r="V76" s="165"/>
      <c r="W76" s="165"/>
    </row>
    <row r="77" spans="2:23" x14ac:dyDescent="0.2">
      <c r="B77" s="164"/>
      <c r="C77" s="164"/>
      <c r="D77" s="165"/>
      <c r="E77" s="165"/>
      <c r="F77" s="165"/>
      <c r="G77" s="165"/>
      <c r="H77" s="165"/>
      <c r="I77" s="165"/>
      <c r="J77" s="165"/>
      <c r="K77" s="165"/>
      <c r="L77" s="165"/>
      <c r="M77" s="165"/>
      <c r="N77" s="165"/>
      <c r="O77" s="165"/>
      <c r="P77" s="165"/>
      <c r="Q77" s="165"/>
      <c r="R77" s="165"/>
      <c r="S77" s="165"/>
      <c r="T77" s="165"/>
      <c r="U77" s="165"/>
      <c r="V77" s="165"/>
      <c r="W77" s="165"/>
    </row>
    <row r="78" spans="2:23" x14ac:dyDescent="0.2">
      <c r="B78" s="164"/>
      <c r="C78" s="164"/>
      <c r="D78" s="165"/>
      <c r="E78" s="165"/>
      <c r="F78" s="165"/>
      <c r="G78" s="165"/>
      <c r="H78" s="165"/>
      <c r="I78" s="165"/>
      <c r="J78" s="165"/>
      <c r="K78" s="165"/>
      <c r="L78" s="165"/>
      <c r="M78" s="165"/>
      <c r="N78" s="165"/>
      <c r="O78" s="165"/>
      <c r="P78" s="165"/>
      <c r="Q78" s="165"/>
      <c r="R78" s="165"/>
      <c r="S78" s="165"/>
      <c r="T78" s="165"/>
      <c r="U78" s="165"/>
      <c r="V78" s="165"/>
      <c r="W78" s="165"/>
    </row>
    <row r="79" spans="2:23" x14ac:dyDescent="0.2">
      <c r="B79" s="164"/>
      <c r="C79" s="164"/>
      <c r="D79" s="165"/>
      <c r="E79" s="165"/>
      <c r="F79" s="165"/>
      <c r="G79" s="165"/>
      <c r="H79" s="165"/>
      <c r="I79" s="165"/>
      <c r="J79" s="165"/>
      <c r="K79" s="165"/>
      <c r="L79" s="165"/>
      <c r="M79" s="165"/>
      <c r="N79" s="165"/>
      <c r="O79" s="165"/>
      <c r="P79" s="165"/>
      <c r="Q79" s="165"/>
      <c r="R79" s="165"/>
      <c r="S79" s="165"/>
      <c r="T79" s="165"/>
      <c r="U79" s="165"/>
      <c r="V79" s="165"/>
      <c r="W79" s="165"/>
    </row>
    <row r="80" spans="2:23" x14ac:dyDescent="0.2">
      <c r="B80" s="164"/>
      <c r="C80" s="164"/>
      <c r="D80" s="165"/>
      <c r="E80" s="165"/>
      <c r="F80" s="165"/>
      <c r="G80" s="165"/>
      <c r="H80" s="165"/>
      <c r="I80" s="165"/>
      <c r="J80" s="165"/>
      <c r="K80" s="165"/>
      <c r="L80" s="165"/>
      <c r="M80" s="165"/>
      <c r="N80" s="165"/>
      <c r="O80" s="165"/>
      <c r="P80" s="165"/>
      <c r="Q80" s="165"/>
      <c r="R80" s="165"/>
      <c r="S80" s="165"/>
      <c r="T80" s="165"/>
      <c r="U80" s="165"/>
      <c r="V80" s="165"/>
      <c r="W80" s="165"/>
    </row>
    <row r="81" spans="2:23" x14ac:dyDescent="0.2">
      <c r="B81" s="164"/>
      <c r="C81" s="164"/>
      <c r="D81" s="165"/>
      <c r="E81" s="165"/>
      <c r="F81" s="165"/>
      <c r="G81" s="165"/>
      <c r="H81" s="165"/>
      <c r="I81" s="165"/>
      <c r="J81" s="165"/>
      <c r="K81" s="165"/>
      <c r="L81" s="165"/>
      <c r="M81" s="165"/>
      <c r="N81" s="165"/>
      <c r="O81" s="165"/>
      <c r="P81" s="165"/>
      <c r="Q81" s="165"/>
      <c r="R81" s="165"/>
      <c r="S81" s="165"/>
      <c r="T81" s="165"/>
      <c r="U81" s="165"/>
      <c r="V81" s="165"/>
      <c r="W81" s="165"/>
    </row>
    <row r="82" spans="2:23" x14ac:dyDescent="0.2">
      <c r="B82" s="164"/>
      <c r="C82" s="164"/>
      <c r="D82" s="165"/>
      <c r="E82" s="165"/>
      <c r="F82" s="165"/>
      <c r="G82" s="165"/>
      <c r="H82" s="165"/>
      <c r="I82" s="165"/>
      <c r="J82" s="165"/>
      <c r="K82" s="165"/>
      <c r="L82" s="165"/>
      <c r="M82" s="165"/>
      <c r="N82" s="165"/>
      <c r="O82" s="165"/>
      <c r="P82" s="165"/>
      <c r="Q82" s="165"/>
      <c r="R82" s="165"/>
      <c r="S82" s="165"/>
      <c r="T82" s="165"/>
      <c r="U82" s="165"/>
      <c r="V82" s="165"/>
      <c r="W82" s="165"/>
    </row>
    <row r="83" spans="2:23" x14ac:dyDescent="0.2">
      <c r="B83" s="164"/>
      <c r="C83" s="164"/>
      <c r="D83" s="165"/>
      <c r="E83" s="165"/>
      <c r="F83" s="165"/>
      <c r="G83" s="165"/>
      <c r="H83" s="165"/>
      <c r="I83" s="165"/>
      <c r="J83" s="165"/>
      <c r="K83" s="165"/>
      <c r="L83" s="165"/>
      <c r="M83" s="165"/>
      <c r="N83" s="165"/>
      <c r="O83" s="165"/>
      <c r="P83" s="165"/>
      <c r="Q83" s="165"/>
      <c r="R83" s="165"/>
      <c r="S83" s="165"/>
      <c r="T83" s="165"/>
      <c r="U83" s="165"/>
      <c r="V83" s="165"/>
      <c r="W83" s="165"/>
    </row>
    <row r="84" spans="2:23" x14ac:dyDescent="0.2">
      <c r="B84" s="164"/>
      <c r="C84" s="164"/>
      <c r="D84" s="165"/>
      <c r="E84" s="165"/>
      <c r="F84" s="165"/>
      <c r="G84" s="165"/>
      <c r="H84" s="165"/>
      <c r="I84" s="165"/>
      <c r="J84" s="165"/>
      <c r="K84" s="165"/>
      <c r="L84" s="165"/>
      <c r="M84" s="165"/>
      <c r="N84" s="165"/>
      <c r="O84" s="165"/>
      <c r="P84" s="165"/>
      <c r="Q84" s="165"/>
      <c r="R84" s="165"/>
      <c r="S84" s="165"/>
      <c r="T84" s="165"/>
      <c r="U84" s="165"/>
      <c r="V84" s="165"/>
      <c r="W84" s="165"/>
    </row>
    <row r="85" spans="2:23" x14ac:dyDescent="0.2">
      <c r="B85" s="164"/>
      <c r="C85" s="164"/>
      <c r="D85" s="165"/>
      <c r="E85" s="165"/>
      <c r="F85" s="165"/>
      <c r="G85" s="165"/>
      <c r="H85" s="165"/>
      <c r="I85" s="165"/>
      <c r="J85" s="165"/>
      <c r="K85" s="165"/>
      <c r="L85" s="165"/>
      <c r="M85" s="165"/>
      <c r="N85" s="165"/>
      <c r="O85" s="165"/>
      <c r="P85" s="165"/>
      <c r="Q85" s="165"/>
      <c r="R85" s="165"/>
      <c r="S85" s="165"/>
      <c r="T85" s="165"/>
      <c r="U85" s="165"/>
      <c r="V85" s="165"/>
      <c r="W85" s="165"/>
    </row>
    <row r="86" spans="2:23" x14ac:dyDescent="0.2">
      <c r="B86" s="164"/>
      <c r="C86" s="164"/>
      <c r="D86" s="165"/>
      <c r="E86" s="165"/>
      <c r="F86" s="165"/>
      <c r="G86" s="165"/>
      <c r="H86" s="165"/>
      <c r="I86" s="165"/>
      <c r="J86" s="165"/>
      <c r="K86" s="165"/>
      <c r="L86" s="165"/>
      <c r="M86" s="165"/>
      <c r="N86" s="165"/>
      <c r="O86" s="165"/>
      <c r="P86" s="165"/>
      <c r="Q86" s="165"/>
      <c r="R86" s="165"/>
      <c r="S86" s="165"/>
      <c r="T86" s="165"/>
      <c r="U86" s="165"/>
      <c r="V86" s="165"/>
      <c r="W86" s="165"/>
    </row>
    <row r="87" spans="2:23" x14ac:dyDescent="0.2">
      <c r="B87" s="164"/>
      <c r="C87" s="164"/>
      <c r="D87" s="165"/>
      <c r="E87" s="165"/>
      <c r="F87" s="165"/>
      <c r="G87" s="165"/>
      <c r="H87" s="165"/>
      <c r="I87" s="165"/>
      <c r="J87" s="165"/>
      <c r="K87" s="165"/>
      <c r="L87" s="165"/>
      <c r="M87" s="165"/>
      <c r="N87" s="165"/>
      <c r="O87" s="165"/>
      <c r="P87" s="165"/>
      <c r="Q87" s="165"/>
      <c r="R87" s="165"/>
      <c r="S87" s="165"/>
      <c r="T87" s="165"/>
      <c r="U87" s="165"/>
      <c r="V87" s="165"/>
      <c r="W87" s="165"/>
    </row>
    <row r="88" spans="2:23" x14ac:dyDescent="0.2">
      <c r="B88" s="164"/>
      <c r="C88" s="164"/>
      <c r="D88" s="165"/>
      <c r="E88" s="165"/>
      <c r="F88" s="165"/>
      <c r="G88" s="165"/>
      <c r="H88" s="165"/>
      <c r="I88" s="165"/>
      <c r="J88" s="165"/>
      <c r="K88" s="165"/>
      <c r="L88" s="165"/>
      <c r="M88" s="165"/>
      <c r="N88" s="165"/>
      <c r="O88" s="165"/>
      <c r="P88" s="165"/>
      <c r="Q88" s="165"/>
      <c r="R88" s="165"/>
      <c r="S88" s="165"/>
      <c r="T88" s="165"/>
      <c r="U88" s="165"/>
      <c r="V88" s="165"/>
      <c r="W88" s="165"/>
    </row>
    <row r="89" spans="2:23" x14ac:dyDescent="0.2">
      <c r="B89" s="164"/>
      <c r="C89" s="164"/>
      <c r="D89" s="165"/>
      <c r="E89" s="165"/>
      <c r="F89" s="165"/>
      <c r="G89" s="165"/>
      <c r="H89" s="165"/>
      <c r="I89" s="165"/>
      <c r="J89" s="165"/>
      <c r="K89" s="165"/>
      <c r="L89" s="165"/>
      <c r="M89" s="165"/>
      <c r="N89" s="165"/>
      <c r="O89" s="165"/>
      <c r="P89" s="165"/>
      <c r="Q89" s="165"/>
      <c r="R89" s="165"/>
      <c r="S89" s="165"/>
      <c r="T89" s="165"/>
      <c r="U89" s="165"/>
      <c r="V89" s="165"/>
      <c r="W89" s="165"/>
    </row>
    <row r="90" spans="2:23" x14ac:dyDescent="0.2">
      <c r="B90" s="164"/>
      <c r="C90" s="164"/>
      <c r="D90" s="165"/>
      <c r="E90" s="165"/>
      <c r="F90" s="165"/>
      <c r="G90" s="165"/>
      <c r="H90" s="165"/>
      <c r="I90" s="165"/>
      <c r="J90" s="165"/>
      <c r="K90" s="165"/>
      <c r="L90" s="165"/>
      <c r="M90" s="165"/>
      <c r="N90" s="165"/>
      <c r="O90" s="165"/>
      <c r="P90" s="165"/>
      <c r="Q90" s="165"/>
      <c r="R90" s="165"/>
      <c r="S90" s="165"/>
      <c r="T90" s="165"/>
      <c r="U90" s="165"/>
      <c r="V90" s="165"/>
      <c r="W90" s="165"/>
    </row>
    <row r="91" spans="2:23" x14ac:dyDescent="0.2">
      <c r="B91" s="164"/>
      <c r="C91" s="164"/>
      <c r="D91" s="165"/>
      <c r="E91" s="165"/>
      <c r="F91" s="165"/>
      <c r="G91" s="165"/>
      <c r="H91" s="165"/>
      <c r="I91" s="165"/>
      <c r="J91" s="165"/>
      <c r="K91" s="165"/>
      <c r="L91" s="165"/>
      <c r="M91" s="165"/>
      <c r="N91" s="165"/>
      <c r="O91" s="165"/>
      <c r="P91" s="165"/>
      <c r="Q91" s="165"/>
      <c r="R91" s="165"/>
      <c r="S91" s="165"/>
      <c r="T91" s="165"/>
      <c r="U91" s="165"/>
      <c r="V91" s="165"/>
      <c r="W91" s="165"/>
    </row>
    <row r="92" spans="2:23" x14ac:dyDescent="0.2">
      <c r="B92" s="164"/>
      <c r="C92" s="164"/>
      <c r="D92" s="165"/>
      <c r="E92" s="165"/>
      <c r="F92" s="165"/>
      <c r="G92" s="165"/>
      <c r="H92" s="165"/>
      <c r="I92" s="165"/>
      <c r="J92" s="165"/>
      <c r="K92" s="165"/>
      <c r="L92" s="165"/>
      <c r="M92" s="165"/>
      <c r="N92" s="165"/>
      <c r="O92" s="165"/>
      <c r="P92" s="165"/>
      <c r="Q92" s="165"/>
      <c r="R92" s="165"/>
      <c r="S92" s="165"/>
      <c r="T92" s="165"/>
      <c r="U92" s="165"/>
      <c r="V92" s="165"/>
      <c r="W92" s="165"/>
    </row>
    <row r="93" spans="2:23" x14ac:dyDescent="0.2">
      <c r="B93" s="164"/>
      <c r="C93" s="164"/>
      <c r="D93" s="165"/>
      <c r="E93" s="165"/>
      <c r="F93" s="165"/>
      <c r="G93" s="165"/>
      <c r="H93" s="165"/>
      <c r="I93" s="165"/>
      <c r="J93" s="165"/>
      <c r="K93" s="165"/>
      <c r="L93" s="165"/>
      <c r="M93" s="165"/>
      <c r="N93" s="165"/>
      <c r="O93" s="165"/>
      <c r="P93" s="165"/>
      <c r="Q93" s="165"/>
      <c r="R93" s="165"/>
      <c r="S93" s="165"/>
      <c r="T93" s="165"/>
      <c r="U93" s="165"/>
      <c r="V93" s="165"/>
      <c r="W93" s="165"/>
    </row>
    <row r="94" spans="2:23" x14ac:dyDescent="0.2">
      <c r="B94" s="164"/>
      <c r="C94" s="164"/>
      <c r="D94" s="165"/>
      <c r="E94" s="165"/>
      <c r="F94" s="165"/>
      <c r="G94" s="165"/>
      <c r="H94" s="165"/>
      <c r="I94" s="165"/>
      <c r="J94" s="165"/>
      <c r="K94" s="165"/>
      <c r="L94" s="165"/>
      <c r="M94" s="165"/>
      <c r="N94" s="165"/>
      <c r="O94" s="165"/>
      <c r="P94" s="165"/>
      <c r="Q94" s="165"/>
      <c r="R94" s="165"/>
      <c r="S94" s="165"/>
      <c r="T94" s="165"/>
      <c r="U94" s="165"/>
      <c r="V94" s="165"/>
      <c r="W94" s="165"/>
    </row>
    <row r="95" spans="2:23" x14ac:dyDescent="0.2">
      <c r="B95" s="164"/>
      <c r="C95" s="164"/>
      <c r="D95" s="165"/>
      <c r="E95" s="165"/>
      <c r="F95" s="165"/>
      <c r="G95" s="165"/>
      <c r="H95" s="165"/>
      <c r="I95" s="165"/>
      <c r="J95" s="165"/>
      <c r="K95" s="165"/>
      <c r="L95" s="165"/>
      <c r="M95" s="165"/>
      <c r="N95" s="165"/>
      <c r="O95" s="165"/>
      <c r="P95" s="165"/>
      <c r="Q95" s="165"/>
      <c r="R95" s="165"/>
      <c r="S95" s="165"/>
      <c r="T95" s="165"/>
      <c r="U95" s="165"/>
      <c r="V95" s="165"/>
      <c r="W95" s="165"/>
    </row>
    <row r="96" spans="2:23" x14ac:dyDescent="0.2">
      <c r="B96" s="164"/>
      <c r="C96" s="164"/>
      <c r="D96" s="165"/>
      <c r="E96" s="165"/>
      <c r="F96" s="165"/>
      <c r="G96" s="165"/>
      <c r="H96" s="165"/>
      <c r="I96" s="165"/>
      <c r="J96" s="165"/>
      <c r="K96" s="165"/>
      <c r="L96" s="165"/>
      <c r="M96" s="165"/>
      <c r="N96" s="165"/>
      <c r="O96" s="165"/>
      <c r="P96" s="165"/>
      <c r="Q96" s="165"/>
      <c r="R96" s="165"/>
      <c r="S96" s="165"/>
      <c r="T96" s="165"/>
      <c r="U96" s="165"/>
      <c r="V96" s="165"/>
      <c r="W96" s="165"/>
    </row>
    <row r="97" spans="2:23" x14ac:dyDescent="0.2">
      <c r="B97" s="164"/>
      <c r="C97" s="164"/>
      <c r="D97" s="165"/>
      <c r="E97" s="165"/>
      <c r="F97" s="165"/>
      <c r="G97" s="165"/>
      <c r="H97" s="165"/>
      <c r="I97" s="165"/>
      <c r="J97" s="165"/>
      <c r="K97" s="165"/>
      <c r="L97" s="165"/>
      <c r="M97" s="165"/>
      <c r="N97" s="165"/>
      <c r="O97" s="165"/>
      <c r="P97" s="165"/>
      <c r="Q97" s="165"/>
      <c r="R97" s="165"/>
      <c r="S97" s="165"/>
      <c r="T97" s="165"/>
      <c r="U97" s="165"/>
      <c r="V97" s="165"/>
      <c r="W97" s="165"/>
    </row>
    <row r="98" spans="2:23" x14ac:dyDescent="0.2">
      <c r="B98" s="164"/>
      <c r="C98" s="164"/>
      <c r="D98" s="165"/>
      <c r="E98" s="165"/>
      <c r="F98" s="165"/>
      <c r="G98" s="165"/>
      <c r="H98" s="165"/>
      <c r="I98" s="165"/>
      <c r="J98" s="165"/>
      <c r="K98" s="165"/>
      <c r="L98" s="165"/>
      <c r="M98" s="165"/>
      <c r="N98" s="165"/>
      <c r="O98" s="165"/>
      <c r="P98" s="165"/>
      <c r="Q98" s="165"/>
      <c r="R98" s="165"/>
      <c r="S98" s="165"/>
      <c r="T98" s="165"/>
      <c r="U98" s="165"/>
      <c r="V98" s="165"/>
      <c r="W98" s="165"/>
    </row>
    <row r="99" spans="2:23" x14ac:dyDescent="0.2">
      <c r="B99" s="164"/>
      <c r="C99" s="164"/>
      <c r="D99" s="165"/>
      <c r="E99" s="165"/>
      <c r="F99" s="165"/>
      <c r="G99" s="165"/>
      <c r="H99" s="165"/>
      <c r="I99" s="165"/>
      <c r="J99" s="165"/>
      <c r="K99" s="165"/>
      <c r="L99" s="165"/>
      <c r="M99" s="165"/>
      <c r="N99" s="165"/>
      <c r="O99" s="165"/>
      <c r="P99" s="165"/>
      <c r="Q99" s="165"/>
      <c r="R99" s="165"/>
      <c r="S99" s="165"/>
      <c r="T99" s="165"/>
      <c r="U99" s="165"/>
      <c r="V99" s="165"/>
      <c r="W99" s="165"/>
    </row>
    <row r="100" spans="2:23" x14ac:dyDescent="0.2">
      <c r="B100" s="164"/>
      <c r="C100" s="164"/>
      <c r="D100" s="165"/>
      <c r="E100" s="165"/>
      <c r="F100" s="165"/>
      <c r="G100" s="165"/>
      <c r="H100" s="165"/>
      <c r="I100" s="165"/>
      <c r="J100" s="165"/>
      <c r="K100" s="165"/>
      <c r="L100" s="165"/>
      <c r="M100" s="165"/>
      <c r="N100" s="165"/>
      <c r="O100" s="165"/>
      <c r="P100" s="165"/>
      <c r="Q100" s="165"/>
      <c r="R100" s="165"/>
      <c r="S100" s="165"/>
      <c r="T100" s="165"/>
      <c r="U100" s="165"/>
      <c r="V100" s="165"/>
      <c r="W100" s="165"/>
    </row>
    <row r="101" spans="2:23" x14ac:dyDescent="0.2">
      <c r="B101" s="164"/>
      <c r="C101" s="164"/>
      <c r="D101" s="165"/>
      <c r="E101" s="165"/>
      <c r="F101" s="165"/>
      <c r="G101" s="165"/>
      <c r="H101" s="165"/>
      <c r="I101" s="165"/>
      <c r="J101" s="165"/>
      <c r="K101" s="165"/>
      <c r="L101" s="165"/>
      <c r="M101" s="165"/>
      <c r="N101" s="165"/>
      <c r="O101" s="165"/>
      <c r="P101" s="165"/>
      <c r="Q101" s="165"/>
      <c r="R101" s="165"/>
      <c r="S101" s="165"/>
      <c r="T101" s="165"/>
      <c r="U101" s="165"/>
      <c r="V101" s="165"/>
      <c r="W101" s="165"/>
    </row>
    <row r="102" spans="2:23" x14ac:dyDescent="0.2">
      <c r="B102" s="164"/>
      <c r="C102" s="164"/>
      <c r="D102" s="165"/>
      <c r="E102" s="165"/>
      <c r="F102" s="165"/>
      <c r="G102" s="165"/>
      <c r="H102" s="165"/>
      <c r="I102" s="165"/>
      <c r="J102" s="165"/>
      <c r="K102" s="165"/>
      <c r="L102" s="165"/>
      <c r="M102" s="165"/>
      <c r="N102" s="165"/>
      <c r="O102" s="165"/>
      <c r="P102" s="165"/>
      <c r="Q102" s="165"/>
      <c r="R102" s="165"/>
      <c r="S102" s="165"/>
      <c r="T102" s="165"/>
      <c r="U102" s="165"/>
      <c r="V102" s="165"/>
      <c r="W102" s="165"/>
    </row>
    <row r="103" spans="2:23" x14ac:dyDescent="0.2">
      <c r="B103" s="164"/>
      <c r="C103" s="164"/>
      <c r="D103" s="165"/>
      <c r="E103" s="165"/>
      <c r="F103" s="165"/>
      <c r="G103" s="165"/>
      <c r="H103" s="165"/>
      <c r="I103" s="165"/>
      <c r="J103" s="165"/>
      <c r="K103" s="165"/>
      <c r="L103" s="165"/>
      <c r="M103" s="165"/>
      <c r="N103" s="165"/>
      <c r="O103" s="165"/>
      <c r="P103" s="165"/>
      <c r="Q103" s="165"/>
      <c r="R103" s="165"/>
      <c r="S103" s="165"/>
      <c r="T103" s="165"/>
      <c r="U103" s="165"/>
      <c r="V103" s="165"/>
      <c r="W103" s="165"/>
    </row>
    <row r="104" spans="2:23" x14ac:dyDescent="0.2">
      <c r="B104" s="164"/>
      <c r="C104" s="164"/>
      <c r="D104" s="165"/>
      <c r="E104" s="165"/>
      <c r="F104" s="165"/>
      <c r="G104" s="165"/>
      <c r="H104" s="165"/>
      <c r="I104" s="165"/>
      <c r="J104" s="165"/>
      <c r="K104" s="165"/>
      <c r="L104" s="165"/>
      <c r="M104" s="165"/>
      <c r="N104" s="165"/>
      <c r="O104" s="165"/>
      <c r="P104" s="165"/>
      <c r="Q104" s="165"/>
      <c r="R104" s="165"/>
      <c r="S104" s="165"/>
      <c r="T104" s="165"/>
      <c r="U104" s="165"/>
      <c r="V104" s="165"/>
      <c r="W104" s="165"/>
    </row>
    <row r="105" spans="2:23" x14ac:dyDescent="0.2">
      <c r="B105" s="164"/>
      <c r="C105" s="164"/>
      <c r="D105" s="165"/>
      <c r="E105" s="165"/>
      <c r="F105" s="165"/>
      <c r="G105" s="165"/>
      <c r="H105" s="165"/>
      <c r="I105" s="165"/>
      <c r="J105" s="165"/>
      <c r="K105" s="165"/>
      <c r="L105" s="165"/>
      <c r="M105" s="165"/>
      <c r="N105" s="165"/>
      <c r="O105" s="165"/>
      <c r="P105" s="165"/>
      <c r="Q105" s="165"/>
      <c r="R105" s="165"/>
      <c r="S105" s="165"/>
      <c r="T105" s="165"/>
      <c r="U105" s="165"/>
      <c r="V105" s="165"/>
      <c r="W105" s="165"/>
    </row>
    <row r="106" spans="2:23" x14ac:dyDescent="0.2">
      <c r="B106" s="164"/>
      <c r="C106" s="164"/>
      <c r="D106" s="165"/>
      <c r="E106" s="165"/>
      <c r="F106" s="165"/>
      <c r="G106" s="165"/>
      <c r="H106" s="165"/>
      <c r="I106" s="165"/>
      <c r="J106" s="165"/>
      <c r="K106" s="165"/>
      <c r="L106" s="165"/>
      <c r="M106" s="165"/>
      <c r="N106" s="165"/>
      <c r="O106" s="165"/>
      <c r="P106" s="165"/>
      <c r="Q106" s="165"/>
      <c r="R106" s="165"/>
      <c r="S106" s="165"/>
      <c r="T106" s="165"/>
      <c r="U106" s="165"/>
      <c r="V106" s="165"/>
      <c r="W106" s="165"/>
    </row>
    <row r="107" spans="2:23" x14ac:dyDescent="0.2">
      <c r="B107" s="164"/>
      <c r="C107" s="164"/>
      <c r="D107" s="165"/>
      <c r="E107" s="165"/>
      <c r="F107" s="165"/>
      <c r="G107" s="165"/>
      <c r="H107" s="165"/>
      <c r="I107" s="165"/>
      <c r="J107" s="165"/>
      <c r="K107" s="165"/>
      <c r="L107" s="165"/>
      <c r="M107" s="165"/>
      <c r="N107" s="165"/>
      <c r="O107" s="165"/>
      <c r="P107" s="165"/>
      <c r="Q107" s="165"/>
      <c r="R107" s="165"/>
      <c r="S107" s="165"/>
      <c r="T107" s="165"/>
      <c r="U107" s="165"/>
      <c r="V107" s="165"/>
      <c r="W107" s="165"/>
    </row>
    <row r="108" spans="2:23" x14ac:dyDescent="0.2">
      <c r="B108" s="164"/>
      <c r="C108" s="164"/>
      <c r="D108" s="165"/>
      <c r="E108" s="165"/>
      <c r="F108" s="165"/>
      <c r="G108" s="165"/>
      <c r="H108" s="165"/>
      <c r="I108" s="165"/>
      <c r="J108" s="165"/>
      <c r="K108" s="165"/>
      <c r="L108" s="165"/>
      <c r="M108" s="165"/>
      <c r="N108" s="165"/>
      <c r="O108" s="165"/>
      <c r="P108" s="165"/>
      <c r="Q108" s="165"/>
      <c r="R108" s="165"/>
      <c r="S108" s="165"/>
      <c r="T108" s="165"/>
      <c r="U108" s="165"/>
      <c r="V108" s="165"/>
      <c r="W108" s="165"/>
    </row>
    <row r="109" spans="2:23" x14ac:dyDescent="0.2">
      <c r="B109" s="164"/>
      <c r="C109" s="164"/>
      <c r="D109" s="165"/>
      <c r="E109" s="165"/>
      <c r="F109" s="165"/>
      <c r="G109" s="165"/>
      <c r="H109" s="165"/>
      <c r="I109" s="165"/>
      <c r="J109" s="165"/>
      <c r="K109" s="165"/>
      <c r="L109" s="165"/>
      <c r="M109" s="165"/>
      <c r="N109" s="165"/>
      <c r="O109" s="165"/>
      <c r="P109" s="165"/>
      <c r="Q109" s="165"/>
      <c r="R109" s="165"/>
      <c r="S109" s="165"/>
      <c r="T109" s="165"/>
      <c r="U109" s="165"/>
      <c r="V109" s="165"/>
      <c r="W109" s="165"/>
    </row>
    <row r="110" spans="2:23" x14ac:dyDescent="0.2">
      <c r="B110" s="164"/>
      <c r="C110" s="164"/>
      <c r="D110" s="165"/>
      <c r="E110" s="165"/>
      <c r="F110" s="165"/>
      <c r="G110" s="165"/>
      <c r="H110" s="165"/>
      <c r="I110" s="165"/>
      <c r="J110" s="165"/>
      <c r="K110" s="165"/>
      <c r="L110" s="165"/>
      <c r="M110" s="165"/>
      <c r="N110" s="165"/>
      <c r="O110" s="165"/>
      <c r="P110" s="165"/>
      <c r="Q110" s="165"/>
      <c r="R110" s="165"/>
      <c r="S110" s="165"/>
      <c r="T110" s="165"/>
      <c r="U110" s="165"/>
      <c r="V110" s="165"/>
      <c r="W110" s="165"/>
    </row>
    <row r="111" spans="2:23" x14ac:dyDescent="0.2">
      <c r="B111" s="164"/>
      <c r="C111" s="164"/>
      <c r="D111" s="165"/>
      <c r="E111" s="165"/>
      <c r="F111" s="165"/>
      <c r="G111" s="165"/>
      <c r="H111" s="165"/>
      <c r="I111" s="165"/>
      <c r="J111" s="165"/>
      <c r="K111" s="165"/>
      <c r="L111" s="165"/>
      <c r="M111" s="165"/>
      <c r="N111" s="165"/>
      <c r="O111" s="165"/>
      <c r="P111" s="165"/>
      <c r="Q111" s="165"/>
      <c r="R111" s="165"/>
      <c r="S111" s="165"/>
      <c r="T111" s="165"/>
      <c r="U111" s="165"/>
      <c r="V111" s="165"/>
      <c r="W111" s="165"/>
    </row>
    <row r="112" spans="2:23" x14ac:dyDescent="0.2">
      <c r="B112" s="164"/>
      <c r="C112" s="164"/>
      <c r="D112" s="165"/>
      <c r="E112" s="165"/>
      <c r="F112" s="165"/>
      <c r="G112" s="165"/>
      <c r="H112" s="165"/>
      <c r="I112" s="165"/>
      <c r="J112" s="165"/>
      <c r="K112" s="165"/>
      <c r="L112" s="165"/>
      <c r="M112" s="165"/>
      <c r="N112" s="165"/>
      <c r="O112" s="165"/>
      <c r="P112" s="165"/>
      <c r="Q112" s="165"/>
      <c r="R112" s="165"/>
      <c r="S112" s="165"/>
      <c r="T112" s="165"/>
      <c r="U112" s="165"/>
      <c r="V112" s="165"/>
      <c r="W112" s="165"/>
    </row>
    <row r="113" spans="2:23" x14ac:dyDescent="0.2">
      <c r="B113" s="164"/>
      <c r="C113" s="164"/>
      <c r="D113" s="165"/>
      <c r="E113" s="165"/>
      <c r="F113" s="165"/>
      <c r="G113" s="165"/>
      <c r="H113" s="165"/>
      <c r="I113" s="165"/>
      <c r="J113" s="165"/>
      <c r="K113" s="165"/>
      <c r="L113" s="165"/>
      <c r="M113" s="165"/>
      <c r="N113" s="165"/>
      <c r="O113" s="165"/>
      <c r="P113" s="165"/>
      <c r="Q113" s="165"/>
      <c r="R113" s="165"/>
      <c r="S113" s="165"/>
      <c r="T113" s="165"/>
      <c r="U113" s="165"/>
      <c r="V113" s="165"/>
      <c r="W113" s="165"/>
    </row>
    <row r="114" spans="2:23" x14ac:dyDescent="0.2">
      <c r="B114" s="164"/>
      <c r="C114" s="164"/>
      <c r="D114" s="165"/>
      <c r="E114" s="165"/>
      <c r="F114" s="165"/>
      <c r="G114" s="165"/>
      <c r="H114" s="165"/>
      <c r="I114" s="165"/>
      <c r="J114" s="165"/>
      <c r="K114" s="165"/>
      <c r="L114" s="165"/>
      <c r="M114" s="165"/>
      <c r="N114" s="165"/>
      <c r="O114" s="165"/>
      <c r="P114" s="165"/>
      <c r="Q114" s="165"/>
      <c r="R114" s="165"/>
      <c r="S114" s="165"/>
      <c r="T114" s="165"/>
      <c r="U114" s="165"/>
      <c r="V114" s="165"/>
      <c r="W114" s="165"/>
    </row>
    <row r="115" spans="2:23" x14ac:dyDescent="0.2">
      <c r="B115" s="164"/>
      <c r="C115" s="164"/>
      <c r="D115" s="165"/>
      <c r="E115" s="165"/>
      <c r="F115" s="165"/>
      <c r="G115" s="165"/>
      <c r="H115" s="165"/>
      <c r="I115" s="165"/>
      <c r="J115" s="165"/>
      <c r="K115" s="165"/>
      <c r="L115" s="165"/>
      <c r="M115" s="165"/>
      <c r="N115" s="165"/>
      <c r="O115" s="165"/>
      <c r="P115" s="165"/>
      <c r="Q115" s="165"/>
      <c r="R115" s="165"/>
      <c r="S115" s="165"/>
      <c r="T115" s="165"/>
      <c r="U115" s="165"/>
      <c r="V115" s="165"/>
      <c r="W115" s="165"/>
    </row>
    <row r="116" spans="2:23" x14ac:dyDescent="0.2">
      <c r="B116" s="164"/>
      <c r="C116" s="164"/>
      <c r="D116" s="165"/>
      <c r="E116" s="165"/>
      <c r="F116" s="165"/>
      <c r="G116" s="165"/>
      <c r="H116" s="165"/>
      <c r="I116" s="165"/>
      <c r="J116" s="165"/>
      <c r="K116" s="165"/>
      <c r="L116" s="165"/>
      <c r="M116" s="165"/>
      <c r="N116" s="165"/>
      <c r="O116" s="165"/>
      <c r="P116" s="165"/>
      <c r="Q116" s="165"/>
      <c r="R116" s="165"/>
      <c r="S116" s="165"/>
      <c r="T116" s="165"/>
      <c r="U116" s="165"/>
      <c r="V116" s="165"/>
      <c r="W116" s="165"/>
    </row>
    <row r="117" spans="2:23" x14ac:dyDescent="0.2">
      <c r="B117" s="164"/>
      <c r="C117" s="164"/>
      <c r="D117" s="165"/>
      <c r="E117" s="165"/>
      <c r="F117" s="165"/>
      <c r="G117" s="165"/>
      <c r="H117" s="165"/>
      <c r="I117" s="165"/>
      <c r="J117" s="165"/>
      <c r="K117" s="165"/>
      <c r="L117" s="165"/>
      <c r="M117" s="165"/>
      <c r="N117" s="165"/>
      <c r="O117" s="165"/>
      <c r="P117" s="165"/>
      <c r="Q117" s="165"/>
      <c r="R117" s="165"/>
      <c r="S117" s="165"/>
      <c r="T117" s="165"/>
      <c r="U117" s="165"/>
      <c r="V117" s="165"/>
      <c r="W117" s="165"/>
    </row>
    <row r="118" spans="2:23" x14ac:dyDescent="0.2">
      <c r="B118" s="164"/>
      <c r="C118" s="164"/>
      <c r="D118" s="165"/>
      <c r="E118" s="165"/>
      <c r="F118" s="165"/>
      <c r="G118" s="165"/>
      <c r="H118" s="165"/>
      <c r="I118" s="165"/>
      <c r="J118" s="165"/>
      <c r="K118" s="165"/>
      <c r="L118" s="165"/>
      <c r="M118" s="165"/>
      <c r="N118" s="165"/>
      <c r="O118" s="165"/>
      <c r="P118" s="165"/>
      <c r="Q118" s="165"/>
      <c r="R118" s="165"/>
      <c r="S118" s="165"/>
      <c r="T118" s="165"/>
      <c r="U118" s="165"/>
      <c r="V118" s="165"/>
      <c r="W118" s="165"/>
    </row>
    <row r="119" spans="2:23" x14ac:dyDescent="0.2">
      <c r="B119" s="164"/>
      <c r="C119" s="164"/>
      <c r="D119" s="165"/>
      <c r="E119" s="165"/>
      <c r="F119" s="165"/>
      <c r="G119" s="165"/>
      <c r="H119" s="165"/>
      <c r="I119" s="165"/>
      <c r="J119" s="165"/>
      <c r="K119" s="165"/>
      <c r="L119" s="165"/>
      <c r="M119" s="165"/>
      <c r="N119" s="165"/>
      <c r="O119" s="165"/>
      <c r="P119" s="165"/>
      <c r="Q119" s="165"/>
      <c r="R119" s="165"/>
      <c r="S119" s="165"/>
      <c r="T119" s="165"/>
      <c r="U119" s="165"/>
      <c r="V119" s="165"/>
      <c r="W119" s="165"/>
    </row>
    <row r="120" spans="2:23" x14ac:dyDescent="0.2">
      <c r="B120" s="164"/>
      <c r="C120" s="164"/>
      <c r="D120" s="165"/>
      <c r="E120" s="165"/>
      <c r="F120" s="165"/>
      <c r="G120" s="165"/>
      <c r="H120" s="165"/>
      <c r="I120" s="165"/>
      <c r="J120" s="165"/>
      <c r="K120" s="165"/>
      <c r="L120" s="165"/>
      <c r="M120" s="165"/>
      <c r="N120" s="165"/>
      <c r="O120" s="165"/>
      <c r="P120" s="165"/>
      <c r="Q120" s="165"/>
      <c r="R120" s="165"/>
      <c r="S120" s="165"/>
      <c r="T120" s="165"/>
      <c r="U120" s="165"/>
      <c r="V120" s="165"/>
      <c r="W120" s="165"/>
    </row>
    <row r="121" spans="2:23" x14ac:dyDescent="0.2">
      <c r="B121" s="164"/>
      <c r="C121" s="164"/>
      <c r="D121" s="165"/>
      <c r="E121" s="165"/>
      <c r="F121" s="165"/>
      <c r="G121" s="165"/>
      <c r="H121" s="165"/>
      <c r="I121" s="165"/>
      <c r="J121" s="165"/>
      <c r="K121" s="165"/>
      <c r="L121" s="165"/>
      <c r="M121" s="165"/>
      <c r="N121" s="165"/>
      <c r="O121" s="165"/>
      <c r="P121" s="165"/>
      <c r="Q121" s="165"/>
      <c r="R121" s="165"/>
      <c r="S121" s="165"/>
      <c r="T121" s="165"/>
      <c r="U121" s="165"/>
      <c r="V121" s="165"/>
      <c r="W121" s="165"/>
    </row>
    <row r="122" spans="2:23" x14ac:dyDescent="0.2">
      <c r="B122" s="164"/>
      <c r="C122" s="164"/>
      <c r="D122" s="165"/>
      <c r="E122" s="165"/>
      <c r="F122" s="165"/>
      <c r="G122" s="165"/>
      <c r="H122" s="165"/>
      <c r="I122" s="165"/>
      <c r="J122" s="165"/>
      <c r="K122" s="165"/>
      <c r="L122" s="165"/>
      <c r="M122" s="165"/>
      <c r="N122" s="165"/>
      <c r="O122" s="165"/>
      <c r="P122" s="165"/>
      <c r="Q122" s="165"/>
      <c r="R122" s="165"/>
      <c r="S122" s="165"/>
      <c r="T122" s="165"/>
      <c r="U122" s="165"/>
      <c r="V122" s="165"/>
      <c r="W122" s="165"/>
    </row>
    <row r="123" spans="2:23" x14ac:dyDescent="0.2">
      <c r="B123" s="164"/>
      <c r="C123" s="164"/>
      <c r="D123" s="165"/>
      <c r="E123" s="165"/>
      <c r="F123" s="165"/>
      <c r="G123" s="165"/>
      <c r="H123" s="165"/>
      <c r="I123" s="165"/>
      <c r="J123" s="165"/>
      <c r="K123" s="165"/>
      <c r="L123" s="165"/>
      <c r="M123" s="165"/>
      <c r="N123" s="165"/>
      <c r="O123" s="165"/>
      <c r="P123" s="165"/>
      <c r="Q123" s="165"/>
      <c r="R123" s="165"/>
      <c r="S123" s="165"/>
      <c r="T123" s="165"/>
      <c r="U123" s="165"/>
      <c r="V123" s="165"/>
      <c r="W123" s="165"/>
    </row>
    <row r="124" spans="2:23" x14ac:dyDescent="0.2">
      <c r="B124" s="164"/>
      <c r="C124" s="164"/>
      <c r="D124" s="165"/>
      <c r="E124" s="165"/>
      <c r="F124" s="165"/>
      <c r="G124" s="165"/>
      <c r="H124" s="165"/>
      <c r="I124" s="165"/>
      <c r="J124" s="165"/>
      <c r="K124" s="165"/>
      <c r="L124" s="165"/>
      <c r="M124" s="165"/>
      <c r="N124" s="165"/>
      <c r="O124" s="165"/>
      <c r="P124" s="165"/>
      <c r="Q124" s="165"/>
      <c r="R124" s="165"/>
      <c r="S124" s="165"/>
      <c r="T124" s="165"/>
      <c r="U124" s="165"/>
      <c r="V124" s="165"/>
      <c r="W124" s="165"/>
    </row>
    <row r="125" spans="2:23" x14ac:dyDescent="0.2">
      <c r="B125" s="164"/>
      <c r="C125" s="164"/>
      <c r="D125" s="165"/>
      <c r="E125" s="165"/>
      <c r="F125" s="165"/>
      <c r="G125" s="165"/>
      <c r="H125" s="165"/>
      <c r="I125" s="165"/>
      <c r="J125" s="165"/>
      <c r="K125" s="165"/>
      <c r="L125" s="165"/>
      <c r="M125" s="165"/>
      <c r="N125" s="165"/>
      <c r="O125" s="165"/>
      <c r="P125" s="165"/>
      <c r="Q125" s="165"/>
      <c r="R125" s="165"/>
      <c r="S125" s="165"/>
      <c r="T125" s="165"/>
      <c r="U125" s="165"/>
      <c r="V125" s="165"/>
      <c r="W125" s="165"/>
    </row>
    <row r="126" spans="2:23" x14ac:dyDescent="0.2">
      <c r="B126" s="164"/>
      <c r="C126" s="164"/>
      <c r="D126" s="165"/>
      <c r="E126" s="165"/>
      <c r="F126" s="165"/>
      <c r="G126" s="165"/>
      <c r="H126" s="165"/>
      <c r="I126" s="165"/>
      <c r="J126" s="165"/>
      <c r="K126" s="165"/>
      <c r="L126" s="165"/>
      <c r="M126" s="165"/>
      <c r="N126" s="165"/>
      <c r="O126" s="165"/>
      <c r="P126" s="165"/>
      <c r="Q126" s="165"/>
      <c r="R126" s="165"/>
      <c r="S126" s="165"/>
      <c r="T126" s="165"/>
      <c r="U126" s="165"/>
      <c r="V126" s="165"/>
      <c r="W126" s="165"/>
    </row>
    <row r="127" spans="2:23" x14ac:dyDescent="0.2">
      <c r="B127" s="164"/>
      <c r="C127" s="164"/>
      <c r="D127" s="165"/>
      <c r="E127" s="165"/>
      <c r="F127" s="165"/>
      <c r="G127" s="165"/>
      <c r="H127" s="165"/>
      <c r="I127" s="165"/>
      <c r="J127" s="165"/>
      <c r="K127" s="165"/>
      <c r="L127" s="165"/>
      <c r="M127" s="165"/>
      <c r="N127" s="165"/>
      <c r="O127" s="165"/>
      <c r="P127" s="165"/>
      <c r="Q127" s="165"/>
      <c r="R127" s="165"/>
      <c r="S127" s="165"/>
      <c r="T127" s="165"/>
      <c r="U127" s="165"/>
      <c r="V127" s="165"/>
      <c r="W127" s="165"/>
    </row>
    <row r="128" spans="2:23" x14ac:dyDescent="0.2">
      <c r="B128" s="164"/>
      <c r="C128" s="164"/>
      <c r="D128" s="165"/>
      <c r="E128" s="165"/>
      <c r="F128" s="165"/>
      <c r="G128" s="165"/>
      <c r="H128" s="165"/>
      <c r="I128" s="165"/>
      <c r="J128" s="165"/>
      <c r="K128" s="165"/>
      <c r="L128" s="165"/>
      <c r="M128" s="165"/>
      <c r="N128" s="165"/>
      <c r="O128" s="165"/>
      <c r="P128" s="165"/>
      <c r="Q128" s="165"/>
      <c r="R128" s="165"/>
      <c r="S128" s="165"/>
      <c r="T128" s="165"/>
      <c r="U128" s="165"/>
      <c r="V128" s="165"/>
      <c r="W128" s="165"/>
    </row>
    <row r="129" spans="2:23" x14ac:dyDescent="0.2">
      <c r="B129" s="164"/>
      <c r="C129" s="164"/>
      <c r="D129" s="165"/>
      <c r="E129" s="165"/>
      <c r="F129" s="165"/>
      <c r="G129" s="165"/>
      <c r="H129" s="165"/>
      <c r="I129" s="165"/>
      <c r="J129" s="165"/>
      <c r="K129" s="165"/>
      <c r="L129" s="165"/>
      <c r="M129" s="165"/>
      <c r="N129" s="165"/>
      <c r="O129" s="165"/>
      <c r="P129" s="165"/>
      <c r="Q129" s="165"/>
      <c r="R129" s="165"/>
      <c r="S129" s="165"/>
      <c r="T129" s="165"/>
      <c r="U129" s="165"/>
      <c r="V129" s="165"/>
      <c r="W129" s="165"/>
    </row>
    <row r="130" spans="2:23" x14ac:dyDescent="0.2">
      <c r="B130" s="164"/>
      <c r="C130" s="164"/>
      <c r="D130" s="165"/>
      <c r="E130" s="165"/>
      <c r="F130" s="165"/>
      <c r="G130" s="165"/>
      <c r="H130" s="165"/>
      <c r="I130" s="165"/>
      <c r="J130" s="165"/>
      <c r="K130" s="165"/>
      <c r="L130" s="165"/>
      <c r="M130" s="165"/>
      <c r="N130" s="165"/>
      <c r="O130" s="165"/>
      <c r="P130" s="165"/>
      <c r="Q130" s="165"/>
      <c r="R130" s="165"/>
      <c r="S130" s="165"/>
      <c r="T130" s="165"/>
      <c r="U130" s="165"/>
      <c r="V130" s="165"/>
      <c r="W130" s="165"/>
    </row>
    <row r="131" spans="2:23" x14ac:dyDescent="0.2">
      <c r="B131" s="164"/>
      <c r="C131" s="164"/>
      <c r="D131" s="165"/>
      <c r="E131" s="165"/>
      <c r="F131" s="165"/>
      <c r="G131" s="165"/>
      <c r="H131" s="165"/>
      <c r="I131" s="165"/>
      <c r="J131" s="165"/>
      <c r="K131" s="165"/>
      <c r="L131" s="165"/>
      <c r="M131" s="165"/>
      <c r="N131" s="165"/>
      <c r="O131" s="165"/>
      <c r="P131" s="165"/>
      <c r="Q131" s="165"/>
      <c r="R131" s="165"/>
      <c r="S131" s="165"/>
      <c r="T131" s="165"/>
      <c r="U131" s="165"/>
      <c r="V131" s="165"/>
      <c r="W131" s="165"/>
    </row>
    <row r="132" spans="2:23" x14ac:dyDescent="0.2">
      <c r="B132" s="164"/>
      <c r="C132" s="164"/>
      <c r="D132" s="165"/>
      <c r="E132" s="165"/>
      <c r="F132" s="165"/>
      <c r="G132" s="165"/>
      <c r="H132" s="165"/>
      <c r="I132" s="165"/>
      <c r="J132" s="165"/>
      <c r="K132" s="165"/>
      <c r="L132" s="165"/>
      <c r="M132" s="165"/>
      <c r="N132" s="165"/>
      <c r="O132" s="165"/>
      <c r="P132" s="165"/>
      <c r="Q132" s="165"/>
      <c r="R132" s="165"/>
      <c r="S132" s="165"/>
      <c r="T132" s="165"/>
      <c r="U132" s="165"/>
      <c r="V132" s="165"/>
      <c r="W132" s="165"/>
    </row>
    <row r="133" spans="2:23" x14ac:dyDescent="0.2">
      <c r="B133" s="164"/>
      <c r="C133" s="164"/>
      <c r="D133" s="165"/>
      <c r="E133" s="165"/>
      <c r="F133" s="165"/>
      <c r="G133" s="165"/>
      <c r="H133" s="165"/>
      <c r="I133" s="165"/>
      <c r="J133" s="165"/>
      <c r="K133" s="165"/>
      <c r="L133" s="165"/>
      <c r="M133" s="165"/>
      <c r="N133" s="165"/>
      <c r="O133" s="165"/>
      <c r="P133" s="165"/>
      <c r="Q133" s="165"/>
      <c r="R133" s="165"/>
      <c r="S133" s="165"/>
      <c r="T133" s="165"/>
      <c r="U133" s="165"/>
      <c r="V133" s="165"/>
      <c r="W133" s="165"/>
    </row>
    <row r="134" spans="2:23" x14ac:dyDescent="0.2">
      <c r="B134" s="164"/>
      <c r="C134" s="164"/>
      <c r="D134" s="165"/>
      <c r="E134" s="165"/>
      <c r="F134" s="165"/>
      <c r="G134" s="165"/>
      <c r="H134" s="165"/>
      <c r="I134" s="165"/>
      <c r="J134" s="165"/>
      <c r="K134" s="165"/>
      <c r="L134" s="165"/>
      <c r="M134" s="165"/>
      <c r="N134" s="165"/>
      <c r="O134" s="165"/>
      <c r="P134" s="165"/>
      <c r="Q134" s="165"/>
      <c r="R134" s="165"/>
      <c r="S134" s="165"/>
      <c r="T134" s="165"/>
      <c r="U134" s="165"/>
      <c r="V134" s="165"/>
      <c r="W134" s="165"/>
    </row>
    <row r="135" spans="2:23" x14ac:dyDescent="0.2">
      <c r="B135" s="164"/>
      <c r="C135" s="164"/>
      <c r="D135" s="165"/>
      <c r="E135" s="165"/>
      <c r="F135" s="165"/>
      <c r="G135" s="165"/>
      <c r="H135" s="165"/>
      <c r="I135" s="165"/>
      <c r="J135" s="165"/>
      <c r="K135" s="165"/>
      <c r="L135" s="165"/>
      <c r="M135" s="165"/>
      <c r="N135" s="165"/>
      <c r="O135" s="165"/>
      <c r="P135" s="165"/>
      <c r="Q135" s="165"/>
      <c r="R135" s="165"/>
      <c r="S135" s="165"/>
      <c r="T135" s="165"/>
      <c r="U135" s="165"/>
      <c r="V135" s="165"/>
      <c r="W135" s="165"/>
    </row>
    <row r="136" spans="2:23" x14ac:dyDescent="0.2">
      <c r="B136" s="164"/>
      <c r="C136" s="164"/>
      <c r="D136" s="165"/>
      <c r="E136" s="165"/>
      <c r="F136" s="165"/>
      <c r="G136" s="165"/>
      <c r="H136" s="165"/>
      <c r="I136" s="165"/>
      <c r="J136" s="165"/>
      <c r="K136" s="165"/>
      <c r="L136" s="165"/>
      <c r="M136" s="165"/>
      <c r="N136" s="165"/>
      <c r="O136" s="165"/>
      <c r="P136" s="165"/>
      <c r="Q136" s="165"/>
      <c r="R136" s="165"/>
      <c r="S136" s="165"/>
      <c r="T136" s="165"/>
      <c r="U136" s="165"/>
      <c r="V136" s="165"/>
      <c r="W136" s="165"/>
    </row>
    <row r="137" spans="2:23" x14ac:dyDescent="0.2">
      <c r="B137" s="164"/>
      <c r="C137" s="164"/>
      <c r="D137" s="165"/>
      <c r="E137" s="165"/>
      <c r="F137" s="165"/>
      <c r="G137" s="165"/>
      <c r="H137" s="165"/>
      <c r="I137" s="165"/>
      <c r="J137" s="165"/>
      <c r="K137" s="165"/>
      <c r="L137" s="165"/>
      <c r="M137" s="165"/>
      <c r="N137" s="165"/>
      <c r="O137" s="165"/>
      <c r="P137" s="165"/>
      <c r="Q137" s="165"/>
      <c r="R137" s="165"/>
      <c r="S137" s="165"/>
      <c r="T137" s="165"/>
      <c r="U137" s="165"/>
      <c r="V137" s="165"/>
      <c r="W137" s="165"/>
    </row>
    <row r="138" spans="2:23" x14ac:dyDescent="0.2">
      <c r="B138" s="164"/>
      <c r="C138" s="164"/>
      <c r="D138" s="165"/>
      <c r="E138" s="165"/>
      <c r="F138" s="165"/>
      <c r="G138" s="165"/>
      <c r="H138" s="165"/>
      <c r="I138" s="165"/>
      <c r="J138" s="165"/>
      <c r="K138" s="165"/>
      <c r="L138" s="165"/>
      <c r="M138" s="165"/>
      <c r="N138" s="165"/>
      <c r="O138" s="165"/>
      <c r="P138" s="165"/>
      <c r="Q138" s="165"/>
      <c r="R138" s="165"/>
      <c r="S138" s="165"/>
      <c r="T138" s="165"/>
      <c r="U138" s="165"/>
      <c r="V138" s="165"/>
      <c r="W138" s="165"/>
    </row>
    <row r="139" spans="2:23" x14ac:dyDescent="0.2">
      <c r="B139" s="164"/>
      <c r="C139" s="164"/>
      <c r="D139" s="165"/>
      <c r="E139" s="165"/>
      <c r="F139" s="165"/>
      <c r="G139" s="165"/>
      <c r="H139" s="165"/>
      <c r="I139" s="165"/>
      <c r="J139" s="165"/>
      <c r="K139" s="165"/>
      <c r="L139" s="165"/>
      <c r="M139" s="165"/>
      <c r="N139" s="165"/>
      <c r="O139" s="165"/>
      <c r="P139" s="165"/>
      <c r="Q139" s="165"/>
      <c r="R139" s="165"/>
      <c r="S139" s="165"/>
      <c r="T139" s="165"/>
      <c r="U139" s="165"/>
      <c r="V139" s="165"/>
      <c r="W139" s="165"/>
    </row>
    <row r="140" spans="2:23" x14ac:dyDescent="0.2">
      <c r="B140" s="164"/>
      <c r="C140" s="164"/>
      <c r="D140" s="165"/>
      <c r="E140" s="165"/>
      <c r="F140" s="165"/>
      <c r="G140" s="165"/>
      <c r="H140" s="165"/>
      <c r="I140" s="165"/>
      <c r="J140" s="165"/>
      <c r="K140" s="165"/>
      <c r="L140" s="165"/>
      <c r="M140" s="165"/>
      <c r="N140" s="165"/>
      <c r="O140" s="165"/>
      <c r="P140" s="165"/>
      <c r="Q140" s="165"/>
      <c r="R140" s="165"/>
      <c r="S140" s="165"/>
      <c r="T140" s="165"/>
      <c r="U140" s="165"/>
      <c r="V140" s="165"/>
      <c r="W140" s="165"/>
    </row>
    <row r="141" spans="2:23" x14ac:dyDescent="0.2">
      <c r="B141" s="164"/>
      <c r="C141" s="164"/>
      <c r="D141" s="165"/>
      <c r="E141" s="165"/>
      <c r="F141" s="165"/>
      <c r="G141" s="165"/>
      <c r="H141" s="165"/>
      <c r="I141" s="165"/>
      <c r="J141" s="165"/>
      <c r="K141" s="165"/>
      <c r="L141" s="165"/>
      <c r="M141" s="165"/>
      <c r="N141" s="165"/>
      <c r="O141" s="165"/>
      <c r="P141" s="165"/>
      <c r="Q141" s="165"/>
      <c r="R141" s="165"/>
      <c r="S141" s="165"/>
      <c r="T141" s="165"/>
      <c r="U141" s="165"/>
      <c r="V141" s="165"/>
      <c r="W141" s="165"/>
    </row>
    <row r="142" spans="2:23" x14ac:dyDescent="0.2">
      <c r="B142" s="164"/>
      <c r="C142" s="164"/>
      <c r="D142" s="165"/>
      <c r="E142" s="165"/>
      <c r="F142" s="165"/>
      <c r="G142" s="165"/>
      <c r="H142" s="165"/>
      <c r="I142" s="165"/>
      <c r="J142" s="165"/>
      <c r="K142" s="165"/>
      <c r="L142" s="165"/>
      <c r="M142" s="165"/>
      <c r="N142" s="165"/>
      <c r="O142" s="165"/>
      <c r="P142" s="165"/>
      <c r="Q142" s="165"/>
      <c r="R142" s="165"/>
      <c r="S142" s="165"/>
      <c r="T142" s="165"/>
      <c r="U142" s="165"/>
      <c r="V142" s="165"/>
      <c r="W142" s="165"/>
    </row>
    <row r="143" spans="2:23" x14ac:dyDescent="0.2">
      <c r="B143" s="164"/>
      <c r="C143" s="164"/>
      <c r="D143" s="165"/>
      <c r="E143" s="165"/>
      <c r="F143" s="165"/>
      <c r="G143" s="165"/>
      <c r="H143" s="165"/>
      <c r="I143" s="165"/>
      <c r="J143" s="165"/>
      <c r="K143" s="165"/>
      <c r="L143" s="165"/>
      <c r="M143" s="165"/>
      <c r="N143" s="165"/>
      <c r="O143" s="165"/>
      <c r="P143" s="165"/>
      <c r="Q143" s="165"/>
      <c r="R143" s="165"/>
      <c r="S143" s="165"/>
      <c r="T143" s="165"/>
      <c r="U143" s="165"/>
      <c r="V143" s="165"/>
      <c r="W143" s="165"/>
    </row>
    <row r="144" spans="2:23" x14ac:dyDescent="0.2">
      <c r="B144" s="164"/>
      <c r="C144" s="164"/>
      <c r="D144" s="165"/>
      <c r="E144" s="165"/>
      <c r="F144" s="165"/>
      <c r="G144" s="165"/>
      <c r="H144" s="165"/>
      <c r="I144" s="165"/>
      <c r="J144" s="165"/>
      <c r="K144" s="165"/>
      <c r="L144" s="165"/>
      <c r="M144" s="165"/>
      <c r="N144" s="165"/>
      <c r="O144" s="165"/>
      <c r="P144" s="165"/>
      <c r="Q144" s="165"/>
      <c r="R144" s="165"/>
      <c r="S144" s="165"/>
      <c r="T144" s="165"/>
      <c r="U144" s="165"/>
      <c r="V144" s="165"/>
      <c r="W144" s="165"/>
    </row>
    <row r="145" spans="2:23" x14ac:dyDescent="0.2">
      <c r="B145" s="164"/>
      <c r="C145" s="164"/>
      <c r="D145" s="165"/>
      <c r="E145" s="165"/>
      <c r="F145" s="165"/>
      <c r="G145" s="165"/>
      <c r="H145" s="165"/>
      <c r="I145" s="165"/>
      <c r="J145" s="165"/>
      <c r="K145" s="165"/>
      <c r="L145" s="165"/>
      <c r="M145" s="165"/>
      <c r="N145" s="165"/>
      <c r="O145" s="165"/>
      <c r="P145" s="165"/>
      <c r="Q145" s="165"/>
      <c r="R145" s="165"/>
      <c r="S145" s="165"/>
      <c r="T145" s="165"/>
      <c r="U145" s="165"/>
      <c r="V145" s="165"/>
      <c r="W145" s="165"/>
    </row>
    <row r="146" spans="2:23" x14ac:dyDescent="0.2">
      <c r="B146" s="164"/>
      <c r="C146" s="164"/>
      <c r="D146" s="165"/>
      <c r="E146" s="165"/>
      <c r="F146" s="165"/>
      <c r="G146" s="165"/>
      <c r="H146" s="165"/>
      <c r="I146" s="165"/>
      <c r="J146" s="165"/>
      <c r="K146" s="165"/>
      <c r="L146" s="165"/>
      <c r="M146" s="165"/>
      <c r="N146" s="165"/>
      <c r="O146" s="165"/>
      <c r="P146" s="165"/>
      <c r="Q146" s="165"/>
      <c r="R146" s="165"/>
      <c r="S146" s="165"/>
      <c r="T146" s="165"/>
      <c r="U146" s="165"/>
      <c r="V146" s="165"/>
      <c r="W146" s="165"/>
    </row>
    <row r="147" spans="2:23" x14ac:dyDescent="0.2">
      <c r="B147" s="164"/>
      <c r="C147" s="164"/>
      <c r="D147" s="165"/>
      <c r="E147" s="165"/>
      <c r="F147" s="165"/>
      <c r="G147" s="165"/>
      <c r="H147" s="165"/>
      <c r="I147" s="165"/>
      <c r="J147" s="165"/>
      <c r="K147" s="165"/>
      <c r="L147" s="165"/>
      <c r="M147" s="165"/>
      <c r="N147" s="165"/>
      <c r="O147" s="165"/>
      <c r="P147" s="165"/>
      <c r="Q147" s="165"/>
      <c r="R147" s="165"/>
      <c r="S147" s="165"/>
      <c r="T147" s="165"/>
      <c r="U147" s="165"/>
      <c r="V147" s="165"/>
      <c r="W147" s="165"/>
    </row>
    <row r="148" spans="2:23" x14ac:dyDescent="0.2">
      <c r="B148" s="164"/>
      <c r="C148" s="164"/>
      <c r="D148" s="165"/>
      <c r="E148" s="165"/>
      <c r="F148" s="165"/>
      <c r="G148" s="165"/>
      <c r="H148" s="165"/>
      <c r="I148" s="165"/>
      <c r="J148" s="165"/>
      <c r="K148" s="165"/>
      <c r="L148" s="165"/>
      <c r="M148" s="165"/>
      <c r="N148" s="165"/>
      <c r="O148" s="165"/>
      <c r="P148" s="165"/>
      <c r="Q148" s="165"/>
      <c r="R148" s="165"/>
      <c r="S148" s="165"/>
      <c r="T148" s="165"/>
      <c r="U148" s="165"/>
      <c r="V148" s="165"/>
      <c r="W148" s="165"/>
    </row>
    <row r="149" spans="2:23" x14ac:dyDescent="0.2">
      <c r="B149" s="164"/>
      <c r="C149" s="164"/>
      <c r="D149" s="165"/>
      <c r="E149" s="165"/>
      <c r="F149" s="165"/>
      <c r="G149" s="165"/>
      <c r="H149" s="165"/>
      <c r="I149" s="165"/>
      <c r="J149" s="165"/>
      <c r="K149" s="165"/>
      <c r="L149" s="165"/>
      <c r="M149" s="165"/>
      <c r="N149" s="165"/>
      <c r="O149" s="165"/>
      <c r="P149" s="165"/>
      <c r="Q149" s="165"/>
      <c r="R149" s="165"/>
      <c r="S149" s="165"/>
      <c r="T149" s="165"/>
      <c r="U149" s="165"/>
      <c r="V149" s="165"/>
      <c r="W149" s="165"/>
    </row>
    <row r="150" spans="2:23" x14ac:dyDescent="0.2">
      <c r="B150" s="164"/>
      <c r="C150" s="164"/>
      <c r="D150" s="165"/>
      <c r="E150" s="165"/>
      <c r="F150" s="165"/>
      <c r="G150" s="165"/>
      <c r="H150" s="165"/>
      <c r="I150" s="165"/>
      <c r="J150" s="165"/>
      <c r="K150" s="165"/>
      <c r="L150" s="165"/>
      <c r="M150" s="165"/>
      <c r="N150" s="165"/>
      <c r="O150" s="165"/>
      <c r="P150" s="165"/>
      <c r="Q150" s="165"/>
      <c r="R150" s="165"/>
      <c r="S150" s="165"/>
      <c r="T150" s="165"/>
      <c r="U150" s="165"/>
      <c r="V150" s="165"/>
      <c r="W150" s="165"/>
    </row>
    <row r="151" spans="2:23" x14ac:dyDescent="0.2">
      <c r="B151" s="164"/>
      <c r="C151" s="164"/>
      <c r="D151" s="165"/>
      <c r="E151" s="165"/>
      <c r="F151" s="165"/>
      <c r="G151" s="165"/>
      <c r="H151" s="165"/>
      <c r="I151" s="165"/>
      <c r="J151" s="165"/>
      <c r="K151" s="165"/>
      <c r="L151" s="165"/>
      <c r="M151" s="165"/>
      <c r="N151" s="165"/>
      <c r="O151" s="165"/>
      <c r="P151" s="165"/>
      <c r="Q151" s="165"/>
      <c r="R151" s="165"/>
      <c r="S151" s="165"/>
      <c r="T151" s="165"/>
      <c r="U151" s="165"/>
      <c r="V151" s="165"/>
      <c r="W151" s="165"/>
    </row>
    <row r="152" spans="2:23" x14ac:dyDescent="0.2">
      <c r="B152" s="164"/>
      <c r="C152" s="164"/>
      <c r="D152" s="165"/>
      <c r="E152" s="165"/>
      <c r="F152" s="165"/>
      <c r="G152" s="165"/>
      <c r="H152" s="165"/>
      <c r="I152" s="165"/>
      <c r="J152" s="165"/>
      <c r="K152" s="165"/>
      <c r="L152" s="165"/>
      <c r="M152" s="165"/>
      <c r="N152" s="165"/>
      <c r="O152" s="165"/>
      <c r="P152" s="165"/>
      <c r="Q152" s="165"/>
      <c r="R152" s="165"/>
      <c r="S152" s="165"/>
      <c r="T152" s="165"/>
      <c r="U152" s="165"/>
      <c r="V152" s="165"/>
      <c r="W152" s="165"/>
    </row>
    <row r="153" spans="2:23" x14ac:dyDescent="0.2">
      <c r="B153" s="164"/>
      <c r="C153" s="164"/>
      <c r="D153" s="165"/>
      <c r="E153" s="165"/>
      <c r="F153" s="165"/>
      <c r="G153" s="165"/>
      <c r="H153" s="165"/>
      <c r="I153" s="165"/>
      <c r="J153" s="165"/>
      <c r="K153" s="165"/>
      <c r="L153" s="165"/>
      <c r="M153" s="165"/>
      <c r="N153" s="165"/>
      <c r="O153" s="165"/>
      <c r="P153" s="165"/>
      <c r="Q153" s="165"/>
      <c r="R153" s="165"/>
      <c r="S153" s="165"/>
      <c r="T153" s="165"/>
      <c r="U153" s="165"/>
      <c r="V153" s="165"/>
      <c r="W153" s="165"/>
    </row>
    <row r="154" spans="2:23" x14ac:dyDescent="0.2">
      <c r="B154" s="164"/>
      <c r="C154" s="164"/>
      <c r="D154" s="165"/>
      <c r="E154" s="165"/>
      <c r="F154" s="165"/>
      <c r="G154" s="165"/>
      <c r="H154" s="165"/>
      <c r="I154" s="165"/>
      <c r="J154" s="165"/>
      <c r="K154" s="165"/>
      <c r="L154" s="165"/>
      <c r="M154" s="165"/>
      <c r="N154" s="165"/>
      <c r="O154" s="165"/>
      <c r="P154" s="165"/>
      <c r="Q154" s="165"/>
      <c r="R154" s="165"/>
      <c r="S154" s="165"/>
      <c r="T154" s="165"/>
      <c r="U154" s="165"/>
      <c r="V154" s="165"/>
      <c r="W154" s="165"/>
    </row>
    <row r="155" spans="2:23" x14ac:dyDescent="0.2">
      <c r="B155" s="164"/>
      <c r="C155" s="164"/>
      <c r="D155" s="165"/>
      <c r="E155" s="165"/>
      <c r="F155" s="165"/>
      <c r="G155" s="165"/>
      <c r="H155" s="165"/>
      <c r="I155" s="165"/>
      <c r="J155" s="165"/>
      <c r="K155" s="165"/>
      <c r="L155" s="165"/>
      <c r="M155" s="165"/>
      <c r="N155" s="165"/>
      <c r="O155" s="165"/>
      <c r="P155" s="165"/>
      <c r="Q155" s="165"/>
      <c r="R155" s="165"/>
      <c r="S155" s="165"/>
      <c r="T155" s="165"/>
      <c r="U155" s="165"/>
      <c r="V155" s="165"/>
      <c r="W155" s="165"/>
    </row>
    <row r="156" spans="2:23" x14ac:dyDescent="0.2">
      <c r="B156" s="164"/>
      <c r="C156" s="164"/>
      <c r="D156" s="165"/>
      <c r="E156" s="165"/>
      <c r="F156" s="165"/>
      <c r="G156" s="165"/>
      <c r="H156" s="165"/>
      <c r="I156" s="165"/>
      <c r="J156" s="165"/>
      <c r="K156" s="165"/>
      <c r="L156" s="165"/>
      <c r="M156" s="165"/>
      <c r="N156" s="165"/>
      <c r="O156" s="165"/>
      <c r="P156" s="165"/>
      <c r="Q156" s="165"/>
      <c r="R156" s="165"/>
      <c r="S156" s="165"/>
      <c r="T156" s="165"/>
      <c r="U156" s="165"/>
      <c r="V156" s="165"/>
      <c r="W156" s="165"/>
    </row>
    <row r="157" spans="2:23" x14ac:dyDescent="0.2">
      <c r="B157" s="164"/>
      <c r="C157" s="164"/>
      <c r="D157" s="165"/>
      <c r="E157" s="165"/>
      <c r="F157" s="165"/>
      <c r="G157" s="165"/>
      <c r="H157" s="165"/>
      <c r="I157" s="165"/>
      <c r="J157" s="165"/>
      <c r="K157" s="165"/>
      <c r="L157" s="165"/>
      <c r="M157" s="165"/>
      <c r="N157" s="165"/>
      <c r="O157" s="165"/>
      <c r="P157" s="165"/>
      <c r="Q157" s="165"/>
      <c r="R157" s="165"/>
      <c r="S157" s="165"/>
      <c r="T157" s="165"/>
      <c r="U157" s="165"/>
      <c r="V157" s="165"/>
      <c r="W157" s="165"/>
    </row>
    <row r="158" spans="2:23" x14ac:dyDescent="0.2">
      <c r="B158" s="164"/>
      <c r="C158" s="164"/>
      <c r="D158" s="165"/>
      <c r="E158" s="165"/>
      <c r="F158" s="165"/>
      <c r="G158" s="165"/>
      <c r="H158" s="165"/>
      <c r="I158" s="165"/>
      <c r="J158" s="165"/>
      <c r="K158" s="165"/>
      <c r="L158" s="165"/>
      <c r="M158" s="165"/>
      <c r="N158" s="165"/>
      <c r="O158" s="165"/>
      <c r="P158" s="165"/>
      <c r="Q158" s="165"/>
      <c r="R158" s="165"/>
      <c r="S158" s="165"/>
      <c r="T158" s="165"/>
      <c r="U158" s="165"/>
      <c r="V158" s="165"/>
      <c r="W158" s="165"/>
    </row>
    <row r="159" spans="2:23" x14ac:dyDescent="0.2">
      <c r="B159" s="164"/>
      <c r="C159" s="164"/>
      <c r="D159" s="165"/>
      <c r="E159" s="165"/>
      <c r="F159" s="165"/>
      <c r="G159" s="165"/>
      <c r="H159" s="165"/>
      <c r="I159" s="165"/>
      <c r="J159" s="165"/>
      <c r="K159" s="165"/>
      <c r="L159" s="165"/>
      <c r="M159" s="165"/>
      <c r="N159" s="165"/>
      <c r="O159" s="165"/>
      <c r="P159" s="165"/>
      <c r="Q159" s="165"/>
      <c r="R159" s="165"/>
      <c r="S159" s="165"/>
      <c r="T159" s="165"/>
      <c r="U159" s="165"/>
      <c r="V159" s="165"/>
      <c r="W159" s="165"/>
    </row>
    <row r="160" spans="2:23" x14ac:dyDescent="0.2">
      <c r="B160" s="164"/>
      <c r="C160" s="164"/>
      <c r="D160" s="165"/>
      <c r="E160" s="165"/>
      <c r="F160" s="165"/>
      <c r="G160" s="165"/>
      <c r="H160" s="165"/>
      <c r="I160" s="165"/>
      <c r="J160" s="165"/>
      <c r="K160" s="165"/>
      <c r="L160" s="165"/>
      <c r="M160" s="165"/>
      <c r="N160" s="165"/>
      <c r="O160" s="165"/>
      <c r="P160" s="165"/>
      <c r="Q160" s="165"/>
      <c r="R160" s="165"/>
      <c r="S160" s="165"/>
      <c r="T160" s="165"/>
      <c r="U160" s="165"/>
      <c r="V160" s="165"/>
      <c r="W160" s="165"/>
    </row>
    <row r="161" spans="2:23" x14ac:dyDescent="0.2">
      <c r="B161" s="164"/>
      <c r="C161" s="164"/>
      <c r="D161" s="165"/>
      <c r="E161" s="165"/>
      <c r="F161" s="165"/>
      <c r="G161" s="165"/>
      <c r="H161" s="165"/>
      <c r="I161" s="165"/>
      <c r="J161" s="165"/>
      <c r="K161" s="165"/>
      <c r="L161" s="165"/>
      <c r="M161" s="165"/>
      <c r="N161" s="165"/>
      <c r="O161" s="165"/>
      <c r="P161" s="165"/>
      <c r="Q161" s="165"/>
      <c r="R161" s="165"/>
      <c r="S161" s="165"/>
      <c r="T161" s="165"/>
      <c r="U161" s="165"/>
      <c r="V161" s="165"/>
      <c r="W161" s="165"/>
    </row>
    <row r="162" spans="2:23" x14ac:dyDescent="0.2">
      <c r="B162" s="164"/>
      <c r="C162" s="164"/>
      <c r="D162" s="165"/>
      <c r="E162" s="165"/>
      <c r="F162" s="165"/>
      <c r="G162" s="165"/>
      <c r="H162" s="165"/>
      <c r="I162" s="165"/>
      <c r="J162" s="165"/>
      <c r="K162" s="165"/>
      <c r="L162" s="165"/>
      <c r="M162" s="165"/>
      <c r="N162" s="165"/>
      <c r="O162" s="165"/>
      <c r="P162" s="165"/>
      <c r="Q162" s="165"/>
      <c r="R162" s="165"/>
      <c r="S162" s="165"/>
      <c r="T162" s="165"/>
      <c r="U162" s="165"/>
      <c r="V162" s="165"/>
      <c r="W162" s="165"/>
    </row>
    <row r="163" spans="2:23" x14ac:dyDescent="0.2">
      <c r="B163" s="164"/>
      <c r="C163" s="164"/>
      <c r="D163" s="165"/>
      <c r="E163" s="165"/>
      <c r="F163" s="165"/>
      <c r="G163" s="165"/>
      <c r="H163" s="165"/>
      <c r="I163" s="165"/>
      <c r="J163" s="165"/>
      <c r="K163" s="165"/>
      <c r="L163" s="165"/>
      <c r="M163" s="165"/>
      <c r="N163" s="165"/>
      <c r="O163" s="165"/>
      <c r="P163" s="165"/>
      <c r="Q163" s="165"/>
      <c r="R163" s="165"/>
      <c r="S163" s="165"/>
      <c r="T163" s="165"/>
      <c r="U163" s="165"/>
      <c r="V163" s="165"/>
      <c r="W163" s="165"/>
    </row>
    <row r="164" spans="2:23" x14ac:dyDescent="0.2">
      <c r="B164" s="164"/>
      <c r="C164" s="164"/>
      <c r="D164" s="165"/>
      <c r="E164" s="165"/>
      <c r="F164" s="165"/>
      <c r="G164" s="165"/>
      <c r="H164" s="165"/>
      <c r="I164" s="165"/>
      <c r="J164" s="165"/>
      <c r="K164" s="165"/>
      <c r="L164" s="165"/>
      <c r="M164" s="165"/>
      <c r="N164" s="165"/>
      <c r="O164" s="165"/>
      <c r="P164" s="165"/>
      <c r="Q164" s="165"/>
      <c r="R164" s="165"/>
      <c r="S164" s="165"/>
      <c r="T164" s="165"/>
      <c r="U164" s="165"/>
      <c r="V164" s="165"/>
      <c r="W164" s="165"/>
    </row>
    <row r="165" spans="2:23" x14ac:dyDescent="0.2">
      <c r="B165" s="164"/>
      <c r="C165" s="164"/>
      <c r="D165" s="165"/>
      <c r="E165" s="165"/>
      <c r="F165" s="165"/>
      <c r="G165" s="165"/>
      <c r="H165" s="165"/>
      <c r="I165" s="165"/>
      <c r="J165" s="165"/>
      <c r="K165" s="165"/>
      <c r="L165" s="165"/>
      <c r="M165" s="165"/>
      <c r="N165" s="165"/>
      <c r="O165" s="165"/>
      <c r="P165" s="165"/>
      <c r="Q165" s="165"/>
      <c r="R165" s="165"/>
      <c r="S165" s="165"/>
      <c r="T165" s="165"/>
      <c r="U165" s="165"/>
      <c r="V165" s="165"/>
      <c r="W165" s="165"/>
    </row>
    <row r="166" spans="2:23" x14ac:dyDescent="0.2">
      <c r="B166" s="164"/>
      <c r="C166" s="164"/>
      <c r="D166" s="165"/>
      <c r="E166" s="165"/>
      <c r="F166" s="165"/>
      <c r="G166" s="165"/>
      <c r="H166" s="165"/>
      <c r="I166" s="165"/>
      <c r="J166" s="165"/>
      <c r="K166" s="165"/>
      <c r="L166" s="165"/>
      <c r="M166" s="165"/>
      <c r="N166" s="165"/>
      <c r="O166" s="165"/>
      <c r="P166" s="165"/>
      <c r="Q166" s="165"/>
      <c r="R166" s="165"/>
      <c r="S166" s="165"/>
      <c r="T166" s="165"/>
      <c r="U166" s="165"/>
      <c r="V166" s="165"/>
      <c r="W166" s="165"/>
    </row>
    <row r="167" spans="2:23" x14ac:dyDescent="0.2">
      <c r="B167" s="164"/>
      <c r="C167" s="164"/>
      <c r="D167" s="165"/>
      <c r="E167" s="165"/>
      <c r="F167" s="165"/>
      <c r="G167" s="165"/>
      <c r="H167" s="165"/>
      <c r="I167" s="165"/>
      <c r="J167" s="165"/>
      <c r="K167" s="165"/>
      <c r="L167" s="165"/>
      <c r="M167" s="165"/>
      <c r="N167" s="165"/>
      <c r="O167" s="165"/>
      <c r="P167" s="165"/>
      <c r="Q167" s="165"/>
      <c r="R167" s="165"/>
      <c r="S167" s="165"/>
      <c r="T167" s="165"/>
      <c r="U167" s="165"/>
      <c r="V167" s="165"/>
      <c r="W167" s="165"/>
    </row>
    <row r="168" spans="2:23" x14ac:dyDescent="0.2">
      <c r="B168" s="164"/>
      <c r="C168" s="164"/>
      <c r="D168" s="165"/>
      <c r="E168" s="165"/>
      <c r="F168" s="165"/>
      <c r="G168" s="165"/>
      <c r="H168" s="165"/>
      <c r="I168" s="165"/>
      <c r="J168" s="165"/>
      <c r="K168" s="165"/>
      <c r="L168" s="165"/>
      <c r="M168" s="165"/>
      <c r="N168" s="165"/>
      <c r="O168" s="165"/>
      <c r="P168" s="165"/>
      <c r="Q168" s="165"/>
      <c r="R168" s="165"/>
      <c r="S168" s="165"/>
      <c r="T168" s="165"/>
      <c r="U168" s="165"/>
      <c r="V168" s="165"/>
      <c r="W168" s="165"/>
    </row>
    <row r="169" spans="2:23" x14ac:dyDescent="0.2">
      <c r="B169" s="164"/>
      <c r="C169" s="164"/>
      <c r="D169" s="165"/>
      <c r="E169" s="165"/>
      <c r="F169" s="165"/>
      <c r="G169" s="165"/>
      <c r="H169" s="165"/>
      <c r="I169" s="165"/>
      <c r="J169" s="165"/>
      <c r="K169" s="165"/>
      <c r="L169" s="165"/>
      <c r="M169" s="165"/>
      <c r="N169" s="165"/>
      <c r="O169" s="165"/>
      <c r="P169" s="165"/>
      <c r="Q169" s="165"/>
      <c r="R169" s="165"/>
      <c r="S169" s="165"/>
      <c r="T169" s="165"/>
      <c r="U169" s="165"/>
      <c r="V169" s="165"/>
      <c r="W169" s="165"/>
    </row>
    <row r="170" spans="2:23" x14ac:dyDescent="0.2">
      <c r="B170" s="164"/>
      <c r="C170" s="164"/>
      <c r="D170" s="165"/>
      <c r="E170" s="165"/>
      <c r="F170" s="165"/>
      <c r="G170" s="165"/>
      <c r="H170" s="165"/>
      <c r="I170" s="165"/>
      <c r="J170" s="165"/>
      <c r="K170" s="165"/>
      <c r="L170" s="165"/>
      <c r="M170" s="165"/>
      <c r="N170" s="165"/>
      <c r="O170" s="165"/>
      <c r="P170" s="165"/>
      <c r="Q170" s="165"/>
      <c r="R170" s="165"/>
      <c r="S170" s="165"/>
      <c r="T170" s="165"/>
      <c r="U170" s="165"/>
      <c r="V170" s="165"/>
      <c r="W170" s="165"/>
    </row>
    <row r="171" spans="2:23" x14ac:dyDescent="0.2">
      <c r="B171" s="164"/>
      <c r="C171" s="164"/>
      <c r="D171" s="165"/>
      <c r="E171" s="165"/>
      <c r="F171" s="165"/>
      <c r="G171" s="165"/>
      <c r="H171" s="165"/>
      <c r="I171" s="165"/>
      <c r="J171" s="165"/>
      <c r="K171" s="165"/>
      <c r="L171" s="165"/>
      <c r="M171" s="165"/>
      <c r="N171" s="165"/>
      <c r="O171" s="165"/>
      <c r="P171" s="165"/>
      <c r="Q171" s="165"/>
      <c r="R171" s="165"/>
      <c r="S171" s="165"/>
      <c r="T171" s="165"/>
      <c r="U171" s="165"/>
      <c r="V171" s="165"/>
      <c r="W171" s="165"/>
    </row>
    <row r="172" spans="2:23" x14ac:dyDescent="0.2">
      <c r="B172" s="164"/>
      <c r="C172" s="164"/>
      <c r="D172" s="165"/>
      <c r="E172" s="165"/>
      <c r="F172" s="165"/>
      <c r="G172" s="165"/>
      <c r="H172" s="165"/>
      <c r="I172" s="165"/>
      <c r="J172" s="165"/>
      <c r="K172" s="165"/>
      <c r="L172" s="165"/>
      <c r="M172" s="165"/>
      <c r="N172" s="165"/>
      <c r="O172" s="165"/>
      <c r="P172" s="165"/>
      <c r="Q172" s="165"/>
      <c r="R172" s="165"/>
      <c r="S172" s="165"/>
      <c r="T172" s="165"/>
      <c r="U172" s="165"/>
      <c r="V172" s="165"/>
      <c r="W172" s="165"/>
    </row>
    <row r="173" spans="2:23" x14ac:dyDescent="0.2">
      <c r="B173" s="164"/>
      <c r="C173" s="164"/>
      <c r="D173" s="165"/>
      <c r="E173" s="165"/>
      <c r="F173" s="165"/>
      <c r="G173" s="165"/>
      <c r="H173" s="165"/>
      <c r="I173" s="165"/>
      <c r="J173" s="165"/>
      <c r="K173" s="165"/>
      <c r="L173" s="165"/>
      <c r="M173" s="165"/>
      <c r="N173" s="165"/>
      <c r="O173" s="165"/>
      <c r="P173" s="165"/>
      <c r="Q173" s="165"/>
      <c r="R173" s="165"/>
      <c r="S173" s="165"/>
      <c r="T173" s="165"/>
      <c r="U173" s="165"/>
      <c r="V173" s="165"/>
      <c r="W173" s="165"/>
    </row>
    <row r="174" spans="2:23" x14ac:dyDescent="0.2">
      <c r="B174" s="164"/>
      <c r="C174" s="164"/>
      <c r="D174" s="165"/>
      <c r="E174" s="165"/>
      <c r="F174" s="165"/>
      <c r="G174" s="165"/>
      <c r="H174" s="165"/>
      <c r="I174" s="165"/>
      <c r="J174" s="165"/>
      <c r="K174" s="165"/>
      <c r="L174" s="165"/>
      <c r="M174" s="165"/>
      <c r="N174" s="165"/>
      <c r="O174" s="165"/>
      <c r="P174" s="165"/>
      <c r="Q174" s="165"/>
      <c r="R174" s="165"/>
      <c r="S174" s="165"/>
      <c r="T174" s="165"/>
      <c r="U174" s="165"/>
      <c r="V174" s="165"/>
      <c r="W174" s="165"/>
    </row>
    <row r="175" spans="2:23" x14ac:dyDescent="0.2">
      <c r="B175" s="164"/>
      <c r="C175" s="164"/>
      <c r="D175" s="165"/>
      <c r="E175" s="165"/>
      <c r="F175" s="165"/>
      <c r="G175" s="165"/>
      <c r="H175" s="165"/>
      <c r="I175" s="165"/>
      <c r="J175" s="165"/>
      <c r="K175" s="165"/>
      <c r="L175" s="165"/>
      <c r="M175" s="165"/>
      <c r="N175" s="165"/>
      <c r="O175" s="165"/>
      <c r="P175" s="165"/>
      <c r="Q175" s="165"/>
      <c r="R175" s="165"/>
      <c r="S175" s="165"/>
      <c r="T175" s="165"/>
      <c r="U175" s="165"/>
      <c r="V175" s="165"/>
      <c r="W175" s="165"/>
    </row>
    <row r="176" spans="2:23" x14ac:dyDescent="0.2">
      <c r="B176" s="164"/>
      <c r="C176" s="164"/>
      <c r="D176" s="165"/>
      <c r="E176" s="165"/>
      <c r="F176" s="165"/>
      <c r="G176" s="165"/>
      <c r="H176" s="165"/>
      <c r="I176" s="165"/>
      <c r="J176" s="165"/>
      <c r="K176" s="165"/>
      <c r="L176" s="165"/>
      <c r="M176" s="165"/>
      <c r="N176" s="165"/>
      <c r="O176" s="165"/>
      <c r="P176" s="165"/>
      <c r="Q176" s="165"/>
      <c r="R176" s="165"/>
      <c r="S176" s="165"/>
      <c r="T176" s="165"/>
      <c r="U176" s="165"/>
      <c r="V176" s="165"/>
      <c r="W176" s="165"/>
    </row>
    <row r="177" spans="2:23" x14ac:dyDescent="0.2">
      <c r="B177" s="164"/>
      <c r="C177" s="164"/>
      <c r="D177" s="165"/>
      <c r="E177" s="165"/>
      <c r="F177" s="165"/>
      <c r="G177" s="165"/>
      <c r="H177" s="165"/>
      <c r="I177" s="165"/>
      <c r="J177" s="165"/>
      <c r="K177" s="165"/>
      <c r="L177" s="165"/>
      <c r="M177" s="165"/>
      <c r="N177" s="165"/>
      <c r="O177" s="165"/>
      <c r="P177" s="165"/>
      <c r="Q177" s="165"/>
      <c r="R177" s="165"/>
      <c r="S177" s="165"/>
      <c r="T177" s="165"/>
      <c r="U177" s="165"/>
      <c r="V177" s="165"/>
      <c r="W177" s="165"/>
    </row>
    <row r="178" spans="2:23" x14ac:dyDescent="0.2">
      <c r="B178" s="164"/>
      <c r="C178" s="164"/>
      <c r="D178" s="165"/>
      <c r="E178" s="165"/>
      <c r="F178" s="165"/>
      <c r="G178" s="165"/>
      <c r="H178" s="165"/>
      <c r="I178" s="165"/>
      <c r="J178" s="165"/>
      <c r="K178" s="165"/>
      <c r="L178" s="165"/>
      <c r="M178" s="165"/>
      <c r="N178" s="165"/>
      <c r="O178" s="165"/>
      <c r="P178" s="165"/>
      <c r="Q178" s="165"/>
      <c r="R178" s="165"/>
      <c r="S178" s="165"/>
      <c r="T178" s="165"/>
      <c r="U178" s="165"/>
      <c r="V178" s="165"/>
      <c r="W178" s="165"/>
    </row>
    <row r="179" spans="2:23" x14ac:dyDescent="0.2">
      <c r="B179" s="164"/>
      <c r="C179" s="164"/>
      <c r="D179" s="165"/>
      <c r="E179" s="165"/>
      <c r="F179" s="165"/>
      <c r="G179" s="165"/>
      <c r="H179" s="165"/>
      <c r="I179" s="165"/>
      <c r="J179" s="165"/>
      <c r="K179" s="165"/>
      <c r="L179" s="165"/>
      <c r="M179" s="165"/>
      <c r="N179" s="165"/>
      <c r="O179" s="165"/>
      <c r="P179" s="165"/>
      <c r="Q179" s="165"/>
      <c r="R179" s="165"/>
      <c r="S179" s="165"/>
      <c r="T179" s="165"/>
      <c r="U179" s="165"/>
      <c r="V179" s="165"/>
      <c r="W179" s="165"/>
    </row>
    <row r="180" spans="2:23" x14ac:dyDescent="0.2">
      <c r="B180" s="164"/>
      <c r="C180" s="164"/>
      <c r="D180" s="165"/>
      <c r="E180" s="165"/>
      <c r="F180" s="165"/>
      <c r="G180" s="165"/>
      <c r="H180" s="165"/>
      <c r="I180" s="165"/>
      <c r="J180" s="165"/>
      <c r="K180" s="165"/>
      <c r="L180" s="165"/>
      <c r="M180" s="165"/>
      <c r="N180" s="165"/>
      <c r="O180" s="165"/>
      <c r="P180" s="165"/>
      <c r="Q180" s="165"/>
      <c r="R180" s="165"/>
      <c r="S180" s="165"/>
      <c r="T180" s="165"/>
      <c r="U180" s="165"/>
      <c r="V180" s="165"/>
      <c r="W180" s="165"/>
    </row>
    <row r="181" spans="2:23" x14ac:dyDescent="0.2">
      <c r="B181" s="164"/>
      <c r="C181" s="164"/>
      <c r="D181" s="165"/>
      <c r="E181" s="165"/>
      <c r="F181" s="165"/>
      <c r="G181" s="165"/>
      <c r="H181" s="165"/>
      <c r="I181" s="165"/>
      <c r="J181" s="165"/>
      <c r="K181" s="165"/>
      <c r="L181" s="165"/>
      <c r="M181" s="165"/>
      <c r="N181" s="165"/>
      <c r="O181" s="165"/>
      <c r="P181" s="165"/>
      <c r="Q181" s="165"/>
      <c r="R181" s="165"/>
      <c r="S181" s="165"/>
      <c r="T181" s="165"/>
      <c r="U181" s="165"/>
      <c r="V181" s="165"/>
      <c r="W181" s="165"/>
    </row>
    <row r="182" spans="2:23" x14ac:dyDescent="0.2">
      <c r="B182" s="164"/>
      <c r="C182" s="164"/>
      <c r="D182" s="165"/>
      <c r="E182" s="165"/>
      <c r="F182" s="165"/>
      <c r="G182" s="165"/>
      <c r="H182" s="165"/>
      <c r="I182" s="165"/>
      <c r="J182" s="165"/>
      <c r="K182" s="165"/>
      <c r="L182" s="165"/>
      <c r="M182" s="165"/>
      <c r="N182" s="165"/>
      <c r="O182" s="165"/>
      <c r="P182" s="165"/>
      <c r="Q182" s="165"/>
      <c r="R182" s="165"/>
      <c r="S182" s="165"/>
      <c r="T182" s="165"/>
      <c r="U182" s="165"/>
      <c r="V182" s="165"/>
      <c r="W182" s="165"/>
    </row>
    <row r="183" spans="2:23" x14ac:dyDescent="0.2">
      <c r="B183" s="164"/>
      <c r="C183" s="164"/>
      <c r="D183" s="165"/>
      <c r="E183" s="165"/>
      <c r="F183" s="165"/>
      <c r="G183" s="165"/>
      <c r="H183" s="165"/>
      <c r="I183" s="165"/>
      <c r="J183" s="165"/>
      <c r="K183" s="165"/>
      <c r="L183" s="165"/>
      <c r="M183" s="165"/>
      <c r="N183" s="165"/>
      <c r="O183" s="165"/>
      <c r="P183" s="165"/>
      <c r="Q183" s="165"/>
      <c r="R183" s="165"/>
      <c r="S183" s="165"/>
      <c r="T183" s="165"/>
      <c r="U183" s="165"/>
      <c r="V183" s="165"/>
      <c r="W183" s="165"/>
    </row>
    <row r="184" spans="2:23" x14ac:dyDescent="0.2">
      <c r="B184" s="164"/>
      <c r="C184" s="164"/>
      <c r="D184" s="165"/>
      <c r="E184" s="165"/>
      <c r="F184" s="165"/>
      <c r="G184" s="165"/>
      <c r="H184" s="165"/>
      <c r="I184" s="165"/>
      <c r="J184" s="165"/>
      <c r="K184" s="165"/>
      <c r="L184" s="165"/>
      <c r="M184" s="165"/>
      <c r="N184" s="165"/>
      <c r="O184" s="165"/>
      <c r="P184" s="165"/>
      <c r="Q184" s="165"/>
      <c r="R184" s="165"/>
      <c r="S184" s="165"/>
      <c r="T184" s="165"/>
      <c r="U184" s="165"/>
      <c r="V184" s="165"/>
      <c r="W184" s="165"/>
    </row>
    <row r="185" spans="2:23" x14ac:dyDescent="0.2">
      <c r="B185" s="164"/>
      <c r="C185" s="164"/>
      <c r="D185" s="165"/>
      <c r="E185" s="165"/>
      <c r="F185" s="165"/>
      <c r="G185" s="165"/>
      <c r="H185" s="165"/>
      <c r="I185" s="165"/>
      <c r="J185" s="165"/>
      <c r="K185" s="165"/>
      <c r="L185" s="165"/>
      <c r="M185" s="165"/>
      <c r="N185" s="165"/>
      <c r="O185" s="165"/>
      <c r="P185" s="165"/>
      <c r="Q185" s="165"/>
      <c r="R185" s="165"/>
      <c r="S185" s="165"/>
      <c r="T185" s="165"/>
      <c r="U185" s="165"/>
      <c r="V185" s="165"/>
      <c r="W185" s="165"/>
    </row>
    <row r="186" spans="2:23" x14ac:dyDescent="0.2">
      <c r="B186" s="164"/>
      <c r="C186" s="164"/>
      <c r="D186" s="165"/>
      <c r="E186" s="165"/>
      <c r="F186" s="165"/>
      <c r="G186" s="165"/>
      <c r="H186" s="165"/>
      <c r="I186" s="165"/>
      <c r="J186" s="165"/>
      <c r="K186" s="165"/>
      <c r="L186" s="165"/>
      <c r="M186" s="165"/>
      <c r="N186" s="165"/>
      <c r="O186" s="165"/>
      <c r="P186" s="165"/>
      <c r="Q186" s="165"/>
      <c r="R186" s="165"/>
      <c r="S186" s="165"/>
      <c r="T186" s="165"/>
      <c r="U186" s="165"/>
      <c r="V186" s="165"/>
      <c r="W186" s="165"/>
    </row>
    <row r="187" spans="2:23" x14ac:dyDescent="0.2">
      <c r="B187" s="164"/>
      <c r="C187" s="164"/>
      <c r="D187" s="165"/>
      <c r="E187" s="165"/>
      <c r="F187" s="165"/>
      <c r="G187" s="165"/>
      <c r="H187" s="165"/>
      <c r="I187" s="165"/>
      <c r="J187" s="165"/>
      <c r="K187" s="165"/>
      <c r="L187" s="165"/>
      <c r="M187" s="165"/>
      <c r="N187" s="165"/>
      <c r="O187" s="165"/>
      <c r="P187" s="165"/>
      <c r="Q187" s="165"/>
      <c r="R187" s="165"/>
      <c r="S187" s="165"/>
      <c r="T187" s="165"/>
      <c r="U187" s="165"/>
      <c r="V187" s="165"/>
      <c r="W187" s="165"/>
    </row>
    <row r="188" spans="2:23" x14ac:dyDescent="0.2">
      <c r="B188" s="164"/>
      <c r="C188" s="164"/>
      <c r="D188" s="165"/>
      <c r="E188" s="165"/>
      <c r="F188" s="165"/>
      <c r="G188" s="165"/>
      <c r="H188" s="165"/>
      <c r="I188" s="165"/>
      <c r="J188" s="165"/>
      <c r="K188" s="165"/>
      <c r="L188" s="165"/>
      <c r="M188" s="165"/>
      <c r="N188" s="165"/>
      <c r="O188" s="165"/>
      <c r="P188" s="165"/>
      <c r="Q188" s="165"/>
      <c r="R188" s="165"/>
      <c r="S188" s="165"/>
      <c r="T188" s="165"/>
      <c r="U188" s="165"/>
      <c r="V188" s="165"/>
      <c r="W188" s="165"/>
    </row>
    <row r="189" spans="2:23" x14ac:dyDescent="0.2">
      <c r="B189" s="164"/>
      <c r="C189" s="164"/>
      <c r="D189" s="165"/>
      <c r="E189" s="165"/>
      <c r="F189" s="165"/>
      <c r="G189" s="165"/>
      <c r="H189" s="165"/>
      <c r="I189" s="165"/>
      <c r="J189" s="165"/>
      <c r="K189" s="165"/>
      <c r="L189" s="165"/>
      <c r="M189" s="165"/>
      <c r="N189" s="165"/>
      <c r="O189" s="165"/>
      <c r="P189" s="165"/>
      <c r="Q189" s="165"/>
      <c r="R189" s="165"/>
      <c r="S189" s="165"/>
      <c r="T189" s="165"/>
      <c r="U189" s="165"/>
      <c r="V189" s="165"/>
      <c r="W189" s="165"/>
    </row>
    <row r="190" spans="2:23" x14ac:dyDescent="0.2">
      <c r="B190" s="164"/>
      <c r="C190" s="164"/>
      <c r="D190" s="165"/>
      <c r="E190" s="165"/>
      <c r="F190" s="165"/>
      <c r="G190" s="165"/>
      <c r="H190" s="165"/>
      <c r="I190" s="165"/>
      <c r="J190" s="165"/>
      <c r="K190" s="165"/>
      <c r="L190" s="165"/>
      <c r="M190" s="165"/>
      <c r="N190" s="165"/>
      <c r="O190" s="165"/>
      <c r="P190" s="165"/>
      <c r="Q190" s="165"/>
      <c r="R190" s="165"/>
      <c r="S190" s="165"/>
      <c r="T190" s="165"/>
      <c r="U190" s="165"/>
      <c r="V190" s="165"/>
      <c r="W190" s="165"/>
    </row>
    <row r="191" spans="2:23" x14ac:dyDescent="0.2">
      <c r="B191" s="164"/>
      <c r="C191" s="164"/>
      <c r="D191" s="165"/>
      <c r="E191" s="165"/>
      <c r="F191" s="165"/>
      <c r="G191" s="165"/>
      <c r="H191" s="165"/>
      <c r="I191" s="165"/>
      <c r="J191" s="165"/>
      <c r="K191" s="165"/>
      <c r="L191" s="165"/>
      <c r="M191" s="165"/>
      <c r="N191" s="165"/>
      <c r="O191" s="165"/>
      <c r="P191" s="165"/>
      <c r="Q191" s="165"/>
      <c r="R191" s="165"/>
      <c r="S191" s="165"/>
      <c r="T191" s="165"/>
      <c r="U191" s="165"/>
      <c r="V191" s="165"/>
      <c r="W191" s="165"/>
    </row>
    <row r="192" spans="2:23" x14ac:dyDescent="0.2">
      <c r="B192" s="164"/>
      <c r="C192" s="164"/>
      <c r="D192" s="165"/>
      <c r="E192" s="165"/>
      <c r="F192" s="165"/>
      <c r="G192" s="165"/>
      <c r="H192" s="165"/>
      <c r="I192" s="165"/>
      <c r="J192" s="165"/>
      <c r="K192" s="165"/>
      <c r="L192" s="165"/>
      <c r="M192" s="165"/>
      <c r="N192" s="165"/>
      <c r="O192" s="165"/>
      <c r="P192" s="165"/>
      <c r="Q192" s="165"/>
      <c r="R192" s="165"/>
      <c r="S192" s="165"/>
      <c r="T192" s="165"/>
      <c r="U192" s="165"/>
      <c r="V192" s="165"/>
      <c r="W192" s="165"/>
    </row>
    <row r="193" spans="2:23" x14ac:dyDescent="0.2">
      <c r="B193" s="164"/>
      <c r="C193" s="164"/>
      <c r="D193" s="165"/>
      <c r="E193" s="165"/>
      <c r="F193" s="165"/>
      <c r="G193" s="165"/>
      <c r="H193" s="165"/>
      <c r="I193" s="165"/>
      <c r="J193" s="165"/>
      <c r="K193" s="165"/>
      <c r="L193" s="165"/>
      <c r="M193" s="165"/>
      <c r="N193" s="165"/>
      <c r="O193" s="165"/>
      <c r="P193" s="165"/>
      <c r="Q193" s="165"/>
      <c r="R193" s="165"/>
      <c r="S193" s="165"/>
      <c r="T193" s="165"/>
      <c r="U193" s="165"/>
      <c r="V193" s="165"/>
      <c r="W193" s="165"/>
    </row>
    <row r="194" spans="2:23" x14ac:dyDescent="0.2">
      <c r="B194" s="164"/>
      <c r="C194" s="164"/>
      <c r="D194" s="165"/>
      <c r="E194" s="165"/>
      <c r="F194" s="165"/>
      <c r="G194" s="165"/>
      <c r="H194" s="165"/>
      <c r="I194" s="165"/>
      <c r="J194" s="165"/>
      <c r="K194" s="165"/>
      <c r="L194" s="165"/>
      <c r="M194" s="165"/>
      <c r="N194" s="165"/>
      <c r="O194" s="165"/>
      <c r="P194" s="165"/>
      <c r="Q194" s="165"/>
      <c r="R194" s="165"/>
      <c r="S194" s="165"/>
      <c r="T194" s="165"/>
      <c r="U194" s="165"/>
      <c r="V194" s="165"/>
      <c r="W194" s="165"/>
    </row>
    <row r="195" spans="2:23" x14ac:dyDescent="0.2">
      <c r="B195" s="164"/>
      <c r="C195" s="164"/>
      <c r="D195" s="165"/>
      <c r="E195" s="165"/>
      <c r="F195" s="165"/>
      <c r="G195" s="165"/>
      <c r="H195" s="165"/>
      <c r="I195" s="165"/>
      <c r="J195" s="165"/>
      <c r="K195" s="165"/>
      <c r="L195" s="165"/>
      <c r="M195" s="165"/>
      <c r="N195" s="165"/>
      <c r="O195" s="165"/>
      <c r="P195" s="165"/>
      <c r="Q195" s="165"/>
      <c r="R195" s="165"/>
      <c r="S195" s="165"/>
      <c r="T195" s="165"/>
      <c r="U195" s="165"/>
      <c r="V195" s="165"/>
      <c r="W195" s="165"/>
    </row>
    <row r="196" spans="2:23" x14ac:dyDescent="0.2">
      <c r="B196" s="164"/>
      <c r="C196" s="164"/>
      <c r="D196" s="165"/>
      <c r="E196" s="165"/>
      <c r="F196" s="165"/>
      <c r="G196" s="165"/>
      <c r="H196" s="165"/>
      <c r="I196" s="165"/>
      <c r="J196" s="165"/>
      <c r="K196" s="165"/>
      <c r="L196" s="165"/>
      <c r="M196" s="165"/>
      <c r="N196" s="165"/>
      <c r="O196" s="165"/>
      <c r="P196" s="165"/>
      <c r="Q196" s="165"/>
      <c r="R196" s="165"/>
      <c r="S196" s="165"/>
      <c r="T196" s="165"/>
      <c r="U196" s="165"/>
      <c r="V196" s="165"/>
      <c r="W196" s="165"/>
    </row>
    <row r="197" spans="2:23" x14ac:dyDescent="0.2">
      <c r="B197" s="164"/>
      <c r="C197" s="164"/>
      <c r="D197" s="165"/>
      <c r="E197" s="165"/>
      <c r="F197" s="165"/>
      <c r="G197" s="165"/>
      <c r="H197" s="165"/>
      <c r="I197" s="165"/>
      <c r="J197" s="165"/>
      <c r="K197" s="165"/>
      <c r="L197" s="165"/>
      <c r="M197" s="165"/>
      <c r="N197" s="165"/>
      <c r="O197" s="165"/>
      <c r="P197" s="165"/>
      <c r="Q197" s="165"/>
      <c r="R197" s="165"/>
      <c r="S197" s="165"/>
      <c r="T197" s="165"/>
      <c r="U197" s="165"/>
      <c r="V197" s="165"/>
      <c r="W197" s="165"/>
    </row>
    <row r="198" spans="2:23" x14ac:dyDescent="0.2">
      <c r="B198" s="164"/>
      <c r="C198" s="164"/>
      <c r="D198" s="165"/>
      <c r="E198" s="165"/>
      <c r="F198" s="165"/>
      <c r="G198" s="165"/>
      <c r="H198" s="165"/>
      <c r="I198" s="165"/>
      <c r="J198" s="165"/>
      <c r="K198" s="165"/>
      <c r="L198" s="165"/>
      <c r="M198" s="165"/>
      <c r="N198" s="165"/>
      <c r="O198" s="165"/>
      <c r="P198" s="165"/>
      <c r="Q198" s="165"/>
      <c r="R198" s="165"/>
      <c r="S198" s="165"/>
      <c r="T198" s="165"/>
      <c r="U198" s="165"/>
      <c r="V198" s="165"/>
      <c r="W198" s="165"/>
    </row>
    <row r="199" spans="2:23" x14ac:dyDescent="0.2">
      <c r="B199" s="164"/>
      <c r="C199" s="164"/>
      <c r="D199" s="165"/>
      <c r="E199" s="165"/>
      <c r="F199" s="165"/>
      <c r="G199" s="165"/>
      <c r="H199" s="165"/>
      <c r="I199" s="165"/>
      <c r="J199" s="165"/>
      <c r="K199" s="165"/>
      <c r="L199" s="165"/>
      <c r="M199" s="165"/>
      <c r="N199" s="165"/>
      <c r="O199" s="165"/>
      <c r="P199" s="165"/>
      <c r="Q199" s="165"/>
      <c r="R199" s="165"/>
      <c r="S199" s="165"/>
      <c r="T199" s="165"/>
      <c r="U199" s="165"/>
      <c r="V199" s="165"/>
      <c r="W199" s="165"/>
    </row>
    <row r="200" spans="2:23" x14ac:dyDescent="0.2">
      <c r="B200" s="164"/>
      <c r="C200" s="164"/>
      <c r="D200" s="165"/>
      <c r="E200" s="165"/>
      <c r="F200" s="165"/>
      <c r="G200" s="165"/>
      <c r="H200" s="165"/>
      <c r="I200" s="165"/>
      <c r="J200" s="165"/>
      <c r="K200" s="165"/>
      <c r="L200" s="165"/>
      <c r="M200" s="165"/>
      <c r="N200" s="165"/>
      <c r="O200" s="165"/>
      <c r="P200" s="165"/>
      <c r="Q200" s="165"/>
      <c r="R200" s="165"/>
      <c r="S200" s="165"/>
      <c r="T200" s="165"/>
      <c r="U200" s="165"/>
      <c r="V200" s="165"/>
      <c r="W200" s="165"/>
    </row>
    <row r="201" spans="2:23" x14ac:dyDescent="0.2">
      <c r="B201" s="164"/>
      <c r="C201" s="164"/>
      <c r="D201" s="165"/>
      <c r="E201" s="165"/>
      <c r="F201" s="165"/>
      <c r="G201" s="165"/>
      <c r="H201" s="165"/>
      <c r="I201" s="165"/>
      <c r="J201" s="165"/>
      <c r="K201" s="165"/>
      <c r="L201" s="165"/>
      <c r="M201" s="165"/>
      <c r="N201" s="165"/>
      <c r="O201" s="165"/>
      <c r="P201" s="165"/>
      <c r="Q201" s="165"/>
      <c r="R201" s="165"/>
      <c r="S201" s="165"/>
      <c r="T201" s="165"/>
      <c r="U201" s="165"/>
      <c r="V201" s="165"/>
      <c r="W201" s="165"/>
    </row>
    <row r="202" spans="2:23" x14ac:dyDescent="0.2">
      <c r="B202" s="164"/>
      <c r="C202" s="164"/>
      <c r="D202" s="165"/>
      <c r="E202" s="165"/>
      <c r="F202" s="165"/>
      <c r="G202" s="165"/>
      <c r="H202" s="165"/>
      <c r="I202" s="165"/>
      <c r="J202" s="165"/>
      <c r="K202" s="165"/>
      <c r="L202" s="165"/>
      <c r="M202" s="165"/>
      <c r="N202" s="165"/>
      <c r="O202" s="165"/>
      <c r="P202" s="165"/>
      <c r="Q202" s="165"/>
      <c r="R202" s="165"/>
      <c r="S202" s="165"/>
      <c r="T202" s="165"/>
      <c r="U202" s="165"/>
      <c r="V202" s="165"/>
      <c r="W202" s="165"/>
    </row>
  </sheetData>
  <sheetProtection formatCells="0" selectLockedCells="1"/>
  <sortState xmlns:xlrd2="http://schemas.microsoft.com/office/spreadsheetml/2017/richdata2" ref="Y22:Y29">
    <sortCondition ref="Y22"/>
  </sortState>
  <dataConsolidate/>
  <mergeCells count="127">
    <mergeCell ref="B2:E2"/>
    <mergeCell ref="U2:W2"/>
    <mergeCell ref="Q2:T2"/>
    <mergeCell ref="B63:G63"/>
    <mergeCell ref="R63:W63"/>
    <mergeCell ref="B62:G62"/>
    <mergeCell ref="R62:W62"/>
    <mergeCell ref="B49:W60"/>
    <mergeCell ref="B26:W26"/>
    <mergeCell ref="D29:E29"/>
    <mergeCell ref="D20:E20"/>
    <mergeCell ref="F20:G20"/>
    <mergeCell ref="L20:M20"/>
    <mergeCell ref="P20:S20"/>
    <mergeCell ref="T20:U20"/>
    <mergeCell ref="P23:T23"/>
    <mergeCell ref="U23:W23"/>
    <mergeCell ref="G16:H16"/>
    <mergeCell ref="M17:R17"/>
    <mergeCell ref="R13:S13"/>
    <mergeCell ref="R14:S14"/>
    <mergeCell ref="V5:W5"/>
    <mergeCell ref="E16:F16"/>
    <mergeCell ref="B9:D9"/>
    <mergeCell ref="E9:L9"/>
    <mergeCell ref="B19:W19"/>
    <mergeCell ref="T5:U5"/>
    <mergeCell ref="B12:D12"/>
    <mergeCell ref="R8:S8"/>
    <mergeCell ref="R9:S9"/>
    <mergeCell ref="R10:S10"/>
    <mergeCell ref="R12:S12"/>
    <mergeCell ref="B5:D5"/>
    <mergeCell ref="M5:P5"/>
    <mergeCell ref="B11:D11"/>
    <mergeCell ref="E11:L11"/>
    <mergeCell ref="Q5:S5"/>
    <mergeCell ref="B14:F14"/>
    <mergeCell ref="G14:K14"/>
    <mergeCell ref="B10:D10"/>
    <mergeCell ref="E10:L10"/>
    <mergeCell ref="E12:L12"/>
    <mergeCell ref="B16:D16"/>
    <mergeCell ref="N8:Q8"/>
    <mergeCell ref="N9:Q9"/>
    <mergeCell ref="N10:Q10"/>
    <mergeCell ref="K40:N42"/>
    <mergeCell ref="E41:F41"/>
    <mergeCell ref="F31:G31"/>
    <mergeCell ref="H31:I31"/>
    <mergeCell ref="J31:K31"/>
    <mergeCell ref="L31:M31"/>
    <mergeCell ref="N12:Q12"/>
    <mergeCell ref="N13:Q13"/>
    <mergeCell ref="N14:Q14"/>
    <mergeCell ref="B25:J25"/>
    <mergeCell ref="C34:M34"/>
    <mergeCell ref="E36:F36"/>
    <mergeCell ref="H36:I36"/>
    <mergeCell ref="K36:L36"/>
    <mergeCell ref="M36:N36"/>
    <mergeCell ref="O36:V36"/>
    <mergeCell ref="D23:H23"/>
    <mergeCell ref="C40:D41"/>
    <mergeCell ref="F32:G32"/>
    <mergeCell ref="H32:I32"/>
    <mergeCell ref="J32:K32"/>
    <mergeCell ref="L32:M32"/>
    <mergeCell ref="D31:E31"/>
    <mergeCell ref="B18:K18"/>
    <mergeCell ref="E46:F46"/>
    <mergeCell ref="C46:D46"/>
    <mergeCell ref="E42:F42"/>
    <mergeCell ref="E43:F43"/>
    <mergeCell ref="E44:F44"/>
    <mergeCell ref="I44:J46"/>
    <mergeCell ref="B38:I38"/>
    <mergeCell ref="E40:F40"/>
    <mergeCell ref="I40:J42"/>
    <mergeCell ref="J20:K20"/>
    <mergeCell ref="K44:N46"/>
    <mergeCell ref="C45:D45"/>
    <mergeCell ref="P27:U27"/>
    <mergeCell ref="P28:U28"/>
    <mergeCell ref="P29:U29"/>
    <mergeCell ref="P30:U30"/>
    <mergeCell ref="C27:E28"/>
    <mergeCell ref="F27:G28"/>
    <mergeCell ref="H27:I28"/>
    <mergeCell ref="J27:K28"/>
    <mergeCell ref="L27:M28"/>
    <mergeCell ref="D30:E30"/>
    <mergeCell ref="F30:G30"/>
    <mergeCell ref="H30:I30"/>
    <mergeCell ref="J30:K30"/>
    <mergeCell ref="L30:M30"/>
    <mergeCell ref="F29:G29"/>
    <mergeCell ref="H29:I29"/>
    <mergeCell ref="J29:K29"/>
    <mergeCell ref="L29:M29"/>
    <mergeCell ref="P42:R43"/>
    <mergeCell ref="S42:U43"/>
    <mergeCell ref="E45:F45"/>
    <mergeCell ref="F2:J2"/>
    <mergeCell ref="B4:I4"/>
    <mergeCell ref="E5:L5"/>
    <mergeCell ref="B23:C23"/>
    <mergeCell ref="Y2:Z2"/>
    <mergeCell ref="B65:W65"/>
    <mergeCell ref="D32:E32"/>
    <mergeCell ref="P32:U32"/>
    <mergeCell ref="B7:H7"/>
    <mergeCell ref="B8:D8"/>
    <mergeCell ref="E8:L8"/>
    <mergeCell ref="B13:F13"/>
    <mergeCell ref="G13:K13"/>
    <mergeCell ref="P31:U31"/>
    <mergeCell ref="B48:I48"/>
    <mergeCell ref="I63:L63"/>
    <mergeCell ref="M63:O63"/>
    <mergeCell ref="P38:U38"/>
    <mergeCell ref="P40:U40"/>
    <mergeCell ref="P41:R41"/>
    <mergeCell ref="S41:U41"/>
    <mergeCell ref="C42:D42"/>
    <mergeCell ref="C43:D43"/>
    <mergeCell ref="C44:D44"/>
  </mergeCells>
  <dataValidations count="11">
    <dataValidation type="list" allowBlank="1" showInputMessage="1" showErrorMessage="1" errorTitle="Erro" error="Selecionar dados já inseridos" promptTitle="Selecionar dados" prompt="Classe de exatidão" sqref="G14:K14" xr:uid="{00000000-0002-0000-0100-000000000000}">
      <formula1>"I,II,III,IIII"</formula1>
    </dataValidation>
    <dataValidation type="list" allowBlank="1" showInputMessage="1" showErrorMessage="1" sqref="L17" xr:uid="{00000000-0002-0000-0100-000001000000}">
      <formula1>Medidas</formula1>
    </dataValidation>
    <dataValidation type="list" allowBlank="1" showInputMessage="1" showErrorMessage="1" prompt="Selecione a unidade" sqref="D23:H23" xr:uid="{00000000-0002-0000-0100-000002000000}">
      <formula1>"Selecionar,micrograma (µg),miligrama (mg),grama (g),quilograma (kg),tonelada (t)"</formula1>
    </dataValidation>
    <dataValidation type="list" allowBlank="1" showInputMessage="1" showErrorMessage="1" sqref="V37 V33:V35" xr:uid="{00000000-0002-0000-0100-000003000000}">
      <formula1>"'-,CM01,CM02,CM03,CM04,CM05,CM06,CM07,CM08,CM09,CM10"</formula1>
    </dataValidation>
    <dataValidation type="list" allowBlank="1" showInputMessage="1" showErrorMessage="1" sqref="G13:K13" xr:uid="{00000000-0002-0000-0100-000004000000}">
      <formula1>"Balança,Sistema de pesagem,Dinamômetro"</formula1>
    </dataValidation>
    <dataValidation allowBlank="1" showInputMessage="1" showErrorMessage="1" prompt="Colocar número completo &quot;xxx-BL/20xx&quot;" sqref="U2" xr:uid="{00000000-0002-0000-0100-000005000000}"/>
    <dataValidation type="list" allowBlank="1" showErrorMessage="1" errorTitle="Erro" error="Selecionar dados já inseridos" promptTitle="Selecionar" prompt="Dados já inseridos" sqref="G16:H16" xr:uid="{00000000-0002-0000-0100-000006000000}">
      <formula1>"Meses,Ano(s),"</formula1>
    </dataValidation>
    <dataValidation allowBlank="1" prompt="Inserir valor correspondente ao item 4!" sqref="E40:F40" xr:uid="{00000000-0002-0000-0100-000007000000}"/>
    <dataValidation allowBlank="1" showInputMessage="1" showErrorMessage="1" prompt="3 CASAS DECIMAIS" sqref="D36 G36 J36 M36:N36" xr:uid="{00000000-0002-0000-0100-000008000000}"/>
    <dataValidation type="list" allowBlank="1" sqref="E8:L8" xr:uid="{00000000-0002-0000-0100-000009000000}">
      <formula1>"Alfa Instrumentação,Digipeso,Digi-Tron,Filizola,Gehaka,Marte,Ohaus,Ramuza,Ramuza,Toledo,Weightech"</formula1>
    </dataValidation>
    <dataValidation type="list" allowBlank="1" showInputMessage="1" showErrorMessage="1" sqref="P28:U32" xr:uid="{CDA52730-B1A1-4691-AD27-3C7066BBF476}">
      <formula1>"1mg à 500mg,1g à 2kg,5kg e 10kg e 5x20kg,25 x 20kg,22 x 500kg"</formula1>
    </dataValidation>
  </dataValidations>
  <printOptions horizontalCentered="1"/>
  <pageMargins left="0.19685039370078741" right="0.15748031496062992" top="0.51181102362204722" bottom="0.43307086614173229" header="0.31496062992125984" footer="0.17"/>
  <pageSetup paperSize="9" scale="94" fitToWidth="0" fitToHeight="0" orientation="portrait" r:id="rId1"/>
  <headerFooter alignWithMargins="0">
    <oddHeader>&amp;C&amp;G</oddHeader>
    <oddFooter xml:space="preserve">&amp;L&amp;9FR.LAB.006
Revisão 02&amp;C&amp;9Este documento poderá ser reproduzido somente na íntegra.
Data Elaboração: 26/01/2018 / Data Revisão: 08/11/2018&amp;R&amp;9Página: &amp;P/&amp;N </oddFooter>
    <firstHeader>&amp;C&amp;G</firstHeader>
    <firstFooter>&amp;CEste documento somente poderá ser reproduzido na íntegra.&amp;RPágina:&amp;P/&amp;N</first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29379" r:id="rId5" name="Check Box 3">
              <controlPr defaultSize="0" autoFill="0" autoLine="0" autoPict="0">
                <anchor moveWithCells="1">
                  <from>
                    <xdr:col>19</xdr:col>
                    <xdr:colOff>38100</xdr:colOff>
                    <xdr:row>45</xdr:row>
                    <xdr:rowOff>9525</xdr:rowOff>
                  </from>
                  <to>
                    <xdr:col>19</xdr:col>
                    <xdr:colOff>38100</xdr:colOff>
                    <xdr:row>48</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100-00000B000000}">
          <x14:formula1>
            <xm:f>'Dados dos Padrões'!$X$6:$X$12</xm:f>
          </x14:formula1>
          <xm:sqref>U23:W23</xm:sqref>
        </x14:dataValidation>
        <x14:dataValidation type="list" allowBlank="1" showInputMessage="1" prompt="Selecionar Cliente" xr:uid="{00000000-0002-0000-0100-00000C000000}">
          <x14:formula1>
            <xm:f>Clientes!$B$2:$B$1000000</xm:f>
          </x14:formula1>
          <xm:sqref>E5:L5</xm:sqref>
        </x14:dataValidation>
        <x14:dataValidation type="list" allowBlank="1" showInputMessage="1" showErrorMessage="1" xr:uid="{00000000-0002-0000-0100-00000D000000}">
          <x14:formula1>
            <xm:f>Definições!$B$15:$B$21</xm:f>
          </x14:formula1>
          <xm:sqref>B63:G63</xm:sqref>
        </x14:dataValidation>
        <x14:dataValidation type="list" allowBlank="1" showInputMessage="1" showErrorMessage="1" xr:uid="{00000000-0002-0000-0100-00000E000000}">
          <x14:formula1>
            <xm:f>Definições!$B$24:$B$28</xm:f>
          </x14:formula1>
          <xm:sqref>R63:W63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10">
    <tabColor rgb="FFE07515"/>
  </sheetPr>
  <dimension ref="A1:AR200"/>
  <sheetViews>
    <sheetView showGridLines="0" showRowColHeaders="0" view="pageBreakPreview" zoomScale="120" zoomScaleNormal="110" zoomScaleSheetLayoutView="120" zoomScalePageLayoutView="120" workbookViewId="0">
      <selection activeCell="B2" sqref="B2:L7"/>
    </sheetView>
  </sheetViews>
  <sheetFormatPr defaultColWidth="9.140625" defaultRowHeight="12.75" x14ac:dyDescent="0.2"/>
  <cols>
    <col min="1" max="1" width="20.7109375" style="100" customWidth="1"/>
    <col min="2" max="3" width="5" style="5" customWidth="1"/>
    <col min="4" max="9" width="5" customWidth="1"/>
    <col min="10" max="23" width="4.7109375" customWidth="1"/>
    <col min="24" max="26" width="8.140625" style="100" customWidth="1"/>
    <col min="27" max="27" width="2.7109375" style="100" customWidth="1"/>
    <col min="28" max="16384" width="9.140625" style="100"/>
  </cols>
  <sheetData>
    <row r="1" spans="2:26" ht="15" customHeight="1" x14ac:dyDescent="0.2">
      <c r="B1" s="103"/>
      <c r="C1" s="103"/>
      <c r="D1" s="100"/>
      <c r="E1" s="100"/>
      <c r="F1" s="100"/>
      <c r="G1" s="100"/>
      <c r="H1" s="100"/>
      <c r="I1" s="100"/>
      <c r="J1" s="100"/>
      <c r="K1" s="100"/>
      <c r="L1" s="100"/>
      <c r="M1" s="100"/>
      <c r="N1" s="100"/>
      <c r="O1" s="100"/>
      <c r="P1" s="100"/>
      <c r="Q1" s="100"/>
      <c r="R1" s="100"/>
      <c r="S1" s="100"/>
      <c r="T1" s="100"/>
      <c r="U1" s="100"/>
      <c r="V1" s="100"/>
      <c r="W1" s="100"/>
    </row>
    <row r="2" spans="2:26" ht="17.45" customHeight="1" x14ac:dyDescent="0.2">
      <c r="B2" s="499" t="s">
        <v>340</v>
      </c>
      <c r="C2" s="499"/>
      <c r="D2" s="499"/>
      <c r="E2" s="499"/>
      <c r="F2" s="499"/>
      <c r="G2" s="499"/>
      <c r="H2" s="499"/>
      <c r="I2" s="499"/>
      <c r="J2" s="499"/>
      <c r="K2" s="499"/>
      <c r="L2" s="499"/>
      <c r="M2" s="500" t="s">
        <v>92</v>
      </c>
      <c r="N2" s="500"/>
      <c r="O2" s="500"/>
      <c r="P2" s="500"/>
      <c r="Q2" s="500"/>
      <c r="R2" s="500"/>
      <c r="S2" s="500"/>
      <c r="T2" s="500"/>
      <c r="U2" s="500"/>
      <c r="V2" s="500"/>
      <c r="W2" s="500"/>
      <c r="X2" s="104"/>
      <c r="Y2" s="104"/>
      <c r="Z2" s="104"/>
    </row>
    <row r="3" spans="2:26" ht="17.45" customHeight="1" x14ac:dyDescent="0.2">
      <c r="B3" s="499"/>
      <c r="C3" s="499"/>
      <c r="D3" s="499"/>
      <c r="E3" s="499"/>
      <c r="F3" s="499"/>
      <c r="G3" s="499"/>
      <c r="H3" s="499"/>
      <c r="I3" s="499"/>
      <c r="J3" s="499"/>
      <c r="K3" s="499"/>
      <c r="L3" s="499"/>
      <c r="M3" s="500"/>
      <c r="N3" s="500"/>
      <c r="O3" s="500"/>
      <c r="P3" s="500"/>
      <c r="Q3" s="500"/>
      <c r="R3" s="500"/>
      <c r="S3" s="500"/>
      <c r="T3" s="500"/>
      <c r="U3" s="500"/>
      <c r="V3" s="500"/>
      <c r="W3" s="500"/>
      <c r="X3" s="104"/>
      <c r="Y3" s="104"/>
      <c r="Z3" s="104"/>
    </row>
    <row r="4" spans="2:26" ht="17.45" customHeight="1" x14ac:dyDescent="0.2">
      <c r="B4" s="499"/>
      <c r="C4" s="499"/>
      <c r="D4" s="499"/>
      <c r="E4" s="499"/>
      <c r="F4" s="499"/>
      <c r="G4" s="499"/>
      <c r="H4" s="499"/>
      <c r="I4" s="499"/>
      <c r="J4" s="499"/>
      <c r="K4" s="499"/>
      <c r="L4" s="499"/>
      <c r="M4" s="500"/>
      <c r="N4" s="500"/>
      <c r="O4" s="500"/>
      <c r="P4" s="500"/>
      <c r="Q4" s="500"/>
      <c r="R4" s="500"/>
      <c r="S4" s="500"/>
      <c r="T4" s="500"/>
      <c r="U4" s="500"/>
      <c r="V4" s="500"/>
      <c r="W4" s="500"/>
      <c r="X4" s="104"/>
      <c r="Y4" s="104"/>
      <c r="Z4" s="104"/>
    </row>
    <row r="5" spans="2:26" ht="17.45" customHeight="1" x14ac:dyDescent="0.2">
      <c r="B5" s="499"/>
      <c r="C5" s="499"/>
      <c r="D5" s="499"/>
      <c r="E5" s="499"/>
      <c r="F5" s="499"/>
      <c r="G5" s="499"/>
      <c r="H5" s="499"/>
      <c r="I5" s="499"/>
      <c r="J5" s="499"/>
      <c r="K5" s="499"/>
      <c r="L5" s="499"/>
      <c r="M5" s="500"/>
      <c r="N5" s="500"/>
      <c r="O5" s="500"/>
      <c r="P5" s="500"/>
      <c r="Q5" s="500"/>
      <c r="R5" s="500"/>
      <c r="S5" s="500"/>
      <c r="T5" s="500"/>
      <c r="U5" s="500"/>
      <c r="V5" s="500"/>
      <c r="W5" s="500"/>
      <c r="X5" s="104"/>
      <c r="Y5" s="104"/>
      <c r="Z5" s="104"/>
    </row>
    <row r="6" spans="2:26" ht="17.45" customHeight="1" x14ac:dyDescent="0.2">
      <c r="B6" s="499"/>
      <c r="C6" s="499"/>
      <c r="D6" s="499"/>
      <c r="E6" s="499"/>
      <c r="F6" s="499"/>
      <c r="G6" s="499"/>
      <c r="H6" s="499"/>
      <c r="I6" s="499"/>
      <c r="J6" s="499"/>
      <c r="K6" s="499"/>
      <c r="L6" s="499"/>
      <c r="M6" s="500"/>
      <c r="N6" s="500"/>
      <c r="O6" s="500"/>
      <c r="P6" s="500"/>
      <c r="Q6" s="500"/>
      <c r="R6" s="500"/>
      <c r="S6" s="500"/>
      <c r="T6" s="500"/>
      <c r="U6" s="500"/>
      <c r="V6" s="500"/>
      <c r="W6" s="500"/>
      <c r="X6" s="104"/>
      <c r="Y6" s="104"/>
      <c r="Z6" s="104"/>
    </row>
    <row r="7" spans="2:26" ht="17.45" customHeight="1" x14ac:dyDescent="0.2">
      <c r="B7" s="499"/>
      <c r="C7" s="499"/>
      <c r="D7" s="499"/>
      <c r="E7" s="499"/>
      <c r="F7" s="499"/>
      <c r="G7" s="499"/>
      <c r="H7" s="499"/>
      <c r="I7" s="499"/>
      <c r="J7" s="499"/>
      <c r="K7" s="499"/>
      <c r="L7" s="499"/>
      <c r="M7" s="501" t="str">
        <f>CONCATENATE("N° ",'Entrada de Dados'!$F$2)</f>
        <v>N° 74</v>
      </c>
      <c r="N7" s="501"/>
      <c r="O7" s="501"/>
      <c r="P7" s="501"/>
      <c r="Q7" s="501"/>
      <c r="R7" s="501"/>
      <c r="S7" s="501"/>
      <c r="T7" s="501"/>
      <c r="U7" s="501"/>
      <c r="V7" s="501"/>
      <c r="W7" s="501"/>
      <c r="X7" s="137"/>
      <c r="Y7" s="137"/>
      <c r="Z7" s="137"/>
    </row>
    <row r="8" spans="2:26" ht="19.5" customHeight="1" x14ac:dyDescent="0.2">
      <c r="L8" s="506" t="str">
        <f>IF('Entrada de Dados'!U2="","",CONCATENATE("Este certificado cancela e substitui o certificado de número ",'Entrada de Dados'!U2))</f>
        <v/>
      </c>
      <c r="M8" s="506"/>
      <c r="N8" s="506"/>
      <c r="O8" s="506"/>
      <c r="P8" s="506"/>
      <c r="Q8" s="506"/>
      <c r="R8" s="506"/>
      <c r="S8" s="506"/>
      <c r="T8" s="506"/>
      <c r="U8" s="506"/>
      <c r="V8" s="506"/>
      <c r="W8" s="506"/>
    </row>
    <row r="9" spans="2:26" ht="15" customHeight="1" x14ac:dyDescent="0.2">
      <c r="B9" s="502" t="s">
        <v>140</v>
      </c>
      <c r="C9" s="503"/>
      <c r="D9" s="503"/>
      <c r="E9" s="503"/>
      <c r="F9" s="503"/>
      <c r="G9" s="503"/>
      <c r="H9" s="504"/>
      <c r="I9" s="504"/>
      <c r="J9" s="504"/>
      <c r="K9" s="3"/>
      <c r="L9" s="3"/>
      <c r="M9" s="3"/>
      <c r="N9" s="3"/>
      <c r="O9" s="3"/>
      <c r="P9" s="3"/>
      <c r="Q9" s="3"/>
      <c r="R9" s="3"/>
      <c r="S9" s="3"/>
      <c r="T9" s="3"/>
      <c r="U9" s="3"/>
      <c r="V9" s="3"/>
      <c r="W9" s="3"/>
      <c r="X9" s="105"/>
      <c r="Y9" s="105"/>
      <c r="Z9" s="105"/>
    </row>
    <row r="10" spans="2:26" x14ac:dyDescent="0.2">
      <c r="B10" s="496" t="s">
        <v>16</v>
      </c>
      <c r="C10" s="496"/>
      <c r="D10" s="496"/>
      <c r="E10" s="497" t="str">
        <f>IF('Entrada de Dados'!E5="","-",IFERROR(INDEX(Clientes!$A$2:$H$1000000,MATCH('Entrada de Dados'!$E$5,Clientes!$B$2:$B$1000000,0),1),"-"))</f>
        <v>ADAIR JOSE MENEGOL</v>
      </c>
      <c r="F10" s="498"/>
      <c r="G10" s="498"/>
      <c r="H10" s="498"/>
      <c r="I10" s="498"/>
      <c r="J10" s="498"/>
      <c r="K10" s="498"/>
      <c r="L10" s="498"/>
      <c r="M10" s="498"/>
      <c r="N10" s="498"/>
      <c r="O10" s="496" t="s">
        <v>104</v>
      </c>
      <c r="P10" s="496"/>
      <c r="Q10" s="3"/>
      <c r="R10" s="505" t="str">
        <f>IF('Entrada de Dados'!E5="","-",IFERROR(INDEX(Clientes!$A$2:$H$1000000,MATCH('Entrada de Dados'!$E$5,Clientes!$B$2:$B$1000000,0),7),"-"))</f>
        <v>953.801.080-91</v>
      </c>
      <c r="S10" s="505"/>
      <c r="T10" s="505"/>
      <c r="U10" s="505"/>
      <c r="V10" s="505"/>
      <c r="W10" s="1"/>
      <c r="X10" s="106"/>
      <c r="Y10" s="106"/>
      <c r="Z10" s="106"/>
    </row>
    <row r="11" spans="2:26" ht="15" customHeight="1" x14ac:dyDescent="0.2">
      <c r="B11" s="496" t="s">
        <v>17</v>
      </c>
      <c r="C11" s="496"/>
      <c r="D11" s="496"/>
      <c r="E11" s="497" t="str">
        <f>IF('Entrada de Dados'!E5="","-",IFERROR(INDEX(Clientes!$A$2:$H$1000000,MATCH('Entrada de Dados'!$E$5,Clientes!$B$2:$B$1000000,0),4),"-"))</f>
        <v>GLEBA IQUE, LOTE RURAL 23, SETOR TENENTE</v>
      </c>
      <c r="F11" s="498"/>
      <c r="G11" s="498"/>
      <c r="H11" s="498"/>
      <c r="I11" s="498"/>
      <c r="J11" s="498"/>
      <c r="K11" s="498"/>
      <c r="L11" s="498"/>
      <c r="M11" s="498"/>
      <c r="N11" s="498"/>
      <c r="O11" s="496" t="s">
        <v>18</v>
      </c>
      <c r="P11" s="496"/>
      <c r="Q11" s="496"/>
      <c r="R11" s="507" t="str">
        <f>IF('Entrada de Dados'!E5="","-",IFERROR(CONCATENATE(INDEX(Clientes!$A$2:$H$1000000,MATCH('Entrada de Dados'!$E$5,Clientes!$B$2:$B$1000000,0),5)," / ",INDEX(Clientes!$A$2:$H$1000000,MATCH('Entrada de Dados'!$E$5,Clientes!$B$2:$B$1000000,0),6)),"-"))</f>
        <v>VILHENA / RO</v>
      </c>
      <c r="S11" s="507"/>
      <c r="T11" s="507"/>
      <c r="U11" s="507"/>
      <c r="V11" s="507"/>
      <c r="W11" s="507"/>
      <c r="X11" s="107"/>
      <c r="Y11" s="107"/>
      <c r="Z11" s="107"/>
    </row>
    <row r="12" spans="2:26" ht="15" customHeight="1" x14ac:dyDescent="0.2">
      <c r="B12" s="496" t="str">
        <f>IF('Entrada de Dados'!$E$5="","Unidade:",IF(INDEX(Clientes!$A$2:$I$1000000,MATCH('Entrada de Dados'!$E$5,Clientes!$B$2:$B$1000000,0),3)="-","","Unidade:"))</f>
        <v>Unidade:</v>
      </c>
      <c r="C12" s="496"/>
      <c r="D12" s="3"/>
      <c r="E12" s="498" t="str">
        <f>IF('Entrada de Dados'!$E$5="","-",IF(INDEX(Clientes!$A$2:$I$1000000,MATCH('Entrada de Dados'!$E$5,Clientes!$B$2:$B$1000000,0),3)="-","",INDEX(Clientes!$A$2:$I$1000000,MATCH('Entrada de Dados'!$E$5,Clientes!$B$2:$B$1000000,0),3)))</f>
        <v>FAZ. RETIRO</v>
      </c>
      <c r="F12" s="498"/>
      <c r="G12" s="498"/>
      <c r="H12" s="498"/>
      <c r="I12" s="498"/>
      <c r="J12" s="1"/>
      <c r="K12" s="1"/>
      <c r="L12" s="1"/>
      <c r="M12" s="1"/>
      <c r="N12" s="1"/>
      <c r="W12" s="1"/>
      <c r="X12" s="106"/>
      <c r="Y12" s="106"/>
      <c r="Z12" s="106"/>
    </row>
    <row r="13" spans="2:26" ht="15" customHeight="1" x14ac:dyDescent="0.2">
      <c r="B13" s="510"/>
      <c r="C13" s="510"/>
      <c r="D13" s="510"/>
      <c r="E13" s="510"/>
      <c r="F13" s="510"/>
      <c r="G13" s="510"/>
      <c r="H13" s="510"/>
      <c r="I13" s="510"/>
      <c r="J13" s="510"/>
      <c r="K13" s="510"/>
      <c r="L13" s="510"/>
      <c r="M13" s="510"/>
      <c r="N13" s="510"/>
      <c r="O13" s="510"/>
      <c r="P13" s="510"/>
      <c r="Q13" s="510"/>
      <c r="R13" s="510"/>
      <c r="S13" s="510"/>
      <c r="T13" s="510"/>
      <c r="U13" s="510"/>
      <c r="V13" s="510"/>
      <c r="W13" s="510"/>
      <c r="X13" s="108"/>
      <c r="Y13" s="108"/>
      <c r="Z13" s="108"/>
    </row>
    <row r="14" spans="2:26" ht="15" customHeight="1" x14ac:dyDescent="0.2">
      <c r="B14" s="502" t="s">
        <v>141</v>
      </c>
      <c r="C14" s="503"/>
      <c r="D14" s="503"/>
      <c r="E14" s="503"/>
      <c r="F14" s="503"/>
      <c r="G14" s="503"/>
      <c r="H14" s="503"/>
      <c r="I14" s="3"/>
      <c r="J14" s="3"/>
      <c r="K14" s="3"/>
      <c r="L14" s="3"/>
      <c r="M14" s="3"/>
      <c r="N14" s="3"/>
      <c r="O14" s="3"/>
      <c r="P14" s="3"/>
      <c r="Q14" s="3"/>
      <c r="R14" s="3"/>
      <c r="S14" s="3"/>
      <c r="T14" s="3"/>
      <c r="U14" s="3"/>
      <c r="V14" s="29"/>
      <c r="W14" s="3"/>
      <c r="X14" s="105"/>
      <c r="Y14" s="105"/>
      <c r="Z14" s="105"/>
    </row>
    <row r="15" spans="2:26" ht="15" customHeight="1" x14ac:dyDescent="0.2">
      <c r="B15" s="496" t="s">
        <v>19</v>
      </c>
      <c r="C15" s="496"/>
      <c r="D15" s="496"/>
      <c r="E15" s="498" t="str">
        <f>IF('Entrada de Dados'!E8="","-",'Entrada de Dados'!E8)</f>
        <v>CIANORTE</v>
      </c>
      <c r="F15" s="498"/>
      <c r="G15" s="498"/>
      <c r="H15" s="498"/>
      <c r="I15" s="498"/>
      <c r="J15" s="498"/>
      <c r="K15" s="498"/>
      <c r="L15" s="498"/>
      <c r="M15" s="496" t="s">
        <v>38</v>
      </c>
      <c r="N15" s="496"/>
      <c r="O15" s="496"/>
      <c r="P15" s="496"/>
      <c r="Q15" s="496"/>
      <c r="R15" s="498" t="str">
        <f>IF('Entrada de Dados'!G13="","-",'Entrada de Dados'!G13)</f>
        <v>Balança</v>
      </c>
      <c r="S15" s="498"/>
      <c r="T15" s="498"/>
      <c r="U15" s="498"/>
      <c r="V15" s="498"/>
      <c r="W15" s="3"/>
      <c r="X15" s="105"/>
      <c r="Y15" s="105"/>
      <c r="Z15" s="105"/>
    </row>
    <row r="16" spans="2:26" ht="15" customHeight="1" x14ac:dyDescent="0.2">
      <c r="B16" s="496" t="s">
        <v>21</v>
      </c>
      <c r="C16" s="496"/>
      <c r="D16" s="496"/>
      <c r="E16" s="498" t="str">
        <f>IF('Entrada de Dados'!E9="","-",'Entrada de Dados'!E9)</f>
        <v>BRO</v>
      </c>
      <c r="F16" s="498"/>
      <c r="G16" s="498"/>
      <c r="H16" s="498"/>
      <c r="I16" s="498"/>
      <c r="J16" s="498"/>
      <c r="K16" s="498"/>
      <c r="L16" s="498"/>
      <c r="M16" s="496" t="s">
        <v>36</v>
      </c>
      <c r="N16" s="496"/>
      <c r="O16" s="496"/>
      <c r="P16" s="496"/>
      <c r="Q16" s="496"/>
      <c r="R16" s="508" t="str">
        <f>IF('Entrada de Dados'!G14="","-",'Entrada de Dados'!G14)</f>
        <v>III</v>
      </c>
      <c r="S16" s="508"/>
      <c r="T16" s="508"/>
      <c r="U16" s="508"/>
      <c r="V16" s="508"/>
      <c r="W16" s="32"/>
      <c r="X16" s="109"/>
      <c r="Y16" s="109"/>
      <c r="Z16" s="109"/>
    </row>
    <row r="17" spans="2:27" ht="15" customHeight="1" x14ac:dyDescent="0.2">
      <c r="B17" s="496" t="s">
        <v>20</v>
      </c>
      <c r="C17" s="496"/>
      <c r="D17" s="496"/>
      <c r="E17" s="498" t="str">
        <f>IF('Entrada de Dados'!E10="","-",'Entrada de Dados'!E10)</f>
        <v>061023</v>
      </c>
      <c r="F17" s="498"/>
      <c r="G17" s="498"/>
      <c r="H17" s="498"/>
      <c r="I17" s="498"/>
      <c r="J17" s="498"/>
      <c r="K17" s="498"/>
      <c r="L17" s="498"/>
      <c r="M17" s="496" t="str">
        <f>IF('Entrada de Dados'!$R$12="","Capacidade:","Capacidade (E1/E2):")</f>
        <v>Capacidade:</v>
      </c>
      <c r="N17" s="509"/>
      <c r="O17" s="509"/>
      <c r="P17" s="509"/>
      <c r="Q17" s="509"/>
      <c r="R17" s="511"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140.000,00 kg</v>
      </c>
      <c r="S17" s="511"/>
      <c r="T17" s="511"/>
      <c r="U17" s="511"/>
      <c r="V17" s="1"/>
      <c r="W17" s="29"/>
      <c r="X17" s="110"/>
      <c r="Y17" s="110"/>
      <c r="Z17" s="110"/>
    </row>
    <row r="18" spans="2:27" ht="15" customHeight="1" x14ac:dyDescent="0.2">
      <c r="B18" s="496" t="s">
        <v>22</v>
      </c>
      <c r="C18" s="496"/>
      <c r="D18" s="496"/>
      <c r="E18" s="498">
        <f>IF('Entrada de Dados'!E11="","-",'Entrada de Dados'!E11)</f>
        <v>61023</v>
      </c>
      <c r="F18" s="498"/>
      <c r="G18" s="498"/>
      <c r="H18" s="498"/>
      <c r="I18" s="498"/>
      <c r="J18" s="498"/>
      <c r="K18" s="498"/>
      <c r="L18" s="498"/>
      <c r="M18" s="496" t="str">
        <f>IF('Entrada de Dados'!$R$12="","Divisão:",IF(AND('Entrada de Dados'!$R$9='Entrada de Dados'!$R$10,'Entrada de Dados'!$R$13='Entrada de Dados'!$R$14),"Divisão (E1/E2):","Divisão 'd' (E1/E2):"))</f>
        <v>Divisão:</v>
      </c>
      <c r="N18" s="509"/>
      <c r="O18" s="509"/>
      <c r="P18" s="509"/>
      <c r="Q18" s="509"/>
      <c r="R18" s="513"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20 kg</v>
      </c>
      <c r="S18" s="513"/>
      <c r="T18" s="513"/>
      <c r="U18" s="513"/>
      <c r="V18" s="1"/>
      <c r="W18" s="35"/>
      <c r="X18" s="111"/>
      <c r="Y18" s="111"/>
      <c r="Z18" s="111"/>
    </row>
    <row r="19" spans="2:27" ht="15" customHeight="1" x14ac:dyDescent="0.2">
      <c r="B19" s="496" t="s">
        <v>93</v>
      </c>
      <c r="C19" s="496"/>
      <c r="D19" s="496"/>
      <c r="E19" s="512" t="str">
        <f>IF('Entrada de Dados'!E12="","-",'Entrada de Dados'!E12)</f>
        <v>FATURAMENTO</v>
      </c>
      <c r="F19" s="512"/>
      <c r="G19" s="512"/>
      <c r="H19" s="512"/>
      <c r="I19" s="512"/>
      <c r="J19" s="512"/>
      <c r="K19" s="512"/>
      <c r="L19" s="512"/>
      <c r="M19" s="496" t="str">
        <f>IF('Entrada de Dados'!$R$12="","",IF(AND('Entrada de Dados'!$R$9='Entrada de Dados'!$R$10,'Entrada de Dados'!$R$13='Entrada de Dados'!$R$14),"","Divisão 'e' (E1/E2):"))</f>
        <v/>
      </c>
      <c r="N19" s="509"/>
      <c r="O19" s="509"/>
      <c r="P19" s="509"/>
      <c r="Q19" s="509"/>
      <c r="R19" s="513" t="str">
        <f>IF('Entrada de Dados'!$R$12="","",IF(AND('Entrada de Dados'!$R$9='Entrada de Dados'!$R$10,'Entrada de Dados'!$R$13='Entrada de Dados'!$R$14),"",CONCATENATE('Entrada de Dados'!$R$10," ",'Entrada de Dados'!$T$10," / ",'Entrada de Dados'!$R$14," ",'Entrada de Dados'!$T$14)))</f>
        <v/>
      </c>
      <c r="S19" s="513"/>
      <c r="T19" s="513"/>
      <c r="U19" s="513"/>
      <c r="V19" s="201"/>
      <c r="W19" s="1"/>
      <c r="X19" s="106"/>
      <c r="Y19" s="106"/>
      <c r="Z19" s="106"/>
    </row>
    <row r="20" spans="2:27" ht="15" customHeight="1" x14ac:dyDescent="0.2">
      <c r="D20" s="3"/>
      <c r="E20" s="512"/>
      <c r="F20" s="512"/>
      <c r="G20" s="512"/>
      <c r="H20" s="512"/>
      <c r="I20" s="512"/>
      <c r="J20" s="512"/>
      <c r="K20" s="512"/>
      <c r="L20" s="512"/>
      <c r="M20" s="496" t="str">
        <f>IF('Entrada de Dados'!E16="","","Periodicidade da calibração*:")</f>
        <v>Periodicidade da calibração*:</v>
      </c>
      <c r="N20" s="496"/>
      <c r="O20" s="496"/>
      <c r="P20" s="496"/>
      <c r="Q20" s="496"/>
      <c r="R20" s="496"/>
      <c r="S20" s="514" t="str">
        <f>IF('Entrada de Dados'!$E$16="","",CONCATENATE('Entrada de Dados'!$E$16," ",'Entrada de Dados'!G$16))</f>
        <v>6 Meses</v>
      </c>
      <c r="T20" s="514"/>
      <c r="U20" s="514"/>
      <c r="W20" s="29"/>
      <c r="X20" s="110"/>
      <c r="Y20" s="110"/>
      <c r="Z20" s="110"/>
      <c r="AA20" s="112"/>
    </row>
    <row r="21" spans="2:27" s="101" customFormat="1" ht="15" customHeight="1" x14ac:dyDescent="0.2">
      <c r="B21" s="502" t="s">
        <v>142</v>
      </c>
      <c r="C21" s="502"/>
      <c r="D21" s="502"/>
      <c r="E21" s="502"/>
      <c r="F21" s="502"/>
      <c r="G21" s="502"/>
      <c r="H21" s="502"/>
      <c r="I21" s="502"/>
      <c r="J21" s="502"/>
      <c r="K21" s="502"/>
      <c r="L21" s="502"/>
      <c r="M21" s="493" t="str">
        <f>IF(M20="","","* Acordada com o cliente")</f>
        <v>* Acordada com o cliente</v>
      </c>
      <c r="N21" s="493"/>
      <c r="O21" s="493"/>
      <c r="P21" s="493"/>
      <c r="Q21" s="493"/>
      <c r="R21" s="493"/>
      <c r="S21" s="97"/>
      <c r="T21" s="97"/>
      <c r="U21" s="97"/>
      <c r="V21" s="97"/>
      <c r="W21" s="97"/>
      <c r="X21" s="114"/>
      <c r="Y21" s="114"/>
      <c r="Z21" s="114"/>
    </row>
    <row r="22" spans="2:27" ht="6.75" customHeight="1" x14ac:dyDescent="0.2">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
      <c r="B23" s="523" t="s">
        <v>94</v>
      </c>
      <c r="C23" s="524"/>
      <c r="D23" s="524"/>
      <c r="E23" s="524"/>
      <c r="F23" s="524"/>
      <c r="G23" s="524"/>
      <c r="H23" s="524"/>
      <c r="I23" s="524"/>
      <c r="J23" s="524"/>
      <c r="K23" s="524"/>
      <c r="L23" s="524"/>
      <c r="M23" s="524"/>
      <c r="N23" s="524"/>
      <c r="O23" s="524"/>
      <c r="P23" s="524"/>
      <c r="Q23" s="524"/>
      <c r="R23" s="524"/>
      <c r="S23" s="524"/>
      <c r="T23" s="524"/>
      <c r="U23" s="524"/>
      <c r="V23" s="524"/>
      <c r="W23" s="525"/>
      <c r="X23" s="115"/>
      <c r="Y23" s="115"/>
      <c r="Z23" s="115"/>
    </row>
    <row r="24" spans="2:27" ht="13.5" customHeight="1" x14ac:dyDescent="0.2">
      <c r="B24" s="311"/>
      <c r="C24" s="527" t="s">
        <v>199</v>
      </c>
      <c r="D24" s="527"/>
      <c r="E24" s="527"/>
      <c r="F24" s="526" t="str">
        <f ca="1">CONCATENATE(IF('Densidade do AR'!G4="-","-",ROUND('Densidade do AR'!G4,1))," %ur")</f>
        <v>49 %ur</v>
      </c>
      <c r="G24" s="526"/>
      <c r="H24" s="312"/>
      <c r="I24" s="313"/>
      <c r="J24" s="528" t="s">
        <v>201</v>
      </c>
      <c r="K24" s="528"/>
      <c r="L24" s="528"/>
      <c r="M24" s="529" t="str">
        <f ca="1">CONCATENATE(IF('Densidade do AR'!G3="-","-",ROUND('Densidade do AR'!G3,1))," hPa")</f>
        <v>1021 hPa</v>
      </c>
      <c r="N24" s="529"/>
      <c r="O24" s="314"/>
      <c r="P24" s="527" t="s">
        <v>200</v>
      </c>
      <c r="Q24" s="527"/>
      <c r="R24" s="527"/>
      <c r="S24" s="527"/>
      <c r="T24" s="526" t="str">
        <f ca="1">CONCATENATE(IF('Densidade do AR'!G5="-","-",ROUND('Densidade do AR'!G5,1))," °C")</f>
        <v>34,1 °C</v>
      </c>
      <c r="U24" s="526"/>
      <c r="V24" s="312"/>
      <c r="W24" s="315"/>
      <c r="X24" s="110"/>
      <c r="Y24" s="110"/>
      <c r="Z24" s="110"/>
    </row>
    <row r="25" spans="2:27" ht="12.75" customHeight="1" x14ac:dyDescent="0.2">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
      <c r="B26" s="515" t="s">
        <v>79</v>
      </c>
      <c r="C26" s="516"/>
      <c r="D26" s="516"/>
      <c r="E26" s="516"/>
      <c r="F26" s="516"/>
      <c r="G26" s="516"/>
      <c r="H26" s="516"/>
      <c r="I26" s="517" t="str">
        <f>IF('Entrada de Dados'!D23="","-",'Entrada de Dados'!D23)</f>
        <v>quilograma (kg)</v>
      </c>
      <c r="J26" s="517"/>
      <c r="K26" s="517"/>
      <c r="L26" s="518"/>
      <c r="M26" s="96"/>
      <c r="N26" s="71"/>
      <c r="O26" s="519" t="s">
        <v>39</v>
      </c>
      <c r="P26" s="520"/>
      <c r="Q26" s="520"/>
      <c r="R26" s="520"/>
      <c r="S26" s="517" t="s">
        <v>197</v>
      </c>
      <c r="T26" s="517"/>
      <c r="U26" s="517"/>
      <c r="V26" s="517"/>
      <c r="W26" s="518"/>
      <c r="X26" s="128"/>
      <c r="Y26" s="128"/>
      <c r="Z26" s="128"/>
    </row>
    <row r="27" spans="2:27" ht="15" customHeight="1" x14ac:dyDescent="0.2">
      <c r="B27" s="510"/>
      <c r="C27" s="510"/>
      <c r="D27" s="510"/>
      <c r="E27" s="510"/>
      <c r="F27" s="510"/>
      <c r="G27" s="510"/>
      <c r="H27" s="510"/>
      <c r="I27" s="510"/>
      <c r="J27" s="510"/>
      <c r="K27" s="510"/>
      <c r="L27" s="510"/>
      <c r="M27" s="510"/>
      <c r="N27" s="510"/>
      <c r="O27" s="510"/>
      <c r="P27" s="510"/>
      <c r="Q27" s="510"/>
      <c r="R27" s="510"/>
      <c r="S27" s="510"/>
      <c r="T27" s="510"/>
      <c r="U27" s="510"/>
      <c r="V27" s="510"/>
      <c r="W27" s="510"/>
      <c r="X27" s="108"/>
      <c r="Y27" s="108"/>
      <c r="Z27" s="108"/>
    </row>
    <row r="28" spans="2:27" ht="15" customHeight="1" x14ac:dyDescent="0.2">
      <c r="B28" s="502" t="s">
        <v>150</v>
      </c>
      <c r="C28" s="502"/>
      <c r="D28" s="502"/>
      <c r="E28" s="502"/>
      <c r="F28" s="502"/>
      <c r="G28" s="502"/>
      <c r="H28" s="502"/>
      <c r="I28" s="502"/>
      <c r="J28" s="502"/>
      <c r="K28" s="502"/>
      <c r="L28" s="502"/>
      <c r="M28" s="502"/>
      <c r="N28" s="502"/>
      <c r="O28" s="502"/>
      <c r="P28" s="502"/>
      <c r="Q28" s="502"/>
      <c r="R28" s="502"/>
      <c r="S28" s="502"/>
      <c r="T28" s="502"/>
      <c r="U28" s="521"/>
      <c r="V28" s="522"/>
      <c r="W28" s="522"/>
      <c r="X28" s="108"/>
      <c r="Y28" s="108"/>
      <c r="Z28" s="108"/>
    </row>
    <row r="29" spans="2:27" ht="6.75" customHeight="1" x14ac:dyDescent="0.2">
      <c r="B29"/>
      <c r="C29"/>
      <c r="X29" s="108"/>
      <c r="Y29" s="108"/>
      <c r="Z29" s="108"/>
    </row>
    <row r="30" spans="2:27" ht="15" customHeight="1" x14ac:dyDescent="0.2">
      <c r="B30"/>
      <c r="C30"/>
      <c r="D30" s="530" t="s">
        <v>151</v>
      </c>
      <c r="E30" s="531"/>
      <c r="F30" s="531"/>
      <c r="G30" s="531"/>
      <c r="H30" s="531" t="s">
        <v>152</v>
      </c>
      <c r="I30" s="531"/>
      <c r="J30" s="531"/>
      <c r="K30" s="532" t="s">
        <v>153</v>
      </c>
      <c r="L30" s="532"/>
      <c r="M30" s="532"/>
      <c r="N30" s="532"/>
      <c r="O30" s="532" t="s">
        <v>89</v>
      </c>
      <c r="P30" s="532"/>
      <c r="Q30" s="532"/>
      <c r="R30" s="532"/>
      <c r="S30" s="532" t="s">
        <v>154</v>
      </c>
      <c r="T30" s="532"/>
      <c r="U30" s="533"/>
      <c r="X30" s="108"/>
      <c r="Y30" s="108"/>
      <c r="Z30" s="108"/>
    </row>
    <row r="31" spans="2:27" ht="24" customHeight="1" x14ac:dyDescent="0.2">
      <c r="B31"/>
      <c r="C31"/>
      <c r="D31" s="534" t="str">
        <f>IF('Entrada de Dados'!U23="","--------",'Entrada de Dados'!U23)</f>
        <v>MC-3186224</v>
      </c>
      <c r="E31" s="535"/>
      <c r="F31" s="535"/>
      <c r="G31" s="535" t="str">
        <f>IF(D31="--------","-----","Termohigrômetro e Barômetro")</f>
        <v>Termohigrômetro e Barômetro</v>
      </c>
      <c r="H31" s="535"/>
      <c r="I31" s="535"/>
      <c r="J31" s="535"/>
      <c r="K31" s="536" t="str">
        <f>IF(D31="--------","-----",INDEX('Dados dos Padrões'!$X$6:$AR$1000000,MATCH('Sem ajuste+Declaração'!D31,'Dados dos Padrões'!$X$6:$X$1000000,0),6))</f>
        <v>2611.08/23</v>
      </c>
      <c r="L31" s="536"/>
      <c r="M31" s="536"/>
      <c r="N31" s="536"/>
      <c r="O31" s="537">
        <f>IF(D31="--------","-----",INDEX('Dados dos Padrões'!$X$6:$AR$1000000,MATCH('Sem ajuste+Declaração'!D31,'Dados dos Padrões'!$X$6:$X$1000000,0),12))</f>
        <v>45535</v>
      </c>
      <c r="P31" s="537"/>
      <c r="Q31" s="537"/>
      <c r="R31" s="537"/>
      <c r="S31" s="535" t="str">
        <f>IF(D31="--------","-----",INDEX('Dados dos Padrões'!$X$6:$AR$1000000,MATCH('Sem ajuste+Declaração'!D31,'Dados dos Padrões'!$X$6:$X$1000000,0),17))</f>
        <v>CAL 0XXX</v>
      </c>
      <c r="T31" s="535"/>
      <c r="U31" s="538"/>
      <c r="X31" s="108"/>
      <c r="Y31" s="108"/>
      <c r="Z31" s="108"/>
    </row>
    <row r="32" spans="2:27" ht="15" customHeight="1" x14ac:dyDescent="0.2">
      <c r="B32"/>
      <c r="C32"/>
      <c r="D32" s="539" t="str">
        <f>IF('Entrada de Dados'!P28="","",'Entrada de Dados'!P28)</f>
        <v>25 x 20kg</v>
      </c>
      <c r="E32" s="539"/>
      <c r="F32" s="539"/>
      <c r="G32" s="539" t="str">
        <f>IF(D32="","","Conjunto de Massa")</f>
        <v>Conjunto de Massa</v>
      </c>
      <c r="H32" s="539"/>
      <c r="I32" s="539"/>
      <c r="J32" s="539"/>
      <c r="K32" s="540" t="str">
        <f>IF(D32="","",INDEX('Dados dos Padrões'!$B$6:$V$1000000,MATCH('Sem ajuste+Declaração'!D32,'Dados dos Padrões'!$B$6:$B$1000000,0),6))</f>
        <v>P-421</v>
      </c>
      <c r="L32" s="540"/>
      <c r="M32" s="540"/>
      <c r="N32" s="540"/>
      <c r="O32" s="541">
        <f>IF(D32="","",INDEX('Dados dos Padrões'!$B$6:$V$1000000,MATCH('Sem ajuste+Declaração'!D32,'Dados dos Padrões'!$B$6:$B$1000000,0),12))</f>
        <v>45417</v>
      </c>
      <c r="P32" s="541"/>
      <c r="Q32" s="541"/>
      <c r="R32" s="541"/>
      <c r="S32" s="539" t="str">
        <f>IF(D32="","",INDEX('Dados dos Padrões'!$B$6:$V$1000000,MATCH('Sem ajuste+Declaração'!D32,'Dados dos Padrões'!$B$6:$B$1000000,0),17))</f>
        <v>CAL 0460</v>
      </c>
      <c r="T32" s="539"/>
      <c r="U32" s="539"/>
      <c r="V32" s="136"/>
      <c r="W32" s="136"/>
      <c r="X32" s="108"/>
      <c r="Y32" s="108"/>
      <c r="Z32" s="108"/>
    </row>
    <row r="33" spans="1:44" ht="15" customHeight="1" x14ac:dyDescent="0.2">
      <c r="B33"/>
      <c r="C33"/>
      <c r="D33" s="539" t="str">
        <f>IF('Entrada de Dados'!P29="","",'Entrada de Dados'!P29)</f>
        <v>22 x 500kg</v>
      </c>
      <c r="E33" s="539"/>
      <c r="F33" s="539"/>
      <c r="G33" s="539" t="str">
        <f t="shared" ref="G33:G36" si="0">IF(D33="","","Conjunto de Massa")</f>
        <v>Conjunto de Massa</v>
      </c>
      <c r="H33" s="539"/>
      <c r="I33" s="539"/>
      <c r="J33" s="539"/>
      <c r="K33" s="540" t="str">
        <f>IF(D33="","",INDEX('Dados dos Padrões'!$B$6:$V$1000000,MATCH('Sem ajuste+Declaração'!D33,'Dados dos Padrões'!$B$6:$B$1000000,0),6))</f>
        <v>MA-00083</v>
      </c>
      <c r="L33" s="540"/>
      <c r="M33" s="540"/>
      <c r="N33" s="540"/>
      <c r="O33" s="541">
        <f>IF(D33="","",INDEX('Dados dos Padrões'!$B$6:$V$1000000,MATCH('Sem ajuste+Declaração'!D33,'Dados dos Padrões'!$B$6:$B$1000000,0),12))</f>
        <v>45557</v>
      </c>
      <c r="P33" s="541"/>
      <c r="Q33" s="541"/>
      <c r="R33" s="541"/>
      <c r="S33" s="539" t="str">
        <f>IF(D33="","",INDEX('Dados dos Padrões'!$B$6:$V$1000000,MATCH('Sem ajuste+Declaração'!D33,'Dados dos Padrões'!$B$6:$B$1000000,0),17))</f>
        <v>CAL 0268</v>
      </c>
      <c r="T33" s="539"/>
      <c r="U33" s="539"/>
      <c r="V33" s="136"/>
      <c r="W33" s="136"/>
      <c r="X33" s="108"/>
      <c r="Y33" s="108"/>
      <c r="Z33" s="108"/>
    </row>
    <row r="34" spans="1:44" ht="15" customHeight="1" x14ac:dyDescent="0.2">
      <c r="B34"/>
      <c r="C34"/>
      <c r="D34" s="539" t="str">
        <f>IF('Entrada de Dados'!P30="","",'Entrada de Dados'!P30)</f>
        <v/>
      </c>
      <c r="E34" s="539"/>
      <c r="F34" s="539"/>
      <c r="G34" s="539" t="str">
        <f t="shared" si="0"/>
        <v/>
      </c>
      <c r="H34" s="539"/>
      <c r="I34" s="539"/>
      <c r="J34" s="539"/>
      <c r="K34" s="540" t="str">
        <f>IF(D34="","",INDEX('Dados dos Padrões'!$B$6:$V$1000000,MATCH('Sem ajuste+Declaração'!D34,'Dados dos Padrões'!$B$6:$B$1000000,0),6))</f>
        <v/>
      </c>
      <c r="L34" s="540"/>
      <c r="M34" s="540"/>
      <c r="N34" s="540"/>
      <c r="O34" s="541" t="str">
        <f>IF(D34="","",INDEX('Dados dos Padrões'!$B$6:$V$1000000,MATCH('Sem ajuste+Declaração'!D34,'Dados dos Padrões'!$B$6:$B$1000000,0),12))</f>
        <v/>
      </c>
      <c r="P34" s="541"/>
      <c r="Q34" s="541"/>
      <c r="R34" s="541"/>
      <c r="S34" s="539" t="str">
        <f>IF(D34="","",INDEX('Dados dos Padrões'!$B$6:$V$1000000,MATCH('Sem ajuste+Declaração'!D34,'Dados dos Padrões'!$B$6:$B$1000000,0),17))</f>
        <v/>
      </c>
      <c r="T34" s="539"/>
      <c r="U34" s="539"/>
      <c r="V34" s="136"/>
      <c r="W34" s="136"/>
      <c r="X34" s="108"/>
      <c r="Y34" s="108"/>
      <c r="Z34" s="108"/>
    </row>
    <row r="35" spans="1:44" ht="15" customHeight="1" x14ac:dyDescent="0.2">
      <c r="B35"/>
      <c r="C35"/>
      <c r="D35" s="539" t="str">
        <f>IF('Entrada de Dados'!P31="","",'Entrada de Dados'!P31)</f>
        <v/>
      </c>
      <c r="E35" s="539"/>
      <c r="F35" s="539"/>
      <c r="G35" s="539" t="str">
        <f t="shared" si="0"/>
        <v/>
      </c>
      <c r="H35" s="539"/>
      <c r="I35" s="539"/>
      <c r="J35" s="539"/>
      <c r="K35" s="540" t="str">
        <f>IF(D35="","",INDEX('Dados dos Padrões'!$B$6:$V$1000000,MATCH('Sem ajuste+Declaração'!D35,'Dados dos Padrões'!$B$6:$B$1000000,0),6))</f>
        <v/>
      </c>
      <c r="L35" s="540"/>
      <c r="M35" s="540"/>
      <c r="N35" s="540"/>
      <c r="O35" s="541" t="str">
        <f>IF(D35="","",INDEX('Dados dos Padrões'!$B$6:$V$1000000,MATCH('Sem ajuste+Declaração'!D35,'Dados dos Padrões'!$B$6:$B$1000000,0),12))</f>
        <v/>
      </c>
      <c r="P35" s="541"/>
      <c r="Q35" s="541"/>
      <c r="R35" s="541"/>
      <c r="S35" s="539" t="str">
        <f>IF(D35="","",INDEX('Dados dos Padrões'!$B$6:$V$1000000,MATCH('Sem ajuste+Declaração'!D35,'Dados dos Padrões'!$B$6:$B$1000000,0),17))</f>
        <v/>
      </c>
      <c r="T35" s="539"/>
      <c r="U35" s="539"/>
      <c r="V35" s="136"/>
      <c r="W35" s="136"/>
      <c r="X35" s="108"/>
      <c r="Y35" s="108"/>
      <c r="Z35" s="108"/>
    </row>
    <row r="36" spans="1:44" ht="15" customHeight="1" x14ac:dyDescent="0.2">
      <c r="B36"/>
      <c r="C36"/>
      <c r="D36" s="539" t="str">
        <f>IF('Entrada de Dados'!P32="","",'Entrada de Dados'!P32)</f>
        <v/>
      </c>
      <c r="E36" s="539"/>
      <c r="F36" s="539"/>
      <c r="G36" s="539" t="str">
        <f t="shared" si="0"/>
        <v/>
      </c>
      <c r="H36" s="539"/>
      <c r="I36" s="539"/>
      <c r="J36" s="539"/>
      <c r="K36" s="540" t="str">
        <f>IF(D36="","",INDEX('Dados dos Padrões'!$B$6:$V$1000000,MATCH('Sem ajuste+Declaração'!D36,'Dados dos Padrões'!$B$6:$B$1000000,0),6))</f>
        <v/>
      </c>
      <c r="L36" s="540"/>
      <c r="M36" s="540"/>
      <c r="N36" s="540"/>
      <c r="O36" s="541" t="str">
        <f>IF(D36="","",INDEX('Dados dos Padrões'!$B$6:$V$1000000,MATCH('Sem ajuste+Declaração'!D36,'Dados dos Padrões'!$B$6:$B$1000000,0),12))</f>
        <v/>
      </c>
      <c r="P36" s="541"/>
      <c r="Q36" s="541"/>
      <c r="R36" s="541"/>
      <c r="S36" s="539" t="str">
        <f>IF(D36="","",INDEX('Dados dos Padrões'!$B$6:$V$1000000,MATCH('Sem ajuste+Declaração'!D36,'Dados dos Padrões'!$B$6:$B$1000000,0),17))</f>
        <v/>
      </c>
      <c r="T36" s="539"/>
      <c r="U36" s="539"/>
      <c r="V36" s="136"/>
      <c r="W36" s="136"/>
      <c r="X36" s="108"/>
      <c r="Y36" s="108"/>
      <c r="Z36" s="108"/>
    </row>
    <row r="37" spans="1:44" ht="15" customHeight="1" x14ac:dyDescent="0.2">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x14ac:dyDescent="0.2">
      <c r="B38" s="502" t="s">
        <v>157</v>
      </c>
      <c r="C38" s="502"/>
      <c r="D38" s="502"/>
      <c r="E38" s="502"/>
      <c r="F38" s="502"/>
      <c r="G38" s="502"/>
      <c r="H38" s="502"/>
      <c r="I38" s="502"/>
      <c r="J38" s="502"/>
      <c r="K38" s="502"/>
      <c r="L38" s="502"/>
      <c r="M38" s="502"/>
      <c r="N38" s="502"/>
      <c r="O38" s="502"/>
      <c r="P38" s="502"/>
      <c r="Q38" s="502"/>
      <c r="R38" s="502"/>
      <c r="S38" s="502"/>
      <c r="T38" s="502"/>
      <c r="U38" s="39"/>
      <c r="V38" s="39"/>
      <c r="W38" s="39"/>
    </row>
    <row r="39" spans="1:44" ht="6.95" customHeight="1" x14ac:dyDescent="0.2">
      <c r="B39" s="483"/>
      <c r="C39" s="483"/>
      <c r="D39" s="483"/>
      <c r="E39" s="483"/>
      <c r="F39" s="483"/>
      <c r="G39" s="483"/>
      <c r="H39" s="483"/>
      <c r="I39" s="483"/>
      <c r="J39" s="483"/>
      <c r="K39" s="483"/>
      <c r="L39" s="483"/>
      <c r="M39" s="483"/>
      <c r="N39" s="483"/>
      <c r="O39" s="483"/>
      <c r="P39" s="483"/>
      <c r="Q39" s="483"/>
      <c r="R39" s="483"/>
      <c r="S39" s="483"/>
      <c r="T39" s="483"/>
      <c r="U39" s="483"/>
      <c r="V39" s="483"/>
      <c r="W39" s="483"/>
      <c r="X39" s="116"/>
      <c r="Y39" s="116"/>
      <c r="Z39" s="116"/>
    </row>
    <row r="40" spans="1:44" ht="15.75" customHeight="1" x14ac:dyDescent="0.2">
      <c r="B40" s="556" t="s">
        <v>33</v>
      </c>
      <c r="C40" s="557"/>
      <c r="D40" s="557"/>
      <c r="E40" s="558"/>
      <c r="F40" s="556" t="s">
        <v>235</v>
      </c>
      <c r="G40" s="557"/>
      <c r="H40" s="557"/>
      <c r="I40" s="558"/>
      <c r="J40" s="556" t="s">
        <v>233</v>
      </c>
      <c r="K40" s="557"/>
      <c r="L40" s="558"/>
      <c r="M40" s="556" t="s">
        <v>158</v>
      </c>
      <c r="N40" s="557"/>
      <c r="O40" s="557"/>
      <c r="P40" s="558"/>
      <c r="Q40" s="556" t="s">
        <v>159</v>
      </c>
      <c r="R40" s="557"/>
      <c r="S40" s="558"/>
      <c r="T40" s="559" t="s">
        <v>160</v>
      </c>
      <c r="U40" s="560"/>
      <c r="V40" s="560"/>
      <c r="W40" s="561"/>
      <c r="X40" s="117"/>
      <c r="Y40" s="117"/>
      <c r="Z40" s="117"/>
    </row>
    <row r="41" spans="1:44" ht="15.75" customHeight="1" x14ac:dyDescent="0.2">
      <c r="B41" s="565" t="s">
        <v>221</v>
      </c>
      <c r="C41" s="566"/>
      <c r="D41" s="543" t="s">
        <v>223</v>
      </c>
      <c r="E41" s="544"/>
      <c r="F41" s="542" t="s">
        <v>162</v>
      </c>
      <c r="G41" s="543"/>
      <c r="H41" s="543"/>
      <c r="I41" s="544"/>
      <c r="J41" s="542" t="s">
        <v>234</v>
      </c>
      <c r="K41" s="543"/>
      <c r="L41" s="544"/>
      <c r="M41" s="542" t="s">
        <v>98</v>
      </c>
      <c r="N41" s="543"/>
      <c r="O41" s="543"/>
      <c r="P41" s="544"/>
      <c r="Q41" s="542" t="s">
        <v>163</v>
      </c>
      <c r="R41" s="543"/>
      <c r="S41" s="544"/>
      <c r="T41" s="542" t="s">
        <v>164</v>
      </c>
      <c r="U41" s="543"/>
      <c r="V41" s="543"/>
      <c r="W41" s="544"/>
      <c r="X41" s="117"/>
      <c r="Y41" s="117"/>
      <c r="Z41" s="117"/>
    </row>
    <row r="42" spans="1:44" ht="9.75" customHeight="1" thickBot="1" x14ac:dyDescent="0.25">
      <c r="B42" s="565"/>
      <c r="C42" s="566"/>
      <c r="D42" s="543"/>
      <c r="E42" s="544"/>
      <c r="F42" s="542"/>
      <c r="G42" s="543"/>
      <c r="H42" s="543"/>
      <c r="I42" s="544"/>
      <c r="J42" s="542"/>
      <c r="K42" s="543"/>
      <c r="L42" s="544"/>
      <c r="M42" s="542"/>
      <c r="N42" s="543"/>
      <c r="O42" s="543"/>
      <c r="P42" s="544"/>
      <c r="Q42" s="542"/>
      <c r="R42" s="543"/>
      <c r="S42" s="544"/>
      <c r="T42" s="542"/>
      <c r="U42" s="543"/>
      <c r="V42" s="543"/>
      <c r="W42" s="544"/>
      <c r="X42" s="117"/>
      <c r="Y42" s="117"/>
      <c r="Z42" s="117"/>
      <c r="AO42" s="226" t="s">
        <v>244</v>
      </c>
    </row>
    <row r="43" spans="1:44" ht="9.75" customHeight="1" x14ac:dyDescent="0.2">
      <c r="B43" s="562" t="str">
        <f>IF($I$26="micrograma (µg)","(µg)",IF($I$26="miligrama (mg)","(mg)",IF($I$26="grama (g)","(g)",IF($I$26="Quilograma (kg)","(kg)",IF($I$26="tonelada (t)","(t)","-")))))</f>
        <v>(kg)</v>
      </c>
      <c r="C43" s="563"/>
      <c r="D43" s="563" t="str">
        <f>IF($I$26="micrograma (µg)","(µg)",IF($I$26="miligrama (mg)","(mg)",IF($I$26="grama (g)","(g)",IF($I$26="Quilograma (kg)","(kg)",IF($I$26="tonelada (t)","(t)","-")))))</f>
        <v>(kg)</v>
      </c>
      <c r="E43" s="564"/>
      <c r="F43" s="562" t="str">
        <f>IF($I$26="micrograma (µg)","(µg)",IF($I$26="miligrama (mg)","(mg)",IF($I$26="grama (g)","(g)",IF($I$26="Quilograma (kg)","(kg)",IF($I$26="tonelada (t)","(t)","-")))))</f>
        <v>(kg)</v>
      </c>
      <c r="G43" s="563"/>
      <c r="H43" s="563"/>
      <c r="I43" s="564"/>
      <c r="J43" s="562" t="str">
        <f>IF($I$26="micrograma (µg)","(µg)",IF($I$26="miligrama (mg)","(mg)",IF($I$26="grama (g)","(g)",IF($I$26="Quilograma (kg)","(kg)",IF($I$26="tonelada (t)","(t)","-")))))</f>
        <v>(kg)</v>
      </c>
      <c r="K43" s="563"/>
      <c r="L43" s="564"/>
      <c r="M43" s="562" t="str">
        <f>IF($I$26="micrograma (µg)","(µg)",IF($I$26="miligrama (mg)","(mg)",IF($I$26="grama (g)","(g)",IF($I$26="Quilograma (kg)","(kg)",IF($I$26="tonelada (t)","(t)","-")))))</f>
        <v>(kg)</v>
      </c>
      <c r="N43" s="563"/>
      <c r="O43" s="563"/>
      <c r="P43" s="564"/>
      <c r="Q43" s="545"/>
      <c r="R43" s="546"/>
      <c r="S43" s="547"/>
      <c r="T43" s="545"/>
      <c r="U43" s="546"/>
      <c r="V43" s="546"/>
      <c r="W43" s="547"/>
      <c r="X43" s="117"/>
      <c r="Y43" s="117"/>
      <c r="Z43" s="117"/>
      <c r="AO43" s="227" t="s">
        <v>245</v>
      </c>
      <c r="AP43" s="228" t="s">
        <v>246</v>
      </c>
      <c r="AQ43" s="228" t="s">
        <v>247</v>
      </c>
      <c r="AR43" s="229" t="s">
        <v>1</v>
      </c>
    </row>
    <row r="44" spans="1:44" ht="14.1" customHeight="1" x14ac:dyDescent="0.2">
      <c r="A44" s="145">
        <v>1</v>
      </c>
      <c r="B44" s="551" t="str">
        <f ca="1">IF('Entrada de Dados'!D29="","-",(FIXED(('Entrada de Dados'!D29),IF(Cálculo!$CT$259&lt;1,LEN(Cálculo!$CT$259)-SEARCH(",",Cálculo!$CT$259),LEN(Cálculo!$CT$259)))))</f>
        <v>400,00</v>
      </c>
      <c r="C44" s="552"/>
      <c r="D44" s="553" t="str">
        <f ca="1">IF(B44="-","-",IF(Cálculo!$BT$5="",IF(T24="-","-",IF(Cálculo!$CT$259&lt;1,FIXED(0,LEN(Cálculo!$CT$259)-SEARCH(",",Cálculo!$CT$259)),FIXED(0,LEN(Cálculo!$CT$259)))),IF(Cálculo!$CP$258="-","-",(IF(Cálculo!$CT$259&lt;1,(FIXED(Cálculo!$CP$258,LEN(Cálculo!$CT$259)-SEARCH(",",Cálculo!$CT$259))),FIXED(Cálculo!$CP$258,LEN(Cálculo!$CT$259)))))))</f>
        <v>400,00</v>
      </c>
      <c r="E44" s="553"/>
      <c r="F44" s="554" t="str">
        <f ca="1">(IF('Entrada de Dados'!H29="","-",IF(Cálculo!$CT$259&lt;1,FIXED(MROUND(AVERAGE('Entrada de Dados'!H29:M29),Cálculo!$CT$259),LEN(Cálculo!$CT$259)-SEARCH(",",Cálculo!$CT$259)),FIXED(MROUND(AVERAGE('Entrada de Dados'!H29:M29),Cálculo!$CT$259),LEN(Cálculo!$CT$259)))))</f>
        <v>400,00</v>
      </c>
      <c r="G44" s="554"/>
      <c r="H44" s="554"/>
      <c r="I44" s="554"/>
      <c r="J44" s="555" t="str">
        <f ca="1">(IF('Entrada de Dados'!H29="","-",CONCATENATE(IF('Entrada de Dados'!H29="","",IF(MROUND(ABS(F44-D44),Cálculo!$CT$259)=0,"",IF((F44-D44)&gt;0,"+","-")))," ",IF(Cálculo!$CT$259&lt;1,FIXED(MROUND(ABS(F44-D44),Cálculo!$CT$259),(LEN(Cálculo!$CT$259)-SEARCH(",",Cálculo!$CT$259))),FIXED(MROUND(ABS(F44-D44),Cálculo!$CT$259),LEN(Cálculo!$CT$259))))))</f>
        <v xml:space="preserve"> 0,00</v>
      </c>
      <c r="K44" s="555"/>
      <c r="L44" s="555"/>
      <c r="M44" s="554" t="str">
        <f ca="1">IF(Cálculo!$CP$269="-","-",CONCATENATE(IF(Cálculo!$CT$259&lt;1,FIXED(MROUND(Cálculo!$CP$269,Cálculo!$CT$259),(LEN(Cálculo!$CT$259)-SEARCH(",",Cálculo!$CT$259))),FIXED(MROUND(Cálculo!$CP$269,Cálculo!$CT$259),(LEN(Cálculo!$CT$259))))))</f>
        <v>20,00</v>
      </c>
      <c r="N44" s="554"/>
      <c r="O44" s="554"/>
      <c r="P44" s="554"/>
      <c r="Q44" s="576">
        <f ca="1">Cálculo!CP268</f>
        <v>2</v>
      </c>
      <c r="R44" s="576"/>
      <c r="S44" s="576"/>
      <c r="T44" s="574" t="str">
        <f ca="1">Cálculo!CP267</f>
        <v>¥</v>
      </c>
      <c r="U44" s="574"/>
      <c r="V44" s="574"/>
      <c r="W44" s="575"/>
      <c r="X44" s="118"/>
      <c r="Y44" s="118"/>
      <c r="Z44" s="118"/>
      <c r="AO44" s="230">
        <f ca="1">IFERROR(VALUE(Cálculo!$CP$258),"")</f>
        <v>400.0001045360745</v>
      </c>
      <c r="AP44" s="231">
        <f ca="1">IFERROR(VALUE(F44),"")</f>
        <v>400</v>
      </c>
      <c r="AQ44" s="231">
        <f ca="1">IFERROR((FIXED(SLOPE((OFFSET($AO$44,,,(5-COUNTBLANK($AO$44:$AO$47)),1)),(OFFSET($AP$44,,,(5-COUNTBLANK($AP$44:$AP$47)),1))),4)*F44)+FIXED(INTERCEPT((OFFSET($AO$44,,,(5-COUNTBLANK($AO$44:$AO$47)),1)),(OFFSET($AP$44,,,(5-COUNTBLANK($AP$44:$AP$47)),1))),4),"")</f>
        <v>399.9991</v>
      </c>
      <c r="AR44" s="232">
        <f ca="1">IFERROR(ABS(AO44-AQ44),"")</f>
        <v>1.0045360745039034E-3</v>
      </c>
    </row>
    <row r="45" spans="1:44" ht="14.1" customHeight="1" x14ac:dyDescent="0.2">
      <c r="A45" s="145">
        <v>2</v>
      </c>
      <c r="B45" s="551" t="str">
        <f ca="1">IF('Entrada de Dados'!D30="","-",(FIXED(('Entrada de Dados'!D30),IF(Cálculo!$DU$259&lt;1,LEN(Cálculo!$DU$259)-SEARCH(",",Cálculo!$DU$259),LEN(Cálculo!$DU$259)))))</f>
        <v>5.000,00</v>
      </c>
      <c r="C45" s="552"/>
      <c r="D45" s="553" t="str">
        <f ca="1">IF(B45="-","-",IF(Cálculo!$BT$5="",IF(T25="-","-",IF(Cálculo!$DU$259&lt;1,FIXED(0,LEN(Cálculo!$DU$259)-SEARCH(",",Cálculo!$DU$259)),FIXED(0,LEN(Cálculo!$DU$259)))),IF(Cálculo!$DQ$258="-","-",(IF(Cálculo!$DU$259&lt;1,(FIXED(Cálculo!$DQ$258,LEN(Cálculo!$DU$259)-SEARCH(",",Cálculo!$DU$259))),FIXED(Cálculo!$DQ$258,LEN(Cálculo!$DU$259)))))))</f>
        <v>5.000,00</v>
      </c>
      <c r="E45" s="553"/>
      <c r="F45" s="554" t="str">
        <f ca="1">(IF('Entrada de Dados'!H30="","-",IF(Cálculo!$DU$259&lt;1,FIXED(MROUND(AVERAGE('Entrada de Dados'!H30:M30),Cálculo!$DU$259),LEN(Cálculo!$DU$259)-SEARCH(",",Cálculo!$DU$259)),FIXED(MROUND(AVERAGE('Entrada de Dados'!H30:M30),Cálculo!$DU$259),LEN(Cálculo!$DU$259)))))</f>
        <v>5.000,00</v>
      </c>
      <c r="G45" s="554"/>
      <c r="H45" s="554"/>
      <c r="I45" s="554"/>
      <c r="J45" s="555" t="str">
        <f ca="1">(IF('Entrada de Dados'!H30="","-",CONCATENATE(IF('Entrada de Dados'!H30="","",IF(MROUND(ABS(F45-D45),Cálculo!$DU$259)=0,"",IF((F45-D45)&gt;0,"+","-")))," ",IF(Cálculo!$DU$259&lt;1,FIXED(MROUND(ABS(F45-D45),Cálculo!$DU$259),(LEN(Cálculo!$DU$259)-SEARCH(",",Cálculo!$DU$259))),FIXED(MROUND(ABS(F45-D45),Cálculo!$DU$259),LEN(Cálculo!$DU$259))))))</f>
        <v xml:space="preserve"> 0,00</v>
      </c>
      <c r="K45" s="555"/>
      <c r="L45" s="555"/>
      <c r="M45" s="554" t="str">
        <f ca="1">IF(Cálculo!$DQ$269="-","-",CONCATENATE(IF(Cálculo!$DU$259&lt;1,FIXED(MROUND(Cálculo!$DQ$269,Cálculo!$DU$259),(LEN(Cálculo!$DU$259)-SEARCH(",",Cálculo!$DU$259))),FIXED(MROUND(Cálculo!$DQ$269,Cálculo!$DU$259),(LEN(Cálculo!$DU$259))))))</f>
        <v>20,00</v>
      </c>
      <c r="N45" s="554"/>
      <c r="O45" s="554"/>
      <c r="P45" s="554"/>
      <c r="Q45" s="576">
        <f ca="1">Cálculo!$DQ$268</f>
        <v>2</v>
      </c>
      <c r="R45" s="576"/>
      <c r="S45" s="576"/>
      <c r="T45" s="574" t="str">
        <f ca="1">Cálculo!$DQ$267</f>
        <v>¥</v>
      </c>
      <c r="U45" s="574"/>
      <c r="V45" s="574"/>
      <c r="W45" s="575"/>
      <c r="X45" s="118"/>
      <c r="Y45" s="118"/>
      <c r="Z45" s="118"/>
      <c r="AO45" s="230">
        <f ca="1">IFERROR(VALUE(Cálculo!$DQ$258),"")</f>
        <v>4999.9963066996279</v>
      </c>
      <c r="AP45" s="231">
        <f ca="1">IFERROR(VALUE(F45),"")</f>
        <v>5000</v>
      </c>
      <c r="AQ45" s="231">
        <f t="shared" ref="AQ45:AQ47" ca="1" si="1">IFERROR((FIXED(SLOPE((OFFSET($AO$44,,,(5-COUNTBLANK($AO$44:$AO$47)),1)),(OFFSET($AP$44,,,(5-COUNTBLANK($AP$44:$AP$47)),1))),4)*F45)+FIXED(INTERCEPT((OFFSET($AO$44,,,(5-COUNTBLANK($AO$44:$AO$47)),1)),(OFFSET($AP$44,,,(5-COUNTBLANK($AP$44:$AP$47)),1))),4),"")</f>
        <v>4999.9991</v>
      </c>
      <c r="AR45" s="232">
        <f ca="1">IFERROR(ABS(AO45-AQ45),"")</f>
        <v>2.7933003721045679E-3</v>
      </c>
    </row>
    <row r="46" spans="1:44" ht="14.1" customHeight="1" x14ac:dyDescent="0.2">
      <c r="A46" s="145">
        <v>3</v>
      </c>
      <c r="B46" s="551" t="str">
        <f ca="1">IF('Entrada de Dados'!D31="","-",(FIXED(('Entrada de Dados'!D31),IF(Cálculo!$EV$259&lt;1,LEN(Cálculo!$EV$259)-SEARCH(",",Cálculo!$EV$259),LEN(Cálculo!$EV$259)))))</f>
        <v>10.000,00</v>
      </c>
      <c r="C46" s="552"/>
      <c r="D46" s="553" t="str">
        <f ca="1">IF(B46="-","-",IF(Cálculo!$BT$5="",IF(T26="-","-",IF(Cálculo!$EV$259&lt;1,FIXED(0,LEN(Cálculo!$EV$259)-SEARCH(",",Cálculo!$EV$259)),FIXED(0,LEN(Cálculo!$EV$259)))),IF(Cálculo!$ER$258="-","-",(IF(Cálculo!$EV$259&lt;1,(FIXED(Cálculo!$ER$258,LEN(Cálculo!$EV$259)-SEARCH(",",Cálculo!$EV$259))),FIXED(Cálculo!$ER$258,LEN(Cálculo!$EV$259)))))))</f>
        <v>10.000,00</v>
      </c>
      <c r="E46" s="553"/>
      <c r="F46" s="554" t="str">
        <f ca="1">(IF('Entrada de Dados'!H31="","-",IF(Cálculo!$EV$259&lt;1,FIXED(MROUND(AVERAGE('Entrada de Dados'!H31:M31),Cálculo!$EV$259),LEN(Cálculo!$EV$259)-SEARCH(",",Cálculo!$EV$259)),FIXED(MROUND(AVERAGE('Entrada de Dados'!H31:M31),Cálculo!$EV$259),LEN(Cálculo!$EV$259)))))</f>
        <v>10.000,00</v>
      </c>
      <c r="G46" s="554"/>
      <c r="H46" s="554"/>
      <c r="I46" s="554"/>
      <c r="J46" s="555" t="str">
        <f ca="1">(IF('Entrada de Dados'!H31="","-",CONCATENATE(IF('Entrada de Dados'!H31="","",IF(MROUND(ABS(F46-D46),Cálculo!$EV$259)=0,"",IF((F46-D46)&gt;0,"+","-")))," ",IF(Cálculo!$EV$259&lt;1,FIXED(MROUND(ABS(F46-D46),Cálculo!$EV$259),(LEN(Cálculo!$EV$259)-SEARCH(",",Cálculo!$EV$259))),FIXED(MROUND(ABS(F46-D46),Cálculo!$EV$259),LEN(Cálculo!$EV$259))))))</f>
        <v xml:space="preserve"> 0,00</v>
      </c>
      <c r="K46" s="555"/>
      <c r="L46" s="555"/>
      <c r="M46" s="554" t="str">
        <f ca="1">IF(Cálculo!$ER$269="-","-",CONCATENATE(IF(Cálculo!$EV$259&lt;1,FIXED(MROUND(Cálculo!$ER$269,Cálculo!$EV$259),(LEN(Cálculo!$EV$259)-SEARCH(",",Cálculo!$EV$259))),FIXED(MROUND(Cálculo!$ER$269,Cálculo!$EV$259),(LEN(Cálculo!$EV$259))))))</f>
        <v>20,00</v>
      </c>
      <c r="N46" s="554"/>
      <c r="O46" s="554"/>
      <c r="P46" s="554"/>
      <c r="Q46" s="576">
        <f ca="1">Cálculo!$ER$268</f>
        <v>2</v>
      </c>
      <c r="R46" s="576"/>
      <c r="S46" s="576"/>
      <c r="T46" s="574" t="str">
        <f ca="1">Cálculo!$ER$267</f>
        <v>¥</v>
      </c>
      <c r="U46" s="574"/>
      <c r="V46" s="574"/>
      <c r="W46" s="575"/>
      <c r="X46" s="118"/>
      <c r="Y46" s="118"/>
      <c r="Z46" s="118"/>
      <c r="AO46" s="230">
        <f ca="1">IFERROR(VALUE(Cálculo!$ER$258),"")</f>
        <v>9999.9976134005647</v>
      </c>
      <c r="AP46" s="231">
        <f ca="1">IFERROR(VALUE(F46),"")</f>
        <v>10000</v>
      </c>
      <c r="AQ46" s="231">
        <f t="shared" ca="1" si="1"/>
        <v>9999.9991000000009</v>
      </c>
      <c r="AR46" s="232">
        <f t="shared" ref="AR46" ca="1" si="2">IFERROR(ABS(AO46-AQ46),"")</f>
        <v>1.4865994362480706E-3</v>
      </c>
    </row>
    <row r="47" spans="1:44" ht="14.1" customHeight="1" x14ac:dyDescent="0.2">
      <c r="A47" s="145">
        <v>4</v>
      </c>
      <c r="B47" s="578" t="str">
        <f ca="1">IF('Entrada de Dados'!D32="","-",(FIXED(('Entrada de Dados'!D32),IF(Cálculo!$FW$259&lt;1,LEN(Cálculo!$FW$259)-SEARCH(",",Cálculo!$FW$259),LEN(Cálculo!$FW$259)))))</f>
        <v>11.000,00</v>
      </c>
      <c r="C47" s="579"/>
      <c r="D47" s="580" t="str">
        <f ca="1">IF(B47="-","-",IF(Cálculo!$BT$5="",IF(T27="-","-",IF(Cálculo!$FW$259&lt;1,FIXED(0,LEN(Cálculo!$FW$259)-SEARCH(",",Cálculo!$FW$259)),FIXED(0,LEN(Cálculo!$FW$259)))),IF(Cálculo!$FS$258="-","-",(IF(Cálculo!$FW$259&lt;1,(FIXED(Cálculo!$FS$258,LEN(Cálculo!$FW$259)-SEARCH(",",Cálculo!$FW$259))),FIXED(Cálculo!$FS$258,LEN(Cálculo!$FW$259)))))))</f>
        <v>11.000,00</v>
      </c>
      <c r="E47" s="580"/>
      <c r="F47" s="581" t="str">
        <f ca="1">(IF('Entrada de Dados'!H32="","-",IF(Cálculo!$FW$259&lt;1,FIXED(MROUND(AVERAGE('Entrada de Dados'!H32:M32),Cálculo!$FW$259),LEN(Cálculo!$FW$259)-SEARCH(",",Cálculo!$FW$259)),FIXED(MROUND(AVERAGE('Entrada de Dados'!H32:M32),Cálculo!$FW$259),LEN(Cálculo!$FW$259)))))</f>
        <v>11.000,00</v>
      </c>
      <c r="G47" s="581"/>
      <c r="H47" s="581"/>
      <c r="I47" s="581"/>
      <c r="J47" s="582" t="str">
        <f ca="1">(IF('Entrada de Dados'!H32="","-",CONCATENATE(IF('Entrada de Dados'!H32="","",IF(MROUND(ABS(F47-D47),Cálculo!$FW$259)=0,"",IF((F47-D47)&gt;0,"+","-")))," ",IF(Cálculo!$FW$259&lt;1,FIXED(MROUND(ABS(F47-D47),Cálculo!$FW$259),(LEN(Cálculo!$FW$259)-SEARCH(",",Cálculo!$FW$259))),FIXED(MROUND(ABS(F47-D47),Cálculo!$FW$259),LEN(Cálculo!$FW$259))))))</f>
        <v xml:space="preserve"> 0,00</v>
      </c>
      <c r="K47" s="582"/>
      <c r="L47" s="582"/>
      <c r="M47" s="581" t="str">
        <f ca="1">IF(Cálculo!$FS$269="-","-",CONCATENATE(IF(Cálculo!$FW$259&lt;1,FIXED(MROUND(Cálculo!$FS$269,Cálculo!$FW$259),(LEN(Cálculo!$FW$259)-SEARCH(",",Cálculo!$FW$259))),FIXED(MROUND(Cálculo!$FS$269,Cálculo!$FW$259),(LEN(Cálculo!$FW$259))))))</f>
        <v>20,00</v>
      </c>
      <c r="N47" s="581"/>
      <c r="O47" s="581"/>
      <c r="P47" s="581"/>
      <c r="Q47" s="548">
        <f ca="1">Cálculo!$FS$268</f>
        <v>2</v>
      </c>
      <c r="R47" s="548"/>
      <c r="S47" s="548"/>
      <c r="T47" s="549" t="str">
        <f ca="1">Cálculo!$FS$267</f>
        <v>¥</v>
      </c>
      <c r="U47" s="549"/>
      <c r="V47" s="549"/>
      <c r="W47" s="550"/>
      <c r="X47" s="118"/>
      <c r="Y47" s="118"/>
      <c r="Z47" s="118"/>
      <c r="AO47" s="230">
        <f ca="1">IFERROR(VALUE(Cálculo!$FS$258),"")</f>
        <v>10999.997874740751</v>
      </c>
      <c r="AP47" s="231">
        <f ca="1">IFERROR(VALUE(F47),"")</f>
        <v>11000</v>
      </c>
      <c r="AQ47" s="231">
        <f t="shared" ca="1" si="1"/>
        <v>10999.999100000001</v>
      </c>
      <c r="AR47" s="232">
        <f ca="1">IFERROR(ABS(AO47-AQ47),"")</f>
        <v>1.2252592496224679E-3</v>
      </c>
    </row>
    <row r="48" spans="1:44" s="146" customFormat="1" x14ac:dyDescent="0.2">
      <c r="B48" s="308"/>
      <c r="C48" s="308"/>
      <c r="D48" s="308"/>
      <c r="E48" s="308"/>
      <c r="F48" s="308"/>
      <c r="G48" s="308"/>
      <c r="H48" s="308"/>
      <c r="I48" s="308"/>
      <c r="J48" s="308"/>
      <c r="K48" s="308"/>
      <c r="L48" s="308"/>
      <c r="M48" s="308"/>
      <c r="N48" s="308"/>
      <c r="O48" s="308"/>
      <c r="P48" s="308"/>
      <c r="Q48" s="308"/>
      <c r="R48" s="308"/>
      <c r="S48" s="308"/>
      <c r="T48" s="324"/>
      <c r="U48" s="325"/>
      <c r="V48" s="308"/>
      <c r="W48" s="308"/>
      <c r="X48" s="147"/>
      <c r="Y48" s="148"/>
      <c r="Z48" s="148"/>
      <c r="AO48" s="230"/>
      <c r="AP48" s="231"/>
      <c r="AQ48" s="231"/>
      <c r="AR48" s="232"/>
    </row>
    <row r="49" spans="2:44" s="146" customFormat="1" ht="20.25" customHeight="1" x14ac:dyDescent="0.2">
      <c r="B49" s="567" t="s">
        <v>248</v>
      </c>
      <c r="C49" s="568"/>
      <c r="D49" s="568"/>
      <c r="E49" s="568"/>
      <c r="F49" s="568"/>
      <c r="G49" s="568"/>
      <c r="H49" s="568"/>
      <c r="I49" s="568"/>
      <c r="J49" s="569" t="str">
        <f ca="1">'Sem ajuste+Declaração'!J49</f>
        <v>VR= 1,00000x VML - 0,00091</v>
      </c>
      <c r="K49" s="569"/>
      <c r="L49" s="569"/>
      <c r="M49" s="569"/>
      <c r="N49" s="569"/>
      <c r="O49" s="569"/>
      <c r="P49" s="569"/>
      <c r="Q49" s="569"/>
      <c r="R49" s="569"/>
      <c r="S49" s="569"/>
      <c r="T49" s="570"/>
      <c r="U49" s="583" t="str">
        <f ca="1">'Sem ajuste+Declaração'!U49</f>
        <v>ELin = 0,00%</v>
      </c>
      <c r="V49" s="584"/>
      <c r="W49" s="585"/>
      <c r="X49" s="147"/>
      <c r="Y49" s="148"/>
      <c r="Z49" s="148"/>
      <c r="AO49" s="230"/>
      <c r="AP49" s="231"/>
      <c r="AQ49" s="231"/>
      <c r="AR49" s="232"/>
    </row>
    <row r="50" spans="2:44" s="146" customFormat="1" ht="15" customHeight="1" x14ac:dyDescent="0.2">
      <c r="B50" s="241"/>
      <c r="C50" s="241"/>
      <c r="D50" s="241"/>
      <c r="E50" s="241"/>
      <c r="F50" s="241"/>
      <c r="G50" s="241"/>
      <c r="H50" s="241"/>
      <c r="I50" s="241"/>
      <c r="J50" s="241"/>
      <c r="K50" s="241"/>
      <c r="L50" s="241"/>
      <c r="M50" s="241"/>
      <c r="N50" s="241"/>
      <c r="O50" s="241"/>
      <c r="P50" s="241"/>
      <c r="Q50" s="241"/>
      <c r="R50" s="241"/>
      <c r="S50" s="241"/>
      <c r="T50" s="326"/>
      <c r="U50" s="327"/>
      <c r="V50" s="241"/>
      <c r="W50" s="241"/>
      <c r="X50" s="147"/>
      <c r="Y50" s="148"/>
      <c r="Z50" s="148"/>
      <c r="AO50" s="230"/>
      <c r="AP50" s="231"/>
      <c r="AQ50" s="231"/>
      <c r="AR50" s="232"/>
    </row>
    <row r="51" spans="2:44" ht="15" customHeight="1" x14ac:dyDescent="0.2">
      <c r="B51" s="502" t="s">
        <v>198</v>
      </c>
      <c r="C51" s="502"/>
      <c r="D51" s="502"/>
      <c r="E51" s="502"/>
      <c r="F51" s="502"/>
      <c r="G51" s="502"/>
      <c r="H51" s="502"/>
      <c r="I51" s="502"/>
      <c r="J51" s="502"/>
      <c r="K51" s="502"/>
      <c r="L51" s="502"/>
      <c r="M51" s="502"/>
      <c r="N51" s="502"/>
      <c r="O51" s="502"/>
      <c r="P51" s="502"/>
      <c r="Q51" s="502"/>
      <c r="R51" s="502"/>
      <c r="S51" s="502"/>
      <c r="T51" s="577"/>
      <c r="U51" s="132"/>
      <c r="V51" s="132"/>
      <c r="W51" s="132"/>
      <c r="X51" s="133"/>
      <c r="Y51" s="133"/>
      <c r="Z51" s="133"/>
      <c r="AO51" s="233"/>
      <c r="AP51" s="164"/>
      <c r="AQ51" s="234"/>
      <c r="AR51" s="235"/>
    </row>
    <row r="52" spans="2:44" s="101" customFormat="1" ht="6.75" customHeight="1" x14ac:dyDescent="0.2">
      <c r="B52" s="521"/>
      <c r="C52" s="521"/>
      <c r="D52" s="521"/>
      <c r="E52" s="521"/>
      <c r="F52" s="521"/>
      <c r="G52" s="521"/>
      <c r="H52" s="521"/>
      <c r="I52" s="521"/>
      <c r="J52" s="521"/>
      <c r="K52" s="521"/>
      <c r="L52" s="521"/>
      <c r="M52" s="521"/>
      <c r="N52" s="521"/>
      <c r="O52" s="521"/>
      <c r="P52" s="521"/>
      <c r="Q52" s="521"/>
      <c r="R52" s="521"/>
      <c r="S52" s="521"/>
      <c r="T52" s="521"/>
      <c r="U52" s="521"/>
      <c r="V52" s="521"/>
      <c r="W52" s="521"/>
      <c r="X52" s="119"/>
      <c r="Y52" s="119"/>
      <c r="Z52" s="119"/>
      <c r="AO52" s="236"/>
      <c r="AP52" s="165"/>
      <c r="AQ52" s="165"/>
      <c r="AR52" s="237"/>
    </row>
    <row r="53" spans="2:44" s="102" customFormat="1" ht="19.5" customHeight="1" thickBot="1" x14ac:dyDescent="0.25">
      <c r="B53" s="593"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6 meses adotada pelo Cliente.</v>
      </c>
      <c r="C53" s="594"/>
      <c r="D53" s="594"/>
      <c r="E53" s="594"/>
      <c r="F53" s="594"/>
      <c r="G53" s="594"/>
      <c r="H53" s="594"/>
      <c r="I53" s="594"/>
      <c r="J53" s="594"/>
      <c r="K53" s="594"/>
      <c r="L53" s="594"/>
      <c r="M53" s="594"/>
      <c r="N53" s="594"/>
      <c r="O53" s="594"/>
      <c r="P53" s="594"/>
      <c r="Q53" s="594"/>
      <c r="R53" s="594"/>
      <c r="S53" s="594"/>
      <c r="T53" s="594"/>
      <c r="U53" s="594"/>
      <c r="V53" s="594"/>
      <c r="W53" s="595"/>
      <c r="X53" s="134"/>
      <c r="Y53" s="134"/>
      <c r="Z53" s="134"/>
      <c r="AO53" s="238"/>
      <c r="AP53" s="239"/>
      <c r="AQ53" s="239"/>
      <c r="AR53" s="240"/>
    </row>
    <row r="54" spans="2:44" s="102" customFormat="1" ht="19.5" customHeight="1" x14ac:dyDescent="0.2">
      <c r="B54" s="596"/>
      <c r="C54" s="597"/>
      <c r="D54" s="597"/>
      <c r="E54" s="597"/>
      <c r="F54" s="597"/>
      <c r="G54" s="597"/>
      <c r="H54" s="597"/>
      <c r="I54" s="597"/>
      <c r="J54" s="597"/>
      <c r="K54" s="597"/>
      <c r="L54" s="597"/>
      <c r="M54" s="597"/>
      <c r="N54" s="597"/>
      <c r="O54" s="597"/>
      <c r="P54" s="597"/>
      <c r="Q54" s="597"/>
      <c r="R54" s="597"/>
      <c r="S54" s="597"/>
      <c r="T54" s="597"/>
      <c r="U54" s="597"/>
      <c r="V54" s="597"/>
      <c r="W54" s="598"/>
      <c r="X54" s="134"/>
      <c r="Y54" s="134"/>
      <c r="Z54" s="134"/>
    </row>
    <row r="55" spans="2:44" s="102" customFormat="1" ht="19.5" customHeight="1" x14ac:dyDescent="0.2">
      <c r="B55" s="596"/>
      <c r="C55" s="597"/>
      <c r="D55" s="597"/>
      <c r="E55" s="597"/>
      <c r="F55" s="597"/>
      <c r="G55" s="597"/>
      <c r="H55" s="597"/>
      <c r="I55" s="597"/>
      <c r="J55" s="597"/>
      <c r="K55" s="597"/>
      <c r="L55" s="597"/>
      <c r="M55" s="597"/>
      <c r="N55" s="597"/>
      <c r="O55" s="597"/>
      <c r="P55" s="597"/>
      <c r="Q55" s="597"/>
      <c r="R55" s="597"/>
      <c r="S55" s="597"/>
      <c r="T55" s="597"/>
      <c r="U55" s="597"/>
      <c r="V55" s="597"/>
      <c r="W55" s="598"/>
      <c r="X55" s="134"/>
      <c r="Y55" s="134"/>
      <c r="Z55" s="134"/>
    </row>
    <row r="56" spans="2:44" s="102" customFormat="1" ht="19.5" customHeight="1" x14ac:dyDescent="0.2">
      <c r="B56" s="596"/>
      <c r="C56" s="597"/>
      <c r="D56" s="597"/>
      <c r="E56" s="597"/>
      <c r="F56" s="597"/>
      <c r="G56" s="597"/>
      <c r="H56" s="597"/>
      <c r="I56" s="597"/>
      <c r="J56" s="597"/>
      <c r="K56" s="597"/>
      <c r="L56" s="597"/>
      <c r="M56" s="597"/>
      <c r="N56" s="597"/>
      <c r="O56" s="597"/>
      <c r="P56" s="597"/>
      <c r="Q56" s="597"/>
      <c r="R56" s="597"/>
      <c r="S56" s="597"/>
      <c r="T56" s="597"/>
      <c r="U56" s="597"/>
      <c r="V56" s="597"/>
      <c r="W56" s="598"/>
      <c r="X56" s="134"/>
      <c r="Y56" s="134"/>
      <c r="Z56" s="134"/>
    </row>
    <row r="57" spans="2:44" s="102" customFormat="1" ht="19.5" customHeight="1" x14ac:dyDescent="0.2">
      <c r="B57" s="596"/>
      <c r="C57" s="597"/>
      <c r="D57" s="597"/>
      <c r="E57" s="597"/>
      <c r="F57" s="597"/>
      <c r="G57" s="597"/>
      <c r="H57" s="597"/>
      <c r="I57" s="597"/>
      <c r="J57" s="597"/>
      <c r="K57" s="597"/>
      <c r="L57" s="597"/>
      <c r="M57" s="597"/>
      <c r="N57" s="597"/>
      <c r="O57" s="597"/>
      <c r="P57" s="597"/>
      <c r="Q57" s="597"/>
      <c r="R57" s="597"/>
      <c r="S57" s="597"/>
      <c r="T57" s="597"/>
      <c r="U57" s="597"/>
      <c r="V57" s="597"/>
      <c r="W57" s="598"/>
      <c r="X57" s="134"/>
      <c r="Y57" s="134"/>
      <c r="Z57" s="134"/>
    </row>
    <row r="58" spans="2:44" s="102" customFormat="1" ht="19.5" customHeight="1" x14ac:dyDescent="0.2">
      <c r="B58" s="596"/>
      <c r="C58" s="597"/>
      <c r="D58" s="597"/>
      <c r="E58" s="597"/>
      <c r="F58" s="597"/>
      <c r="G58" s="597"/>
      <c r="H58" s="597"/>
      <c r="I58" s="597"/>
      <c r="J58" s="597"/>
      <c r="K58" s="597"/>
      <c r="L58" s="597"/>
      <c r="M58" s="597"/>
      <c r="N58" s="597"/>
      <c r="O58" s="597"/>
      <c r="P58" s="597"/>
      <c r="Q58" s="597"/>
      <c r="R58" s="597"/>
      <c r="S58" s="597"/>
      <c r="T58" s="597"/>
      <c r="U58" s="597"/>
      <c r="V58" s="597"/>
      <c r="W58" s="598"/>
      <c r="X58" s="134"/>
      <c r="Y58" s="134"/>
      <c r="Z58" s="134"/>
    </row>
    <row r="59" spans="2:44" s="102" customFormat="1" ht="19.5" customHeight="1" x14ac:dyDescent="0.2">
      <c r="B59" s="596"/>
      <c r="C59" s="597"/>
      <c r="D59" s="597"/>
      <c r="E59" s="597"/>
      <c r="F59" s="597"/>
      <c r="G59" s="597"/>
      <c r="H59" s="597"/>
      <c r="I59" s="597"/>
      <c r="J59" s="597"/>
      <c r="K59" s="597"/>
      <c r="L59" s="597"/>
      <c r="M59" s="597"/>
      <c r="N59" s="597"/>
      <c r="O59" s="597"/>
      <c r="P59" s="597"/>
      <c r="Q59" s="597"/>
      <c r="R59" s="597"/>
      <c r="S59" s="597"/>
      <c r="T59" s="597"/>
      <c r="U59" s="597"/>
      <c r="V59" s="597"/>
      <c r="W59" s="598"/>
      <c r="X59" s="134"/>
      <c r="Y59" s="134"/>
      <c r="Z59" s="134"/>
    </row>
    <row r="60" spans="2:44" s="102" customFormat="1" ht="19.5" customHeight="1" x14ac:dyDescent="0.2">
      <c r="B60" s="596"/>
      <c r="C60" s="597"/>
      <c r="D60" s="597"/>
      <c r="E60" s="597"/>
      <c r="F60" s="597"/>
      <c r="G60" s="597"/>
      <c r="H60" s="597"/>
      <c r="I60" s="597"/>
      <c r="J60" s="597"/>
      <c r="K60" s="597"/>
      <c r="L60" s="597"/>
      <c r="M60" s="597"/>
      <c r="N60" s="597"/>
      <c r="O60" s="597"/>
      <c r="P60" s="597"/>
      <c r="Q60" s="597"/>
      <c r="R60" s="597"/>
      <c r="S60" s="597"/>
      <c r="T60" s="597"/>
      <c r="U60" s="597"/>
      <c r="V60" s="597"/>
      <c r="W60" s="598"/>
      <c r="X60" s="134"/>
      <c r="Y60" s="134"/>
      <c r="Z60" s="134"/>
    </row>
    <row r="61" spans="2:44" s="102" customFormat="1" ht="19.5" customHeight="1" x14ac:dyDescent="0.2">
      <c r="B61" s="596"/>
      <c r="C61" s="597"/>
      <c r="D61" s="597"/>
      <c r="E61" s="597"/>
      <c r="F61" s="597"/>
      <c r="G61" s="597"/>
      <c r="H61" s="597"/>
      <c r="I61" s="597"/>
      <c r="J61" s="597"/>
      <c r="K61" s="597"/>
      <c r="L61" s="597"/>
      <c r="M61" s="597"/>
      <c r="N61" s="597"/>
      <c r="O61" s="597"/>
      <c r="P61" s="597"/>
      <c r="Q61" s="597"/>
      <c r="R61" s="597"/>
      <c r="S61" s="597"/>
      <c r="T61" s="597"/>
      <c r="U61" s="597"/>
      <c r="V61" s="597"/>
      <c r="W61" s="598"/>
      <c r="X61" s="134"/>
      <c r="Y61" s="134"/>
      <c r="Z61" s="134"/>
    </row>
    <row r="62" spans="2:44" s="102" customFormat="1" ht="19.5" customHeight="1" x14ac:dyDescent="0.2">
      <c r="B62" s="596"/>
      <c r="C62" s="597"/>
      <c r="D62" s="597"/>
      <c r="E62" s="597"/>
      <c r="F62" s="597"/>
      <c r="G62" s="597"/>
      <c r="H62" s="597"/>
      <c r="I62" s="597"/>
      <c r="J62" s="597"/>
      <c r="K62" s="597"/>
      <c r="L62" s="597"/>
      <c r="M62" s="597"/>
      <c r="N62" s="597"/>
      <c r="O62" s="597"/>
      <c r="P62" s="597"/>
      <c r="Q62" s="597"/>
      <c r="R62" s="597"/>
      <c r="S62" s="597"/>
      <c r="T62" s="597"/>
      <c r="U62" s="597"/>
      <c r="V62" s="597"/>
      <c r="W62" s="598"/>
      <c r="X62" s="134"/>
      <c r="Y62" s="134"/>
      <c r="Z62" s="134"/>
    </row>
    <row r="63" spans="2:44" s="102" customFormat="1" ht="19.5" customHeight="1" x14ac:dyDescent="0.2">
      <c r="B63" s="596"/>
      <c r="C63" s="597"/>
      <c r="D63" s="597"/>
      <c r="E63" s="597"/>
      <c r="F63" s="597"/>
      <c r="G63" s="597"/>
      <c r="H63" s="597"/>
      <c r="I63" s="597"/>
      <c r="J63" s="597"/>
      <c r="K63" s="597"/>
      <c r="L63" s="597"/>
      <c r="M63" s="597"/>
      <c r="N63" s="597"/>
      <c r="O63" s="597"/>
      <c r="P63" s="597"/>
      <c r="Q63" s="597"/>
      <c r="R63" s="597"/>
      <c r="S63" s="597"/>
      <c r="T63" s="597"/>
      <c r="U63" s="597"/>
      <c r="V63" s="597"/>
      <c r="W63" s="598"/>
      <c r="X63" s="134"/>
      <c r="Y63" s="134"/>
      <c r="Z63" s="134"/>
    </row>
    <row r="64" spans="2:44" s="102" customFormat="1" ht="19.5" customHeight="1" x14ac:dyDescent="0.2">
      <c r="B64" s="599"/>
      <c r="C64" s="600"/>
      <c r="D64" s="600"/>
      <c r="E64" s="600"/>
      <c r="F64" s="600"/>
      <c r="G64" s="600"/>
      <c r="H64" s="600"/>
      <c r="I64" s="600"/>
      <c r="J64" s="600"/>
      <c r="K64" s="600"/>
      <c r="L64" s="600"/>
      <c r="M64" s="600"/>
      <c r="N64" s="600"/>
      <c r="O64" s="600"/>
      <c r="P64" s="600"/>
      <c r="Q64" s="600"/>
      <c r="R64" s="600"/>
      <c r="S64" s="600"/>
      <c r="T64" s="600"/>
      <c r="U64" s="600"/>
      <c r="V64" s="600"/>
      <c r="W64" s="601"/>
      <c r="X64" s="134"/>
      <c r="Y64" s="134"/>
      <c r="Z64" s="134"/>
    </row>
    <row r="65" spans="2:26" s="102" customFormat="1" ht="15" customHeight="1" x14ac:dyDescent="0.2">
      <c r="B65" s="202"/>
      <c r="C65" s="202"/>
      <c r="D65" s="202"/>
      <c r="E65" s="202"/>
      <c r="F65" s="202"/>
      <c r="G65" s="202"/>
      <c r="H65" s="202"/>
      <c r="I65" s="202"/>
      <c r="J65" s="202"/>
      <c r="K65" s="202"/>
      <c r="L65" s="202"/>
      <c r="M65" s="202"/>
      <c r="N65" s="202"/>
      <c r="O65" s="202"/>
      <c r="P65" s="202"/>
      <c r="Q65" s="202"/>
      <c r="R65" s="202"/>
      <c r="S65" s="202"/>
      <c r="T65" s="202"/>
      <c r="U65" s="202"/>
      <c r="V65" s="202"/>
      <c r="W65" s="202"/>
      <c r="X65" s="134"/>
      <c r="Y65" s="134"/>
      <c r="Z65" s="134"/>
    </row>
    <row r="66" spans="2:26" s="102" customFormat="1" ht="15" customHeight="1" x14ac:dyDescent="0.2">
      <c r="B66" s="502" t="s">
        <v>220</v>
      </c>
      <c r="C66" s="502"/>
      <c r="D66" s="502"/>
      <c r="E66" s="502"/>
      <c r="F66" s="502"/>
      <c r="G66" s="502"/>
      <c r="H66" s="502"/>
      <c r="I66" s="502"/>
      <c r="J66" s="502"/>
      <c r="K66" s="502"/>
      <c r="L66" s="502"/>
      <c r="M66" s="502"/>
      <c r="N66" s="502"/>
      <c r="O66" s="502"/>
      <c r="P66" s="502"/>
      <c r="Q66" s="502"/>
      <c r="R66" s="502"/>
      <c r="S66" s="502"/>
      <c r="T66" s="502"/>
      <c r="U66" s="202"/>
      <c r="V66" s="202"/>
      <c r="W66" s="202"/>
      <c r="X66" s="134"/>
      <c r="Y66" s="134"/>
      <c r="Z66" s="134"/>
    </row>
    <row r="67" spans="2:26" s="102" customFormat="1" ht="6.75" customHeight="1" x14ac:dyDescent="0.2">
      <c r="B67" s="202"/>
      <c r="C67" s="202"/>
      <c r="D67" s="202"/>
      <c r="E67" s="202"/>
      <c r="F67" s="202"/>
      <c r="G67" s="202"/>
      <c r="H67" s="202"/>
      <c r="I67" s="202"/>
      <c r="J67" s="202"/>
      <c r="K67" s="202"/>
      <c r="L67" s="202"/>
      <c r="M67" s="202"/>
      <c r="N67" s="202"/>
      <c r="O67" s="202"/>
      <c r="P67" s="202"/>
      <c r="Q67" s="202"/>
      <c r="R67" s="202"/>
      <c r="S67" s="202"/>
      <c r="T67" s="202"/>
      <c r="U67" s="202"/>
      <c r="V67" s="202"/>
      <c r="W67" s="202"/>
      <c r="X67" s="134"/>
      <c r="Y67" s="134"/>
      <c r="Z67" s="134"/>
    </row>
    <row r="68" spans="2:26" s="102" customFormat="1" ht="12.95" customHeight="1" x14ac:dyDescent="0.2">
      <c r="B68" s="320" t="s">
        <v>236</v>
      </c>
      <c r="C68" s="571" t="s">
        <v>222</v>
      </c>
      <c r="D68" s="572"/>
      <c r="E68" s="572"/>
      <c r="F68" s="572"/>
      <c r="G68" s="572"/>
      <c r="H68" s="572"/>
      <c r="I68" s="572"/>
      <c r="J68" s="572"/>
      <c r="K68" s="572"/>
      <c r="L68" s="572"/>
      <c r="M68" s="572"/>
      <c r="N68" s="572"/>
      <c r="O68" s="572"/>
      <c r="P68" s="572"/>
      <c r="Q68" s="572"/>
      <c r="R68" s="572"/>
      <c r="S68" s="572"/>
      <c r="T68" s="572"/>
      <c r="U68" s="572"/>
      <c r="V68" s="572"/>
      <c r="W68" s="573"/>
      <c r="X68" s="134"/>
      <c r="Y68" s="134"/>
      <c r="Z68" s="134"/>
    </row>
    <row r="69" spans="2:26" s="102" customFormat="1" ht="12.95" customHeight="1" x14ac:dyDescent="0.2">
      <c r="B69" s="321" t="s">
        <v>237</v>
      </c>
      <c r="C69" s="605" t="s">
        <v>224</v>
      </c>
      <c r="D69" s="606"/>
      <c r="E69" s="606"/>
      <c r="F69" s="606"/>
      <c r="G69" s="606"/>
      <c r="H69" s="606"/>
      <c r="I69" s="606"/>
      <c r="J69" s="606"/>
      <c r="K69" s="606"/>
      <c r="L69" s="606"/>
      <c r="M69" s="606"/>
      <c r="N69" s="606"/>
      <c r="O69" s="606"/>
      <c r="P69" s="606"/>
      <c r="Q69" s="606"/>
      <c r="R69" s="606"/>
      <c r="S69" s="606"/>
      <c r="T69" s="606"/>
      <c r="U69" s="606"/>
      <c r="V69" s="606"/>
      <c r="W69" s="607"/>
      <c r="X69" s="134"/>
      <c r="Y69" s="134"/>
      <c r="Z69" s="134"/>
    </row>
    <row r="70" spans="2:26" s="102" customFormat="1" ht="12.95" customHeight="1" x14ac:dyDescent="0.2">
      <c r="B70" s="321" t="s">
        <v>238</v>
      </c>
      <c r="C70" s="605" t="s">
        <v>230</v>
      </c>
      <c r="D70" s="606"/>
      <c r="E70" s="606"/>
      <c r="F70" s="606"/>
      <c r="G70" s="606"/>
      <c r="H70" s="606"/>
      <c r="I70" s="606"/>
      <c r="J70" s="606"/>
      <c r="K70" s="606"/>
      <c r="L70" s="606"/>
      <c r="M70" s="606"/>
      <c r="N70" s="606"/>
      <c r="O70" s="606"/>
      <c r="P70" s="606"/>
      <c r="Q70" s="606"/>
      <c r="R70" s="606"/>
      <c r="S70" s="606"/>
      <c r="T70" s="606"/>
      <c r="U70" s="606"/>
      <c r="V70" s="606"/>
      <c r="W70" s="607"/>
      <c r="X70" s="134"/>
      <c r="Y70" s="134"/>
      <c r="Z70" s="134"/>
    </row>
    <row r="71" spans="2:26" s="102" customFormat="1" ht="12.95" customHeight="1" x14ac:dyDescent="0.2">
      <c r="B71" s="321" t="s">
        <v>239</v>
      </c>
      <c r="C71" s="605" t="s">
        <v>225</v>
      </c>
      <c r="D71" s="606"/>
      <c r="E71" s="606"/>
      <c r="F71" s="606"/>
      <c r="G71" s="606"/>
      <c r="H71" s="606"/>
      <c r="I71" s="606"/>
      <c r="J71" s="606"/>
      <c r="K71" s="606"/>
      <c r="L71" s="606"/>
      <c r="M71" s="606"/>
      <c r="N71" s="606"/>
      <c r="O71" s="606"/>
      <c r="P71" s="606"/>
      <c r="Q71" s="606"/>
      <c r="R71" s="606"/>
      <c r="S71" s="606"/>
      <c r="T71" s="606"/>
      <c r="U71" s="606"/>
      <c r="V71" s="606"/>
      <c r="W71" s="607"/>
      <c r="X71" s="134"/>
      <c r="Y71" s="134"/>
      <c r="Z71" s="134"/>
    </row>
    <row r="72" spans="2:26" s="102" customFormat="1" ht="12.95" customHeight="1" x14ac:dyDescent="0.2">
      <c r="B72" s="321" t="s">
        <v>240</v>
      </c>
      <c r="C72" s="605" t="s">
        <v>226</v>
      </c>
      <c r="D72" s="606"/>
      <c r="E72" s="606"/>
      <c r="F72" s="606"/>
      <c r="G72" s="606"/>
      <c r="H72" s="606"/>
      <c r="I72" s="606"/>
      <c r="J72" s="606"/>
      <c r="K72" s="606"/>
      <c r="L72" s="606"/>
      <c r="M72" s="606"/>
      <c r="N72" s="606"/>
      <c r="O72" s="606"/>
      <c r="P72" s="606"/>
      <c r="Q72" s="606"/>
      <c r="R72" s="606"/>
      <c r="S72" s="606"/>
      <c r="T72" s="606"/>
      <c r="U72" s="606"/>
      <c r="V72" s="606"/>
      <c r="W72" s="607"/>
      <c r="X72" s="134"/>
      <c r="Y72" s="134"/>
      <c r="Z72" s="134"/>
    </row>
    <row r="73" spans="2:26" s="102" customFormat="1" ht="12.95" customHeight="1" x14ac:dyDescent="0.2">
      <c r="B73" s="321" t="s">
        <v>179</v>
      </c>
      <c r="C73" s="605" t="s">
        <v>227</v>
      </c>
      <c r="D73" s="606"/>
      <c r="E73" s="606"/>
      <c r="F73" s="606"/>
      <c r="G73" s="606"/>
      <c r="H73" s="606"/>
      <c r="I73" s="606"/>
      <c r="J73" s="606"/>
      <c r="K73" s="606"/>
      <c r="L73" s="606"/>
      <c r="M73" s="606"/>
      <c r="N73" s="606"/>
      <c r="O73" s="606"/>
      <c r="P73" s="606"/>
      <c r="Q73" s="606"/>
      <c r="R73" s="606"/>
      <c r="S73" s="606"/>
      <c r="T73" s="606"/>
      <c r="U73" s="606"/>
      <c r="V73" s="606"/>
      <c r="W73" s="607"/>
      <c r="X73" s="134"/>
      <c r="Y73" s="134"/>
      <c r="Z73" s="134"/>
    </row>
    <row r="74" spans="2:26" s="102" customFormat="1" ht="12.95" customHeight="1" x14ac:dyDescent="0.2">
      <c r="B74" s="321" t="s">
        <v>180</v>
      </c>
      <c r="C74" s="605" t="s">
        <v>228</v>
      </c>
      <c r="D74" s="606"/>
      <c r="E74" s="606"/>
      <c r="F74" s="606"/>
      <c r="G74" s="606"/>
      <c r="H74" s="606"/>
      <c r="I74" s="606"/>
      <c r="J74" s="606"/>
      <c r="K74" s="606"/>
      <c r="L74" s="606"/>
      <c r="M74" s="606"/>
      <c r="N74" s="606"/>
      <c r="O74" s="606"/>
      <c r="P74" s="606"/>
      <c r="Q74" s="606"/>
      <c r="R74" s="606"/>
      <c r="S74" s="606"/>
      <c r="T74" s="606"/>
      <c r="U74" s="606"/>
      <c r="V74" s="606"/>
      <c r="W74" s="607"/>
      <c r="X74" s="134"/>
      <c r="Y74" s="134"/>
      <c r="Z74" s="134"/>
    </row>
    <row r="75" spans="2:26" s="102" customFormat="1" ht="12.95" customHeight="1" x14ac:dyDescent="0.2">
      <c r="B75" s="322" t="s">
        <v>251</v>
      </c>
      <c r="C75" s="586" t="s">
        <v>252</v>
      </c>
      <c r="D75" s="586"/>
      <c r="E75" s="586"/>
      <c r="F75" s="586"/>
      <c r="G75" s="586"/>
      <c r="H75" s="586"/>
      <c r="I75" s="586"/>
      <c r="J75" s="586"/>
      <c r="K75" s="586"/>
      <c r="L75" s="586"/>
      <c r="M75" s="586"/>
      <c r="N75" s="586"/>
      <c r="O75" s="586"/>
      <c r="P75" s="586"/>
      <c r="Q75" s="586"/>
      <c r="R75" s="586"/>
      <c r="S75" s="586"/>
      <c r="T75" s="586"/>
      <c r="U75" s="586"/>
      <c r="V75" s="586"/>
      <c r="W75" s="587"/>
      <c r="X75" s="134"/>
      <c r="Y75" s="134"/>
      <c r="Z75" s="134"/>
    </row>
    <row r="76" spans="2:26" s="102" customFormat="1" ht="12.95" customHeight="1" x14ac:dyDescent="0.2">
      <c r="B76" s="203" t="str">
        <f>IF('Entrada de Dados'!$R$12="","","E1/E2")</f>
        <v/>
      </c>
      <c r="C76" s="606" t="str">
        <f>IF('Entrada de Dados'!$R$12="","","- Valores referentes à escala 1 e à escala 2 do instrumento.")</f>
        <v/>
      </c>
      <c r="D76" s="606"/>
      <c r="E76" s="606"/>
      <c r="F76" s="606"/>
      <c r="G76" s="606"/>
      <c r="H76" s="606"/>
      <c r="I76" s="606"/>
      <c r="J76" s="606"/>
      <c r="K76" s="606"/>
      <c r="L76" s="606"/>
      <c r="M76" s="606"/>
      <c r="N76" s="606"/>
      <c r="O76" s="606"/>
      <c r="P76" s="606"/>
      <c r="Q76" s="606"/>
      <c r="R76" s="606"/>
      <c r="S76" s="606"/>
      <c r="T76" s="606"/>
      <c r="U76" s="606"/>
      <c r="V76" s="606"/>
      <c r="W76" s="606"/>
      <c r="X76" s="134"/>
      <c r="Y76" s="134"/>
      <c r="Z76" s="134"/>
    </row>
    <row r="77" spans="2:26" ht="15" customHeight="1" x14ac:dyDescent="0.2">
      <c r="B77" s="202"/>
      <c r="C77" s="202"/>
      <c r="D77" s="202"/>
      <c r="E77" s="202"/>
      <c r="F77" s="202"/>
      <c r="G77" s="202"/>
      <c r="H77" s="202"/>
      <c r="I77" s="202"/>
      <c r="J77" s="202"/>
      <c r="K77" s="202"/>
      <c r="L77" s="202"/>
      <c r="M77" s="202"/>
      <c r="N77" s="202"/>
      <c r="O77" s="202"/>
      <c r="P77" s="202"/>
      <c r="Q77" s="202"/>
      <c r="R77" s="202"/>
      <c r="S77" s="202"/>
      <c r="T77" s="202"/>
      <c r="U77" s="202"/>
      <c r="V77" s="202"/>
      <c r="W77" s="202"/>
      <c r="X77" s="121"/>
      <c r="Y77" s="121"/>
      <c r="Z77" s="121"/>
    </row>
    <row r="78" spans="2:26" x14ac:dyDescent="0.2">
      <c r="B78" s="496" t="s">
        <v>42</v>
      </c>
      <c r="C78" s="496"/>
      <c r="D78" s="496"/>
      <c r="E78" s="496"/>
      <c r="F78" s="496"/>
      <c r="G78" s="602">
        <f>IF('Entrada de Dados'!Q5="","-",'Entrada de Dados'!Q5)</f>
        <v>45295</v>
      </c>
      <c r="H78" s="602"/>
      <c r="I78" s="602"/>
      <c r="J78" s="29"/>
      <c r="K78" s="29"/>
      <c r="L78" s="29"/>
      <c r="M78" s="603" t="str">
        <f>IF('Entrada de Dados'!E16="","DATA EMISSÃO:","PRÓXIMA CALIBRAÇÃO:")</f>
        <v>PRÓXIMA CALIBRAÇÃO:</v>
      </c>
      <c r="N78" s="603"/>
      <c r="O78" s="603"/>
      <c r="P78" s="603"/>
      <c r="Q78" s="603"/>
      <c r="R78" s="603"/>
      <c r="S78" s="603"/>
      <c r="T78" s="3"/>
      <c r="U78" s="604">
        <f>IF('Entrada de Dados'!$E$16="",IF('Entrada de Dados'!$M$63="","-",'Entrada de Dados'!M63),IF('Entrada de Dados'!$G$16="Meses",EDATE(G78,'Entrada de Dados'!$E$16),DATE(YEAR(G78)+'Entrada de Dados'!$E$16,MONTH(G78),DAY(G78))))</f>
        <v>45477</v>
      </c>
      <c r="V78" s="602"/>
      <c r="W78" s="602"/>
      <c r="X78" s="122"/>
      <c r="Y78" s="122"/>
      <c r="Z78" s="122"/>
    </row>
    <row r="79" spans="2:26" x14ac:dyDescent="0.2">
      <c r="B79" s="496" t="str">
        <f>IF('Entrada de Dados'!E16="","","DATA EMISSÃO:")</f>
        <v>DATA EMISSÃO:</v>
      </c>
      <c r="C79" s="496"/>
      <c r="D79" s="496"/>
      <c r="E79" s="496"/>
      <c r="F79" s="496"/>
      <c r="G79" s="589">
        <f>IF('Entrada de Dados'!E16="","",IF('Entrada de Dados'!M63="","-",'Entrada de Dados'!M63))</f>
        <v>45296</v>
      </c>
      <c r="H79" s="589"/>
      <c r="I79" s="589"/>
      <c r="J79" s="29"/>
      <c r="K79" s="29"/>
      <c r="L79" s="29"/>
      <c r="M79" s="31"/>
      <c r="N79" s="31"/>
      <c r="O79" s="590" t="str">
        <f>IF(U78="____/____/______","Preenchido pelo cliente","")</f>
        <v/>
      </c>
      <c r="P79" s="590"/>
      <c r="Q79" s="590"/>
      <c r="R79" s="590"/>
      <c r="S79" s="590"/>
      <c r="T79" s="3"/>
      <c r="U79" s="59"/>
      <c r="V79" s="59"/>
      <c r="W79" s="59"/>
      <c r="X79" s="122"/>
      <c r="Y79" s="122"/>
      <c r="Z79" s="122"/>
    </row>
    <row r="80" spans="2:26" ht="12.75" customHeight="1" x14ac:dyDescent="0.2">
      <c r="B80" s="96"/>
      <c r="C80" s="96"/>
      <c r="D80" s="96"/>
      <c r="E80" s="96"/>
      <c r="F80" s="96"/>
      <c r="G80" s="59"/>
      <c r="H80" s="59"/>
      <c r="I80" s="59"/>
      <c r="J80" s="29"/>
      <c r="K80" s="29"/>
      <c r="L80" s="29"/>
      <c r="M80" s="31"/>
      <c r="N80" s="31"/>
      <c r="O80" s="31"/>
      <c r="P80" s="31"/>
      <c r="Q80" s="31"/>
      <c r="R80" s="31"/>
      <c r="S80" s="31"/>
      <c r="T80" s="31"/>
      <c r="U80" s="59"/>
      <c r="V80" s="59"/>
      <c r="W80" s="59"/>
      <c r="X80" s="122"/>
      <c r="Y80" s="122"/>
      <c r="Z80" s="122"/>
    </row>
    <row r="81" spans="2:26" ht="12.75" customHeight="1" x14ac:dyDescent="0.2">
      <c r="B81" s="38"/>
      <c r="C81" s="38"/>
      <c r="D81" s="38"/>
      <c r="E81" s="38"/>
      <c r="F81" s="38"/>
      <c r="G81" s="38"/>
      <c r="H81" s="38"/>
      <c r="I81" s="38"/>
      <c r="J81" s="591" t="s">
        <v>2</v>
      </c>
      <c r="K81" s="532"/>
      <c r="L81" s="532"/>
      <c r="M81" s="532"/>
      <c r="N81" s="532"/>
      <c r="O81" s="533"/>
      <c r="P81" s="29"/>
      <c r="Q81" s="29"/>
      <c r="X81" s="117"/>
      <c r="Y81" s="117"/>
      <c r="Z81" s="117"/>
    </row>
    <row r="82" spans="2:26" ht="21" customHeight="1" x14ac:dyDescent="0.2">
      <c r="B82" s="3"/>
      <c r="C82" s="3"/>
      <c r="D82" s="3"/>
      <c r="E82" s="3"/>
      <c r="F82" s="3"/>
      <c r="G82" s="3"/>
      <c r="H82" s="29"/>
      <c r="I82" s="29"/>
      <c r="J82" s="592"/>
      <c r="K82" s="592"/>
      <c r="L82" s="592"/>
      <c r="M82" s="592"/>
      <c r="N82" s="592"/>
      <c r="O82" s="592"/>
      <c r="P82" s="29"/>
      <c r="Q82" s="29"/>
      <c r="X82" s="103"/>
      <c r="Y82" s="103"/>
      <c r="Z82" s="103"/>
    </row>
    <row r="83" spans="2:26" x14ac:dyDescent="0.2">
      <c r="H83" s="1"/>
      <c r="I83" s="1"/>
      <c r="J83" s="588" t="str">
        <f>IF('Entrada de Dados'!$R$63="","-",'Entrada de Dados'!$R$63)</f>
        <v>Roldão Batista da Silva Filho</v>
      </c>
      <c r="K83" s="588"/>
      <c r="L83" s="588"/>
      <c r="M83" s="588"/>
      <c r="N83" s="588"/>
      <c r="O83" s="588"/>
      <c r="P83" s="29"/>
      <c r="Q83" s="29"/>
      <c r="X83" s="116"/>
      <c r="Y83" s="116"/>
      <c r="Z83" s="116"/>
    </row>
    <row r="84" spans="2:26" x14ac:dyDescent="0.2">
      <c r="B84" s="103"/>
      <c r="C84" s="103"/>
      <c r="D84" s="100"/>
      <c r="E84" s="100"/>
      <c r="F84" s="100"/>
      <c r="G84" s="100"/>
      <c r="H84" s="100"/>
      <c r="I84" s="100"/>
      <c r="J84" s="100"/>
      <c r="K84" s="100"/>
      <c r="L84" s="100"/>
      <c r="M84" s="100"/>
      <c r="N84" s="100"/>
      <c r="O84" s="100"/>
      <c r="P84" s="100"/>
      <c r="Q84" s="100"/>
      <c r="R84" s="100"/>
      <c r="S84" s="100"/>
      <c r="T84" s="100"/>
      <c r="U84" s="100"/>
      <c r="V84" s="100"/>
      <c r="W84" s="100"/>
    </row>
    <row r="85" spans="2:26" x14ac:dyDescent="0.2">
      <c r="B85" s="103"/>
      <c r="C85" s="103"/>
      <c r="D85" s="100"/>
      <c r="E85" s="100"/>
      <c r="F85" s="100"/>
      <c r="G85" s="100"/>
      <c r="H85" s="100"/>
      <c r="I85" s="100"/>
      <c r="J85" s="100"/>
      <c r="K85" s="100"/>
      <c r="L85" s="100"/>
      <c r="M85" s="100"/>
      <c r="N85" s="100"/>
      <c r="O85" s="100"/>
      <c r="P85" s="100"/>
      <c r="Q85" s="100"/>
      <c r="R85" s="100"/>
      <c r="S85" s="100"/>
      <c r="T85" s="100"/>
      <c r="U85" s="100"/>
      <c r="V85" s="100"/>
      <c r="W85" s="100"/>
    </row>
    <row r="86" spans="2:26" x14ac:dyDescent="0.2">
      <c r="B86" s="103"/>
      <c r="C86" s="103"/>
      <c r="D86" s="100"/>
      <c r="E86" s="100"/>
      <c r="F86" s="100"/>
      <c r="G86" s="100"/>
      <c r="H86" s="100"/>
      <c r="I86" s="100"/>
      <c r="J86" s="100"/>
      <c r="K86" s="100"/>
      <c r="L86" s="100"/>
      <c r="M86" s="100"/>
      <c r="N86" s="100"/>
      <c r="O86" s="100"/>
      <c r="P86" s="100"/>
      <c r="Q86" s="100"/>
      <c r="R86" s="100"/>
      <c r="S86" s="100"/>
      <c r="T86" s="100"/>
      <c r="U86" s="100"/>
      <c r="V86" s="100"/>
      <c r="W86" s="100"/>
    </row>
    <row r="87" spans="2:26" x14ac:dyDescent="0.2">
      <c r="B87" s="103"/>
      <c r="C87" s="103"/>
      <c r="D87" s="100"/>
      <c r="E87" s="100"/>
      <c r="F87" s="100"/>
      <c r="G87" s="100"/>
      <c r="H87" s="100"/>
      <c r="I87" s="100"/>
      <c r="J87" s="100"/>
      <c r="K87" s="100"/>
      <c r="L87" s="100"/>
      <c r="M87" s="100"/>
      <c r="N87" s="100"/>
      <c r="O87" s="100"/>
      <c r="P87" s="100"/>
      <c r="Q87" s="100"/>
      <c r="R87" s="100"/>
      <c r="S87" s="100"/>
      <c r="T87" s="100"/>
      <c r="U87" s="100"/>
      <c r="V87" s="100"/>
      <c r="W87" s="100"/>
    </row>
    <row r="88" spans="2:26" x14ac:dyDescent="0.2">
      <c r="B88" s="103"/>
      <c r="C88" s="103"/>
      <c r="D88" s="100"/>
      <c r="E88" s="100"/>
      <c r="F88" s="100"/>
      <c r="G88" s="100"/>
      <c r="H88" s="100"/>
      <c r="I88" s="100"/>
      <c r="J88" s="100"/>
      <c r="K88" s="100"/>
      <c r="L88" s="100"/>
      <c r="M88" s="100"/>
      <c r="N88" s="100"/>
      <c r="O88" s="100"/>
      <c r="P88" s="100"/>
      <c r="Q88" s="100"/>
      <c r="R88" s="100"/>
      <c r="S88" s="100"/>
      <c r="T88" s="100"/>
      <c r="U88" s="100"/>
      <c r="V88" s="100"/>
      <c r="W88" s="100"/>
    </row>
    <row r="89" spans="2:26" x14ac:dyDescent="0.2">
      <c r="B89" s="103"/>
      <c r="C89" s="103"/>
      <c r="D89" s="100"/>
      <c r="E89" s="100"/>
      <c r="F89" s="100"/>
      <c r="G89" s="100"/>
      <c r="H89" s="100"/>
      <c r="I89" s="100"/>
      <c r="J89" s="100"/>
      <c r="K89" s="100"/>
      <c r="L89" s="100"/>
      <c r="M89" s="100"/>
      <c r="N89" s="100"/>
      <c r="O89" s="100"/>
      <c r="P89" s="100"/>
      <c r="Q89" s="100"/>
      <c r="R89" s="100"/>
      <c r="S89" s="100"/>
      <c r="T89" s="100"/>
      <c r="U89" s="100"/>
      <c r="V89" s="100"/>
      <c r="W89" s="100"/>
    </row>
    <row r="90" spans="2:26" x14ac:dyDescent="0.2">
      <c r="B90" s="103"/>
      <c r="C90" s="103"/>
      <c r="D90" s="100"/>
      <c r="E90" s="100"/>
      <c r="F90" s="100"/>
      <c r="G90" s="100"/>
      <c r="H90" s="100"/>
      <c r="I90" s="100"/>
      <c r="J90" s="100"/>
      <c r="K90" s="100"/>
      <c r="L90" s="100"/>
      <c r="M90" s="100"/>
      <c r="N90" s="100"/>
      <c r="O90" s="100"/>
      <c r="P90" s="100"/>
      <c r="Q90" s="100"/>
      <c r="R90" s="100"/>
      <c r="S90" s="100"/>
      <c r="T90" s="100"/>
      <c r="U90" s="100"/>
      <c r="V90" s="100"/>
      <c r="W90" s="100"/>
    </row>
    <row r="91" spans="2:26" x14ac:dyDescent="0.2">
      <c r="B91" s="103"/>
      <c r="C91" s="103"/>
      <c r="D91" s="100"/>
      <c r="E91" s="100"/>
      <c r="F91" s="100"/>
      <c r="G91" s="100"/>
      <c r="H91" s="100"/>
      <c r="I91" s="100"/>
      <c r="J91" s="100"/>
      <c r="K91" s="100"/>
      <c r="L91" s="100"/>
      <c r="M91" s="100"/>
      <c r="N91" s="100"/>
      <c r="O91" s="100"/>
      <c r="P91" s="100"/>
      <c r="Q91" s="100"/>
      <c r="R91" s="100"/>
      <c r="S91" s="100"/>
      <c r="T91" s="100"/>
      <c r="U91" s="100"/>
      <c r="V91" s="100"/>
      <c r="W91" s="100"/>
    </row>
    <row r="92" spans="2:26" x14ac:dyDescent="0.2">
      <c r="B92" s="103"/>
      <c r="C92" s="103"/>
      <c r="D92" s="100"/>
      <c r="E92" s="100"/>
      <c r="F92" s="100"/>
      <c r="G92" s="100"/>
      <c r="H92" s="100"/>
      <c r="I92" s="100"/>
      <c r="J92" s="100"/>
      <c r="K92" s="100"/>
      <c r="L92" s="100"/>
      <c r="M92" s="100"/>
      <c r="N92" s="100"/>
      <c r="O92" s="100"/>
      <c r="P92" s="100"/>
      <c r="Q92" s="100"/>
      <c r="R92" s="100"/>
      <c r="S92" s="100"/>
      <c r="T92" s="100"/>
      <c r="U92" s="100"/>
      <c r="V92" s="100"/>
      <c r="W92" s="100"/>
    </row>
    <row r="93" spans="2:26" x14ac:dyDescent="0.2">
      <c r="B93" s="103"/>
      <c r="C93" s="103"/>
      <c r="D93" s="100"/>
      <c r="E93" s="100"/>
      <c r="F93" s="100"/>
      <c r="G93" s="100"/>
      <c r="H93" s="100"/>
      <c r="I93" s="100"/>
      <c r="J93" s="100"/>
      <c r="K93" s="100"/>
      <c r="L93" s="100"/>
      <c r="M93" s="100"/>
      <c r="N93" s="100"/>
      <c r="O93" s="100"/>
      <c r="P93" s="100"/>
      <c r="Q93" s="100"/>
      <c r="R93" s="100"/>
      <c r="S93" s="100"/>
      <c r="T93" s="100"/>
      <c r="U93" s="100"/>
      <c r="V93" s="100"/>
      <c r="W93" s="100"/>
    </row>
    <row r="94" spans="2:26" x14ac:dyDescent="0.2">
      <c r="B94" s="103"/>
      <c r="C94" s="103"/>
      <c r="D94" s="100"/>
      <c r="E94" s="100"/>
      <c r="F94" s="100"/>
      <c r="G94" s="100"/>
      <c r="H94" s="100"/>
      <c r="I94" s="100"/>
      <c r="J94" s="100"/>
      <c r="K94" s="100"/>
      <c r="L94" s="100"/>
      <c r="M94" s="100"/>
      <c r="N94" s="100"/>
      <c r="O94" s="100"/>
      <c r="P94" s="100"/>
      <c r="Q94" s="100"/>
      <c r="R94" s="100"/>
      <c r="S94" s="100"/>
      <c r="T94" s="100"/>
      <c r="U94" s="100"/>
      <c r="V94" s="100"/>
      <c r="W94" s="100"/>
    </row>
    <row r="95" spans="2:26" x14ac:dyDescent="0.2">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x14ac:dyDescent="0.2">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
      <c r="H200" s="100"/>
      <c r="I200" s="100"/>
      <c r="J200" s="100"/>
      <c r="K200" s="100"/>
      <c r="L200" s="100"/>
      <c r="M200" s="100"/>
      <c r="N200" s="100"/>
      <c r="O200" s="100"/>
      <c r="P200" s="100"/>
      <c r="Q200" s="100"/>
      <c r="R200" s="100"/>
      <c r="S200" s="100"/>
      <c r="T200" s="100"/>
      <c r="U200" s="100"/>
      <c r="V200" s="100"/>
      <c r="W200" s="100"/>
    </row>
  </sheetData>
  <sheetProtection selectLockedCells="1"/>
  <dataConsolidate/>
  <mergeCells count="165">
    <mergeCell ref="U49:W49"/>
    <mergeCell ref="C75:W75"/>
    <mergeCell ref="M46:P46"/>
    <mergeCell ref="J83:O83"/>
    <mergeCell ref="B79:F79"/>
    <mergeCell ref="G79:I79"/>
    <mergeCell ref="O79:S79"/>
    <mergeCell ref="J81:O81"/>
    <mergeCell ref="J82:O82"/>
    <mergeCell ref="B52:W52"/>
    <mergeCell ref="B53:W64"/>
    <mergeCell ref="B78:F78"/>
    <mergeCell ref="G78:I78"/>
    <mergeCell ref="M78:S78"/>
    <mergeCell ref="U78:W78"/>
    <mergeCell ref="C69:W69"/>
    <mergeCell ref="C70:W70"/>
    <mergeCell ref="C71:W71"/>
    <mergeCell ref="C72:W72"/>
    <mergeCell ref="C73:W73"/>
    <mergeCell ref="C74:W74"/>
    <mergeCell ref="C76:W76"/>
    <mergeCell ref="Q46:S46"/>
    <mergeCell ref="B66:T66"/>
    <mergeCell ref="B49:I49"/>
    <mergeCell ref="J49:T49"/>
    <mergeCell ref="C68:W68"/>
    <mergeCell ref="T44:W44"/>
    <mergeCell ref="B45:C45"/>
    <mergeCell ref="D45:E45"/>
    <mergeCell ref="F45:I45"/>
    <mergeCell ref="J45:L45"/>
    <mergeCell ref="M45:P45"/>
    <mergeCell ref="Q45:S45"/>
    <mergeCell ref="T45:W45"/>
    <mergeCell ref="B44:C44"/>
    <mergeCell ref="D44:E44"/>
    <mergeCell ref="F44:I44"/>
    <mergeCell ref="J44:L44"/>
    <mergeCell ref="M44:P44"/>
    <mergeCell ref="Q44:S44"/>
    <mergeCell ref="B51:T51"/>
    <mergeCell ref="T46:W46"/>
    <mergeCell ref="B47:C47"/>
    <mergeCell ref="D47:E47"/>
    <mergeCell ref="F47:I47"/>
    <mergeCell ref="J47:L47"/>
    <mergeCell ref="M47:P47"/>
    <mergeCell ref="Q47:S47"/>
    <mergeCell ref="T47:W47"/>
    <mergeCell ref="B46:C46"/>
    <mergeCell ref="D46:E46"/>
    <mergeCell ref="F46:I46"/>
    <mergeCell ref="J46:L46"/>
    <mergeCell ref="B39:W39"/>
    <mergeCell ref="B40:E40"/>
    <mergeCell ref="F40:I40"/>
    <mergeCell ref="J40:L40"/>
    <mergeCell ref="M40:P40"/>
    <mergeCell ref="Q40:S40"/>
    <mergeCell ref="T40:W40"/>
    <mergeCell ref="T41:W43"/>
    <mergeCell ref="B43:C43"/>
    <mergeCell ref="D43:E43"/>
    <mergeCell ref="F43:I43"/>
    <mergeCell ref="J43:L43"/>
    <mergeCell ref="M43:P43"/>
    <mergeCell ref="B41:C42"/>
    <mergeCell ref="D41:E42"/>
    <mergeCell ref="F41:I42"/>
    <mergeCell ref="J41:L42"/>
    <mergeCell ref="M41:P42"/>
    <mergeCell ref="Q41:S43"/>
    <mergeCell ref="D36:F36"/>
    <mergeCell ref="G36:J36"/>
    <mergeCell ref="K36:N36"/>
    <mergeCell ref="O36:R36"/>
    <mergeCell ref="S36:U36"/>
    <mergeCell ref="B38:T38"/>
    <mergeCell ref="D34:F34"/>
    <mergeCell ref="G34:J34"/>
    <mergeCell ref="K34:N34"/>
    <mergeCell ref="O34:R34"/>
    <mergeCell ref="S34:U34"/>
    <mergeCell ref="D35:F35"/>
    <mergeCell ref="G35:J35"/>
    <mergeCell ref="K35:N35"/>
    <mergeCell ref="O35:R35"/>
    <mergeCell ref="S35:U35"/>
    <mergeCell ref="D32:F32"/>
    <mergeCell ref="G32:J32"/>
    <mergeCell ref="K32:N32"/>
    <mergeCell ref="O32:R32"/>
    <mergeCell ref="S32:U32"/>
    <mergeCell ref="D33:F33"/>
    <mergeCell ref="G33:J33"/>
    <mergeCell ref="K33:N33"/>
    <mergeCell ref="O33:R33"/>
    <mergeCell ref="S33:U33"/>
    <mergeCell ref="D30:G30"/>
    <mergeCell ref="H30:J30"/>
    <mergeCell ref="K30:N30"/>
    <mergeCell ref="O30:R30"/>
    <mergeCell ref="S30:U30"/>
    <mergeCell ref="D31:F31"/>
    <mergeCell ref="G31:J31"/>
    <mergeCell ref="K31:N31"/>
    <mergeCell ref="O31:R31"/>
    <mergeCell ref="S31:U31"/>
    <mergeCell ref="B26:H26"/>
    <mergeCell ref="I26:L26"/>
    <mergeCell ref="O26:R26"/>
    <mergeCell ref="S26:W26"/>
    <mergeCell ref="B27:W27"/>
    <mergeCell ref="B28:T28"/>
    <mergeCell ref="U28:W28"/>
    <mergeCell ref="B21:L21"/>
    <mergeCell ref="B23:W23"/>
    <mergeCell ref="F24:G24"/>
    <mergeCell ref="P24:S24"/>
    <mergeCell ref="T24:U24"/>
    <mergeCell ref="C24:E24"/>
    <mergeCell ref="J24:L24"/>
    <mergeCell ref="M24:N24"/>
    <mergeCell ref="M21:R21"/>
    <mergeCell ref="B18:D18"/>
    <mergeCell ref="E18:L18"/>
    <mergeCell ref="M18:Q18"/>
    <mergeCell ref="B19:D19"/>
    <mergeCell ref="E19:L20"/>
    <mergeCell ref="M20:R20"/>
    <mergeCell ref="R18:U18"/>
    <mergeCell ref="M19:Q19"/>
    <mergeCell ref="R19:U19"/>
    <mergeCell ref="S20:U20"/>
    <mergeCell ref="B16:D16"/>
    <mergeCell ref="E16:L16"/>
    <mergeCell ref="M16:Q16"/>
    <mergeCell ref="R16:V16"/>
    <mergeCell ref="B17:D17"/>
    <mergeCell ref="E17:L17"/>
    <mergeCell ref="M17:Q17"/>
    <mergeCell ref="B13:W13"/>
    <mergeCell ref="B14:H14"/>
    <mergeCell ref="B15:D15"/>
    <mergeCell ref="E15:L15"/>
    <mergeCell ref="M15:Q15"/>
    <mergeCell ref="R15:V15"/>
    <mergeCell ref="R17:U17"/>
    <mergeCell ref="B11:D11"/>
    <mergeCell ref="E11:N11"/>
    <mergeCell ref="O11:Q11"/>
    <mergeCell ref="B12:C12"/>
    <mergeCell ref="E12:I12"/>
    <mergeCell ref="B2:L7"/>
    <mergeCell ref="M2:W6"/>
    <mergeCell ref="M7:W7"/>
    <mergeCell ref="B9:G9"/>
    <mergeCell ref="H9:J9"/>
    <mergeCell ref="B10:D10"/>
    <mergeCell ref="E10:N10"/>
    <mergeCell ref="O10:P10"/>
    <mergeCell ref="R10:V10"/>
    <mergeCell ref="L8:W8"/>
    <mergeCell ref="R11:W11"/>
  </mergeCells>
  <conditionalFormatting sqref="V19">
    <cfRule type="notContainsBlanks" dxfId="201" priority="67">
      <formula>LEN(TRIM(V19))&gt;0</formula>
    </cfRule>
  </conditionalFormatting>
  <conditionalFormatting sqref="D33:U33">
    <cfRule type="expression" dxfId="200" priority="43">
      <formula>AND($D$33&lt;&gt;"",$D$34="")</formula>
    </cfRule>
  </conditionalFormatting>
  <conditionalFormatting sqref="D33:F36">
    <cfRule type="notContainsBlanks" dxfId="199" priority="64">
      <formula>LEN(TRIM(D33))&gt;0</formula>
    </cfRule>
  </conditionalFormatting>
  <conditionalFormatting sqref="S33:U36">
    <cfRule type="notContainsBlanks" dxfId="198" priority="65">
      <formula>LEN(TRIM(S33))&gt;0</formula>
    </cfRule>
  </conditionalFormatting>
  <conditionalFormatting sqref="D32:U32">
    <cfRule type="expression" dxfId="197" priority="40">
      <formula>AND($D$32&lt;&gt;"",$D$33="")</formula>
    </cfRule>
  </conditionalFormatting>
  <conditionalFormatting sqref="D32:F32">
    <cfRule type="notContainsBlanks" dxfId="196" priority="63">
      <formula>LEN(TRIM(D32))&gt;0</formula>
    </cfRule>
  </conditionalFormatting>
  <conditionalFormatting sqref="S32:U32">
    <cfRule type="notContainsBlanks" dxfId="195" priority="66">
      <formula>LEN(TRIM(S32))&gt;0</formula>
    </cfRule>
  </conditionalFormatting>
  <conditionalFormatting sqref="D34:U34">
    <cfRule type="expression" dxfId="194" priority="37">
      <formula>AND($D$34&lt;&gt;"",$D$35="")</formula>
    </cfRule>
  </conditionalFormatting>
  <conditionalFormatting sqref="D35:U35">
    <cfRule type="expression" dxfId="193" priority="34">
      <formula>AND($D$35&lt;&gt;"",$D$36="")</formula>
    </cfRule>
  </conditionalFormatting>
  <conditionalFormatting sqref="D36:U36">
    <cfRule type="expression" dxfId="192" priority="31">
      <formula>AND($D$36&lt;&gt;"",$D$37="")</formula>
    </cfRule>
  </conditionalFormatting>
  <conditionalFormatting sqref="D31:U31">
    <cfRule type="expression" dxfId="191" priority="28">
      <formula>$D$32=""</formula>
    </cfRule>
  </conditionalFormatting>
  <conditionalFormatting sqref="M19:Q19">
    <cfRule type="cellIs" priority="17" operator="equal">
      <formula>"""*E = Escala"""</formula>
    </cfRule>
  </conditionalFormatting>
  <conditionalFormatting sqref="G79:I79">
    <cfRule type="notContainsBlanks" dxfId="190" priority="8">
      <formula>LEN(TRIM(G79))&gt;0</formula>
    </cfRule>
  </conditionalFormatting>
  <conditionalFormatting sqref="B76">
    <cfRule type="containsBlanks" dxfId="189" priority="4">
      <formula>LEN(TRIM(B76))=0</formula>
    </cfRule>
  </conditionalFormatting>
  <conditionalFormatting sqref="S20:U20">
    <cfRule type="notContainsBlanks" dxfId="188" priority="1">
      <formula>LEN(TRIM(S20))&gt;0</formula>
    </cfRule>
  </conditionalFormatting>
  <conditionalFormatting sqref="M20:R20">
    <cfRule type="notContainsBlanks" dxfId="187" priority="2">
      <formula>LEN(TRIM(M20))&gt;0</formula>
    </cfRule>
  </conditionalFormatting>
  <conditionalFormatting sqref="S20">
    <cfRule type="notContainsBlanks" dxfId="186" priority="3">
      <formula>LEN(TRIM(S20))&gt;0</formula>
    </cfRule>
  </conditionalFormatting>
  <dataValidations disablePrompts="1" count="1">
    <dataValidation allowBlank="1" showErrorMessage="1" errorTitle="Erro" error="Selecionar dados já inseridos" promptTitle="Selecionar dados" prompt="Unidade de massa" sqref="I26:L26" xr:uid="{00000000-0002-0000-0200-000000000000}"/>
  </dataValidations>
  <printOptions horizontalCentered="1"/>
  <pageMargins left="0.19685039370078741" right="0.19685039370078741" top="0.51181102362204722" bottom="0.43307086614173229" header="0.31496062992125984" footer="0.15748031496062992"/>
  <pageSetup paperSize="9" scale="92"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46785" r:id="rId5" name="Check Box 1">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mc:AlternateContent xmlns:mc="http://schemas.openxmlformats.org/markup-compatibility/2006">
          <mc:Choice Requires="x14">
            <control shapeId="246786" r:id="rId6" name="Check Box 2">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mc:AlternateContent xmlns:mc="http://schemas.openxmlformats.org/markup-compatibility/2006">
          <mc:Choice Requires="x14">
            <control shapeId="246787" r:id="rId7" name="Check Box 3">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1">
    <tabColor rgb="FFE07515"/>
  </sheetPr>
  <dimension ref="A1:AR211"/>
  <sheetViews>
    <sheetView showGridLines="0" showRowColHeaders="0" view="pageBreakPreview" topLeftCell="A47" zoomScale="120" zoomScaleNormal="110" zoomScaleSheetLayoutView="120" zoomScalePageLayoutView="120" workbookViewId="0">
      <selection activeCell="K14" sqref="K14"/>
    </sheetView>
  </sheetViews>
  <sheetFormatPr defaultColWidth="9.140625" defaultRowHeight="12.75" outlineLevelRow="1" x14ac:dyDescent="0.2"/>
  <cols>
    <col min="1" max="1" width="15.140625" style="100" customWidth="1"/>
    <col min="2" max="3" width="5" style="5" customWidth="1"/>
    <col min="4" max="8" width="5" customWidth="1"/>
    <col min="9" max="23" width="4.7109375" customWidth="1"/>
    <col min="24" max="26" width="8.140625" style="100" customWidth="1"/>
    <col min="27" max="27" width="2.7109375" style="100" customWidth="1"/>
    <col min="28" max="16384" width="9.140625" style="100"/>
  </cols>
  <sheetData>
    <row r="1" spans="2:26" ht="15" customHeight="1" x14ac:dyDescent="0.2">
      <c r="B1" s="103"/>
      <c r="C1" s="103"/>
      <c r="D1" s="100"/>
      <c r="E1" s="100"/>
      <c r="F1" s="100"/>
      <c r="G1" s="100"/>
      <c r="H1" s="100"/>
      <c r="I1" s="100"/>
      <c r="J1" s="100"/>
      <c r="K1" s="100"/>
      <c r="L1" s="100"/>
      <c r="M1" s="100"/>
      <c r="N1" s="100"/>
      <c r="O1" s="100"/>
      <c r="P1" s="100"/>
      <c r="Q1" s="100"/>
      <c r="R1" s="100"/>
      <c r="S1" s="100"/>
      <c r="T1" s="100"/>
      <c r="U1" s="100"/>
      <c r="V1" s="100"/>
      <c r="W1" s="100"/>
    </row>
    <row r="2" spans="2:26" ht="17.45" customHeight="1" x14ac:dyDescent="0.2">
      <c r="B2" s="499" t="s">
        <v>340</v>
      </c>
      <c r="C2" s="499"/>
      <c r="D2" s="499"/>
      <c r="E2" s="499"/>
      <c r="F2" s="499"/>
      <c r="G2" s="499"/>
      <c r="H2" s="499"/>
      <c r="I2" s="499"/>
      <c r="J2" s="499"/>
      <c r="K2" s="499"/>
      <c r="L2" s="499"/>
      <c r="M2" s="500" t="s">
        <v>92</v>
      </c>
      <c r="N2" s="500"/>
      <c r="O2" s="500"/>
      <c r="P2" s="500"/>
      <c r="Q2" s="500"/>
      <c r="R2" s="500"/>
      <c r="S2" s="500"/>
      <c r="T2" s="500"/>
      <c r="U2" s="500"/>
      <c r="V2" s="500"/>
      <c r="W2" s="500"/>
      <c r="X2" s="104"/>
      <c r="Y2" s="104"/>
      <c r="Z2" s="104"/>
    </row>
    <row r="3" spans="2:26" ht="17.45" customHeight="1" x14ac:dyDescent="0.2">
      <c r="B3" s="499"/>
      <c r="C3" s="499"/>
      <c r="D3" s="499"/>
      <c r="E3" s="499"/>
      <c r="F3" s="499"/>
      <c r="G3" s="499"/>
      <c r="H3" s="499"/>
      <c r="I3" s="499"/>
      <c r="J3" s="499"/>
      <c r="K3" s="499"/>
      <c r="L3" s="499"/>
      <c r="M3" s="500"/>
      <c r="N3" s="500"/>
      <c r="O3" s="500"/>
      <c r="P3" s="500"/>
      <c r="Q3" s="500"/>
      <c r="R3" s="500"/>
      <c r="S3" s="500"/>
      <c r="T3" s="500"/>
      <c r="U3" s="500"/>
      <c r="V3" s="500"/>
      <c r="W3" s="500"/>
      <c r="X3" s="104"/>
      <c r="Y3" s="104"/>
      <c r="Z3" s="104"/>
    </row>
    <row r="4" spans="2:26" ht="17.45" customHeight="1" x14ac:dyDescent="0.2">
      <c r="B4" s="499"/>
      <c r="C4" s="499"/>
      <c r="D4" s="499"/>
      <c r="E4" s="499"/>
      <c r="F4" s="499"/>
      <c r="G4" s="499"/>
      <c r="H4" s="499"/>
      <c r="I4" s="499"/>
      <c r="J4" s="499"/>
      <c r="K4" s="499"/>
      <c r="L4" s="499"/>
      <c r="M4" s="500"/>
      <c r="N4" s="500"/>
      <c r="O4" s="500"/>
      <c r="P4" s="500"/>
      <c r="Q4" s="500"/>
      <c r="R4" s="500"/>
      <c r="S4" s="500"/>
      <c r="T4" s="500"/>
      <c r="U4" s="500"/>
      <c r="V4" s="500"/>
      <c r="W4" s="500"/>
      <c r="X4" s="104"/>
      <c r="Y4" s="104"/>
      <c r="Z4" s="104"/>
    </row>
    <row r="5" spans="2:26" ht="17.45" customHeight="1" x14ac:dyDescent="0.2">
      <c r="B5" s="499"/>
      <c r="C5" s="499"/>
      <c r="D5" s="499"/>
      <c r="E5" s="499"/>
      <c r="F5" s="499"/>
      <c r="G5" s="499"/>
      <c r="H5" s="499"/>
      <c r="I5" s="499"/>
      <c r="J5" s="499"/>
      <c r="K5" s="499"/>
      <c r="L5" s="499"/>
      <c r="M5" s="500"/>
      <c r="N5" s="500"/>
      <c r="O5" s="500"/>
      <c r="P5" s="500"/>
      <c r="Q5" s="500"/>
      <c r="R5" s="500"/>
      <c r="S5" s="500"/>
      <c r="T5" s="500"/>
      <c r="U5" s="500"/>
      <c r="V5" s="500"/>
      <c r="W5" s="500"/>
      <c r="X5" s="104"/>
      <c r="Y5" s="104"/>
      <c r="Z5" s="104"/>
    </row>
    <row r="6" spans="2:26" ht="17.45" customHeight="1" x14ac:dyDescent="0.2">
      <c r="B6" s="499"/>
      <c r="C6" s="499"/>
      <c r="D6" s="499"/>
      <c r="E6" s="499"/>
      <c r="F6" s="499"/>
      <c r="G6" s="499"/>
      <c r="H6" s="499"/>
      <c r="I6" s="499"/>
      <c r="J6" s="499"/>
      <c r="K6" s="499"/>
      <c r="L6" s="499"/>
      <c r="M6" s="500"/>
      <c r="N6" s="500"/>
      <c r="O6" s="500"/>
      <c r="P6" s="500"/>
      <c r="Q6" s="500"/>
      <c r="R6" s="500"/>
      <c r="S6" s="500"/>
      <c r="T6" s="500"/>
      <c r="U6" s="500"/>
      <c r="V6" s="500"/>
      <c r="W6" s="500"/>
      <c r="X6" s="104"/>
      <c r="Y6" s="104"/>
      <c r="Z6" s="104"/>
    </row>
    <row r="7" spans="2:26" ht="17.45" customHeight="1" x14ac:dyDescent="0.2">
      <c r="B7" s="499"/>
      <c r="C7" s="499"/>
      <c r="D7" s="499"/>
      <c r="E7" s="499"/>
      <c r="F7" s="499"/>
      <c r="G7" s="499"/>
      <c r="H7" s="499"/>
      <c r="I7" s="499"/>
      <c r="J7" s="499"/>
      <c r="K7" s="499"/>
      <c r="L7" s="499"/>
      <c r="M7" s="501" t="str">
        <f>'Sem ajuste'!M7:W7</f>
        <v>N° 74</v>
      </c>
      <c r="N7" s="501"/>
      <c r="O7" s="501"/>
      <c r="P7" s="501"/>
      <c r="Q7" s="501"/>
      <c r="R7" s="501"/>
      <c r="S7" s="501"/>
      <c r="T7" s="501"/>
      <c r="U7" s="501"/>
      <c r="V7" s="501"/>
      <c r="W7" s="501"/>
      <c r="X7" s="137"/>
      <c r="Y7" s="137"/>
      <c r="Z7" s="137"/>
    </row>
    <row r="8" spans="2:26" ht="19.5" customHeight="1" x14ac:dyDescent="0.2">
      <c r="L8" s="506" t="str">
        <f>IF('Entrada de Dados'!U2="","",CONCATENATE("Este certificado cancela e substitui o certificado de número ",'Entrada de Dados'!U2))</f>
        <v/>
      </c>
      <c r="M8" s="506"/>
      <c r="N8" s="506"/>
      <c r="O8" s="506"/>
      <c r="P8" s="506"/>
      <c r="Q8" s="506"/>
      <c r="R8" s="506"/>
      <c r="S8" s="506"/>
      <c r="T8" s="506"/>
      <c r="U8" s="506"/>
      <c r="V8" s="506"/>
      <c r="W8" s="506"/>
    </row>
    <row r="9" spans="2:26" ht="15" customHeight="1" x14ac:dyDescent="0.2">
      <c r="B9" s="502" t="s">
        <v>140</v>
      </c>
      <c r="C9" s="503"/>
      <c r="D9" s="503"/>
      <c r="E9" s="503"/>
      <c r="F9" s="503"/>
      <c r="G9" s="503"/>
      <c r="H9" s="504"/>
      <c r="I9" s="504"/>
      <c r="J9" s="504"/>
      <c r="K9" s="3"/>
      <c r="L9" s="3"/>
      <c r="M9" s="3"/>
      <c r="N9" s="3"/>
      <c r="O9" s="3"/>
      <c r="P9" s="3"/>
      <c r="Q9" s="3"/>
      <c r="R9" s="3"/>
      <c r="S9" s="3"/>
      <c r="T9" s="3"/>
      <c r="U9" s="3"/>
      <c r="V9" s="3"/>
      <c r="W9" s="3"/>
      <c r="X9" s="105"/>
      <c r="Y9" s="105"/>
      <c r="Z9" s="105"/>
    </row>
    <row r="10" spans="2:26" ht="12.75" customHeight="1" x14ac:dyDescent="0.2">
      <c r="B10" s="496" t="s">
        <v>16</v>
      </c>
      <c r="C10" s="496"/>
      <c r="D10" s="496"/>
      <c r="E10" s="497" t="str">
        <f>IF('Entrada de Dados'!E5="","-",IFERROR(INDEX(Clientes!$A$2:$H$1000000,MATCH('Entrada de Dados'!$E$5,Clientes!$B$2:$B$1000000,0),1),"-"))</f>
        <v>ADAIR JOSE MENEGOL</v>
      </c>
      <c r="F10" s="498"/>
      <c r="G10" s="498"/>
      <c r="H10" s="498"/>
      <c r="I10" s="498"/>
      <c r="J10" s="498"/>
      <c r="K10" s="498"/>
      <c r="L10" s="498"/>
      <c r="M10" s="498"/>
      <c r="N10" s="498"/>
      <c r="O10" s="496" t="s">
        <v>104</v>
      </c>
      <c r="P10" s="496"/>
      <c r="Q10" s="3"/>
      <c r="R10" s="505" t="str">
        <f>IF('Entrada de Dados'!E5="","-",IFERROR(INDEX(Clientes!$A$2:$H$1000000,MATCH('Entrada de Dados'!$E$5,Clientes!$B$2:$B$1000000,0),7),"-"))</f>
        <v>953.801.080-91</v>
      </c>
      <c r="S10" s="505"/>
      <c r="T10" s="505"/>
      <c r="U10" s="505"/>
      <c r="V10" s="505"/>
      <c r="W10" s="1"/>
      <c r="X10" s="106"/>
      <c r="Y10" s="106"/>
      <c r="Z10" s="106"/>
    </row>
    <row r="11" spans="2:26" ht="15" customHeight="1" x14ac:dyDescent="0.2">
      <c r="B11" s="496" t="s">
        <v>17</v>
      </c>
      <c r="C11" s="496"/>
      <c r="D11" s="496"/>
      <c r="E11" s="497" t="str">
        <f>IF('Entrada de Dados'!E5="","-",IFERROR(INDEX(Clientes!$A$2:$H$1000000,MATCH('Entrada de Dados'!$E$5,Clientes!$B$2:$B$1000000,0),4),"-"))</f>
        <v>GLEBA IQUE, LOTE RURAL 23, SETOR TENENTE</v>
      </c>
      <c r="F11" s="498"/>
      <c r="G11" s="498"/>
      <c r="H11" s="498"/>
      <c r="I11" s="498"/>
      <c r="J11" s="498"/>
      <c r="K11" s="498"/>
      <c r="L11" s="498"/>
      <c r="M11" s="498"/>
      <c r="N11" s="498"/>
      <c r="O11" s="496" t="s">
        <v>18</v>
      </c>
      <c r="P11" s="496"/>
      <c r="Q11" s="496"/>
      <c r="R11" s="507" t="str">
        <f>IF('Entrada de Dados'!E5="","-",IFERROR(CONCATENATE(INDEX(Clientes!$A$2:$H$1000000,MATCH('Entrada de Dados'!$E$5,Clientes!$B$2:$B$1000000,0),5)," / ",INDEX(Clientes!$A$2:$H$1000000,MATCH('Entrada de Dados'!$E$5,Clientes!$B$2:$B$1000000,0),6)),"-"))</f>
        <v>VILHENA / RO</v>
      </c>
      <c r="S11" s="507"/>
      <c r="T11" s="507"/>
      <c r="U11" s="507"/>
      <c r="V11" s="507"/>
      <c r="W11" s="507"/>
      <c r="X11" s="107"/>
      <c r="Y11" s="107"/>
      <c r="Z11" s="107"/>
    </row>
    <row r="12" spans="2:26" ht="15" customHeight="1" x14ac:dyDescent="0.2">
      <c r="B12" s="496" t="str">
        <f>IF('Entrada de Dados'!$E$5="","Unidade:",IF(INDEX(Clientes!$A$2:$I$1000000,MATCH('Entrada de Dados'!$E$5,Clientes!$B$2:$B$1000000,0),3)="-","","Unidade:"))</f>
        <v>Unidade:</v>
      </c>
      <c r="C12" s="496"/>
      <c r="D12" s="3"/>
      <c r="E12" s="498" t="str">
        <f>IF('Entrada de Dados'!$E$5="","-",IF(INDEX(Clientes!$A$2:$I$1000000,MATCH('Entrada de Dados'!$E$5,Clientes!$B$2:$B$1000000,0),3)="-","",INDEX(Clientes!$A$2:$I$1000000,MATCH('Entrada de Dados'!$E$5,Clientes!$B$2:$B$1000000,0),3)))</f>
        <v>FAZ. RETIRO</v>
      </c>
      <c r="F12" s="498"/>
      <c r="G12" s="498"/>
      <c r="H12" s="498"/>
      <c r="I12" s="498"/>
      <c r="J12" s="1"/>
      <c r="K12" s="1"/>
      <c r="L12" s="1"/>
      <c r="M12" s="1"/>
      <c r="N12" s="1"/>
      <c r="W12" s="1"/>
      <c r="X12" s="106"/>
      <c r="Y12" s="106"/>
      <c r="Z12" s="106"/>
    </row>
    <row r="13" spans="2:26" ht="15" customHeight="1" x14ac:dyDescent="0.2">
      <c r="B13" s="510"/>
      <c r="C13" s="510"/>
      <c r="D13" s="510"/>
      <c r="E13" s="510"/>
      <c r="F13" s="510"/>
      <c r="G13" s="510"/>
      <c r="H13" s="510"/>
      <c r="I13" s="510"/>
      <c r="J13" s="510"/>
      <c r="K13" s="510"/>
      <c r="L13" s="510"/>
      <c r="M13" s="510"/>
      <c r="N13" s="510"/>
      <c r="O13" s="510"/>
      <c r="P13" s="510"/>
      <c r="Q13" s="510"/>
      <c r="R13" s="510"/>
      <c r="S13" s="510"/>
      <c r="T13" s="510"/>
      <c r="U13" s="510"/>
      <c r="V13" s="510"/>
      <c r="W13" s="510"/>
      <c r="X13" s="108"/>
      <c r="Y13" s="108"/>
      <c r="Z13" s="108"/>
    </row>
    <row r="14" spans="2:26" ht="15" customHeight="1" x14ac:dyDescent="0.2">
      <c r="B14" s="502" t="s">
        <v>141</v>
      </c>
      <c r="C14" s="503"/>
      <c r="D14" s="503"/>
      <c r="E14" s="503"/>
      <c r="F14" s="503"/>
      <c r="G14" s="503"/>
      <c r="H14" s="503"/>
      <c r="I14" s="3"/>
      <c r="J14" s="3"/>
      <c r="K14" s="3"/>
      <c r="L14" s="3"/>
      <c r="M14" s="3"/>
      <c r="N14" s="3"/>
      <c r="O14" s="3"/>
      <c r="P14" s="3"/>
      <c r="Q14" s="3"/>
      <c r="R14" s="3"/>
      <c r="S14" s="3"/>
      <c r="T14" s="3"/>
      <c r="U14" s="3"/>
      <c r="V14" s="29"/>
      <c r="W14" s="3"/>
      <c r="X14" s="105"/>
      <c r="Y14" s="105"/>
      <c r="Z14" s="105"/>
    </row>
    <row r="15" spans="2:26" ht="15" customHeight="1" x14ac:dyDescent="0.2">
      <c r="B15" s="496" t="s">
        <v>19</v>
      </c>
      <c r="C15" s="496"/>
      <c r="D15" s="496"/>
      <c r="E15" s="498" t="str">
        <f>IF('Entrada de Dados'!E8="","-",'Entrada de Dados'!E8)</f>
        <v>CIANORTE</v>
      </c>
      <c r="F15" s="498"/>
      <c r="G15" s="498"/>
      <c r="H15" s="498"/>
      <c r="I15" s="498"/>
      <c r="J15" s="498"/>
      <c r="K15" s="498"/>
      <c r="L15" s="498"/>
      <c r="M15" s="496" t="s">
        <v>38</v>
      </c>
      <c r="N15" s="496"/>
      <c r="O15" s="496"/>
      <c r="P15" s="496"/>
      <c r="Q15" s="496"/>
      <c r="R15" s="498" t="str">
        <f>IF('Entrada de Dados'!G13="","-",'Entrada de Dados'!G13)</f>
        <v>Balança</v>
      </c>
      <c r="S15" s="498"/>
      <c r="T15" s="498"/>
      <c r="U15" s="498"/>
      <c r="V15" s="498"/>
      <c r="W15" s="3"/>
      <c r="X15" s="105"/>
      <c r="Y15" s="105"/>
      <c r="Z15" s="105"/>
    </row>
    <row r="16" spans="2:26" ht="15" customHeight="1" x14ac:dyDescent="0.2">
      <c r="B16" s="496" t="s">
        <v>21</v>
      </c>
      <c r="C16" s="496"/>
      <c r="D16" s="496"/>
      <c r="E16" s="498" t="str">
        <f>IF('Entrada de Dados'!E9="","-",'Entrada de Dados'!E9)</f>
        <v>BRO</v>
      </c>
      <c r="F16" s="498"/>
      <c r="G16" s="498"/>
      <c r="H16" s="498"/>
      <c r="I16" s="498"/>
      <c r="J16" s="498"/>
      <c r="K16" s="498"/>
      <c r="L16" s="498"/>
      <c r="M16" s="496" t="s">
        <v>36</v>
      </c>
      <c r="N16" s="496"/>
      <c r="O16" s="496"/>
      <c r="P16" s="496"/>
      <c r="Q16" s="496"/>
      <c r="R16" s="508" t="str">
        <f>IF('Entrada de Dados'!G14="","-",'Entrada de Dados'!G14)</f>
        <v>III</v>
      </c>
      <c r="S16" s="508"/>
      <c r="T16" s="508"/>
      <c r="U16" s="508"/>
      <c r="V16" s="508"/>
      <c r="W16" s="32"/>
      <c r="X16" s="109"/>
      <c r="Y16" s="109"/>
      <c r="Z16" s="109"/>
    </row>
    <row r="17" spans="2:27" ht="15" customHeight="1" x14ac:dyDescent="0.2">
      <c r="B17" s="496" t="s">
        <v>20</v>
      </c>
      <c r="C17" s="496"/>
      <c r="D17" s="496"/>
      <c r="E17" s="498" t="str">
        <f>IF('Entrada de Dados'!E10="","-",'Entrada de Dados'!E10)</f>
        <v>061023</v>
      </c>
      <c r="F17" s="498"/>
      <c r="G17" s="498"/>
      <c r="H17" s="498"/>
      <c r="I17" s="498"/>
      <c r="J17" s="498"/>
      <c r="K17" s="498"/>
      <c r="L17" s="498"/>
      <c r="M17" s="496" t="str">
        <f>IF('Entrada de Dados'!$R$12="","Capacidade:","Capacidade (E1/E2):")</f>
        <v>Capacidade:</v>
      </c>
      <c r="N17" s="509"/>
      <c r="O17" s="509"/>
      <c r="P17" s="509"/>
      <c r="Q17" s="509"/>
      <c r="R17" s="511"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140.000,00 kg</v>
      </c>
      <c r="S17" s="511"/>
      <c r="T17" s="511"/>
      <c r="U17" s="511"/>
      <c r="V17" s="1"/>
      <c r="W17" s="29"/>
      <c r="X17" s="110"/>
      <c r="Y17" s="110"/>
      <c r="Z17" s="110"/>
    </row>
    <row r="18" spans="2:27" ht="15" customHeight="1" x14ac:dyDescent="0.2">
      <c r="B18" s="496" t="s">
        <v>22</v>
      </c>
      <c r="C18" s="496"/>
      <c r="D18" s="496"/>
      <c r="E18" s="498">
        <f>IF('Entrada de Dados'!E11="","-",'Entrada de Dados'!E11)</f>
        <v>61023</v>
      </c>
      <c r="F18" s="498"/>
      <c r="G18" s="498"/>
      <c r="H18" s="498"/>
      <c r="I18" s="498"/>
      <c r="J18" s="498"/>
      <c r="K18" s="498"/>
      <c r="L18" s="498"/>
      <c r="M18" s="496" t="str">
        <f>IF('Entrada de Dados'!$R$12="","Divisão:",IF(AND('Entrada de Dados'!$R$9='Entrada de Dados'!$R$10,'Entrada de Dados'!$R$13='Entrada de Dados'!$R$14),"Divisão (E1/E2):","Divisão 'd' (E1/E2):"))</f>
        <v>Divisão:</v>
      </c>
      <c r="N18" s="509"/>
      <c r="O18" s="509"/>
      <c r="P18" s="509"/>
      <c r="Q18" s="509"/>
      <c r="R18" s="513"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20 kg</v>
      </c>
      <c r="S18" s="513"/>
      <c r="T18" s="513"/>
      <c r="U18" s="513"/>
      <c r="V18" s="1"/>
      <c r="W18" s="35"/>
      <c r="X18" s="111"/>
      <c r="Y18" s="111"/>
      <c r="Z18" s="111"/>
    </row>
    <row r="19" spans="2:27" ht="15" customHeight="1" x14ac:dyDescent="0.2">
      <c r="B19" s="496" t="s">
        <v>93</v>
      </c>
      <c r="C19" s="496"/>
      <c r="D19" s="496"/>
      <c r="E19" s="512" t="str">
        <f>IF('Entrada de Dados'!E12="","-",'Entrada de Dados'!E12)</f>
        <v>FATURAMENTO</v>
      </c>
      <c r="F19" s="512"/>
      <c r="G19" s="512"/>
      <c r="H19" s="512"/>
      <c r="I19" s="512"/>
      <c r="J19" s="512"/>
      <c r="K19" s="512"/>
      <c r="L19" s="512"/>
      <c r="M19" s="496" t="str">
        <f>IF('Entrada de Dados'!$R$12="","",IF(AND('Entrada de Dados'!$R$9='Entrada de Dados'!$R$10,'Entrada de Dados'!$R$13='Entrada de Dados'!$R$14),"","Divisão 'e' (E1/E2):"))</f>
        <v/>
      </c>
      <c r="N19" s="509"/>
      <c r="O19" s="509"/>
      <c r="P19" s="509"/>
      <c r="Q19" s="509"/>
      <c r="R19" s="513" t="str">
        <f>IF('Entrada de Dados'!$R$12="","",IF(AND('Entrada de Dados'!$R$9='Entrada de Dados'!$R$10,'Entrada de Dados'!$R$13='Entrada de Dados'!$R$14),"",CONCATENATE('Entrada de Dados'!$R$10," ",'Entrada de Dados'!$T$10," / ",'Entrada de Dados'!$R$14," ",'Entrada de Dados'!$T$14)))</f>
        <v/>
      </c>
      <c r="S19" s="513"/>
      <c r="T19" s="513"/>
      <c r="U19" s="513"/>
      <c r="V19" s="201"/>
      <c r="W19" s="1"/>
      <c r="X19" s="106"/>
      <c r="Y19" s="106"/>
      <c r="Z19" s="106"/>
    </row>
    <row r="20" spans="2:27" ht="15" customHeight="1" x14ac:dyDescent="0.2">
      <c r="D20" s="3"/>
      <c r="E20" s="512"/>
      <c r="F20" s="512"/>
      <c r="G20" s="512"/>
      <c r="H20" s="512"/>
      <c r="I20" s="512"/>
      <c r="J20" s="512"/>
      <c r="K20" s="512"/>
      <c r="L20" s="512"/>
      <c r="M20" s="496" t="str">
        <f>IF('Entrada de Dados'!E16="","","Periodicidade da calibração*:")</f>
        <v>Periodicidade da calibração*:</v>
      </c>
      <c r="N20" s="496"/>
      <c r="O20" s="496"/>
      <c r="P20" s="496"/>
      <c r="Q20" s="496"/>
      <c r="R20" s="496"/>
      <c r="S20" s="514" t="str">
        <f>IF('Entrada de Dados'!$E$16="","",CONCATENATE('Entrada de Dados'!$E$16," ",'Entrada de Dados'!G$16))</f>
        <v>6 Meses</v>
      </c>
      <c r="T20" s="514"/>
      <c r="U20" s="514"/>
      <c r="W20" s="29"/>
      <c r="X20" s="110"/>
      <c r="Y20" s="110"/>
      <c r="Z20" s="110"/>
      <c r="AA20" s="112"/>
    </row>
    <row r="21" spans="2:27" s="101" customFormat="1" ht="15" customHeight="1" x14ac:dyDescent="0.2">
      <c r="B21" s="502" t="s">
        <v>142</v>
      </c>
      <c r="C21" s="502"/>
      <c r="D21" s="502"/>
      <c r="E21" s="502"/>
      <c r="F21" s="502"/>
      <c r="G21" s="502"/>
      <c r="H21" s="502"/>
      <c r="I21" s="502"/>
      <c r="J21" s="502"/>
      <c r="K21" s="502"/>
      <c r="L21" s="502"/>
      <c r="M21" s="493" t="str">
        <f>IF(M20="","","* Acordada com o cliente")</f>
        <v>* Acordada com o cliente</v>
      </c>
      <c r="N21" s="493"/>
      <c r="O21" s="493"/>
      <c r="P21" s="493"/>
      <c r="Q21" s="493"/>
      <c r="R21" s="493"/>
      <c r="S21" s="97"/>
      <c r="T21" s="97"/>
      <c r="U21" s="97"/>
      <c r="V21" s="97"/>
      <c r="W21" s="97"/>
      <c r="X21" s="114"/>
      <c r="Y21" s="114"/>
      <c r="Z21" s="114"/>
    </row>
    <row r="22" spans="2:27" ht="6.75" customHeight="1" x14ac:dyDescent="0.2">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
      <c r="B23" s="523" t="s">
        <v>94</v>
      </c>
      <c r="C23" s="524"/>
      <c r="D23" s="524"/>
      <c r="E23" s="524"/>
      <c r="F23" s="524"/>
      <c r="G23" s="524"/>
      <c r="H23" s="524"/>
      <c r="I23" s="524"/>
      <c r="J23" s="524"/>
      <c r="K23" s="524"/>
      <c r="L23" s="524"/>
      <c r="M23" s="524"/>
      <c r="N23" s="524"/>
      <c r="O23" s="524"/>
      <c r="P23" s="524"/>
      <c r="Q23" s="524"/>
      <c r="R23" s="524"/>
      <c r="S23" s="524"/>
      <c r="T23" s="524"/>
      <c r="U23" s="524"/>
      <c r="V23" s="524"/>
      <c r="W23" s="525"/>
      <c r="X23" s="115"/>
      <c r="Y23" s="115"/>
      <c r="Z23" s="115"/>
    </row>
    <row r="24" spans="2:27" ht="13.5" customHeight="1" x14ac:dyDescent="0.2">
      <c r="B24" s="311"/>
      <c r="C24" s="527" t="s">
        <v>199</v>
      </c>
      <c r="D24" s="527"/>
      <c r="E24" s="527"/>
      <c r="F24" s="526" t="str">
        <f ca="1">CONCATENATE(IF('Densidade do AR'!G4="-","-",ROUND('Densidade do AR'!G4,1))," %ur")</f>
        <v>49 %ur</v>
      </c>
      <c r="G24" s="526"/>
      <c r="H24" s="312"/>
      <c r="I24" s="313"/>
      <c r="J24" s="528" t="s">
        <v>201</v>
      </c>
      <c r="K24" s="528"/>
      <c r="L24" s="528"/>
      <c r="M24" s="529" t="str">
        <f ca="1">CONCATENATE(IF('Densidade do AR'!G3="-","-",ROUND('Densidade do AR'!G3,1))," hPa")</f>
        <v>1021 hPa</v>
      </c>
      <c r="N24" s="529"/>
      <c r="O24" s="314"/>
      <c r="P24" s="527" t="s">
        <v>200</v>
      </c>
      <c r="Q24" s="527"/>
      <c r="R24" s="527"/>
      <c r="S24" s="527"/>
      <c r="T24" s="526" t="str">
        <f ca="1">CONCATENATE(IF('Densidade do AR'!G5="-","-",ROUND('Densidade do AR'!G5,1))," °C")</f>
        <v>34,1 °C</v>
      </c>
      <c r="U24" s="526"/>
      <c r="V24" s="312"/>
      <c r="W24" s="315"/>
      <c r="X24" s="110"/>
      <c r="Y24" s="110"/>
      <c r="Z24" s="110"/>
    </row>
    <row r="25" spans="2:27" ht="12.75" customHeight="1" x14ac:dyDescent="0.2">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
      <c r="B26" s="515" t="s">
        <v>79</v>
      </c>
      <c r="C26" s="516"/>
      <c r="D26" s="516"/>
      <c r="E26" s="516"/>
      <c r="F26" s="516"/>
      <c r="G26" s="516"/>
      <c r="H26" s="516"/>
      <c r="I26" s="517" t="str">
        <f>IF('Entrada de Dados'!D23="","-",'Entrada de Dados'!D23)</f>
        <v>quilograma (kg)</v>
      </c>
      <c r="J26" s="517"/>
      <c r="K26" s="517"/>
      <c r="L26" s="518"/>
      <c r="M26" s="96"/>
      <c r="N26" s="71"/>
      <c r="O26" s="519" t="s">
        <v>39</v>
      </c>
      <c r="P26" s="520"/>
      <c r="Q26" s="520"/>
      <c r="R26" s="520"/>
      <c r="S26" s="517" t="s">
        <v>197</v>
      </c>
      <c r="T26" s="517"/>
      <c r="U26" s="517"/>
      <c r="V26" s="517"/>
      <c r="W26" s="518"/>
      <c r="X26" s="128"/>
      <c r="Y26" s="128"/>
      <c r="Z26" s="128"/>
    </row>
    <row r="27" spans="2:27" ht="15" customHeight="1" x14ac:dyDescent="0.2">
      <c r="B27" s="510"/>
      <c r="C27" s="510"/>
      <c r="D27" s="510"/>
      <c r="E27" s="510"/>
      <c r="F27" s="510"/>
      <c r="G27" s="510"/>
      <c r="H27" s="510"/>
      <c r="I27" s="510"/>
      <c r="J27" s="510"/>
      <c r="K27" s="510"/>
      <c r="L27" s="510"/>
      <c r="M27" s="510"/>
      <c r="N27" s="510"/>
      <c r="O27" s="510"/>
      <c r="P27" s="510"/>
      <c r="Q27" s="510"/>
      <c r="R27" s="510"/>
      <c r="S27" s="510"/>
      <c r="T27" s="510"/>
      <c r="U27" s="510"/>
      <c r="V27" s="510"/>
      <c r="W27" s="510"/>
      <c r="X27" s="108"/>
      <c r="Y27" s="108"/>
      <c r="Z27" s="108"/>
    </row>
    <row r="28" spans="2:27" ht="15" customHeight="1" x14ac:dyDescent="0.2">
      <c r="B28" s="502" t="s">
        <v>150</v>
      </c>
      <c r="C28" s="502"/>
      <c r="D28" s="502"/>
      <c r="E28" s="502"/>
      <c r="F28" s="502"/>
      <c r="G28" s="502"/>
      <c r="H28" s="502"/>
      <c r="I28" s="502"/>
      <c r="J28" s="502"/>
      <c r="K28" s="502"/>
      <c r="L28" s="502"/>
      <c r="M28" s="502"/>
      <c r="N28" s="502"/>
      <c r="O28" s="502"/>
      <c r="P28" s="502"/>
      <c r="Q28" s="502"/>
      <c r="R28" s="502"/>
      <c r="S28" s="502"/>
      <c r="T28" s="502"/>
      <c r="U28" s="521"/>
      <c r="V28" s="522"/>
      <c r="W28" s="522"/>
      <c r="X28" s="108"/>
      <c r="Y28" s="108"/>
      <c r="Z28" s="108"/>
    </row>
    <row r="29" spans="2:27" ht="6.75" customHeight="1" x14ac:dyDescent="0.2">
      <c r="B29"/>
      <c r="C29"/>
      <c r="X29" s="108"/>
      <c r="Y29" s="108"/>
      <c r="Z29" s="108"/>
    </row>
    <row r="30" spans="2:27" ht="15" customHeight="1" x14ac:dyDescent="0.2">
      <c r="B30"/>
      <c r="C30"/>
      <c r="D30" s="530" t="s">
        <v>151</v>
      </c>
      <c r="E30" s="531"/>
      <c r="F30" s="531"/>
      <c r="G30" s="531"/>
      <c r="H30" s="531" t="s">
        <v>152</v>
      </c>
      <c r="I30" s="531"/>
      <c r="J30" s="531"/>
      <c r="K30" s="532" t="s">
        <v>153</v>
      </c>
      <c r="L30" s="532"/>
      <c r="M30" s="532"/>
      <c r="N30" s="532"/>
      <c r="O30" s="532" t="s">
        <v>89</v>
      </c>
      <c r="P30" s="532"/>
      <c r="Q30" s="532"/>
      <c r="R30" s="532"/>
      <c r="S30" s="532" t="s">
        <v>154</v>
      </c>
      <c r="T30" s="532"/>
      <c r="U30" s="533"/>
      <c r="X30" s="108"/>
      <c r="Y30" s="108"/>
      <c r="Z30" s="108"/>
    </row>
    <row r="31" spans="2:27" ht="24" customHeight="1" x14ac:dyDescent="0.2">
      <c r="B31"/>
      <c r="C31"/>
      <c r="D31" s="534" t="str">
        <f>IF('Entrada de Dados'!U23="","--------",'Entrada de Dados'!U23)</f>
        <v>MC-3186224</v>
      </c>
      <c r="E31" s="535"/>
      <c r="F31" s="535"/>
      <c r="G31" s="535" t="str">
        <f>IF(D31="--------","-----","Termohigrômetro e Barômetro")</f>
        <v>Termohigrômetro e Barômetro</v>
      </c>
      <c r="H31" s="535"/>
      <c r="I31" s="535"/>
      <c r="J31" s="535"/>
      <c r="K31" s="536" t="str">
        <f>IF(D31="--------","-----",INDEX('Dados dos Padrões'!$X$6:$AR$1000000,MATCH('Sem ajuste+Declaração'!D31,'Dados dos Padrões'!$X$6:$X$1000000,0),6))</f>
        <v>2611.08/23</v>
      </c>
      <c r="L31" s="536"/>
      <c r="M31" s="536"/>
      <c r="N31" s="536"/>
      <c r="O31" s="537">
        <f>IF(D31="--------","-----",INDEX('Dados dos Padrões'!$X$6:$AR$1000000,MATCH('Sem ajuste+Declaração'!D31,'Dados dos Padrões'!$X$6:$X$1000000,0),12))</f>
        <v>45535</v>
      </c>
      <c r="P31" s="537"/>
      <c r="Q31" s="537"/>
      <c r="R31" s="537"/>
      <c r="S31" s="535" t="str">
        <f>IF(D31="--------","-----",INDEX('Dados dos Padrões'!$X$6:$AR$1000000,MATCH('Sem ajuste+Declaração'!D31,'Dados dos Padrões'!$X$6:$X$1000000,0),17))</f>
        <v>CAL 0XXX</v>
      </c>
      <c r="T31" s="535"/>
      <c r="U31" s="538"/>
      <c r="X31" s="108"/>
      <c r="Y31" s="108"/>
      <c r="Z31" s="108"/>
    </row>
    <row r="32" spans="2:27" ht="15" customHeight="1" x14ac:dyDescent="0.2">
      <c r="B32"/>
      <c r="C32"/>
      <c r="D32" s="539" t="str">
        <f>IF('Entrada de Dados'!P28="","",'Entrada de Dados'!P28)</f>
        <v>25 x 20kg</v>
      </c>
      <c r="E32" s="539"/>
      <c r="F32" s="539"/>
      <c r="G32" s="539" t="str">
        <f>IF(D32="","","Conjunto de Massa")</f>
        <v>Conjunto de Massa</v>
      </c>
      <c r="H32" s="539"/>
      <c r="I32" s="539"/>
      <c r="J32" s="539"/>
      <c r="K32" s="540" t="str">
        <f>IF(D32="","",INDEX('Dados dos Padrões'!$B$6:$V$1000000,MATCH('Sem ajuste+Declaração'!D32,'Dados dos Padrões'!$B$6:$B$1000000,0),6))</f>
        <v>P-421</v>
      </c>
      <c r="L32" s="540"/>
      <c r="M32" s="540"/>
      <c r="N32" s="540"/>
      <c r="O32" s="541">
        <f>IF(D32="","",INDEX('Dados dos Padrões'!$B$6:$V$1000000,MATCH('Sem ajuste+Declaração'!D32,'Dados dos Padrões'!$B$6:$B$1000000,0),12))</f>
        <v>45417</v>
      </c>
      <c r="P32" s="541"/>
      <c r="Q32" s="541"/>
      <c r="R32" s="541"/>
      <c r="S32" s="539" t="str">
        <f>IF(D32="","",INDEX('Dados dos Padrões'!$B$6:$V$1000000,MATCH('Sem ajuste+Declaração'!D32,'Dados dos Padrões'!$B$6:$B$1000000,0),17))</f>
        <v>CAL 0460</v>
      </c>
      <c r="T32" s="539"/>
      <c r="U32" s="539"/>
      <c r="V32" s="136"/>
      <c r="W32" s="136"/>
      <c r="X32" s="108"/>
      <c r="Y32" s="108"/>
      <c r="Z32" s="108"/>
    </row>
    <row r="33" spans="1:44" ht="15" customHeight="1" x14ac:dyDescent="0.2">
      <c r="B33"/>
      <c r="C33"/>
      <c r="D33" s="539" t="str">
        <f>IF('Entrada de Dados'!P29="","",'Entrada de Dados'!P29)</f>
        <v>22 x 500kg</v>
      </c>
      <c r="E33" s="539"/>
      <c r="F33" s="539"/>
      <c r="G33" s="539" t="str">
        <f t="shared" ref="G33:G36" si="0">IF(D33="","","Conjunto de Massa")</f>
        <v>Conjunto de Massa</v>
      </c>
      <c r="H33" s="539"/>
      <c r="I33" s="539"/>
      <c r="J33" s="539"/>
      <c r="K33" s="540" t="str">
        <f>IF(D33="","",INDEX('Dados dos Padrões'!$B$6:$V$1000000,MATCH('Sem ajuste+Declaração'!D33,'Dados dos Padrões'!$B$6:$B$1000000,0),6))</f>
        <v>MA-00083</v>
      </c>
      <c r="L33" s="540"/>
      <c r="M33" s="540"/>
      <c r="N33" s="540"/>
      <c r="O33" s="541">
        <f>IF(D33="","",INDEX('Dados dos Padrões'!$B$6:$V$1000000,MATCH('Sem ajuste+Declaração'!D33,'Dados dos Padrões'!$B$6:$B$1000000,0),12))</f>
        <v>45557</v>
      </c>
      <c r="P33" s="541"/>
      <c r="Q33" s="541"/>
      <c r="R33" s="541"/>
      <c r="S33" s="539" t="str">
        <f>IF(D33="","",INDEX('Dados dos Padrões'!$B$6:$V$1000000,MATCH('Sem ajuste+Declaração'!D33,'Dados dos Padrões'!$B$6:$B$1000000,0),17))</f>
        <v>CAL 0268</v>
      </c>
      <c r="T33" s="539"/>
      <c r="U33" s="539"/>
      <c r="V33" s="136"/>
      <c r="W33" s="136"/>
      <c r="X33" s="108"/>
      <c r="Y33" s="108"/>
      <c r="Z33" s="108"/>
    </row>
    <row r="34" spans="1:44" ht="15" customHeight="1" x14ac:dyDescent="0.2">
      <c r="B34"/>
      <c r="C34"/>
      <c r="D34" s="539" t="str">
        <f>IF('Entrada de Dados'!P30="","",'Entrada de Dados'!P30)</f>
        <v/>
      </c>
      <c r="E34" s="539"/>
      <c r="F34" s="539"/>
      <c r="G34" s="539" t="str">
        <f t="shared" si="0"/>
        <v/>
      </c>
      <c r="H34" s="539"/>
      <c r="I34" s="539"/>
      <c r="J34" s="539"/>
      <c r="K34" s="540" t="str">
        <f>IF(D34="","",INDEX('Dados dos Padrões'!$B$6:$V$1000000,MATCH('Sem ajuste+Declaração'!D34,'Dados dos Padrões'!$B$6:$B$1000000,0),6))</f>
        <v/>
      </c>
      <c r="L34" s="540"/>
      <c r="M34" s="540"/>
      <c r="N34" s="540"/>
      <c r="O34" s="541" t="str">
        <f>IF(D34="","",INDEX('Dados dos Padrões'!$B$6:$V$1000000,MATCH('Sem ajuste+Declaração'!D34,'Dados dos Padrões'!$B$6:$B$1000000,0),12))</f>
        <v/>
      </c>
      <c r="P34" s="541"/>
      <c r="Q34" s="541"/>
      <c r="R34" s="541"/>
      <c r="S34" s="539" t="str">
        <f>IF(D34="","",INDEX('Dados dos Padrões'!$B$6:$V$1000000,MATCH('Sem ajuste+Declaração'!D34,'Dados dos Padrões'!$B$6:$B$1000000,0),17))</f>
        <v/>
      </c>
      <c r="T34" s="539"/>
      <c r="U34" s="539"/>
      <c r="V34" s="136"/>
      <c r="W34" s="136"/>
      <c r="X34" s="108"/>
      <c r="Y34" s="108"/>
      <c r="Z34" s="108"/>
    </row>
    <row r="35" spans="1:44" ht="15" customHeight="1" x14ac:dyDescent="0.2">
      <c r="B35"/>
      <c r="C35"/>
      <c r="D35" s="539" t="str">
        <f>IF('Entrada de Dados'!P31="","",'Entrada de Dados'!P31)</f>
        <v/>
      </c>
      <c r="E35" s="539"/>
      <c r="F35" s="539"/>
      <c r="G35" s="539" t="str">
        <f t="shared" si="0"/>
        <v/>
      </c>
      <c r="H35" s="539"/>
      <c r="I35" s="539"/>
      <c r="J35" s="539"/>
      <c r="K35" s="540" t="str">
        <f>IF(D35="","",INDEX('Dados dos Padrões'!$B$6:$V$1000000,MATCH('Sem ajuste+Declaração'!D35,'Dados dos Padrões'!$B$6:$B$1000000,0),6))</f>
        <v/>
      </c>
      <c r="L35" s="540"/>
      <c r="M35" s="540"/>
      <c r="N35" s="540"/>
      <c r="O35" s="541" t="str">
        <f>IF(D35="","",INDEX('Dados dos Padrões'!$B$6:$V$1000000,MATCH('Sem ajuste+Declaração'!D35,'Dados dos Padrões'!$B$6:$B$1000000,0),12))</f>
        <v/>
      </c>
      <c r="P35" s="541"/>
      <c r="Q35" s="541"/>
      <c r="R35" s="541"/>
      <c r="S35" s="539" t="str">
        <f>IF(D35="","",INDEX('Dados dos Padrões'!$B$6:$V$1000000,MATCH('Sem ajuste+Declaração'!D35,'Dados dos Padrões'!$B$6:$B$1000000,0),17))</f>
        <v/>
      </c>
      <c r="T35" s="539"/>
      <c r="U35" s="539"/>
      <c r="V35" s="136"/>
      <c r="W35" s="136"/>
      <c r="X35" s="108"/>
      <c r="Y35" s="108"/>
      <c r="Z35" s="108"/>
    </row>
    <row r="36" spans="1:44" ht="15" customHeight="1" x14ac:dyDescent="0.2">
      <c r="B36"/>
      <c r="C36"/>
      <c r="D36" s="539" t="str">
        <f>IF('Entrada de Dados'!P32="","",'Entrada de Dados'!P32)</f>
        <v/>
      </c>
      <c r="E36" s="539"/>
      <c r="F36" s="539"/>
      <c r="G36" s="539" t="str">
        <f t="shared" si="0"/>
        <v/>
      </c>
      <c r="H36" s="539"/>
      <c r="I36" s="539"/>
      <c r="J36" s="539"/>
      <c r="K36" s="540" t="str">
        <f>IF(D36="","",INDEX('Dados dos Padrões'!$B$6:$V$1000000,MATCH('Sem ajuste+Declaração'!D36,'Dados dos Padrões'!$B$6:$B$1000000,0),6))</f>
        <v/>
      </c>
      <c r="L36" s="540"/>
      <c r="M36" s="540"/>
      <c r="N36" s="540"/>
      <c r="O36" s="541" t="str">
        <f>IF(D36="","",INDEX('Dados dos Padrões'!$B$6:$V$1000000,MATCH('Sem ajuste+Declaração'!D36,'Dados dos Padrões'!$B$6:$B$1000000,0),12))</f>
        <v/>
      </c>
      <c r="P36" s="541"/>
      <c r="Q36" s="541"/>
      <c r="R36" s="541"/>
      <c r="S36" s="539" t="str">
        <f>IF(D36="","",INDEX('Dados dos Padrões'!$B$6:$V$1000000,MATCH('Sem ajuste+Declaração'!D36,'Dados dos Padrões'!$B$6:$B$1000000,0),17))</f>
        <v/>
      </c>
      <c r="T36" s="539"/>
      <c r="U36" s="539"/>
      <c r="V36" s="136"/>
      <c r="W36" s="136"/>
      <c r="X36" s="108"/>
      <c r="Y36" s="108"/>
      <c r="Z36" s="108"/>
    </row>
    <row r="37" spans="1:44" ht="15" customHeight="1" x14ac:dyDescent="0.2">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x14ac:dyDescent="0.2">
      <c r="B38" s="502" t="s">
        <v>157</v>
      </c>
      <c r="C38" s="502"/>
      <c r="D38" s="502"/>
      <c r="E38" s="502"/>
      <c r="F38" s="502"/>
      <c r="G38" s="502"/>
      <c r="H38" s="502"/>
      <c r="I38" s="502"/>
      <c r="J38" s="502"/>
      <c r="K38" s="502"/>
      <c r="L38" s="502"/>
      <c r="M38" s="502"/>
      <c r="N38" s="502"/>
      <c r="O38" s="502"/>
      <c r="P38" s="502"/>
      <c r="Q38" s="502"/>
      <c r="R38" s="502"/>
      <c r="S38" s="502"/>
      <c r="T38" s="502"/>
      <c r="U38" s="39"/>
      <c r="V38" s="39"/>
      <c r="W38" s="39"/>
    </row>
    <row r="39" spans="1:44" ht="6.95" customHeight="1" x14ac:dyDescent="0.2">
      <c r="B39" s="483"/>
      <c r="C39" s="483"/>
      <c r="D39" s="483"/>
      <c r="E39" s="483"/>
      <c r="F39" s="483"/>
      <c r="G39" s="483"/>
      <c r="H39" s="483"/>
      <c r="I39" s="483"/>
      <c r="J39" s="483"/>
      <c r="K39" s="483"/>
      <c r="L39" s="483"/>
      <c r="M39" s="483"/>
      <c r="N39" s="483"/>
      <c r="O39" s="483"/>
      <c r="P39" s="483"/>
      <c r="Q39" s="483"/>
      <c r="R39" s="483"/>
      <c r="S39" s="483"/>
      <c r="T39" s="483"/>
      <c r="U39" s="483"/>
      <c r="V39" s="483"/>
      <c r="W39" s="483"/>
      <c r="X39" s="116"/>
      <c r="Y39" s="116"/>
      <c r="Z39" s="116"/>
    </row>
    <row r="40" spans="1:44" x14ac:dyDescent="0.2">
      <c r="B40" s="556" t="s">
        <v>33</v>
      </c>
      <c r="C40" s="557"/>
      <c r="D40" s="557"/>
      <c r="E40" s="558"/>
      <c r="F40" s="556" t="s">
        <v>235</v>
      </c>
      <c r="G40" s="557"/>
      <c r="H40" s="557"/>
      <c r="I40" s="558"/>
      <c r="J40" s="556" t="s">
        <v>233</v>
      </c>
      <c r="K40" s="557"/>
      <c r="L40" s="558"/>
      <c r="M40" s="556" t="s">
        <v>158</v>
      </c>
      <c r="N40" s="557"/>
      <c r="O40" s="557"/>
      <c r="P40" s="558"/>
      <c r="Q40" s="556" t="s">
        <v>159</v>
      </c>
      <c r="R40" s="557"/>
      <c r="S40" s="558"/>
      <c r="T40" s="559" t="s">
        <v>160</v>
      </c>
      <c r="U40" s="560"/>
      <c r="V40" s="560"/>
      <c r="W40" s="561"/>
      <c r="X40" s="117"/>
      <c r="Y40" s="117"/>
      <c r="Z40" s="117"/>
    </row>
    <row r="41" spans="1:44" ht="15.75" customHeight="1" x14ac:dyDescent="0.2">
      <c r="B41" s="565" t="s">
        <v>221</v>
      </c>
      <c r="C41" s="566"/>
      <c r="D41" s="543" t="s">
        <v>223</v>
      </c>
      <c r="E41" s="544"/>
      <c r="F41" s="542" t="s">
        <v>162</v>
      </c>
      <c r="G41" s="543"/>
      <c r="H41" s="543"/>
      <c r="I41" s="544"/>
      <c r="J41" s="542" t="s">
        <v>234</v>
      </c>
      <c r="K41" s="543"/>
      <c r="L41" s="544"/>
      <c r="M41" s="542" t="s">
        <v>98</v>
      </c>
      <c r="N41" s="543"/>
      <c r="O41" s="543"/>
      <c r="P41" s="544"/>
      <c r="Q41" s="542" t="s">
        <v>163</v>
      </c>
      <c r="R41" s="543"/>
      <c r="S41" s="544"/>
      <c r="T41" s="542" t="s">
        <v>164</v>
      </c>
      <c r="U41" s="543"/>
      <c r="V41" s="543"/>
      <c r="W41" s="544"/>
      <c r="X41" s="117"/>
      <c r="Y41" s="117"/>
      <c r="Z41" s="117"/>
    </row>
    <row r="42" spans="1:44" ht="9.75" customHeight="1" thickBot="1" x14ac:dyDescent="0.25">
      <c r="B42" s="565"/>
      <c r="C42" s="566"/>
      <c r="D42" s="543"/>
      <c r="E42" s="544"/>
      <c r="F42" s="542"/>
      <c r="G42" s="543"/>
      <c r="H42" s="543"/>
      <c r="I42" s="544"/>
      <c r="J42" s="542"/>
      <c r="K42" s="543"/>
      <c r="L42" s="544"/>
      <c r="M42" s="542"/>
      <c r="N42" s="543"/>
      <c r="O42" s="543"/>
      <c r="P42" s="544"/>
      <c r="Q42" s="542"/>
      <c r="R42" s="543"/>
      <c r="S42" s="544"/>
      <c r="T42" s="542"/>
      <c r="U42" s="543"/>
      <c r="V42" s="543"/>
      <c r="W42" s="544"/>
      <c r="X42" s="117"/>
      <c r="Y42" s="117"/>
      <c r="Z42" s="117"/>
      <c r="AO42" s="226" t="s">
        <v>244</v>
      </c>
    </row>
    <row r="43" spans="1:44" ht="9.75" customHeight="1" x14ac:dyDescent="0.2">
      <c r="B43" s="562" t="str">
        <f>IF($I$26="micrograma (µg)","(µg)",IF($I$26="miligrama (mg)","(mg)",IF($I$26="grama (g)","(g)",IF($I$26="Quilograma (kg)","(kg)",IF($I$26="tonelada (t)","(t)","-")))))</f>
        <v>(kg)</v>
      </c>
      <c r="C43" s="563"/>
      <c r="D43" s="563" t="str">
        <f>IF($I$26="micrograma (µg)","(µg)",IF($I$26="miligrama (mg)","(mg)",IF($I$26="grama (g)","(g)",IF($I$26="Quilograma (kg)","(kg)",IF($I$26="tonelada (t)","(t)","-")))))</f>
        <v>(kg)</v>
      </c>
      <c r="E43" s="564"/>
      <c r="F43" s="562" t="str">
        <f>IF($I$26="micrograma (µg)","(µg)",IF($I$26="miligrama (mg)","(mg)",IF($I$26="grama (g)","(g)",IF($I$26="Quilograma (kg)","(kg)",IF($I$26="tonelada (t)","(t)","-")))))</f>
        <v>(kg)</v>
      </c>
      <c r="G43" s="563"/>
      <c r="H43" s="563"/>
      <c r="I43" s="564"/>
      <c r="J43" s="562" t="str">
        <f>IF($I$26="micrograma (µg)","(µg)",IF($I$26="miligrama (mg)","(mg)",IF($I$26="grama (g)","(g)",IF($I$26="Quilograma (kg)","(kg)",IF($I$26="tonelada (t)","(t)","-")))))</f>
        <v>(kg)</v>
      </c>
      <c r="K43" s="563"/>
      <c r="L43" s="564"/>
      <c r="M43" s="562" t="str">
        <f>IF($I$26="micrograma (µg)","(µg)",IF($I$26="miligrama (mg)","(mg)",IF($I$26="grama (g)","(g)",IF($I$26="Quilograma (kg)","(kg)",IF($I$26="tonelada (t)","(t)","-")))))</f>
        <v>(kg)</v>
      </c>
      <c r="N43" s="563"/>
      <c r="O43" s="563"/>
      <c r="P43" s="564"/>
      <c r="Q43" s="545"/>
      <c r="R43" s="546"/>
      <c r="S43" s="547"/>
      <c r="T43" s="545"/>
      <c r="U43" s="546"/>
      <c r="V43" s="546"/>
      <c r="W43" s="547"/>
      <c r="X43" s="117"/>
      <c r="Y43" s="117"/>
      <c r="Z43" s="117"/>
      <c r="AO43" s="227" t="s">
        <v>245</v>
      </c>
      <c r="AP43" s="228" t="s">
        <v>246</v>
      </c>
      <c r="AQ43" s="228" t="s">
        <v>247</v>
      </c>
      <c r="AR43" s="229" t="s">
        <v>1</v>
      </c>
    </row>
    <row r="44" spans="1:44" ht="14.1" customHeight="1" x14ac:dyDescent="0.2">
      <c r="A44" s="145">
        <v>1</v>
      </c>
      <c r="B44" s="613" t="str">
        <f ca="1">IF('Entrada de Dados'!D29="","-",(FIXED(('Entrada de Dados'!D29),IF(Cálculo!$CT$259&lt;1,LEN(Cálculo!$CT$259)-SEARCH(",",Cálculo!$CT$259),LEN(Cálculo!$CT$259)))))</f>
        <v>400,00</v>
      </c>
      <c r="C44" s="614"/>
      <c r="D44" s="615" t="str">
        <f ca="1">IF(B44="-","-",IF(Cálculo!$BT$5="",IF(T24="-","-",IF(Cálculo!$CT$259&lt;1,FIXED(0,LEN(Cálculo!$CT$259)-SEARCH(",",Cálculo!$CT$259)),FIXED(0,LEN(Cálculo!$CT$259)))),IF(Cálculo!$CP$258="-","-",(IF(Cálculo!$CT$259&lt;1,(FIXED(Cálculo!$CP$258,LEN(Cálculo!$CT$259)-SEARCH(",",Cálculo!$CT$259))),FIXED(Cálculo!$CP$258,LEN(Cálculo!$CT$259)))))))</f>
        <v>400,00</v>
      </c>
      <c r="E44" s="615"/>
      <c r="F44" s="609" t="str">
        <f ca="1">(IF('Entrada de Dados'!H29="","-",IF(Cálculo!$CT$259&lt;1,FIXED(MROUND(AVERAGE('Entrada de Dados'!H29:M29),Cálculo!$CT$259),LEN(Cálculo!$CT$259)-SEARCH(",",Cálculo!$CT$259)),FIXED(MROUND(AVERAGE('Entrada de Dados'!H29:M29),Cálculo!$CT$259),LEN(Cálculo!$CT$259)))))</f>
        <v>400,00</v>
      </c>
      <c r="G44" s="609"/>
      <c r="H44" s="609"/>
      <c r="I44" s="609"/>
      <c r="J44" s="610" t="str">
        <f ca="1">(IF('Entrada de Dados'!H29="","-",CONCATENATE(IF('Entrada de Dados'!H29="","",IF(MROUND(ABS(F44-D44),Cálculo!$CT$259)=0,"",IF((F44-D44)&gt;0,"+","-")))," ",IF(Cálculo!$CT$259&lt;1,FIXED(MROUND(ABS(F44-D44),Cálculo!$CT$259),(LEN(Cálculo!$CT$259)-SEARCH(",",Cálculo!$CT$259))),FIXED(MROUND(ABS(F44-D44),Cálculo!$CT$259),LEN(Cálculo!$CT$259))))))</f>
        <v xml:space="preserve"> 0,00</v>
      </c>
      <c r="K44" s="610"/>
      <c r="L44" s="610"/>
      <c r="M44" s="609" t="str">
        <f ca="1">IF(Cálculo!$CP$269="-","-",CONCATENATE(IF(Cálculo!$CT$259&lt;1,FIXED(MROUND(Cálculo!$CP$269,Cálculo!$CT$259),(LEN(Cálculo!$CT$259)-SEARCH(",",Cálculo!$CT$259))),FIXED(MROUND(Cálculo!$CP$269,Cálculo!$CT$259),(LEN(Cálculo!$CT$259))))))</f>
        <v>20,00</v>
      </c>
      <c r="N44" s="609"/>
      <c r="O44" s="609"/>
      <c r="P44" s="609"/>
      <c r="Q44" s="608">
        <f ca="1">Cálculo!CP268</f>
        <v>2</v>
      </c>
      <c r="R44" s="608"/>
      <c r="S44" s="608"/>
      <c r="T44" s="611" t="str">
        <f ca="1">Cálculo!CP267</f>
        <v>¥</v>
      </c>
      <c r="U44" s="611"/>
      <c r="V44" s="611"/>
      <c r="W44" s="612"/>
      <c r="X44" s="118"/>
      <c r="Y44" s="118"/>
      <c r="Z44" s="118"/>
      <c r="AO44" s="230">
        <f ca="1">IFERROR(VALUE(Cálculo!$CP$258),"")</f>
        <v>400.0001045360745</v>
      </c>
      <c r="AP44" s="231">
        <f ca="1">IFERROR(VALUE(F44),"")</f>
        <v>400</v>
      </c>
      <c r="AQ44" s="231">
        <f ca="1">IF('Entrada de Dados'!$M$36="",(FIXED(SLOPE((OFFSET($AO$44,,,(5-COUNTBLANK($AO$44:$AO$47)),1)),(OFFSET($AP$44,,,(5-COUNTBLANK($AP$44:$AP$47)),1))),4)*F44)+FIXED(INTERCEPT((OFFSET($AO$44,,,(5-COUNTBLANK($AO$44:$AO$47)),1)),(OFFSET($AP$44,,,(5-COUNTBLANK($AP$44:$AP$47)),1))),4),IFERROR(('Entrada de Dados'!$D$36*(F44^3))+('Entrada de Dados'!$G$36*(F44^2))+('Entrada de Dados'!$J$36*(F44))+('Entrada de Dados'!$M$36),""))</f>
        <v>399.9991</v>
      </c>
      <c r="AR44" s="232">
        <f ca="1">IFERROR(ABS(AO44-AQ44),"")</f>
        <v>1.0045360745039034E-3</v>
      </c>
    </row>
    <row r="45" spans="1:44" ht="14.1" customHeight="1" x14ac:dyDescent="0.2">
      <c r="A45" s="145">
        <v>2</v>
      </c>
      <c r="B45" s="551" t="str">
        <f ca="1">IF('Entrada de Dados'!D30="","-",(FIXED(('Entrada de Dados'!D30),IF(Cálculo!$DU$259&lt;1,LEN(Cálculo!$DU$259)-SEARCH(",",Cálculo!$DU$259),LEN(Cálculo!$DU$259)))))</f>
        <v>5.000,00</v>
      </c>
      <c r="C45" s="552"/>
      <c r="D45" s="553" t="str">
        <f ca="1">IF(B45="-","-",IF(Cálculo!$BT$5="",IF(T25="-","-",IF(Cálculo!$DU$259&lt;1,FIXED(0,LEN(Cálculo!$DU$259)-SEARCH(",",Cálculo!$DU$259)),FIXED(0,LEN(Cálculo!$DU$259)))),IF(Cálculo!$DQ$258="-","-",(IF(Cálculo!$DU$259&lt;1,(FIXED(Cálculo!$DQ$258,LEN(Cálculo!$DU$259)-SEARCH(",",Cálculo!$DU$259))),FIXED(Cálculo!$DQ$258,LEN(Cálculo!$DU$259)))))))</f>
        <v>5.000,00</v>
      </c>
      <c r="E45" s="553"/>
      <c r="F45" s="554" t="str">
        <f ca="1">(IF('Entrada de Dados'!H30="","-",IF(Cálculo!$DU$259&lt;1,FIXED(MROUND(AVERAGE('Entrada de Dados'!H30:M30),Cálculo!$DU$259),LEN(Cálculo!$DU$259)-SEARCH(",",Cálculo!$DU$259)),FIXED(MROUND(AVERAGE('Entrada de Dados'!H30:M30),Cálculo!$DU$259),LEN(Cálculo!$DU$259)))))</f>
        <v>5.000,00</v>
      </c>
      <c r="G45" s="554"/>
      <c r="H45" s="554"/>
      <c r="I45" s="554"/>
      <c r="J45" s="555" t="str">
        <f ca="1">(IF('Entrada de Dados'!H30="","-",CONCATENATE(IF('Entrada de Dados'!H30="","",IF(MROUND(ABS(F45-D45),Cálculo!$DU$259)=0,"",IF((F45-D45)&gt;0,"+","-")))," ",IF(Cálculo!$DU$259&lt;1,FIXED(MROUND(ABS(F45-D45),Cálculo!$DU$259),(LEN(Cálculo!$DU$259)-SEARCH(",",Cálculo!$DU$259))),FIXED(MROUND(ABS(F45-D45),Cálculo!$DU$259),LEN(Cálculo!$DU$259))))))</f>
        <v xml:space="preserve"> 0,00</v>
      </c>
      <c r="K45" s="555"/>
      <c r="L45" s="555"/>
      <c r="M45" s="554" t="str">
        <f ca="1">IF(Cálculo!$DQ$269="-","-",CONCATENATE(IF(Cálculo!$DU$259&lt;1,FIXED(MROUND(Cálculo!$DQ$269,Cálculo!$DU$259),(LEN(Cálculo!$DU$259)-SEARCH(",",Cálculo!$DU$259))),FIXED(MROUND(Cálculo!$DQ$269,Cálculo!$DU$259),(LEN(Cálculo!$DU$259))))))</f>
        <v>20,00</v>
      </c>
      <c r="N45" s="554"/>
      <c r="O45" s="554"/>
      <c r="P45" s="554"/>
      <c r="Q45" s="576">
        <f ca="1">Cálculo!$DQ$268</f>
        <v>2</v>
      </c>
      <c r="R45" s="576"/>
      <c r="S45" s="576"/>
      <c r="T45" s="574" t="str">
        <f ca="1">Cálculo!$DQ$267</f>
        <v>¥</v>
      </c>
      <c r="U45" s="574"/>
      <c r="V45" s="574"/>
      <c r="W45" s="575"/>
      <c r="X45" s="118"/>
      <c r="Y45" s="118"/>
      <c r="Z45" s="118"/>
      <c r="AO45" s="230">
        <f ca="1">IFERROR(VALUE(Cálculo!$DQ$258),"")</f>
        <v>4999.9963066996279</v>
      </c>
      <c r="AP45" s="231">
        <f ca="1">IFERROR(VALUE(F45),"")</f>
        <v>5000</v>
      </c>
      <c r="AQ45" s="231">
        <f ca="1">IF('Entrada de Dados'!$M$36="",(FIXED(SLOPE((OFFSET($AO$44,,,(5-COUNTBLANK($AO$44:$AO$47)),1)),(OFFSET($AP$44,,,(5-COUNTBLANK($AP$44:$AP$47)),1))),4)*F45)+FIXED(INTERCEPT((OFFSET($AO$44,,,(5-COUNTBLANK($AO$44:$AO$47)),1)),(OFFSET($AP$44,,,(5-COUNTBLANK($AP$44:$AP$47)),1))),4),IFERROR(('Entrada de Dados'!$D$36*(F45^3))+('Entrada de Dados'!$G$36*(F45^2))+('Entrada de Dados'!$J$36*(F45))+('Entrada de Dados'!$M$36),""))</f>
        <v>4999.9991</v>
      </c>
      <c r="AR45" s="232">
        <f ca="1">IFERROR(ABS(AO45-AQ45),"")</f>
        <v>2.7933003721045679E-3</v>
      </c>
    </row>
    <row r="46" spans="1:44" ht="14.1" customHeight="1" x14ac:dyDescent="0.2">
      <c r="A46" s="145">
        <v>3</v>
      </c>
      <c r="B46" s="551" t="str">
        <f ca="1">IF('Entrada de Dados'!D31="","-",(FIXED(('Entrada de Dados'!D31),IF(Cálculo!$EV$259&lt;1,LEN(Cálculo!$EV$259)-SEARCH(",",Cálculo!$EV$259),LEN(Cálculo!$EV$259)))))</f>
        <v>10.000,00</v>
      </c>
      <c r="C46" s="552"/>
      <c r="D46" s="553" t="str">
        <f ca="1">IF(B46="-","-",IF(Cálculo!$BT$5="",IF(T26="-","-",IF(Cálculo!$EV$259&lt;1,FIXED(0,LEN(Cálculo!$EV$259)-SEARCH(",",Cálculo!$EV$259)),FIXED(0,LEN(Cálculo!$EV$259)))),IF(Cálculo!$ER$258="-","-",(IF(Cálculo!$EV$259&lt;1,(FIXED(Cálculo!$ER$258,LEN(Cálculo!$EV$259)-SEARCH(",",Cálculo!$EV$259))),FIXED(Cálculo!$ER$258,LEN(Cálculo!$EV$259)))))))</f>
        <v>10.000,00</v>
      </c>
      <c r="E46" s="553"/>
      <c r="F46" s="554" t="str">
        <f ca="1">(IF('Entrada de Dados'!H31="","-",IF(Cálculo!$EV$259&lt;1,FIXED(MROUND(AVERAGE('Entrada de Dados'!H31:M31),Cálculo!$EV$259),LEN(Cálculo!$EV$259)-SEARCH(",",Cálculo!$EV$259)),FIXED(MROUND(AVERAGE('Entrada de Dados'!H31:M31),Cálculo!$EV$259),LEN(Cálculo!$EV$259)))))</f>
        <v>10.000,00</v>
      </c>
      <c r="G46" s="554"/>
      <c r="H46" s="554"/>
      <c r="I46" s="554"/>
      <c r="J46" s="555" t="str">
        <f ca="1">(IF('Entrada de Dados'!H31="","-",CONCATENATE(IF('Entrada de Dados'!H31="","",IF(MROUND(ABS(F46-D46),Cálculo!$EV$259)=0,"",IF((F46-D46)&gt;0,"+","-")))," ",IF(Cálculo!$EV$259&lt;1,FIXED(MROUND(ABS(F46-D46),Cálculo!$EV$259),(LEN(Cálculo!$EV$259)-SEARCH(",",Cálculo!$EV$259))),FIXED(MROUND(ABS(F46-D46),Cálculo!$EV$259),LEN(Cálculo!$EV$259))))))</f>
        <v xml:space="preserve"> 0,00</v>
      </c>
      <c r="K46" s="555"/>
      <c r="L46" s="555"/>
      <c r="M46" s="554" t="str">
        <f ca="1">IF(Cálculo!$ER$269="-","-",CONCATENATE(IF(Cálculo!$EV$259&lt;1,FIXED(MROUND(Cálculo!$ER$269,Cálculo!$EV$259),(LEN(Cálculo!$EV$259)-SEARCH(",",Cálculo!$EV$259))),FIXED(MROUND(Cálculo!$ER$269,Cálculo!$EV$259),(LEN(Cálculo!$EV$259))))))</f>
        <v>20,00</v>
      </c>
      <c r="N46" s="554"/>
      <c r="O46" s="554"/>
      <c r="P46" s="554"/>
      <c r="Q46" s="576">
        <f ca="1">Cálculo!$ER$268</f>
        <v>2</v>
      </c>
      <c r="R46" s="576"/>
      <c r="S46" s="576"/>
      <c r="T46" s="574" t="str">
        <f ca="1">Cálculo!$ER$267</f>
        <v>¥</v>
      </c>
      <c r="U46" s="574"/>
      <c r="V46" s="574"/>
      <c r="W46" s="575"/>
      <c r="X46" s="118"/>
      <c r="Y46" s="118"/>
      <c r="Z46" s="118"/>
      <c r="AO46" s="230">
        <f ca="1">IFERROR(VALUE(Cálculo!$ER$258),"")</f>
        <v>9999.9976134005647</v>
      </c>
      <c r="AP46" s="231">
        <f ca="1">IFERROR(VALUE(F46),"")</f>
        <v>10000</v>
      </c>
      <c r="AQ46" s="231">
        <f ca="1">IF('Entrada de Dados'!$M$36="",(FIXED(SLOPE((OFFSET($AO$44,,,(5-COUNTBLANK($AO$44:$AO$47)),1)),(OFFSET($AP$44,,,(5-COUNTBLANK($AP$44:$AP$47)),1))),4)*F46)+FIXED(INTERCEPT((OFFSET($AO$44,,,(5-COUNTBLANK($AO$44:$AO$47)),1)),(OFFSET($AP$44,,,(5-COUNTBLANK($AP$44:$AP$47)),1))),4),IFERROR(('Entrada de Dados'!$D$36*(F46^3))+('Entrada de Dados'!$G$36*(F46^2))+('Entrada de Dados'!$J$36*(F46))+('Entrada de Dados'!$M$36),""))</f>
        <v>9999.9991000000009</v>
      </c>
      <c r="AR46" s="232">
        <f t="shared" ref="AR46" ca="1" si="1">IFERROR(ABS(AO46-AQ46),"")</f>
        <v>1.4865994362480706E-3</v>
      </c>
    </row>
    <row r="47" spans="1:44" ht="14.1" customHeight="1" x14ac:dyDescent="0.2">
      <c r="A47" s="145">
        <v>4</v>
      </c>
      <c r="B47" s="578" t="str">
        <f ca="1">IF('Entrada de Dados'!D32="","-",(FIXED(('Entrada de Dados'!D32),IF(Cálculo!$FW$259&lt;1,LEN(Cálculo!$FW$259)-SEARCH(",",Cálculo!$FW$259),LEN(Cálculo!$FW$259)))))</f>
        <v>11.000,00</v>
      </c>
      <c r="C47" s="579"/>
      <c r="D47" s="580" t="str">
        <f ca="1">IF(B47="-","-",IF(Cálculo!$BT$5="",IF(T27="-","-",IF(Cálculo!$FW$259&lt;1,FIXED(0,LEN(Cálculo!$FW$259)-SEARCH(",",Cálculo!$FW$259)),FIXED(0,LEN(Cálculo!$FW$259)))),IF(Cálculo!$FS$258="-","-",(IF(Cálculo!$FW$259&lt;1,(FIXED(Cálculo!$FS$258,LEN(Cálculo!$FW$259)-SEARCH(",",Cálculo!$FW$259))),FIXED(Cálculo!$FS$258,LEN(Cálculo!$FW$259)))))))</f>
        <v>11.000,00</v>
      </c>
      <c r="E47" s="580"/>
      <c r="F47" s="581" t="str">
        <f ca="1">(IF('Entrada de Dados'!H32="","-",IF(Cálculo!$FW$259&lt;1,FIXED(MROUND(AVERAGE('Entrada de Dados'!H32:M32),Cálculo!$FW$259),LEN(Cálculo!$FW$259)-SEARCH(",",Cálculo!$FW$259)),FIXED(MROUND(AVERAGE('Entrada de Dados'!H32:M32),Cálculo!$FW$259),LEN(Cálculo!$FW$259)))))</f>
        <v>11.000,00</v>
      </c>
      <c r="G47" s="581"/>
      <c r="H47" s="581"/>
      <c r="I47" s="581"/>
      <c r="J47" s="582" t="str">
        <f ca="1">(IF('Entrada de Dados'!H32="","-",CONCATENATE(IF('Entrada de Dados'!H32="","",IF(MROUND(ABS(F47-D47),Cálculo!$FW$259)=0,"",IF((F47-D47)&gt;0,"+","-")))," ",IF(Cálculo!$FW$259&lt;1,FIXED(MROUND(ABS(F47-D47),Cálculo!$FW$259),(LEN(Cálculo!$FW$259)-SEARCH(",",Cálculo!$FW$259))),FIXED(MROUND(ABS(F47-D47),Cálculo!$FW$259),LEN(Cálculo!$FW$259))))))</f>
        <v xml:space="preserve"> 0,00</v>
      </c>
      <c r="K47" s="582"/>
      <c r="L47" s="582"/>
      <c r="M47" s="581" t="str">
        <f ca="1">IF(Cálculo!$FS$269="-","-",CONCATENATE(IF(Cálculo!$FW$259&lt;1,FIXED(MROUND(Cálculo!$FS$269,Cálculo!$FW$259),(LEN(Cálculo!$FW$259)-SEARCH(",",Cálculo!$FW$259))),FIXED(MROUND(Cálculo!$FS$269,Cálculo!$FW$259),(LEN(Cálculo!$FW$259))))))</f>
        <v>20,00</v>
      </c>
      <c r="N47" s="581"/>
      <c r="O47" s="581"/>
      <c r="P47" s="581"/>
      <c r="Q47" s="548">
        <f ca="1">Cálculo!$FS$268</f>
        <v>2</v>
      </c>
      <c r="R47" s="548"/>
      <c r="S47" s="548"/>
      <c r="T47" s="549" t="str">
        <f ca="1">Cálculo!$FS$267</f>
        <v>¥</v>
      </c>
      <c r="U47" s="549"/>
      <c r="V47" s="549"/>
      <c r="W47" s="550"/>
      <c r="X47" s="118"/>
      <c r="Y47" s="118"/>
      <c r="Z47" s="118"/>
      <c r="AO47" s="230">
        <f ca="1">IFERROR(VALUE(Cálculo!$FS$258),"")</f>
        <v>10999.997874740751</v>
      </c>
      <c r="AP47" s="231">
        <f ca="1">IFERROR(VALUE(F47),"")</f>
        <v>11000</v>
      </c>
      <c r="AQ47" s="231">
        <f ca="1">IF('Entrada de Dados'!$M$36="",(FIXED(SLOPE((OFFSET($AO$44,,,(5-COUNTBLANK($AO$44:$AO$47)),1)),(OFFSET($AP$44,,,(5-COUNTBLANK($AP$44:$AP$47)),1))),4)*F47)+FIXED(INTERCEPT((OFFSET($AO$44,,,(5-COUNTBLANK($AO$44:$AO$47)),1)),(OFFSET($AP$44,,,(5-COUNTBLANK($AP$44:$AP$47)),1))),4),IFERROR(('Entrada de Dados'!$D$36*(F47^3))+('Entrada de Dados'!$G$36*(F47^2))+('Entrada de Dados'!$J$36*(F47))+('Entrada de Dados'!$M$36),""))</f>
        <v>10999.999100000001</v>
      </c>
      <c r="AR47" s="232">
        <f ca="1">IFERROR(ABS(AO47-AQ47),"")</f>
        <v>1.2252592496224679E-3</v>
      </c>
    </row>
    <row r="48" spans="1:44" s="146" customFormat="1" x14ac:dyDescent="0.2">
      <c r="B48" s="650"/>
      <c r="C48" s="650"/>
      <c r="D48" s="650"/>
      <c r="E48" s="650"/>
      <c r="F48" s="650"/>
      <c r="G48" s="650"/>
      <c r="H48" s="650"/>
      <c r="I48" s="650"/>
      <c r="J48" s="650"/>
      <c r="K48" s="650"/>
      <c r="L48" s="650"/>
      <c r="M48" s="650"/>
      <c r="N48" s="650"/>
      <c r="O48" s="650"/>
      <c r="P48" s="650"/>
      <c r="Q48" s="650"/>
      <c r="R48" s="650"/>
      <c r="S48" s="650"/>
      <c r="T48" s="650"/>
      <c r="U48" s="650"/>
      <c r="V48" s="650"/>
      <c r="W48" s="650"/>
      <c r="X48" s="147"/>
      <c r="Y48" s="148"/>
      <c r="Z48" s="148"/>
      <c r="AO48" s="230"/>
      <c r="AP48" s="231"/>
      <c r="AQ48" s="231"/>
      <c r="AR48" s="232"/>
    </row>
    <row r="49" spans="2:44" s="146" customFormat="1" ht="20.25" customHeight="1" x14ac:dyDescent="0.2">
      <c r="B49" s="567" t="s">
        <v>248</v>
      </c>
      <c r="C49" s="568"/>
      <c r="D49" s="568"/>
      <c r="E49" s="568"/>
      <c r="F49" s="568"/>
      <c r="G49" s="568"/>
      <c r="H49" s="568"/>
      <c r="I49" s="568"/>
      <c r="J49" s="621" t="str">
        <f ca="1">IF(B44="-","-",IF(AND(VALUE(FIXED(SLOPE((OFFSET(AO44,,,(5-COUNTBLANK(AO44:AO47)),1)),(OFFSET(AP44,,,(5-COUNTBLANK(AP44:AP47)),1))),5))=1,VALUE(FIXED(INTERCEPT((OFFSET(AO44,,,(5-COUNTBLANK(AO44:AO47)),1)),(OFFSET(AP44,,,(5-COUNTBLANK(AP44:AP47)),1))),5))=0),"VR = VML",IF('Entrada de Dados'!M36="",CONCATENATE("VR= ",FIXED(SLOPE((OFFSET(AO44,,,(5-COUNTBLANK(AO44:AO47)),1)),(OFFSET(AP44,,,(5-COUNTBLANK(AP44:AP47)),1))),5),"x VML ",IF(VALUE(FIXED(INTERCEPT((OFFSET(AO44,,,(5-COUNTBLANK(AO44:AO47)),1)),(OFFSET(AP44,,,(5-COUNTBLANK(AP44:AP47)),1))),5))&lt;0,"- ","+ "),IF(VALUE(FIXED(INTERCEPT((OFFSET(AO44,,,(5-COUNTBLANK(AO44:AO47)),1)),(OFFSET(AP44,,,(5-COUNTBLANK(AP44:AP47)),1))),5))&lt;0,MID(FIXED(INTERCEPT((OFFSET(AO44,,,(5-COUNTBLANK(AO44:AO47)),1)),(OFFSET(AP44,,,(5-COUNTBLANK(AP44:AP47)),1))),5),2,7),FIXED(INTERCEPT((OFFSET(AO44,,,(5-COUNTBLANK(AO44:AO47)),1)),(OFFSET(AP44,,,(5-COUNTBLANK(AP44:AP47)),1))),5))),IF('Entrada de Dados'!M36="","-",'Entrada de Dados'!O36))))</f>
        <v>VR= 1,00000x VML - 0,00091</v>
      </c>
      <c r="K49" s="569"/>
      <c r="L49" s="569"/>
      <c r="M49" s="569"/>
      <c r="N49" s="569"/>
      <c r="O49" s="569"/>
      <c r="P49" s="569"/>
      <c r="Q49" s="569"/>
      <c r="R49" s="569"/>
      <c r="S49" s="569"/>
      <c r="T49" s="569"/>
      <c r="U49" s="584" t="str">
        <f ca="1">IF(B44="-","-",CONCATENATE("ELin = ",FIXED(((MAX(AR44:AR47)/MAX('Entrada de Dados'!R8,'Entrada de Dados'!R12))*100),2),"%"))</f>
        <v>ELin = 0,00%</v>
      </c>
      <c r="V49" s="584"/>
      <c r="W49" s="585"/>
      <c r="X49" s="147"/>
      <c r="Y49" s="148"/>
      <c r="Z49" s="148"/>
      <c r="AO49" s="230"/>
      <c r="AP49" s="231"/>
      <c r="AQ49" s="231"/>
      <c r="AR49" s="232"/>
    </row>
    <row r="50" spans="2:44" s="146" customFormat="1" ht="15" customHeight="1" x14ac:dyDescent="0.2">
      <c r="B50" s="241"/>
      <c r="C50" s="241"/>
      <c r="D50" s="241"/>
      <c r="E50" s="241"/>
      <c r="F50" s="241"/>
      <c r="G50" s="241"/>
      <c r="H50" s="241"/>
      <c r="I50" s="241"/>
      <c r="J50" s="241"/>
      <c r="K50" s="241"/>
      <c r="L50" s="241"/>
      <c r="M50" s="241"/>
      <c r="N50" s="241"/>
      <c r="O50" s="241"/>
      <c r="P50" s="241"/>
      <c r="Q50" s="241"/>
      <c r="R50" s="241"/>
      <c r="S50" s="241"/>
      <c r="T50" s="241"/>
      <c r="U50" s="241"/>
      <c r="V50" s="241"/>
      <c r="W50" s="241"/>
      <c r="X50" s="147"/>
      <c r="Y50" s="148"/>
      <c r="Z50" s="148"/>
      <c r="AO50" s="230"/>
      <c r="AP50" s="231"/>
      <c r="AQ50" s="231"/>
      <c r="AR50" s="232"/>
    </row>
    <row r="51" spans="2:44" ht="15" customHeight="1" outlineLevel="1" x14ac:dyDescent="0.2">
      <c r="B51" s="655" t="s">
        <v>165</v>
      </c>
      <c r="C51" s="655"/>
      <c r="D51" s="655"/>
      <c r="E51" s="655"/>
      <c r="F51" s="655"/>
      <c r="G51" s="655"/>
      <c r="H51" s="655"/>
      <c r="I51" s="655"/>
      <c r="J51" s="655"/>
      <c r="K51" s="655"/>
      <c r="L51" s="655"/>
      <c r="M51" s="655"/>
      <c r="N51" s="655"/>
      <c r="O51" s="655"/>
      <c r="P51" s="655"/>
      <c r="Q51" s="655"/>
      <c r="R51" s="655"/>
      <c r="S51" s="655"/>
      <c r="T51" s="655"/>
      <c r="U51" s="655"/>
      <c r="V51" s="655"/>
      <c r="W51" s="655"/>
      <c r="X51" s="133"/>
      <c r="Y51" s="133"/>
      <c r="Z51" s="133"/>
      <c r="AO51" s="233"/>
      <c r="AP51" s="164"/>
      <c r="AQ51" s="234"/>
      <c r="AR51" s="235"/>
    </row>
    <row r="52" spans="2:44" ht="6.75" customHeight="1" outlineLevel="1" x14ac:dyDescent="0.2">
      <c r="B52" s="521"/>
      <c r="C52" s="521"/>
      <c r="D52" s="521"/>
      <c r="E52" s="521"/>
      <c r="F52" s="521"/>
      <c r="G52" s="521"/>
      <c r="H52" s="521"/>
      <c r="I52" s="521"/>
      <c r="J52" s="521"/>
      <c r="K52" s="521"/>
      <c r="L52" s="521"/>
      <c r="M52" s="521"/>
      <c r="N52" s="521"/>
      <c r="O52" s="521"/>
      <c r="P52" s="521"/>
      <c r="Q52" s="521"/>
      <c r="R52" s="521"/>
      <c r="S52" s="521"/>
      <c r="T52" s="521"/>
      <c r="U52" s="521"/>
      <c r="V52" s="521"/>
      <c r="W52" s="521"/>
      <c r="X52" s="119"/>
      <c r="Y52" s="119"/>
      <c r="Z52" s="119"/>
      <c r="AO52" s="236"/>
      <c r="AP52" s="165"/>
      <c r="AQ52" s="165"/>
      <c r="AR52" s="237"/>
    </row>
    <row r="53" spans="2:44" ht="22.5" customHeight="1" outlineLevel="1" thickBot="1" x14ac:dyDescent="0.25">
      <c r="D53" s="632" t="s">
        <v>100</v>
      </c>
      <c r="E53" s="633"/>
      <c r="F53" s="633"/>
      <c r="G53" s="634"/>
      <c r="H53" s="618" t="s">
        <v>179</v>
      </c>
      <c r="I53" s="632" t="s">
        <v>108</v>
      </c>
      <c r="J53" s="633"/>
      <c r="K53" s="633"/>
      <c r="L53" s="633"/>
      <c r="M53" s="634"/>
      <c r="N53" s="641" t="s">
        <v>137</v>
      </c>
      <c r="O53" s="642"/>
      <c r="P53" s="642"/>
      <c r="Q53" s="642"/>
      <c r="R53" s="643"/>
      <c r="S53" s="632" t="s">
        <v>101</v>
      </c>
      <c r="T53" s="633"/>
      <c r="U53" s="634"/>
      <c r="AO53" s="238"/>
      <c r="AP53" s="239"/>
      <c r="AQ53" s="239"/>
      <c r="AR53" s="240"/>
    </row>
    <row r="54" spans="2:44" ht="11.25" customHeight="1" outlineLevel="1" x14ac:dyDescent="0.2">
      <c r="D54" s="635"/>
      <c r="E54" s="636"/>
      <c r="F54" s="636"/>
      <c r="G54" s="637"/>
      <c r="H54" s="619"/>
      <c r="I54" s="638" t="str">
        <f>IF($I$26="micrograma (µg)","(µg)",IF($I$26="miligrama (mg)","(mg)",IF($I$26="grama (g)","(g)",IF($I$26="Quilograma (kg)","(kg)",IF($I$26="tonelada (t)","(t)","-")))))</f>
        <v>(kg)</v>
      </c>
      <c r="J54" s="639"/>
      <c r="K54" s="639"/>
      <c r="L54" s="639"/>
      <c r="M54" s="640"/>
      <c r="N54" s="638" t="str">
        <f>IF($I$26="micrograma (µg)","(µg)",IF($I$26="miligrama (mg)","(mg)",IF($I$26="grama (g)","(g)",IF($I$26="Quilograma (kg)","(kg)",IF($I$26="tonelada (t)","(t)","-")))))</f>
        <v>(kg)</v>
      </c>
      <c r="O54" s="639"/>
      <c r="P54" s="639"/>
      <c r="Q54" s="639"/>
      <c r="R54" s="640"/>
      <c r="S54" s="635"/>
      <c r="T54" s="636"/>
      <c r="U54" s="637"/>
    </row>
    <row r="55" spans="2:44" ht="13.5" customHeight="1" outlineLevel="1" x14ac:dyDescent="0.2">
      <c r="D55" s="629" t="str">
        <f>IF($I$26="micrograma (µg)","(µg)",IF($I$26="miligrama (mg)","(mg)",IF($I$26="grama (g)","(g)",IF($I$26="Quilograma (kg)","(kg)",IF($I$26="tonelada (t)","(t)","-")))))</f>
        <v>(kg)</v>
      </c>
      <c r="E55" s="630"/>
      <c r="F55" s="630"/>
      <c r="G55" s="631"/>
      <c r="H55" s="620"/>
      <c r="I55" s="644" t="s">
        <v>87</v>
      </c>
      <c r="J55" s="616"/>
      <c r="K55" s="318"/>
      <c r="L55" s="616" t="s">
        <v>86</v>
      </c>
      <c r="M55" s="617"/>
      <c r="N55" s="644" t="s">
        <v>87</v>
      </c>
      <c r="O55" s="616"/>
      <c r="P55" s="319"/>
      <c r="Q55" s="616" t="s">
        <v>86</v>
      </c>
      <c r="R55" s="617"/>
      <c r="S55" s="629" t="str">
        <f>IF($I$26="micrograma (µg)","(µg)",IF($I$26="miligrama (mg)","(mg)",IF($I$26="grama (g)","(g)",IF($I$26="Quilograma (kg)","(kg)",IF($I$26="tonelada (t)","(t)","-")))))</f>
        <v>(kg)</v>
      </c>
      <c r="T55" s="630"/>
      <c r="U55" s="631"/>
      <c r="Y55" s="251"/>
    </row>
    <row r="56" spans="2:44" ht="18" customHeight="1" outlineLevel="1" x14ac:dyDescent="0.2">
      <c r="D56" s="647" t="str">
        <f ca="1">IF(M44="-","-",(CONCATENATE(MID(MAX(VALUE(M44),VALUE(M45),VALUE(M46),VALUE(M47)),1,IF('Entrada de Dados'!$R$9&lt;1,(LEN('Entrada de Dados'!$R$9)),(LEN('Entrada de Dados'!$R$9))+2)))))</f>
        <v>20</v>
      </c>
      <c r="E56" s="554"/>
      <c r="F56" s="554"/>
      <c r="G56" s="554"/>
      <c r="H56" s="151" t="e">
        <f ca="1">IF(M44="-","-",LOOKUP(MAX(VALUE(M44),VALUE(M45),VALUE(M46),VALUE(M47)),(VALUE(N44:U47)),(VALUE(Q44:Q47))))</f>
        <v>#N/A</v>
      </c>
      <c r="I56" s="646" t="str">
        <f ca="1">(IF('Desvio Permissível'!C14="-","-",IF('Entrada de Dados'!R9&lt;1,FIXED(MAX('Desvio Permissível'!C14:D17),LEN('Entrada de Dados'!$R$9)-SEARCH(",",'Entrada de Dados'!$R$9)),FIXED(MAX('Desvio Permissível'!C14:D17),LEN('Entrada de Dados'!$R$9)))))</f>
        <v>20,00</v>
      </c>
      <c r="J56" s="646"/>
      <c r="K56" s="323"/>
      <c r="L56" s="646" t="str">
        <f ca="1">(IF('Desvio Permissível'!D14="-","-",IF('Entrada de Dados'!$R$9&lt;1,FIXED(MIN('Desvio Permissível'!C14:D17),LEN('Entrada de Dados'!$R$9)-SEARCH(",",'Entrada de Dados'!$R$9)),FIXED(MIN('Desvio Permissível'!C14:D17),LEN('Entrada de Dados'!$R$9)))))</f>
        <v>-20,00</v>
      </c>
      <c r="M56" s="646"/>
      <c r="N56" s="645" t="str">
        <f ca="1">IF(AND('Entrada de Dados'!$S$42="",'Entrada de Dados'!$P$42=""),"-",IF('Entrada de Dados'!$S$42="",(CONCATENATE(CHAR(177)," ",IF('Entrada de Dados'!$R$9&lt;1,FIXED('Entrada de Dados'!$P$42,LEN('Entrada de Dados'!$R$9)-SEARCH(",",'Entrada de Dados'!$R$9)),FIXED('Entrada de Dados'!$P$42,LEN('Entrada de Dados'!$R$9))))),IF(I56="-","-",(CONCATENATE(CHAR(177)," ",MID(INDEX('Desvio Permissível'!$I$12:$J$19,MATCH(VALUE(I56),'Desvio Permissível'!I12:I19,0),2),1,IF('Entrada de Dados'!$R$9&lt;1,LEN('Entrada de Dados'!$R$9),LEN('Entrada de Dados'!$R$9)+2)))))))</f>
        <v>± 20,0</v>
      </c>
      <c r="O56" s="645"/>
      <c r="P56" s="37"/>
      <c r="Q56" s="648" t="str">
        <f ca="1">IF(AND('Entrada de Dados'!$S$42="",'Entrada de Dados'!$P$42=""),"-",IF('Entrada de Dados'!$S$42="",(CONCATENATE(CHAR(177)," ",IF('Entrada de Dados'!$R$9&lt;1,FIXED('Entrada de Dados'!$P$42,LEN('Entrada de Dados'!$R$9)-SEARCH(",",'Entrada de Dados'!$R$9)),FIXED('Entrada de Dados'!$P$42,LEN('Entrada de Dados'!$R$9))))),IF(L56="-","-",(CONCATENATE(CHAR(177)," ",MID(INDEX('Desvio Permissível'!$I$12:$J$19,MATCH(VALUE(L56),'Desvio Permissível'!I12:I19,0),2),1,IF('Entrada de Dados'!$R$9&lt;1,LEN('Entrada de Dados'!$R$9),LEN('Entrada de Dados'!$R$9)+2)))))))</f>
        <v>± 20,0</v>
      </c>
      <c r="R56" s="648"/>
      <c r="S56" s="648" t="str">
        <f ca="1">IF(J44="-","-",CONCATENATE(IF('Entrada de Dados'!H31="","",IF(MAX(ABS(F44-D44),ABS(F45-D45),ABS(F46-D46),ABS(F47-D47))=0,"",IF(MIN(F44-D44,F45-D45,F46-D46,F47-D47)&lt;0,"-","+")))," ",MID((MAX(ABS(F44-D44),ABS(F45-D45),ABS(F46-D46),ABS(F47-D47))),1,IF('Entrada de Dados'!$R$9&lt;1,(LEN('Entrada de Dados'!$R$9)),(LEN('Entrada de Dados'!$R$9)+2)))))</f>
        <v xml:space="preserve"> 0</v>
      </c>
      <c r="T56" s="554"/>
      <c r="U56" s="649"/>
      <c r="Y56" s="251"/>
    </row>
    <row r="57" spans="2:44" ht="6.75" customHeight="1" outlineLevel="1" x14ac:dyDescent="0.2">
      <c r="D57" s="317"/>
      <c r="E57" s="29"/>
      <c r="F57" s="29"/>
      <c r="G57" s="29"/>
      <c r="H57" s="29"/>
      <c r="I57" s="652"/>
      <c r="J57" s="652"/>
      <c r="K57" s="651"/>
      <c r="L57" s="651"/>
      <c r="M57" s="651"/>
      <c r="N57" s="651"/>
      <c r="O57" s="95"/>
      <c r="P57" s="653"/>
      <c r="Q57" s="653"/>
      <c r="R57" s="653"/>
      <c r="S57" s="653"/>
      <c r="T57" s="653"/>
      <c r="U57" s="654"/>
      <c r="V57" s="1"/>
      <c r="W57" s="94"/>
      <c r="Y57" s="251"/>
    </row>
    <row r="58" spans="2:44" ht="12.75" customHeight="1" outlineLevel="1" x14ac:dyDescent="0.2">
      <c r="C58" s="316"/>
      <c r="D58" s="622" t="str">
        <f ca="1">IF(AND('Entrada de Dados'!$S$42="",'Entrada de Dados'!$P$42=""),"-",IF(AND('Entrada de Dados'!$S$42&lt;&gt;"",'Entrada de Dados'!$P$42=""),IF(AND('Entrada de Dados'!$S$42="",'Entrada de Dados'!$P$42=""),"-",IF(AND('Entrada de Dados'!$S$42="",'Entrada de Dados'!$P$42&lt;&gt;""),"-",IF(AND(ABS(I56)&lt;=VALUE(MID(N56,2,10000)),ABS(L56)&lt;=VALUE(MID(Q56,2,10000))),"Todas as medições, ampliadas pela incerteza expandida, estão dentro dos limites de Desvio Permissível Adotado.","As medições, ampliadas pela incerteza expandida, não estão dentro dos limites de Desvio Permissível Adotado."))),IF(AND('Entrada de Dados'!$S$42="",'Entrada de Dados'!$P$42=""),"-",IF(AND('Entrada de Dados'!$S$42&lt;&gt;"",'Entrada de Dados'!$P$42=""),"-",IF(AND(ABS(I56)&lt;=VALUE(MID(N56,2,10000)),ABS(L56)&lt;=VALUE(MID(Q56,2,10000))),"Todas as medições, ampliadas pela incerteza expandida, estão dentro dos limites de Desvio Permissível Adotado.","As medições, ampliadas pela incerteza expandida, não estão dentro dos limites de Desvio Permissível Adotado.")))))</f>
        <v>Todas as medições, ampliadas pela incerteza expandida, estão dentro dos limites de Desvio Permissível Adotado.</v>
      </c>
      <c r="E58" s="623"/>
      <c r="F58" s="623"/>
      <c r="G58" s="623"/>
      <c r="H58" s="623"/>
      <c r="I58" s="623"/>
      <c r="J58" s="623"/>
      <c r="K58" s="623"/>
      <c r="L58" s="623"/>
      <c r="M58" s="623"/>
      <c r="N58" s="623"/>
      <c r="O58" s="623"/>
      <c r="P58" s="623"/>
      <c r="Q58" s="623"/>
      <c r="R58" s="623"/>
      <c r="S58" s="623"/>
      <c r="T58" s="623"/>
      <c r="U58" s="624"/>
      <c r="V58" s="38"/>
      <c r="W58" s="38"/>
    </row>
    <row r="59" spans="2:44" ht="12.75" customHeight="1" outlineLevel="1" x14ac:dyDescent="0.2">
      <c r="B59" s="38"/>
      <c r="C59" s="38"/>
      <c r="D59" s="625"/>
      <c r="E59" s="626"/>
      <c r="F59" s="626"/>
      <c r="G59" s="626"/>
      <c r="H59" s="626"/>
      <c r="I59" s="626"/>
      <c r="J59" s="626"/>
      <c r="K59" s="626"/>
      <c r="L59" s="626"/>
      <c r="M59" s="626"/>
      <c r="N59" s="626"/>
      <c r="O59" s="626"/>
      <c r="P59" s="626"/>
      <c r="Q59" s="626"/>
      <c r="R59" s="626"/>
      <c r="S59" s="626"/>
      <c r="T59" s="626"/>
      <c r="U59" s="627"/>
      <c r="V59" s="38"/>
      <c r="W59" s="38"/>
      <c r="X59" s="117"/>
      <c r="Z59" s="117"/>
    </row>
    <row r="60" spans="2:44" ht="9" customHeight="1" outlineLevel="1" x14ac:dyDescent="0.2">
      <c r="B60"/>
      <c r="C60" s="2"/>
      <c r="D60" s="628" t="s">
        <v>102</v>
      </c>
      <c r="E60" s="628"/>
      <c r="F60" s="628"/>
      <c r="G60" s="628"/>
      <c r="H60" s="628"/>
      <c r="I60" s="628"/>
      <c r="J60" s="628"/>
      <c r="K60" s="149"/>
      <c r="L60" s="149"/>
      <c r="M60" s="149"/>
      <c r="N60" s="149"/>
      <c r="O60" s="149"/>
      <c r="P60" s="149"/>
      <c r="Q60" s="149"/>
      <c r="R60" s="2"/>
      <c r="S60" s="2"/>
      <c r="T60" s="2"/>
      <c r="U60" s="2"/>
      <c r="V60" s="1"/>
      <c r="W60" s="94"/>
      <c r="X60" s="120"/>
      <c r="Y60" s="120"/>
      <c r="Z60" s="120"/>
    </row>
    <row r="61" spans="2:44" ht="15" customHeight="1" x14ac:dyDescent="0.2">
      <c r="B61" s="150"/>
      <c r="C61" s="150"/>
      <c r="D61" s="29"/>
      <c r="E61" s="29"/>
      <c r="F61" s="29"/>
      <c r="G61" s="29"/>
      <c r="H61" s="29"/>
      <c r="I61" s="29"/>
      <c r="J61" s="29"/>
      <c r="K61" s="149"/>
      <c r="L61" s="149"/>
      <c r="M61" s="149"/>
      <c r="N61" s="149"/>
      <c r="O61" s="149"/>
      <c r="P61" s="149"/>
      <c r="Q61" s="149"/>
      <c r="R61" s="2"/>
      <c r="S61" s="2"/>
      <c r="T61" s="2"/>
      <c r="U61" s="2"/>
      <c r="V61" s="1"/>
      <c r="W61" s="94"/>
      <c r="X61" s="120"/>
      <c r="Y61" s="120"/>
      <c r="Z61" s="120"/>
    </row>
    <row r="62" spans="2:44" ht="15" customHeight="1" x14ac:dyDescent="0.2">
      <c r="B62" s="502" t="s">
        <v>149</v>
      </c>
      <c r="C62" s="502"/>
      <c r="D62" s="502"/>
      <c r="E62" s="502"/>
      <c r="F62" s="502"/>
      <c r="G62" s="502"/>
      <c r="H62" s="502"/>
      <c r="I62" s="502"/>
      <c r="J62" s="502"/>
      <c r="K62" s="502"/>
      <c r="L62" s="502"/>
      <c r="M62" s="502"/>
      <c r="N62" s="502"/>
      <c r="O62" s="502"/>
      <c r="P62" s="502"/>
      <c r="Q62" s="502"/>
      <c r="R62" s="502"/>
      <c r="S62" s="502"/>
      <c r="T62" s="502"/>
      <c r="U62" s="132"/>
      <c r="V62" s="132"/>
      <c r="W62" s="132"/>
      <c r="X62" s="133"/>
      <c r="Y62" s="133"/>
      <c r="Z62" s="133"/>
    </row>
    <row r="63" spans="2:44" s="101" customFormat="1" ht="6.75" customHeight="1" x14ac:dyDescent="0.2">
      <c r="B63" s="521"/>
      <c r="C63" s="521"/>
      <c r="D63" s="521"/>
      <c r="E63" s="521"/>
      <c r="F63" s="521"/>
      <c r="G63" s="521"/>
      <c r="H63" s="521"/>
      <c r="I63" s="521"/>
      <c r="J63" s="521"/>
      <c r="K63" s="521"/>
      <c r="L63" s="521"/>
      <c r="M63" s="521"/>
      <c r="N63" s="521"/>
      <c r="O63" s="521"/>
      <c r="P63" s="521"/>
      <c r="Q63" s="521"/>
      <c r="R63" s="521"/>
      <c r="S63" s="521"/>
      <c r="T63" s="521"/>
      <c r="U63" s="521"/>
      <c r="V63" s="521"/>
      <c r="W63" s="521"/>
      <c r="X63" s="119"/>
      <c r="Y63" s="119"/>
      <c r="Z63" s="119"/>
    </row>
    <row r="64" spans="2:44" s="102" customFormat="1" ht="21" customHeight="1" x14ac:dyDescent="0.2">
      <c r="B64" s="593"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6 meses adotada pelo Cliente.</v>
      </c>
      <c r="C64" s="594"/>
      <c r="D64" s="594"/>
      <c r="E64" s="594"/>
      <c r="F64" s="594"/>
      <c r="G64" s="594"/>
      <c r="H64" s="594"/>
      <c r="I64" s="594"/>
      <c r="J64" s="594"/>
      <c r="K64" s="594"/>
      <c r="L64" s="594"/>
      <c r="M64" s="594"/>
      <c r="N64" s="594"/>
      <c r="O64" s="594"/>
      <c r="P64" s="594"/>
      <c r="Q64" s="594"/>
      <c r="R64" s="594"/>
      <c r="S64" s="594"/>
      <c r="T64" s="594"/>
      <c r="U64" s="594"/>
      <c r="V64" s="594"/>
      <c r="W64" s="595"/>
      <c r="X64" s="134"/>
      <c r="Y64" s="134"/>
      <c r="Z64" s="134"/>
    </row>
    <row r="65" spans="2:26" s="102" customFormat="1" ht="21" customHeight="1" x14ac:dyDescent="0.2">
      <c r="B65" s="596"/>
      <c r="C65" s="597"/>
      <c r="D65" s="597"/>
      <c r="E65" s="597"/>
      <c r="F65" s="597"/>
      <c r="G65" s="597"/>
      <c r="H65" s="597"/>
      <c r="I65" s="597"/>
      <c r="J65" s="597"/>
      <c r="K65" s="597"/>
      <c r="L65" s="597"/>
      <c r="M65" s="597"/>
      <c r="N65" s="597"/>
      <c r="O65" s="597"/>
      <c r="P65" s="597"/>
      <c r="Q65" s="597"/>
      <c r="R65" s="597"/>
      <c r="S65" s="597"/>
      <c r="T65" s="597"/>
      <c r="U65" s="597"/>
      <c r="V65" s="597"/>
      <c r="W65" s="598"/>
      <c r="X65" s="134"/>
      <c r="Y65" s="134"/>
      <c r="Z65" s="134"/>
    </row>
    <row r="66" spans="2:26" s="102" customFormat="1" ht="21" customHeight="1" x14ac:dyDescent="0.2">
      <c r="B66" s="596"/>
      <c r="C66" s="597"/>
      <c r="D66" s="597"/>
      <c r="E66" s="597"/>
      <c r="F66" s="597"/>
      <c r="G66" s="597"/>
      <c r="H66" s="597"/>
      <c r="I66" s="597"/>
      <c r="J66" s="597"/>
      <c r="K66" s="597"/>
      <c r="L66" s="597"/>
      <c r="M66" s="597"/>
      <c r="N66" s="597"/>
      <c r="O66" s="597"/>
      <c r="P66" s="597"/>
      <c r="Q66" s="597"/>
      <c r="R66" s="597"/>
      <c r="S66" s="597"/>
      <c r="T66" s="597"/>
      <c r="U66" s="597"/>
      <c r="V66" s="597"/>
      <c r="W66" s="598"/>
      <c r="X66" s="134"/>
      <c r="Y66" s="134"/>
      <c r="Z66" s="134"/>
    </row>
    <row r="67" spans="2:26" s="102" customFormat="1" ht="21" customHeight="1" x14ac:dyDescent="0.2">
      <c r="B67" s="596"/>
      <c r="C67" s="597"/>
      <c r="D67" s="597"/>
      <c r="E67" s="597"/>
      <c r="F67" s="597"/>
      <c r="G67" s="597"/>
      <c r="H67" s="597"/>
      <c r="I67" s="597"/>
      <c r="J67" s="597"/>
      <c r="K67" s="597"/>
      <c r="L67" s="597"/>
      <c r="M67" s="597"/>
      <c r="N67" s="597"/>
      <c r="O67" s="597"/>
      <c r="P67" s="597"/>
      <c r="Q67" s="597"/>
      <c r="R67" s="597"/>
      <c r="S67" s="597"/>
      <c r="T67" s="597"/>
      <c r="U67" s="597"/>
      <c r="V67" s="597"/>
      <c r="W67" s="598"/>
      <c r="X67" s="134"/>
      <c r="Y67" s="134"/>
      <c r="Z67" s="134"/>
    </row>
    <row r="68" spans="2:26" s="102" customFormat="1" ht="21" customHeight="1" x14ac:dyDescent="0.2">
      <c r="B68" s="596"/>
      <c r="C68" s="597"/>
      <c r="D68" s="597"/>
      <c r="E68" s="597"/>
      <c r="F68" s="597"/>
      <c r="G68" s="597"/>
      <c r="H68" s="597"/>
      <c r="I68" s="597"/>
      <c r="J68" s="597"/>
      <c r="K68" s="597"/>
      <c r="L68" s="597"/>
      <c r="M68" s="597"/>
      <c r="N68" s="597"/>
      <c r="O68" s="597"/>
      <c r="P68" s="597"/>
      <c r="Q68" s="597"/>
      <c r="R68" s="597"/>
      <c r="S68" s="597"/>
      <c r="T68" s="597"/>
      <c r="U68" s="597"/>
      <c r="V68" s="597"/>
      <c r="W68" s="598"/>
      <c r="X68" s="134"/>
      <c r="Y68" s="134"/>
      <c r="Z68" s="134"/>
    </row>
    <row r="69" spans="2:26" s="102" customFormat="1" ht="21" customHeight="1" x14ac:dyDescent="0.2">
      <c r="B69" s="596"/>
      <c r="C69" s="597"/>
      <c r="D69" s="597"/>
      <c r="E69" s="597"/>
      <c r="F69" s="597"/>
      <c r="G69" s="597"/>
      <c r="H69" s="597"/>
      <c r="I69" s="597"/>
      <c r="J69" s="597"/>
      <c r="K69" s="597"/>
      <c r="L69" s="597"/>
      <c r="M69" s="597"/>
      <c r="N69" s="597"/>
      <c r="O69" s="597"/>
      <c r="P69" s="597"/>
      <c r="Q69" s="597"/>
      <c r="R69" s="597"/>
      <c r="S69" s="597"/>
      <c r="T69" s="597"/>
      <c r="U69" s="597"/>
      <c r="V69" s="597"/>
      <c r="W69" s="598"/>
      <c r="X69" s="134"/>
      <c r="Y69" s="134"/>
      <c r="Z69" s="134"/>
    </row>
    <row r="70" spans="2:26" s="102" customFormat="1" ht="21" customHeight="1" x14ac:dyDescent="0.2">
      <c r="B70" s="596"/>
      <c r="C70" s="597"/>
      <c r="D70" s="597"/>
      <c r="E70" s="597"/>
      <c r="F70" s="597"/>
      <c r="G70" s="597"/>
      <c r="H70" s="597"/>
      <c r="I70" s="597"/>
      <c r="J70" s="597"/>
      <c r="K70" s="597"/>
      <c r="L70" s="597"/>
      <c r="M70" s="597"/>
      <c r="N70" s="597"/>
      <c r="O70" s="597"/>
      <c r="P70" s="597"/>
      <c r="Q70" s="597"/>
      <c r="R70" s="597"/>
      <c r="S70" s="597"/>
      <c r="T70" s="597"/>
      <c r="U70" s="597"/>
      <c r="V70" s="597"/>
      <c r="W70" s="598"/>
      <c r="X70" s="134"/>
      <c r="Y70" s="134"/>
      <c r="Z70" s="134"/>
    </row>
    <row r="71" spans="2:26" s="102" customFormat="1" ht="21" customHeight="1" x14ac:dyDescent="0.2">
      <c r="B71" s="596"/>
      <c r="C71" s="597"/>
      <c r="D71" s="597"/>
      <c r="E71" s="597"/>
      <c r="F71" s="597"/>
      <c r="G71" s="597"/>
      <c r="H71" s="597"/>
      <c r="I71" s="597"/>
      <c r="J71" s="597"/>
      <c r="K71" s="597"/>
      <c r="L71" s="597"/>
      <c r="M71" s="597"/>
      <c r="N71" s="597"/>
      <c r="O71" s="597"/>
      <c r="P71" s="597"/>
      <c r="Q71" s="597"/>
      <c r="R71" s="597"/>
      <c r="S71" s="597"/>
      <c r="T71" s="597"/>
      <c r="U71" s="597"/>
      <c r="V71" s="597"/>
      <c r="W71" s="598"/>
      <c r="X71" s="134"/>
      <c r="Y71" s="134"/>
      <c r="Z71" s="134"/>
    </row>
    <row r="72" spans="2:26" s="102" customFormat="1" ht="21" customHeight="1" x14ac:dyDescent="0.2">
      <c r="B72" s="596"/>
      <c r="C72" s="597"/>
      <c r="D72" s="597"/>
      <c r="E72" s="597"/>
      <c r="F72" s="597"/>
      <c r="G72" s="597"/>
      <c r="H72" s="597"/>
      <c r="I72" s="597"/>
      <c r="J72" s="597"/>
      <c r="K72" s="597"/>
      <c r="L72" s="597"/>
      <c r="M72" s="597"/>
      <c r="N72" s="597"/>
      <c r="O72" s="597"/>
      <c r="P72" s="597"/>
      <c r="Q72" s="597"/>
      <c r="R72" s="597"/>
      <c r="S72" s="597"/>
      <c r="T72" s="597"/>
      <c r="U72" s="597"/>
      <c r="V72" s="597"/>
      <c r="W72" s="598"/>
      <c r="X72" s="134"/>
      <c r="Y72" s="134"/>
      <c r="Z72" s="134"/>
    </row>
    <row r="73" spans="2:26" s="102" customFormat="1" ht="21" customHeight="1" x14ac:dyDescent="0.2">
      <c r="B73" s="596"/>
      <c r="C73" s="597"/>
      <c r="D73" s="597"/>
      <c r="E73" s="597"/>
      <c r="F73" s="597"/>
      <c r="G73" s="597"/>
      <c r="H73" s="597"/>
      <c r="I73" s="597"/>
      <c r="J73" s="597"/>
      <c r="K73" s="597"/>
      <c r="L73" s="597"/>
      <c r="M73" s="597"/>
      <c r="N73" s="597"/>
      <c r="O73" s="597"/>
      <c r="P73" s="597"/>
      <c r="Q73" s="597"/>
      <c r="R73" s="597"/>
      <c r="S73" s="597"/>
      <c r="T73" s="597"/>
      <c r="U73" s="597"/>
      <c r="V73" s="597"/>
      <c r="W73" s="598"/>
      <c r="X73" s="134"/>
      <c r="Y73" s="134"/>
      <c r="Z73" s="134"/>
    </row>
    <row r="74" spans="2:26" s="102" customFormat="1" ht="21" customHeight="1" x14ac:dyDescent="0.2">
      <c r="B74" s="596"/>
      <c r="C74" s="597"/>
      <c r="D74" s="597"/>
      <c r="E74" s="597"/>
      <c r="F74" s="597"/>
      <c r="G74" s="597"/>
      <c r="H74" s="597"/>
      <c r="I74" s="597"/>
      <c r="J74" s="597"/>
      <c r="K74" s="597"/>
      <c r="L74" s="597"/>
      <c r="M74" s="597"/>
      <c r="N74" s="597"/>
      <c r="O74" s="597"/>
      <c r="P74" s="597"/>
      <c r="Q74" s="597"/>
      <c r="R74" s="597"/>
      <c r="S74" s="597"/>
      <c r="T74" s="597"/>
      <c r="U74" s="597"/>
      <c r="V74" s="597"/>
      <c r="W74" s="598"/>
      <c r="X74" s="134"/>
      <c r="Y74" s="134"/>
      <c r="Z74" s="134"/>
    </row>
    <row r="75" spans="2:26" s="102" customFormat="1" ht="21" customHeight="1" x14ac:dyDescent="0.2">
      <c r="B75" s="599"/>
      <c r="C75" s="600"/>
      <c r="D75" s="600"/>
      <c r="E75" s="600"/>
      <c r="F75" s="600"/>
      <c r="G75" s="600"/>
      <c r="H75" s="600"/>
      <c r="I75" s="600"/>
      <c r="J75" s="600"/>
      <c r="K75" s="600"/>
      <c r="L75" s="600"/>
      <c r="M75" s="600"/>
      <c r="N75" s="600"/>
      <c r="O75" s="600"/>
      <c r="P75" s="600"/>
      <c r="Q75" s="600"/>
      <c r="R75" s="600"/>
      <c r="S75" s="600"/>
      <c r="T75" s="600"/>
      <c r="U75" s="600"/>
      <c r="V75" s="600"/>
      <c r="W75" s="601"/>
      <c r="X75" s="134"/>
      <c r="Y75" s="134"/>
      <c r="Z75" s="134"/>
    </row>
    <row r="76" spans="2:26" s="102" customFormat="1" ht="15" customHeight="1" x14ac:dyDescent="0.2">
      <c r="B76" s="202"/>
      <c r="C76" s="202"/>
      <c r="D76" s="202"/>
      <c r="E76" s="202"/>
      <c r="F76" s="202"/>
      <c r="G76" s="202"/>
      <c r="H76" s="202"/>
      <c r="I76" s="202"/>
      <c r="J76" s="202"/>
      <c r="K76" s="202"/>
      <c r="L76" s="202"/>
      <c r="M76" s="202"/>
      <c r="N76" s="202"/>
      <c r="O76" s="202"/>
      <c r="P76" s="202"/>
      <c r="Q76" s="202"/>
      <c r="R76" s="202"/>
      <c r="S76" s="202"/>
      <c r="T76" s="202"/>
      <c r="U76" s="202"/>
      <c r="V76" s="202"/>
      <c r="W76" s="202"/>
      <c r="X76" s="134"/>
      <c r="Y76" s="134"/>
      <c r="Z76" s="134"/>
    </row>
    <row r="77" spans="2:26" s="102" customFormat="1" ht="15" customHeight="1" x14ac:dyDescent="0.2">
      <c r="B77" s="502" t="s">
        <v>229</v>
      </c>
      <c r="C77" s="502"/>
      <c r="D77" s="502"/>
      <c r="E77" s="502"/>
      <c r="F77" s="502"/>
      <c r="G77" s="502"/>
      <c r="H77" s="502"/>
      <c r="I77" s="502"/>
      <c r="J77" s="502"/>
      <c r="K77" s="502"/>
      <c r="L77" s="502"/>
      <c r="M77" s="502"/>
      <c r="N77" s="502"/>
      <c r="O77" s="502"/>
      <c r="P77" s="502"/>
      <c r="Q77" s="502"/>
      <c r="R77" s="502"/>
      <c r="S77" s="502"/>
      <c r="T77" s="502"/>
      <c r="U77" s="202"/>
      <c r="V77" s="202"/>
      <c r="W77" s="202"/>
      <c r="X77" s="134"/>
      <c r="Y77" s="134"/>
      <c r="Z77" s="134"/>
    </row>
    <row r="78" spans="2:26" s="102" customFormat="1" ht="6.75" customHeight="1" x14ac:dyDescent="0.2">
      <c r="B78" s="202"/>
      <c r="C78" s="202"/>
      <c r="D78" s="202"/>
      <c r="E78" s="202"/>
      <c r="F78" s="202"/>
      <c r="G78" s="202"/>
      <c r="H78" s="202"/>
      <c r="I78" s="202"/>
      <c r="J78" s="202"/>
      <c r="K78" s="202"/>
      <c r="L78" s="202"/>
      <c r="M78" s="202"/>
      <c r="N78" s="202"/>
      <c r="O78" s="202"/>
      <c r="P78" s="202"/>
      <c r="Q78" s="202"/>
      <c r="R78" s="202"/>
      <c r="S78" s="202"/>
      <c r="T78" s="202"/>
      <c r="U78" s="202"/>
      <c r="V78" s="202"/>
      <c r="W78" s="202"/>
      <c r="X78" s="134"/>
      <c r="Y78" s="134"/>
      <c r="Z78" s="134"/>
    </row>
    <row r="79" spans="2:26" s="102" customFormat="1" ht="12.95" customHeight="1" x14ac:dyDescent="0.2">
      <c r="B79" s="320" t="s">
        <v>236</v>
      </c>
      <c r="C79" s="571" t="s">
        <v>222</v>
      </c>
      <c r="D79" s="572"/>
      <c r="E79" s="572"/>
      <c r="F79" s="572"/>
      <c r="G79" s="572"/>
      <c r="H79" s="572"/>
      <c r="I79" s="572"/>
      <c r="J79" s="572"/>
      <c r="K79" s="572"/>
      <c r="L79" s="572"/>
      <c r="M79" s="572"/>
      <c r="N79" s="572"/>
      <c r="O79" s="572"/>
      <c r="P79" s="572"/>
      <c r="Q79" s="572"/>
      <c r="R79" s="572"/>
      <c r="S79" s="572"/>
      <c r="T79" s="572"/>
      <c r="U79" s="572"/>
      <c r="V79" s="572"/>
      <c r="W79" s="573"/>
      <c r="X79" s="134"/>
      <c r="Y79" s="134"/>
      <c r="Z79" s="134"/>
    </row>
    <row r="80" spans="2:26" s="102" customFormat="1" ht="12.95" customHeight="1" x14ac:dyDescent="0.2">
      <c r="B80" s="321" t="s">
        <v>237</v>
      </c>
      <c r="C80" s="605" t="s">
        <v>224</v>
      </c>
      <c r="D80" s="606"/>
      <c r="E80" s="606"/>
      <c r="F80" s="606"/>
      <c r="G80" s="606"/>
      <c r="H80" s="606"/>
      <c r="I80" s="606"/>
      <c r="J80" s="606"/>
      <c r="K80" s="606"/>
      <c r="L80" s="606"/>
      <c r="M80" s="606"/>
      <c r="N80" s="606"/>
      <c r="O80" s="606"/>
      <c r="P80" s="606"/>
      <c r="Q80" s="606"/>
      <c r="R80" s="606"/>
      <c r="S80" s="606"/>
      <c r="T80" s="606"/>
      <c r="U80" s="606"/>
      <c r="V80" s="606"/>
      <c r="W80" s="607"/>
      <c r="X80" s="134"/>
      <c r="Y80" s="134"/>
      <c r="Z80" s="134"/>
    </row>
    <row r="81" spans="2:26" s="102" customFormat="1" ht="12.95" customHeight="1" x14ac:dyDescent="0.2">
      <c r="B81" s="321" t="s">
        <v>238</v>
      </c>
      <c r="C81" s="605" t="s">
        <v>230</v>
      </c>
      <c r="D81" s="606"/>
      <c r="E81" s="606"/>
      <c r="F81" s="606"/>
      <c r="G81" s="606"/>
      <c r="H81" s="606"/>
      <c r="I81" s="606"/>
      <c r="J81" s="606"/>
      <c r="K81" s="606"/>
      <c r="L81" s="606"/>
      <c r="M81" s="606"/>
      <c r="N81" s="606"/>
      <c r="O81" s="606"/>
      <c r="P81" s="606"/>
      <c r="Q81" s="606"/>
      <c r="R81" s="606"/>
      <c r="S81" s="606"/>
      <c r="T81" s="606"/>
      <c r="U81" s="606"/>
      <c r="V81" s="606"/>
      <c r="W81" s="607"/>
      <c r="X81" s="134"/>
      <c r="Y81" s="134"/>
      <c r="Z81" s="134"/>
    </row>
    <row r="82" spans="2:26" s="102" customFormat="1" ht="12.95" customHeight="1" x14ac:dyDescent="0.2">
      <c r="B82" s="321" t="s">
        <v>239</v>
      </c>
      <c r="C82" s="605" t="s">
        <v>225</v>
      </c>
      <c r="D82" s="606"/>
      <c r="E82" s="606"/>
      <c r="F82" s="606"/>
      <c r="G82" s="606"/>
      <c r="H82" s="606"/>
      <c r="I82" s="606"/>
      <c r="J82" s="606"/>
      <c r="K82" s="606"/>
      <c r="L82" s="606"/>
      <c r="M82" s="606"/>
      <c r="N82" s="606"/>
      <c r="O82" s="606"/>
      <c r="P82" s="606"/>
      <c r="Q82" s="606"/>
      <c r="R82" s="606"/>
      <c r="S82" s="606"/>
      <c r="T82" s="606"/>
      <c r="U82" s="606"/>
      <c r="V82" s="606"/>
      <c r="W82" s="607"/>
      <c r="X82" s="134"/>
      <c r="Y82" s="134"/>
      <c r="Z82" s="134"/>
    </row>
    <row r="83" spans="2:26" s="102" customFormat="1" ht="12.95" customHeight="1" x14ac:dyDescent="0.2">
      <c r="B83" s="321" t="s">
        <v>240</v>
      </c>
      <c r="C83" s="605" t="s">
        <v>226</v>
      </c>
      <c r="D83" s="606"/>
      <c r="E83" s="606"/>
      <c r="F83" s="606"/>
      <c r="G83" s="606"/>
      <c r="H83" s="606"/>
      <c r="I83" s="606"/>
      <c r="J83" s="606"/>
      <c r="K83" s="606"/>
      <c r="L83" s="606"/>
      <c r="M83" s="606"/>
      <c r="N83" s="606"/>
      <c r="O83" s="606"/>
      <c r="P83" s="606"/>
      <c r="Q83" s="606"/>
      <c r="R83" s="606"/>
      <c r="S83" s="606"/>
      <c r="T83" s="606"/>
      <c r="U83" s="606"/>
      <c r="V83" s="606"/>
      <c r="W83" s="607"/>
      <c r="X83" s="134"/>
      <c r="Y83" s="134"/>
      <c r="Z83" s="134"/>
    </row>
    <row r="84" spans="2:26" s="102" customFormat="1" ht="12.95" customHeight="1" x14ac:dyDescent="0.2">
      <c r="B84" s="321" t="s">
        <v>179</v>
      </c>
      <c r="C84" s="605" t="s">
        <v>227</v>
      </c>
      <c r="D84" s="606"/>
      <c r="E84" s="606"/>
      <c r="F84" s="606"/>
      <c r="G84" s="606"/>
      <c r="H84" s="606"/>
      <c r="I84" s="606"/>
      <c r="J84" s="606"/>
      <c r="K84" s="606"/>
      <c r="L84" s="606"/>
      <c r="M84" s="606"/>
      <c r="N84" s="606"/>
      <c r="O84" s="606"/>
      <c r="P84" s="606"/>
      <c r="Q84" s="606"/>
      <c r="R84" s="606"/>
      <c r="S84" s="606"/>
      <c r="T84" s="606"/>
      <c r="U84" s="606"/>
      <c r="V84" s="606"/>
      <c r="W84" s="607"/>
      <c r="X84" s="134"/>
      <c r="Y84" s="134"/>
      <c r="Z84" s="134"/>
    </row>
    <row r="85" spans="2:26" s="102" customFormat="1" ht="12.95" customHeight="1" x14ac:dyDescent="0.2">
      <c r="B85" s="321" t="s">
        <v>180</v>
      </c>
      <c r="C85" s="605" t="s">
        <v>228</v>
      </c>
      <c r="D85" s="606"/>
      <c r="E85" s="606"/>
      <c r="F85" s="606"/>
      <c r="G85" s="606"/>
      <c r="H85" s="606"/>
      <c r="I85" s="606"/>
      <c r="J85" s="606"/>
      <c r="K85" s="606"/>
      <c r="L85" s="606"/>
      <c r="M85" s="606"/>
      <c r="N85" s="606"/>
      <c r="O85" s="606"/>
      <c r="P85" s="606"/>
      <c r="Q85" s="606"/>
      <c r="R85" s="606"/>
      <c r="S85" s="606"/>
      <c r="T85" s="606"/>
      <c r="U85" s="606"/>
      <c r="V85" s="606"/>
      <c r="W85" s="607"/>
      <c r="X85" s="134"/>
      <c r="Y85" s="134"/>
      <c r="Z85" s="134"/>
    </row>
    <row r="86" spans="2:26" s="102" customFormat="1" ht="12.95" customHeight="1" x14ac:dyDescent="0.2">
      <c r="B86" s="322" t="s">
        <v>251</v>
      </c>
      <c r="C86" s="586" t="s">
        <v>252</v>
      </c>
      <c r="D86" s="586"/>
      <c r="E86" s="586"/>
      <c r="F86" s="586"/>
      <c r="G86" s="586"/>
      <c r="H86" s="586"/>
      <c r="I86" s="586"/>
      <c r="J86" s="586"/>
      <c r="K86" s="586"/>
      <c r="L86" s="586"/>
      <c r="M86" s="586"/>
      <c r="N86" s="586"/>
      <c r="O86" s="586"/>
      <c r="P86" s="586"/>
      <c r="Q86" s="586"/>
      <c r="R86" s="586"/>
      <c r="S86" s="586"/>
      <c r="T86" s="586"/>
      <c r="U86" s="586"/>
      <c r="V86" s="586"/>
      <c r="W86" s="587"/>
      <c r="X86" s="134"/>
      <c r="Y86" s="134"/>
      <c r="Z86" s="134"/>
    </row>
    <row r="87" spans="2:26" s="102" customFormat="1" ht="12.95" customHeight="1" x14ac:dyDescent="0.2">
      <c r="B87" s="203" t="str">
        <f>IF('Entrada de Dados'!$R$12="","","E1/E2")</f>
        <v/>
      </c>
      <c r="C87" s="606" t="str">
        <f>IF('Entrada de Dados'!$R$12="","","- Valores referentes à escala 1 e à escala 2 do instrumento.")</f>
        <v/>
      </c>
      <c r="D87" s="606"/>
      <c r="E87" s="606"/>
      <c r="F87" s="606"/>
      <c r="G87" s="606"/>
      <c r="H87" s="606"/>
      <c r="I87" s="606"/>
      <c r="J87" s="606"/>
      <c r="K87" s="606"/>
      <c r="L87" s="606"/>
      <c r="M87" s="606"/>
      <c r="N87" s="606"/>
      <c r="O87" s="606"/>
      <c r="P87" s="606"/>
      <c r="Q87" s="606"/>
      <c r="R87" s="606"/>
      <c r="S87" s="606"/>
      <c r="T87" s="606"/>
      <c r="U87" s="606"/>
      <c r="V87" s="606"/>
      <c r="W87" s="606"/>
      <c r="X87" s="134"/>
      <c r="Y87" s="134"/>
      <c r="Z87" s="134"/>
    </row>
    <row r="88" spans="2:26" ht="15" customHeight="1" x14ac:dyDescent="0.2">
      <c r="B88" s="202"/>
      <c r="C88" s="202"/>
      <c r="D88" s="202"/>
      <c r="E88" s="202"/>
      <c r="F88" s="202"/>
      <c r="G88" s="202"/>
      <c r="H88" s="202"/>
      <c r="I88" s="202"/>
      <c r="J88" s="202"/>
      <c r="K88" s="202"/>
      <c r="L88" s="202"/>
      <c r="M88" s="202"/>
      <c r="N88" s="202"/>
      <c r="O88" s="202"/>
      <c r="P88" s="202"/>
      <c r="Q88" s="202"/>
      <c r="R88" s="202"/>
      <c r="S88" s="202"/>
      <c r="T88" s="202"/>
      <c r="U88" s="202"/>
      <c r="V88" s="202"/>
      <c r="W88" s="202"/>
      <c r="X88" s="121"/>
      <c r="Y88" s="121"/>
      <c r="Z88" s="121"/>
    </row>
    <row r="89" spans="2:26" x14ac:dyDescent="0.2">
      <c r="B89" s="496" t="s">
        <v>42</v>
      </c>
      <c r="C89" s="496"/>
      <c r="D89" s="496"/>
      <c r="E89" s="496"/>
      <c r="F89" s="496"/>
      <c r="G89" s="602">
        <f>IF('Entrada de Dados'!Q5="","-",'Entrada de Dados'!Q5)</f>
        <v>45295</v>
      </c>
      <c r="H89" s="602"/>
      <c r="I89" s="602"/>
      <c r="J89" s="29"/>
      <c r="K89" s="29"/>
      <c r="L89" s="29"/>
      <c r="M89" s="603" t="str">
        <f>IF('Entrada de Dados'!E16="","DATA EMISSÃO:","PRÓXIMA CALIBRAÇÃO:")</f>
        <v>PRÓXIMA CALIBRAÇÃO:</v>
      </c>
      <c r="N89" s="603"/>
      <c r="O89" s="603"/>
      <c r="P89" s="603"/>
      <c r="Q89" s="603"/>
      <c r="R89" s="603"/>
      <c r="S89" s="603"/>
      <c r="T89" s="3"/>
      <c r="U89" s="604">
        <f>IF('Entrada de Dados'!$E$16="",IF('Entrada de Dados'!$M$63="","-",'Entrada de Dados'!M63),IF('Entrada de Dados'!$G$16="Meses",EDATE(G89,'Entrada de Dados'!$E$16),DATE(YEAR(G89)+'Entrada de Dados'!$E$16,MONTH(G89),DAY(G89))))</f>
        <v>45477</v>
      </c>
      <c r="V89" s="602"/>
      <c r="W89" s="602"/>
      <c r="X89" s="122"/>
      <c r="Y89" s="122"/>
      <c r="Z89" s="122"/>
    </row>
    <row r="90" spans="2:26" x14ac:dyDescent="0.2">
      <c r="B90" s="496" t="str">
        <f>IF('Entrada de Dados'!E16="","","DATA EMISSÃO:")</f>
        <v>DATA EMISSÃO:</v>
      </c>
      <c r="C90" s="496"/>
      <c r="D90" s="496"/>
      <c r="E90" s="496"/>
      <c r="F90" s="496"/>
      <c r="G90" s="589">
        <f>IF('Entrada de Dados'!E16="","",IF('Entrada de Dados'!M63="","-",'Entrada de Dados'!M63))</f>
        <v>45296</v>
      </c>
      <c r="H90" s="589"/>
      <c r="I90" s="589"/>
      <c r="J90" s="29"/>
      <c r="K90" s="29"/>
      <c r="L90" s="29"/>
      <c r="M90" s="31"/>
      <c r="N90" s="31"/>
      <c r="O90" s="590" t="str">
        <f>IF(U89="____/____/______","Preenchido pelo cliente","")</f>
        <v/>
      </c>
      <c r="P90" s="590"/>
      <c r="Q90" s="590"/>
      <c r="R90" s="590"/>
      <c r="S90" s="590"/>
      <c r="T90" s="3"/>
      <c r="U90" s="59"/>
      <c r="V90" s="59"/>
      <c r="W90" s="59"/>
      <c r="X90" s="122"/>
      <c r="Y90" s="122"/>
      <c r="Z90" s="122"/>
    </row>
    <row r="91" spans="2:26" ht="12.75" customHeight="1" x14ac:dyDescent="0.2">
      <c r="B91" s="96"/>
      <c r="C91" s="96"/>
      <c r="D91" s="96"/>
      <c r="E91" s="96"/>
      <c r="F91" s="96"/>
      <c r="G91" s="59"/>
      <c r="H91" s="59"/>
      <c r="I91" s="59"/>
      <c r="J91" s="29"/>
      <c r="K91" s="29"/>
      <c r="L91" s="29"/>
      <c r="M91" s="31"/>
      <c r="N91" s="31"/>
      <c r="O91" s="31"/>
      <c r="P91" s="31"/>
      <c r="Q91" s="31"/>
      <c r="R91" s="31"/>
      <c r="S91" s="31"/>
      <c r="T91" s="31"/>
      <c r="U91" s="59"/>
      <c r="V91" s="59"/>
      <c r="W91" s="59"/>
      <c r="X91" s="122"/>
      <c r="Y91" s="122"/>
      <c r="Z91" s="122"/>
    </row>
    <row r="92" spans="2:26" ht="12.75" customHeight="1" x14ac:dyDescent="0.2">
      <c r="B92" s="38"/>
      <c r="C92" s="38"/>
      <c r="D92" s="38"/>
      <c r="E92" s="38"/>
      <c r="F92" s="38"/>
      <c r="G92" s="38"/>
      <c r="H92" s="38"/>
      <c r="I92" s="38"/>
      <c r="J92" s="591" t="s">
        <v>2</v>
      </c>
      <c r="K92" s="532"/>
      <c r="L92" s="532"/>
      <c r="M92" s="532"/>
      <c r="N92" s="532"/>
      <c r="O92" s="533"/>
      <c r="P92" s="29"/>
      <c r="Q92" s="29"/>
      <c r="X92" s="117"/>
      <c r="Y92" s="117"/>
      <c r="Z92" s="117"/>
    </row>
    <row r="93" spans="2:26" ht="21" customHeight="1" x14ac:dyDescent="0.2">
      <c r="B93" s="169"/>
      <c r="C93" s="169"/>
      <c r="D93" s="169"/>
      <c r="E93" s="169"/>
      <c r="F93" s="169"/>
      <c r="G93" s="169"/>
      <c r="H93" s="29"/>
      <c r="I93" s="29"/>
      <c r="J93" s="592"/>
      <c r="K93" s="592"/>
      <c r="L93" s="592"/>
      <c r="M93" s="592"/>
      <c r="N93" s="592"/>
      <c r="O93" s="592"/>
      <c r="P93" s="29"/>
      <c r="Q93" s="29"/>
      <c r="X93" s="103"/>
      <c r="Y93" s="103"/>
      <c r="Z93" s="103"/>
    </row>
    <row r="94" spans="2:26" x14ac:dyDescent="0.2">
      <c r="H94" s="1"/>
      <c r="I94" s="1"/>
      <c r="J94" s="588" t="str">
        <f>IF('Entrada de Dados'!$R$63="","-",'Entrada de Dados'!$R$63)</f>
        <v>Roldão Batista da Silva Filho</v>
      </c>
      <c r="K94" s="588"/>
      <c r="L94" s="588"/>
      <c r="M94" s="588"/>
      <c r="N94" s="588"/>
      <c r="O94" s="588"/>
      <c r="P94" s="29"/>
      <c r="Q94" s="29"/>
      <c r="X94" s="116"/>
      <c r="Y94" s="116"/>
      <c r="Z94" s="116"/>
    </row>
    <row r="95" spans="2:26" x14ac:dyDescent="0.2">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x14ac:dyDescent="0.2">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
      <c r="B200" s="103"/>
      <c r="C200" s="103"/>
      <c r="D200" s="100"/>
      <c r="E200" s="100"/>
      <c r="F200" s="100"/>
      <c r="G200" s="100"/>
      <c r="H200" s="100"/>
      <c r="I200" s="100"/>
      <c r="J200" s="100"/>
      <c r="K200" s="100"/>
      <c r="L200" s="100"/>
      <c r="M200" s="100"/>
      <c r="N200" s="100"/>
      <c r="O200" s="100"/>
      <c r="P200" s="100"/>
      <c r="Q200" s="100"/>
      <c r="R200" s="100"/>
      <c r="S200" s="100"/>
      <c r="T200" s="100"/>
      <c r="U200" s="100"/>
      <c r="V200" s="100"/>
      <c r="W200" s="100"/>
    </row>
    <row r="201" spans="2:23" x14ac:dyDescent="0.2">
      <c r="B201" s="103"/>
      <c r="C201" s="103"/>
      <c r="D201" s="100"/>
      <c r="E201" s="100"/>
      <c r="F201" s="100"/>
      <c r="G201" s="100"/>
      <c r="H201" s="100"/>
      <c r="I201" s="100"/>
      <c r="J201" s="100"/>
      <c r="K201" s="100"/>
      <c r="L201" s="100"/>
      <c r="M201" s="100"/>
      <c r="N201" s="100"/>
      <c r="O201" s="100"/>
      <c r="P201" s="100"/>
      <c r="Q201" s="100"/>
      <c r="R201" s="100"/>
      <c r="S201" s="100"/>
      <c r="T201" s="100"/>
      <c r="U201" s="100"/>
      <c r="V201" s="100"/>
      <c r="W201" s="100"/>
    </row>
    <row r="202" spans="2:23" x14ac:dyDescent="0.2">
      <c r="B202" s="103"/>
      <c r="C202" s="103"/>
      <c r="D202" s="100"/>
      <c r="E202" s="100"/>
      <c r="F202" s="100"/>
      <c r="G202" s="100"/>
      <c r="H202" s="100"/>
      <c r="I202" s="100"/>
      <c r="J202" s="100"/>
      <c r="K202" s="100"/>
      <c r="L202" s="100"/>
      <c r="M202" s="100"/>
      <c r="N202" s="100"/>
      <c r="O202" s="100"/>
      <c r="P202" s="100"/>
      <c r="Q202" s="100"/>
      <c r="R202" s="100"/>
      <c r="S202" s="100"/>
      <c r="T202" s="100"/>
      <c r="U202" s="100"/>
      <c r="V202" s="100"/>
      <c r="W202" s="100"/>
    </row>
    <row r="203" spans="2:23" x14ac:dyDescent="0.2">
      <c r="B203" s="103"/>
      <c r="C203" s="103"/>
      <c r="D203" s="100"/>
      <c r="E203" s="100"/>
      <c r="F203" s="100"/>
      <c r="G203" s="100"/>
      <c r="H203" s="100"/>
      <c r="I203" s="100"/>
      <c r="J203" s="100"/>
      <c r="K203" s="100"/>
      <c r="L203" s="100"/>
      <c r="M203" s="100"/>
      <c r="N203" s="100"/>
      <c r="O203" s="100"/>
      <c r="P203" s="100"/>
      <c r="Q203" s="100"/>
      <c r="R203" s="100"/>
      <c r="S203" s="100"/>
      <c r="T203" s="100"/>
      <c r="U203" s="100"/>
      <c r="V203" s="100"/>
      <c r="W203" s="100"/>
    </row>
    <row r="204" spans="2:23" x14ac:dyDescent="0.2">
      <c r="B204" s="103"/>
      <c r="C204" s="103"/>
      <c r="D204" s="100"/>
      <c r="E204" s="100"/>
      <c r="F204" s="100"/>
      <c r="G204" s="100"/>
      <c r="H204" s="100"/>
      <c r="I204" s="100"/>
      <c r="J204" s="100"/>
      <c r="K204" s="100"/>
      <c r="L204" s="100"/>
      <c r="M204" s="100"/>
      <c r="N204" s="100"/>
      <c r="O204" s="100"/>
      <c r="P204" s="100"/>
      <c r="Q204" s="100"/>
      <c r="R204" s="100"/>
      <c r="S204" s="100"/>
      <c r="T204" s="100"/>
      <c r="U204" s="100"/>
      <c r="V204" s="100"/>
      <c r="W204" s="100"/>
    </row>
    <row r="205" spans="2:23" x14ac:dyDescent="0.2">
      <c r="B205" s="103"/>
      <c r="C205" s="103"/>
      <c r="D205" s="100"/>
      <c r="E205" s="100"/>
      <c r="F205" s="100"/>
      <c r="G205" s="100"/>
      <c r="H205" s="100"/>
      <c r="I205" s="100"/>
      <c r="J205" s="100"/>
      <c r="K205" s="100"/>
      <c r="L205" s="100"/>
      <c r="M205" s="100"/>
      <c r="N205" s="100"/>
      <c r="O205" s="100"/>
      <c r="P205" s="100"/>
      <c r="Q205" s="100"/>
      <c r="R205" s="100"/>
      <c r="S205" s="100"/>
      <c r="T205" s="100"/>
      <c r="U205" s="100"/>
      <c r="V205" s="100"/>
      <c r="W205" s="100"/>
    </row>
    <row r="206" spans="2:23" x14ac:dyDescent="0.2">
      <c r="B206" s="103"/>
      <c r="C206" s="103"/>
      <c r="D206" s="100"/>
      <c r="E206" s="100"/>
      <c r="F206" s="100"/>
      <c r="G206" s="100"/>
      <c r="H206" s="100"/>
      <c r="I206" s="100"/>
      <c r="J206" s="100"/>
      <c r="K206" s="100"/>
      <c r="L206" s="100"/>
      <c r="M206" s="100"/>
      <c r="N206" s="100"/>
      <c r="O206" s="100"/>
      <c r="P206" s="100"/>
      <c r="Q206" s="100"/>
      <c r="R206" s="100"/>
      <c r="S206" s="100"/>
      <c r="T206" s="100"/>
      <c r="U206" s="100"/>
      <c r="V206" s="100"/>
      <c r="W206" s="100"/>
    </row>
    <row r="207" spans="2:23" x14ac:dyDescent="0.2">
      <c r="B207" s="103"/>
      <c r="C207" s="103"/>
      <c r="D207" s="100"/>
      <c r="E207" s="100"/>
      <c r="F207" s="100"/>
      <c r="G207" s="100"/>
      <c r="H207" s="100"/>
      <c r="I207" s="100"/>
      <c r="J207" s="100"/>
      <c r="K207" s="100"/>
      <c r="L207" s="100"/>
      <c r="M207" s="100"/>
      <c r="N207" s="100"/>
      <c r="O207" s="100"/>
      <c r="P207" s="100"/>
      <c r="Q207" s="100"/>
      <c r="R207" s="100"/>
      <c r="S207" s="100"/>
      <c r="T207" s="100"/>
      <c r="U207" s="100"/>
      <c r="V207" s="100"/>
      <c r="W207" s="100"/>
    </row>
    <row r="208" spans="2:23" x14ac:dyDescent="0.2">
      <c r="B208" s="103"/>
      <c r="C208" s="103"/>
      <c r="D208" s="100"/>
      <c r="E208" s="100"/>
      <c r="F208" s="100"/>
      <c r="G208" s="100"/>
      <c r="H208" s="100"/>
      <c r="I208" s="100"/>
      <c r="J208" s="100"/>
      <c r="K208" s="100"/>
      <c r="L208" s="100"/>
      <c r="M208" s="100"/>
      <c r="N208" s="100"/>
      <c r="O208" s="100"/>
      <c r="P208" s="100"/>
      <c r="Q208" s="100"/>
      <c r="R208" s="100"/>
      <c r="S208" s="100"/>
      <c r="T208" s="100"/>
      <c r="U208" s="100"/>
      <c r="V208" s="100"/>
      <c r="W208" s="100"/>
    </row>
    <row r="209" spans="2:23" x14ac:dyDescent="0.2">
      <c r="B209" s="103"/>
      <c r="C209" s="103"/>
      <c r="D209" s="100"/>
      <c r="E209" s="100"/>
      <c r="F209" s="100"/>
      <c r="G209" s="100"/>
      <c r="H209" s="100"/>
      <c r="I209" s="100"/>
      <c r="J209" s="100"/>
      <c r="K209" s="100"/>
      <c r="L209" s="100"/>
      <c r="M209" s="100"/>
      <c r="N209" s="100"/>
      <c r="O209" s="100"/>
      <c r="P209" s="100"/>
      <c r="Q209" s="100"/>
      <c r="R209" s="100"/>
      <c r="S209" s="100"/>
      <c r="T209" s="100"/>
      <c r="U209" s="100"/>
      <c r="V209" s="100"/>
      <c r="W209" s="100"/>
    </row>
    <row r="210" spans="2:23" x14ac:dyDescent="0.2">
      <c r="B210" s="103"/>
      <c r="C210" s="103"/>
      <c r="D210" s="100"/>
      <c r="E210" s="100"/>
      <c r="F210" s="100"/>
      <c r="G210" s="100"/>
      <c r="H210" s="100"/>
      <c r="I210" s="100"/>
      <c r="J210" s="100"/>
      <c r="K210" s="100"/>
      <c r="L210" s="100"/>
      <c r="M210" s="100"/>
      <c r="N210" s="100"/>
      <c r="O210" s="100"/>
      <c r="P210" s="100"/>
      <c r="Q210" s="100"/>
      <c r="R210" s="100"/>
      <c r="S210" s="100"/>
      <c r="T210" s="100"/>
      <c r="U210" s="100"/>
      <c r="V210" s="100"/>
      <c r="W210" s="100"/>
    </row>
    <row r="211" spans="2:23" x14ac:dyDescent="0.2">
      <c r="H211" s="100"/>
      <c r="I211" s="100"/>
      <c r="J211" s="100"/>
      <c r="K211" s="100"/>
      <c r="L211" s="100"/>
      <c r="M211" s="100"/>
      <c r="N211" s="100"/>
      <c r="O211" s="100"/>
      <c r="P211" s="100"/>
      <c r="Q211" s="100"/>
      <c r="R211" s="100"/>
      <c r="S211" s="100"/>
      <c r="T211" s="100"/>
      <c r="U211" s="100"/>
      <c r="V211" s="100"/>
      <c r="W211" s="100"/>
    </row>
  </sheetData>
  <sheetProtection selectLockedCells="1"/>
  <dataConsolidate/>
  <mergeCells count="192">
    <mergeCell ref="G89:I89"/>
    <mergeCell ref="C83:W83"/>
    <mergeCell ref="C84:W84"/>
    <mergeCell ref="C86:W86"/>
    <mergeCell ref="B40:E40"/>
    <mergeCell ref="M21:R21"/>
    <mergeCell ref="S31:U31"/>
    <mergeCell ref="K35:N35"/>
    <mergeCell ref="O35:R35"/>
    <mergeCell ref="S35:U35"/>
    <mergeCell ref="T24:U24"/>
    <mergeCell ref="P24:S24"/>
    <mergeCell ref="I26:L26"/>
    <mergeCell ref="B39:W39"/>
    <mergeCell ref="B38:T38"/>
    <mergeCell ref="D36:F36"/>
    <mergeCell ref="B48:W48"/>
    <mergeCell ref="K57:N57"/>
    <mergeCell ref="I57:J57"/>
    <mergeCell ref="P57:U57"/>
    <mergeCell ref="Q56:R56"/>
    <mergeCell ref="B51:W51"/>
    <mergeCell ref="I56:J56"/>
    <mergeCell ref="U89:W89"/>
    <mergeCell ref="O36:R36"/>
    <mergeCell ref="T40:W40"/>
    <mergeCell ref="M40:P40"/>
    <mergeCell ref="B49:I49"/>
    <mergeCell ref="B18:D18"/>
    <mergeCell ref="B26:H26"/>
    <mergeCell ref="B21:L21"/>
    <mergeCell ref="I53:M53"/>
    <mergeCell ref="I54:M54"/>
    <mergeCell ref="E19:L20"/>
    <mergeCell ref="B43:C43"/>
    <mergeCell ref="D31:F31"/>
    <mergeCell ref="G31:J31"/>
    <mergeCell ref="G36:J36"/>
    <mergeCell ref="K36:N36"/>
    <mergeCell ref="D43:E43"/>
    <mergeCell ref="M41:P42"/>
    <mergeCell ref="D41:E42"/>
    <mergeCell ref="Q40:S40"/>
    <mergeCell ref="J93:O93"/>
    <mergeCell ref="M89:S89"/>
    <mergeCell ref="S55:U55"/>
    <mergeCell ref="S53:U54"/>
    <mergeCell ref="N54:R54"/>
    <mergeCell ref="B52:W52"/>
    <mergeCell ref="N53:R53"/>
    <mergeCell ref="N55:O55"/>
    <mergeCell ref="L55:M55"/>
    <mergeCell ref="I55:J55"/>
    <mergeCell ref="D53:G54"/>
    <mergeCell ref="N56:O56"/>
    <mergeCell ref="B89:F89"/>
    <mergeCell ref="B64:W75"/>
    <mergeCell ref="O90:S90"/>
    <mergeCell ref="L56:M56"/>
    <mergeCell ref="D56:G56"/>
    <mergeCell ref="D55:G55"/>
    <mergeCell ref="S56:U56"/>
    <mergeCell ref="B77:T77"/>
    <mergeCell ref="C79:W79"/>
    <mergeCell ref="C80:W80"/>
    <mergeCell ref="C81:W81"/>
    <mergeCell ref="C82:W82"/>
    <mergeCell ref="M2:W6"/>
    <mergeCell ref="B2:L7"/>
    <mergeCell ref="B10:D10"/>
    <mergeCell ref="M7:W7"/>
    <mergeCell ref="E10:N10"/>
    <mergeCell ref="E11:N11"/>
    <mergeCell ref="H9:J9"/>
    <mergeCell ref="B9:G9"/>
    <mergeCell ref="R10:V10"/>
    <mergeCell ref="L8:W8"/>
    <mergeCell ref="B11:D11"/>
    <mergeCell ref="O11:Q11"/>
    <mergeCell ref="R11:W11"/>
    <mergeCell ref="O10:P10"/>
    <mergeCell ref="J94:O94"/>
    <mergeCell ref="M17:Q17"/>
    <mergeCell ref="E18:L18"/>
    <mergeCell ref="M20:R20"/>
    <mergeCell ref="E17:L17"/>
    <mergeCell ref="B19:D19"/>
    <mergeCell ref="D58:U59"/>
    <mergeCell ref="D60:J60"/>
    <mergeCell ref="O26:R26"/>
    <mergeCell ref="S26:W26"/>
    <mergeCell ref="B28:T28"/>
    <mergeCell ref="U28:W28"/>
    <mergeCell ref="D30:G30"/>
    <mergeCell ref="H30:J30"/>
    <mergeCell ref="K30:N30"/>
    <mergeCell ref="O30:R30"/>
    <mergeCell ref="K31:N31"/>
    <mergeCell ref="O31:R31"/>
    <mergeCell ref="C24:E24"/>
    <mergeCell ref="M24:N24"/>
    <mergeCell ref="B27:W27"/>
    <mergeCell ref="D32:F32"/>
    <mergeCell ref="B23:W23"/>
    <mergeCell ref="S30:U30"/>
    <mergeCell ref="B15:D15"/>
    <mergeCell ref="M15:Q15"/>
    <mergeCell ref="E15:L15"/>
    <mergeCell ref="B13:W13"/>
    <mergeCell ref="R15:V15"/>
    <mergeCell ref="M16:Q16"/>
    <mergeCell ref="B14:H14"/>
    <mergeCell ref="F24:G24"/>
    <mergeCell ref="R16:V16"/>
    <mergeCell ref="E16:L16"/>
    <mergeCell ref="B16:D16"/>
    <mergeCell ref="M18:Q18"/>
    <mergeCell ref="R17:U17"/>
    <mergeCell ref="R18:U18"/>
    <mergeCell ref="M19:Q19"/>
    <mergeCell ref="R19:U19"/>
    <mergeCell ref="J24:L24"/>
    <mergeCell ref="B17:D17"/>
    <mergeCell ref="S20:U20"/>
    <mergeCell ref="J92:O92"/>
    <mergeCell ref="B62:T62"/>
    <mergeCell ref="G32:J32"/>
    <mergeCell ref="K32:N32"/>
    <mergeCell ref="O32:R32"/>
    <mergeCell ref="S32:U32"/>
    <mergeCell ref="D33:F33"/>
    <mergeCell ref="G33:J33"/>
    <mergeCell ref="K33:N33"/>
    <mergeCell ref="O33:R33"/>
    <mergeCell ref="S33:U33"/>
    <mergeCell ref="D34:F34"/>
    <mergeCell ref="G34:J34"/>
    <mergeCell ref="K34:N34"/>
    <mergeCell ref="O34:R34"/>
    <mergeCell ref="S34:U34"/>
    <mergeCell ref="D35:F35"/>
    <mergeCell ref="G35:J35"/>
    <mergeCell ref="B47:C47"/>
    <mergeCell ref="D47:E47"/>
    <mergeCell ref="S36:U36"/>
    <mergeCell ref="B41:C42"/>
    <mergeCell ref="B90:F90"/>
    <mergeCell ref="T45:W45"/>
    <mergeCell ref="C85:W85"/>
    <mergeCell ref="B63:W63"/>
    <mergeCell ref="U49:W49"/>
    <mergeCell ref="C87:W87"/>
    <mergeCell ref="T44:W44"/>
    <mergeCell ref="M43:P43"/>
    <mergeCell ref="M44:P44"/>
    <mergeCell ref="M45:P45"/>
    <mergeCell ref="M46:P46"/>
    <mergeCell ref="M47:P47"/>
    <mergeCell ref="T46:W46"/>
    <mergeCell ref="B44:C44"/>
    <mergeCell ref="D44:E44"/>
    <mergeCell ref="B45:C45"/>
    <mergeCell ref="D45:E45"/>
    <mergeCell ref="B46:C46"/>
    <mergeCell ref="D46:E46"/>
    <mergeCell ref="Q55:R55"/>
    <mergeCell ref="H53:H55"/>
    <mergeCell ref="J49:T49"/>
    <mergeCell ref="G90:I90"/>
    <mergeCell ref="B12:C12"/>
    <mergeCell ref="E12:I12"/>
    <mergeCell ref="T47:W47"/>
    <mergeCell ref="Q44:S44"/>
    <mergeCell ref="Q45:S45"/>
    <mergeCell ref="Q46:S46"/>
    <mergeCell ref="Q47:S47"/>
    <mergeCell ref="Q41:S43"/>
    <mergeCell ref="T41:W43"/>
    <mergeCell ref="F40:I40"/>
    <mergeCell ref="F41:I42"/>
    <mergeCell ref="F43:I43"/>
    <mergeCell ref="F44:I44"/>
    <mergeCell ref="F45:I45"/>
    <mergeCell ref="F46:I46"/>
    <mergeCell ref="F47:I47"/>
    <mergeCell ref="J40:L40"/>
    <mergeCell ref="J41:L42"/>
    <mergeCell ref="J43:L43"/>
    <mergeCell ref="J44:L44"/>
    <mergeCell ref="J45:L45"/>
    <mergeCell ref="J46:L46"/>
    <mergeCell ref="J47:L47"/>
  </mergeCells>
  <phoneticPr fontId="0" type="noConversion"/>
  <conditionalFormatting sqref="V19">
    <cfRule type="notContainsBlanks" dxfId="185" priority="64">
      <formula>LEN(TRIM(V19))&gt;0</formula>
    </cfRule>
  </conditionalFormatting>
  <conditionalFormatting sqref="D33:U33">
    <cfRule type="expression" dxfId="184" priority="36">
      <formula>AND($D$33&lt;&gt;"",$D$34="")</formula>
    </cfRule>
  </conditionalFormatting>
  <conditionalFormatting sqref="D33:F36">
    <cfRule type="notContainsBlanks" dxfId="183" priority="61">
      <formula>LEN(TRIM(D33))&gt;0</formula>
    </cfRule>
  </conditionalFormatting>
  <conditionalFormatting sqref="S33:U36">
    <cfRule type="notContainsBlanks" dxfId="182" priority="62">
      <formula>LEN(TRIM(S33))&gt;0</formula>
    </cfRule>
  </conditionalFormatting>
  <conditionalFormatting sqref="D32:U32">
    <cfRule type="expression" dxfId="181" priority="33">
      <formula>AND($D$32&lt;&gt;"",$D$33="")</formula>
    </cfRule>
  </conditionalFormatting>
  <conditionalFormatting sqref="D32:F32">
    <cfRule type="notContainsBlanks" dxfId="180" priority="60">
      <formula>LEN(TRIM(D32))&gt;0</formula>
    </cfRule>
  </conditionalFormatting>
  <conditionalFormatting sqref="S32:U32">
    <cfRule type="notContainsBlanks" dxfId="179" priority="63">
      <formula>LEN(TRIM(S32))&gt;0</formula>
    </cfRule>
  </conditionalFormatting>
  <conditionalFormatting sqref="D34:U34">
    <cfRule type="expression" dxfId="178" priority="30">
      <formula>AND($D$34&lt;&gt;"",$D$35="")</formula>
    </cfRule>
  </conditionalFormatting>
  <conditionalFormatting sqref="D35:U35">
    <cfRule type="expression" dxfId="177" priority="27">
      <formula>AND($D$35&lt;&gt;"",$D$36="")</formula>
    </cfRule>
  </conditionalFormatting>
  <conditionalFormatting sqref="D36:U36">
    <cfRule type="expression" dxfId="176" priority="24">
      <formula>AND($D$36&lt;&gt;"",$D$37="")</formula>
    </cfRule>
  </conditionalFormatting>
  <conditionalFormatting sqref="D31:U31">
    <cfRule type="expression" dxfId="175" priority="21">
      <formula>$D$32=""</formula>
    </cfRule>
  </conditionalFormatting>
  <conditionalFormatting sqref="M19:Q19">
    <cfRule type="cellIs" priority="20" operator="equal">
      <formula>"""*E = Escala"""</formula>
    </cfRule>
  </conditionalFormatting>
  <conditionalFormatting sqref="J49">
    <cfRule type="expression" dxfId="174" priority="12">
      <formula>#REF!&lt;&gt;""</formula>
    </cfRule>
  </conditionalFormatting>
  <conditionalFormatting sqref="G90:I90">
    <cfRule type="notContainsBlanks" dxfId="173" priority="8">
      <formula>LEN(TRIM(G90))&gt;0</formula>
    </cfRule>
  </conditionalFormatting>
  <conditionalFormatting sqref="B87">
    <cfRule type="containsBlanks" dxfId="172" priority="4">
      <formula>LEN(TRIM(B87))=0</formula>
    </cfRule>
  </conditionalFormatting>
  <conditionalFormatting sqref="S20:U20">
    <cfRule type="notContainsBlanks" dxfId="171" priority="1">
      <formula>LEN(TRIM(S20))&gt;0</formula>
    </cfRule>
  </conditionalFormatting>
  <conditionalFormatting sqref="M20:R20">
    <cfRule type="notContainsBlanks" dxfId="170" priority="2">
      <formula>LEN(TRIM(M20))&gt;0</formula>
    </cfRule>
  </conditionalFormatting>
  <conditionalFormatting sqref="S20">
    <cfRule type="notContainsBlanks" dxfId="169" priority="3">
      <formula>LEN(TRIM(S20))&gt;0</formula>
    </cfRule>
  </conditionalFormatting>
  <dataValidations disablePrompts="1" xWindow="626" yWindow="497" count="1">
    <dataValidation allowBlank="1" showErrorMessage="1" errorTitle="Erro" error="Selecionar dados já inseridos" promptTitle="Selecionar dados" prompt="Unidade de massa" sqref="I26:L26" xr:uid="{00000000-0002-0000-0300-000000000000}"/>
  </dataValidations>
  <printOptions horizontalCentered="1"/>
  <pageMargins left="0.19685039370078741" right="0.19685039370078741" top="0.51181102362204722" bottom="0.43307086614173229" header="0.31496062992125984" footer="0.15748031496062992"/>
  <pageSetup paperSize="9" scale="93"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9540" r:id="rId5" name="Check Box 1108">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mc:AlternateContent xmlns:mc="http://schemas.openxmlformats.org/markup-compatibility/2006">
          <mc:Choice Requires="x14">
            <control shapeId="19541" r:id="rId6" name="Check Box 1109">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mc:AlternateContent xmlns:mc="http://schemas.openxmlformats.org/markup-compatibility/2006">
          <mc:Choice Requires="x14">
            <control shapeId="19542" r:id="rId7" name="Check Box 1110">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11">
    <tabColor theme="7"/>
  </sheetPr>
  <dimension ref="A1:AR201"/>
  <sheetViews>
    <sheetView showGridLines="0" showRowColHeaders="0" view="pageBreakPreview" topLeftCell="A41" zoomScale="120" zoomScaleNormal="110" zoomScaleSheetLayoutView="120" zoomScalePageLayoutView="120" workbookViewId="0">
      <selection activeCell="E12" sqref="E12:I12"/>
    </sheetView>
  </sheetViews>
  <sheetFormatPr defaultColWidth="9.140625" defaultRowHeight="12.75" x14ac:dyDescent="0.2"/>
  <cols>
    <col min="1" max="1" width="20.7109375" style="100" customWidth="1"/>
    <col min="2" max="3" width="5" style="5" customWidth="1"/>
    <col min="4" max="9" width="5" customWidth="1"/>
    <col min="10" max="11" width="4.7109375" customWidth="1"/>
    <col min="12" max="13" width="5.28515625" customWidth="1"/>
    <col min="14" max="23" width="4.7109375" customWidth="1"/>
    <col min="24" max="26" width="8.140625" style="100" customWidth="1"/>
    <col min="27" max="27" width="2.7109375" style="100" customWidth="1"/>
    <col min="28" max="16383" width="9.140625" style="100"/>
    <col min="16384" max="16384" width="18.140625" style="100" customWidth="1"/>
  </cols>
  <sheetData>
    <row r="1" spans="2:26" ht="15" customHeight="1" x14ac:dyDescent="0.2">
      <c r="B1" s="103"/>
      <c r="C1" s="103"/>
      <c r="D1" s="100"/>
      <c r="E1" s="100"/>
      <c r="F1" s="100"/>
      <c r="G1" s="100"/>
      <c r="H1" s="100"/>
      <c r="I1" s="100"/>
      <c r="J1" s="100"/>
      <c r="K1" s="100"/>
      <c r="L1" s="100"/>
      <c r="M1" s="100"/>
      <c r="N1" s="100"/>
      <c r="O1" s="100"/>
      <c r="P1" s="100"/>
      <c r="Q1" s="100"/>
      <c r="R1" s="100"/>
      <c r="S1" s="100"/>
      <c r="T1" s="100"/>
      <c r="U1" s="100"/>
      <c r="V1" s="100"/>
      <c r="W1" s="100"/>
    </row>
    <row r="2" spans="2:26" ht="17.45" customHeight="1" x14ac:dyDescent="0.2">
      <c r="B2" s="499" t="s">
        <v>340</v>
      </c>
      <c r="C2" s="499"/>
      <c r="D2" s="499"/>
      <c r="E2" s="499"/>
      <c r="F2" s="499"/>
      <c r="G2" s="499"/>
      <c r="H2" s="499"/>
      <c r="I2" s="499"/>
      <c r="J2" s="499"/>
      <c r="K2" s="499"/>
      <c r="L2" s="499"/>
      <c r="M2" s="500" t="s">
        <v>92</v>
      </c>
      <c r="N2" s="500"/>
      <c r="O2" s="500"/>
      <c r="P2" s="500"/>
      <c r="Q2" s="500"/>
      <c r="R2" s="500"/>
      <c r="S2" s="500"/>
      <c r="T2" s="500"/>
      <c r="U2" s="500"/>
      <c r="V2" s="500"/>
      <c r="W2" s="500"/>
      <c r="X2" s="104"/>
      <c r="Y2" s="104"/>
      <c r="Z2" s="104"/>
    </row>
    <row r="3" spans="2:26" ht="17.45" customHeight="1" x14ac:dyDescent="0.2">
      <c r="B3" s="499"/>
      <c r="C3" s="499"/>
      <c r="D3" s="499"/>
      <c r="E3" s="499"/>
      <c r="F3" s="499"/>
      <c r="G3" s="499"/>
      <c r="H3" s="499"/>
      <c r="I3" s="499"/>
      <c r="J3" s="499"/>
      <c r="K3" s="499"/>
      <c r="L3" s="499"/>
      <c r="M3" s="500"/>
      <c r="N3" s="500"/>
      <c r="O3" s="500"/>
      <c r="P3" s="500"/>
      <c r="Q3" s="500"/>
      <c r="R3" s="500"/>
      <c r="S3" s="500"/>
      <c r="T3" s="500"/>
      <c r="U3" s="500"/>
      <c r="V3" s="500"/>
      <c r="W3" s="500"/>
      <c r="X3" s="104"/>
      <c r="Y3" s="104"/>
      <c r="Z3" s="104"/>
    </row>
    <row r="4" spans="2:26" ht="17.45" customHeight="1" x14ac:dyDescent="0.2">
      <c r="B4" s="499"/>
      <c r="C4" s="499"/>
      <c r="D4" s="499"/>
      <c r="E4" s="499"/>
      <c r="F4" s="499"/>
      <c r="G4" s="499"/>
      <c r="H4" s="499"/>
      <c r="I4" s="499"/>
      <c r="J4" s="499"/>
      <c r="K4" s="499"/>
      <c r="L4" s="499"/>
      <c r="M4" s="500"/>
      <c r="N4" s="500"/>
      <c r="O4" s="500"/>
      <c r="P4" s="500"/>
      <c r="Q4" s="500"/>
      <c r="R4" s="500"/>
      <c r="S4" s="500"/>
      <c r="T4" s="500"/>
      <c r="U4" s="500"/>
      <c r="V4" s="500"/>
      <c r="W4" s="500"/>
      <c r="X4" s="104"/>
      <c r="Y4" s="104"/>
      <c r="Z4" s="104"/>
    </row>
    <row r="5" spans="2:26" ht="17.45" customHeight="1" x14ac:dyDescent="0.2">
      <c r="B5" s="499"/>
      <c r="C5" s="499"/>
      <c r="D5" s="499"/>
      <c r="E5" s="499"/>
      <c r="F5" s="499"/>
      <c r="G5" s="499"/>
      <c r="H5" s="499"/>
      <c r="I5" s="499"/>
      <c r="J5" s="499"/>
      <c r="K5" s="499"/>
      <c r="L5" s="499"/>
      <c r="M5" s="500"/>
      <c r="N5" s="500"/>
      <c r="O5" s="500"/>
      <c r="P5" s="500"/>
      <c r="Q5" s="500"/>
      <c r="R5" s="500"/>
      <c r="S5" s="500"/>
      <c r="T5" s="500"/>
      <c r="U5" s="500"/>
      <c r="V5" s="500"/>
      <c r="W5" s="500"/>
      <c r="X5" s="104"/>
      <c r="Y5" s="104"/>
      <c r="Z5" s="104"/>
    </row>
    <row r="6" spans="2:26" ht="17.45" customHeight="1" x14ac:dyDescent="0.2">
      <c r="B6" s="499"/>
      <c r="C6" s="499"/>
      <c r="D6" s="499"/>
      <c r="E6" s="499"/>
      <c r="F6" s="499"/>
      <c r="G6" s="499"/>
      <c r="H6" s="499"/>
      <c r="I6" s="499"/>
      <c r="J6" s="499"/>
      <c r="K6" s="499"/>
      <c r="L6" s="499"/>
      <c r="M6" s="500"/>
      <c r="N6" s="500"/>
      <c r="O6" s="500"/>
      <c r="P6" s="500"/>
      <c r="Q6" s="500"/>
      <c r="R6" s="500"/>
      <c r="S6" s="500"/>
      <c r="T6" s="500"/>
      <c r="U6" s="500"/>
      <c r="V6" s="500"/>
      <c r="W6" s="500"/>
      <c r="X6" s="104"/>
      <c r="Y6" s="104"/>
      <c r="Z6" s="104"/>
    </row>
    <row r="7" spans="2:26" ht="17.45" customHeight="1" x14ac:dyDescent="0.2">
      <c r="B7" s="499"/>
      <c r="C7" s="499"/>
      <c r="D7" s="499"/>
      <c r="E7" s="499"/>
      <c r="F7" s="499"/>
      <c r="G7" s="499"/>
      <c r="H7" s="499"/>
      <c r="I7" s="499"/>
      <c r="J7" s="499"/>
      <c r="K7" s="499"/>
      <c r="L7" s="499"/>
      <c r="M7" s="501" t="str">
        <f>'Sem ajuste'!M7:W7</f>
        <v>N° 74</v>
      </c>
      <c r="N7" s="501"/>
      <c r="O7" s="501"/>
      <c r="P7" s="501"/>
      <c r="Q7" s="501"/>
      <c r="R7" s="501"/>
      <c r="S7" s="501"/>
      <c r="T7" s="501"/>
      <c r="U7" s="501"/>
      <c r="V7" s="501"/>
      <c r="W7" s="501"/>
      <c r="X7" s="137"/>
      <c r="Y7" s="137"/>
      <c r="Z7" s="137"/>
    </row>
    <row r="8" spans="2:26" ht="19.5" customHeight="1" x14ac:dyDescent="0.2">
      <c r="L8" s="506" t="str">
        <f>IF('Entrada de Dados'!U2="","",CONCATENATE("Este certificado cancela e substitui o certificado de número ",'Entrada de Dados'!U2))</f>
        <v/>
      </c>
      <c r="M8" s="506"/>
      <c r="N8" s="506"/>
      <c r="O8" s="506"/>
      <c r="P8" s="506"/>
      <c r="Q8" s="506"/>
      <c r="R8" s="506"/>
      <c r="S8" s="506"/>
      <c r="T8" s="506"/>
      <c r="U8" s="506"/>
      <c r="V8" s="506"/>
      <c r="W8" s="506"/>
    </row>
    <row r="9" spans="2:26" ht="15" customHeight="1" x14ac:dyDescent="0.2">
      <c r="B9" s="502" t="s">
        <v>140</v>
      </c>
      <c r="C9" s="503"/>
      <c r="D9" s="503"/>
      <c r="E9" s="503"/>
      <c r="F9" s="503"/>
      <c r="G9" s="503"/>
      <c r="H9" s="504"/>
      <c r="I9" s="504"/>
      <c r="J9" s="504"/>
      <c r="K9" s="3"/>
      <c r="L9" s="3"/>
      <c r="M9" s="3"/>
      <c r="N9" s="3"/>
      <c r="O9" s="3"/>
      <c r="P9" s="3"/>
      <c r="Q9" s="3"/>
      <c r="R9" s="3"/>
      <c r="S9" s="3"/>
      <c r="T9" s="3"/>
      <c r="U9" s="3"/>
      <c r="V9" s="3"/>
      <c r="W9" s="3"/>
      <c r="X9" s="105"/>
      <c r="Y9" s="105"/>
      <c r="Z9" s="105"/>
    </row>
    <row r="10" spans="2:26" ht="12.75" customHeight="1" x14ac:dyDescent="0.2">
      <c r="B10" s="496" t="s">
        <v>16</v>
      </c>
      <c r="C10" s="496"/>
      <c r="D10" s="496"/>
      <c r="E10" s="497" t="str">
        <f>IF('Entrada de Dados'!E5="","-",IFERROR(INDEX(Clientes!$A$2:$H$1000000,MATCH('Entrada de Dados'!$E$5,Clientes!$B$2:$B$1000000,0),1),"-"))</f>
        <v>ADAIR JOSE MENEGOL</v>
      </c>
      <c r="F10" s="498"/>
      <c r="G10" s="498"/>
      <c r="H10" s="498"/>
      <c r="I10" s="498"/>
      <c r="J10" s="498"/>
      <c r="K10" s="498"/>
      <c r="L10" s="498"/>
      <c r="M10" s="498"/>
      <c r="N10" s="498"/>
      <c r="O10" s="496" t="s">
        <v>104</v>
      </c>
      <c r="P10" s="496"/>
      <c r="Q10" s="3"/>
      <c r="R10" s="505" t="str">
        <f>IF('Entrada de Dados'!E5="","-",IFERROR(INDEX(Clientes!$A$2:$H$1000000,MATCH('Entrada de Dados'!$E$5,Clientes!$B$2:$B$1000000,0),7),"-"))</f>
        <v>953.801.080-91</v>
      </c>
      <c r="S10" s="505"/>
      <c r="T10" s="505"/>
      <c r="U10" s="505"/>
      <c r="V10" s="505"/>
      <c r="W10" s="1"/>
      <c r="X10" s="106"/>
      <c r="Y10" s="106"/>
      <c r="Z10" s="106"/>
    </row>
    <row r="11" spans="2:26" ht="15" customHeight="1" x14ac:dyDescent="0.2">
      <c r="B11" s="496" t="s">
        <v>17</v>
      </c>
      <c r="C11" s="496"/>
      <c r="D11" s="496"/>
      <c r="E11" s="497" t="str">
        <f>IF('Entrada de Dados'!E5="","-",IFERROR(INDEX(Clientes!$A$2:$H$1000000,MATCH('Entrada de Dados'!$E$5,Clientes!$B$2:$B$1000000,0),4),"-"))</f>
        <v>GLEBA IQUE, LOTE RURAL 23, SETOR TENENTE</v>
      </c>
      <c r="F11" s="498"/>
      <c r="G11" s="498"/>
      <c r="H11" s="498"/>
      <c r="I11" s="498"/>
      <c r="J11" s="498"/>
      <c r="K11" s="498"/>
      <c r="L11" s="498"/>
      <c r="M11" s="498"/>
      <c r="N11" s="498"/>
      <c r="O11" s="496" t="s">
        <v>18</v>
      </c>
      <c r="P11" s="496"/>
      <c r="Q11" s="496"/>
      <c r="R11" s="507" t="str">
        <f>IF('Entrada de Dados'!E5="","-",IFERROR(CONCATENATE(INDEX(Clientes!$A$2:$H$1000000,MATCH('Entrada de Dados'!$E$5,Clientes!$B$2:$B$1000000,0),5)," / ",INDEX(Clientes!$A$2:$H$1000000,MATCH('Entrada de Dados'!$E$5,Clientes!$B$2:$B$1000000,0),6)),"-"))</f>
        <v>VILHENA / RO</v>
      </c>
      <c r="S11" s="507"/>
      <c r="T11" s="507"/>
      <c r="U11" s="507"/>
      <c r="V11" s="507"/>
      <c r="W11" s="507"/>
      <c r="X11" s="107"/>
      <c r="Y11" s="107"/>
      <c r="Z11" s="107"/>
    </row>
    <row r="12" spans="2:26" ht="15" customHeight="1" x14ac:dyDescent="0.2">
      <c r="B12" s="496" t="str">
        <f>IF('Entrada de Dados'!$E$5="","Unidade:",IF(INDEX(Clientes!$A$2:$I$1000000,MATCH('Entrada de Dados'!$E$5,Clientes!$B$2:$B$1000000,0),3)="-","","Unidade:"))</f>
        <v>Unidade:</v>
      </c>
      <c r="C12" s="496"/>
      <c r="D12" s="3"/>
      <c r="E12" s="498" t="str">
        <f>IF('Entrada de Dados'!$E$5="","-",IF(INDEX(Clientes!$A$2:$I$1000000,MATCH('Entrada de Dados'!$E$5,Clientes!$B$2:$B$1000000,0),3)="-","",INDEX(Clientes!$A$2:$I$1000000,MATCH('Entrada de Dados'!$E$5,Clientes!$B$2:$B$1000000,0),3)))</f>
        <v>FAZ. RETIRO</v>
      </c>
      <c r="F12" s="498"/>
      <c r="G12" s="498"/>
      <c r="H12" s="498"/>
      <c r="I12" s="498"/>
      <c r="J12" s="1"/>
      <c r="K12" s="1"/>
      <c r="L12" s="1"/>
      <c r="M12" s="1"/>
      <c r="N12" s="1"/>
      <c r="W12" s="1"/>
      <c r="X12" s="106"/>
      <c r="Y12" s="106"/>
      <c r="Z12" s="106"/>
    </row>
    <row r="13" spans="2:26" ht="15" customHeight="1" x14ac:dyDescent="0.2">
      <c r="B13" s="510"/>
      <c r="C13" s="510"/>
      <c r="D13" s="510"/>
      <c r="E13" s="510"/>
      <c r="F13" s="510"/>
      <c r="G13" s="510"/>
      <c r="H13" s="510"/>
      <c r="I13" s="510"/>
      <c r="J13" s="510"/>
      <c r="K13" s="510"/>
      <c r="L13" s="510"/>
      <c r="M13" s="510"/>
      <c r="N13" s="510"/>
      <c r="O13" s="510"/>
      <c r="P13" s="510"/>
      <c r="Q13" s="510"/>
      <c r="R13" s="510"/>
      <c r="S13" s="510"/>
      <c r="T13" s="510"/>
      <c r="U13" s="510"/>
      <c r="V13" s="510"/>
      <c r="W13" s="510"/>
      <c r="X13" s="108"/>
      <c r="Y13" s="108"/>
      <c r="Z13" s="108"/>
    </row>
    <row r="14" spans="2:26" ht="15" customHeight="1" x14ac:dyDescent="0.2">
      <c r="B14" s="502" t="s">
        <v>141</v>
      </c>
      <c r="C14" s="503"/>
      <c r="D14" s="503"/>
      <c r="E14" s="503"/>
      <c r="F14" s="503"/>
      <c r="G14" s="503"/>
      <c r="H14" s="503"/>
      <c r="I14" s="3"/>
      <c r="J14" s="3"/>
      <c r="K14" s="3"/>
      <c r="L14" s="3"/>
      <c r="M14" s="3"/>
      <c r="N14" s="3"/>
      <c r="O14" s="3"/>
      <c r="P14" s="3"/>
      <c r="Q14" s="3"/>
      <c r="R14" s="3"/>
      <c r="S14" s="3"/>
      <c r="T14" s="3"/>
      <c r="U14" s="3"/>
      <c r="V14" s="29"/>
      <c r="W14" s="3"/>
      <c r="X14" s="105"/>
      <c r="Y14" s="105"/>
      <c r="Z14" s="105"/>
    </row>
    <row r="15" spans="2:26" ht="15" customHeight="1" x14ac:dyDescent="0.2">
      <c r="B15" s="496" t="s">
        <v>19</v>
      </c>
      <c r="C15" s="496"/>
      <c r="D15" s="496"/>
      <c r="E15" s="498" t="str">
        <f>IF('Entrada de Dados'!E8="","-",'Entrada de Dados'!E8)</f>
        <v>CIANORTE</v>
      </c>
      <c r="F15" s="498"/>
      <c r="G15" s="498"/>
      <c r="H15" s="498"/>
      <c r="I15" s="498"/>
      <c r="J15" s="498"/>
      <c r="K15" s="498"/>
      <c r="L15" s="498"/>
      <c r="M15" s="496" t="s">
        <v>38</v>
      </c>
      <c r="N15" s="496"/>
      <c r="O15" s="496"/>
      <c r="P15" s="496"/>
      <c r="Q15" s="496"/>
      <c r="R15" s="498" t="str">
        <f>IF('Entrada de Dados'!G13="","-",'Entrada de Dados'!G13)</f>
        <v>Balança</v>
      </c>
      <c r="S15" s="498"/>
      <c r="T15" s="498"/>
      <c r="U15" s="498"/>
      <c r="V15" s="498"/>
      <c r="W15" s="3"/>
      <c r="X15" s="105"/>
      <c r="Y15" s="105"/>
      <c r="Z15" s="105"/>
    </row>
    <row r="16" spans="2:26" ht="15" customHeight="1" x14ac:dyDescent="0.2">
      <c r="B16" s="496" t="s">
        <v>21</v>
      </c>
      <c r="C16" s="496"/>
      <c r="D16" s="496"/>
      <c r="E16" s="498" t="str">
        <f>IF('Entrada de Dados'!E9="","-",'Entrada de Dados'!E9)</f>
        <v>BRO</v>
      </c>
      <c r="F16" s="498"/>
      <c r="G16" s="498"/>
      <c r="H16" s="498"/>
      <c r="I16" s="498"/>
      <c r="J16" s="498"/>
      <c r="K16" s="498"/>
      <c r="L16" s="498"/>
      <c r="M16" s="496" t="s">
        <v>36</v>
      </c>
      <c r="N16" s="496"/>
      <c r="O16" s="496"/>
      <c r="P16" s="496"/>
      <c r="Q16" s="496"/>
      <c r="R16" s="508" t="str">
        <f>IF('Entrada de Dados'!G14="","-",'Entrada de Dados'!G14)</f>
        <v>III</v>
      </c>
      <c r="S16" s="508"/>
      <c r="T16" s="508"/>
      <c r="U16" s="508"/>
      <c r="V16" s="508"/>
      <c r="W16" s="32"/>
      <c r="X16" s="109"/>
      <c r="Y16" s="109"/>
      <c r="Z16" s="109"/>
    </row>
    <row r="17" spans="2:27" ht="15" customHeight="1" x14ac:dyDescent="0.2">
      <c r="B17" s="496" t="s">
        <v>20</v>
      </c>
      <c r="C17" s="496"/>
      <c r="D17" s="496"/>
      <c r="E17" s="498" t="str">
        <f>IF('Entrada de Dados'!E10="","-",'Entrada de Dados'!E10)</f>
        <v>061023</v>
      </c>
      <c r="F17" s="498"/>
      <c r="G17" s="498"/>
      <c r="H17" s="498"/>
      <c r="I17" s="498"/>
      <c r="J17" s="498"/>
      <c r="K17" s="498"/>
      <c r="L17" s="498"/>
      <c r="M17" s="496" t="str">
        <f>IF('Entrada de Dados'!$R$12="","Capacidade:","Capacidade (E1/E2):")</f>
        <v>Capacidade:</v>
      </c>
      <c r="N17" s="509"/>
      <c r="O17" s="509"/>
      <c r="P17" s="509"/>
      <c r="Q17" s="509"/>
      <c r="R17" s="511"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140.000,00 kg</v>
      </c>
      <c r="S17" s="511"/>
      <c r="T17" s="511"/>
      <c r="U17" s="511"/>
      <c r="V17" s="1"/>
      <c r="W17" s="29"/>
      <c r="X17" s="110"/>
      <c r="Y17" s="110"/>
      <c r="Z17" s="110"/>
    </row>
    <row r="18" spans="2:27" ht="15" customHeight="1" x14ac:dyDescent="0.2">
      <c r="B18" s="496" t="s">
        <v>22</v>
      </c>
      <c r="C18" s="496"/>
      <c r="D18" s="496"/>
      <c r="E18" s="498">
        <f>IF('Entrada de Dados'!E11="","-",'Entrada de Dados'!E11)</f>
        <v>61023</v>
      </c>
      <c r="F18" s="498"/>
      <c r="G18" s="498"/>
      <c r="H18" s="498"/>
      <c r="I18" s="498"/>
      <c r="J18" s="498"/>
      <c r="K18" s="498"/>
      <c r="L18" s="498"/>
      <c r="M18" s="496" t="str">
        <f>IF('Entrada de Dados'!$R$12="","Divisão:",IF(AND('Entrada de Dados'!$R$9='Entrada de Dados'!$R$10,'Entrada de Dados'!$R$13='Entrada de Dados'!$R$14),"Divisão (E1/E2):","Divisão 'd' (E1/E2):"))</f>
        <v>Divisão:</v>
      </c>
      <c r="N18" s="509"/>
      <c r="O18" s="509"/>
      <c r="P18" s="509"/>
      <c r="Q18" s="509"/>
      <c r="R18" s="513"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20 kg</v>
      </c>
      <c r="S18" s="513"/>
      <c r="T18" s="513"/>
      <c r="U18" s="513"/>
      <c r="V18" s="1"/>
      <c r="W18" s="35"/>
      <c r="X18" s="111"/>
      <c r="Y18" s="111"/>
      <c r="Z18" s="111"/>
    </row>
    <row r="19" spans="2:27" ht="15" customHeight="1" x14ac:dyDescent="0.2">
      <c r="B19" s="496" t="s">
        <v>93</v>
      </c>
      <c r="C19" s="496"/>
      <c r="D19" s="496"/>
      <c r="E19" s="512" t="str">
        <f>IF('Entrada de Dados'!E12="","-",'Entrada de Dados'!E12)</f>
        <v>FATURAMENTO</v>
      </c>
      <c r="F19" s="512"/>
      <c r="G19" s="512"/>
      <c r="H19" s="512"/>
      <c r="I19" s="512"/>
      <c r="J19" s="512"/>
      <c r="K19" s="512"/>
      <c r="L19" s="512"/>
      <c r="M19" s="496" t="str">
        <f>IF('Entrada de Dados'!$R$12="","",IF(AND('Entrada de Dados'!$R$9='Entrada de Dados'!$R$10,'Entrada de Dados'!$R$13='Entrada de Dados'!$R$14),"","Divisão 'e' (E1/E2):"))</f>
        <v/>
      </c>
      <c r="N19" s="509"/>
      <c r="O19" s="509"/>
      <c r="P19" s="509"/>
      <c r="Q19" s="509"/>
      <c r="R19" s="513" t="str">
        <f>IF('Entrada de Dados'!$R$12="","",IF(AND('Entrada de Dados'!$R$9='Entrada de Dados'!$R$10,'Entrada de Dados'!$R$13='Entrada de Dados'!$R$14),"",CONCATENATE('Entrada de Dados'!$R$10," ",'Entrada de Dados'!$T$10," / ",'Entrada de Dados'!$R$14," ",'Entrada de Dados'!$T$14)))</f>
        <v/>
      </c>
      <c r="S19" s="513"/>
      <c r="T19" s="513"/>
      <c r="U19" s="513"/>
      <c r="V19" s="201"/>
      <c r="W19" s="1"/>
      <c r="X19" s="106"/>
      <c r="Y19" s="106"/>
      <c r="Z19" s="106"/>
    </row>
    <row r="20" spans="2:27" ht="15" customHeight="1" x14ac:dyDescent="0.2">
      <c r="D20" s="3"/>
      <c r="E20" s="512"/>
      <c r="F20" s="512"/>
      <c r="G20" s="512"/>
      <c r="H20" s="512"/>
      <c r="I20" s="512"/>
      <c r="J20" s="512"/>
      <c r="K20" s="512"/>
      <c r="L20" s="512"/>
      <c r="M20" s="496" t="str">
        <f>IF('Entrada de Dados'!E16="","","Periodicidade da calibração*:")</f>
        <v>Periodicidade da calibração*:</v>
      </c>
      <c r="N20" s="496"/>
      <c r="O20" s="496"/>
      <c r="P20" s="496"/>
      <c r="Q20" s="496"/>
      <c r="R20" s="496"/>
      <c r="S20" s="514" t="str">
        <f>IF('Entrada de Dados'!$E$16="","",CONCATENATE('Entrada de Dados'!$E$16," ",'Entrada de Dados'!G$16))</f>
        <v>6 Meses</v>
      </c>
      <c r="T20" s="514"/>
      <c r="U20" s="514"/>
      <c r="W20" s="29"/>
      <c r="X20" s="110"/>
      <c r="Y20" s="110"/>
      <c r="Z20" s="110"/>
      <c r="AA20" s="112"/>
    </row>
    <row r="21" spans="2:27" s="101" customFormat="1" ht="15" customHeight="1" x14ac:dyDescent="0.2">
      <c r="B21" s="502" t="s">
        <v>142</v>
      </c>
      <c r="C21" s="502"/>
      <c r="D21" s="502"/>
      <c r="E21" s="502"/>
      <c r="F21" s="502"/>
      <c r="G21" s="502"/>
      <c r="H21" s="502"/>
      <c r="I21" s="502"/>
      <c r="J21" s="502"/>
      <c r="K21" s="502"/>
      <c r="L21" s="502"/>
      <c r="M21" s="493" t="str">
        <f>IF(M20="","","* Acordada com o cliente")</f>
        <v>* Acordada com o cliente</v>
      </c>
      <c r="N21" s="493"/>
      <c r="O21" s="493"/>
      <c r="P21" s="493"/>
      <c r="Q21" s="493"/>
      <c r="R21" s="493"/>
      <c r="S21" s="97"/>
      <c r="T21" s="97"/>
      <c r="U21" s="97"/>
      <c r="V21" s="97"/>
      <c r="W21" s="97"/>
      <c r="X21" s="114"/>
      <c r="Y21" s="114"/>
      <c r="Z21" s="114"/>
    </row>
    <row r="22" spans="2:27" ht="6.75" customHeight="1" x14ac:dyDescent="0.2">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
      <c r="B23" s="523" t="s">
        <v>94</v>
      </c>
      <c r="C23" s="524"/>
      <c r="D23" s="524"/>
      <c r="E23" s="524"/>
      <c r="F23" s="524"/>
      <c r="G23" s="524"/>
      <c r="H23" s="524"/>
      <c r="I23" s="524"/>
      <c r="J23" s="524"/>
      <c r="K23" s="524"/>
      <c r="L23" s="524"/>
      <c r="M23" s="524"/>
      <c r="N23" s="524"/>
      <c r="O23" s="524"/>
      <c r="P23" s="524"/>
      <c r="Q23" s="524"/>
      <c r="R23" s="524"/>
      <c r="S23" s="524"/>
      <c r="T23" s="524"/>
      <c r="U23" s="524"/>
      <c r="V23" s="524"/>
      <c r="W23" s="525"/>
      <c r="X23" s="115"/>
      <c r="Y23" s="115"/>
      <c r="Z23" s="115"/>
    </row>
    <row r="24" spans="2:27" ht="13.5" customHeight="1" x14ac:dyDescent="0.2">
      <c r="B24" s="311"/>
      <c r="C24" s="527" t="s">
        <v>199</v>
      </c>
      <c r="D24" s="527"/>
      <c r="E24" s="527"/>
      <c r="F24" s="526" t="str">
        <f ca="1">CONCATENATE(IF('Densidade do AR'!G4="-","-",ROUND('Densidade do AR'!G4,1))," %ur")</f>
        <v>49 %ur</v>
      </c>
      <c r="G24" s="526"/>
      <c r="H24" s="312"/>
      <c r="I24" s="313"/>
      <c r="J24" s="528" t="s">
        <v>201</v>
      </c>
      <c r="K24" s="528"/>
      <c r="L24" s="528"/>
      <c r="M24" s="529" t="str">
        <f ca="1">CONCATENATE(IF('Densidade do AR'!G3="-","-",ROUND('Densidade do AR'!G3,1))," hPa")</f>
        <v>1021 hPa</v>
      </c>
      <c r="N24" s="529"/>
      <c r="O24" s="314"/>
      <c r="P24" s="527" t="s">
        <v>200</v>
      </c>
      <c r="Q24" s="527"/>
      <c r="R24" s="527"/>
      <c r="S24" s="527"/>
      <c r="T24" s="526" t="str">
        <f ca="1">CONCATENATE(IF('Densidade do AR'!G5="-","-",ROUND('Densidade do AR'!G5,1))," °C")</f>
        <v>34,1 °C</v>
      </c>
      <c r="U24" s="526"/>
      <c r="V24" s="312"/>
      <c r="W24" s="315"/>
      <c r="X24" s="110"/>
      <c r="Y24" s="110"/>
      <c r="Z24" s="110"/>
    </row>
    <row r="25" spans="2:27" ht="12.75" customHeight="1" x14ac:dyDescent="0.2">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
      <c r="B26" s="515" t="s">
        <v>79</v>
      </c>
      <c r="C26" s="516"/>
      <c r="D26" s="516"/>
      <c r="E26" s="516"/>
      <c r="F26" s="516"/>
      <c r="G26" s="516"/>
      <c r="H26" s="516"/>
      <c r="I26" s="517" t="str">
        <f>IF('Entrada de Dados'!D23="","-",'Entrada de Dados'!D23)</f>
        <v>quilograma (kg)</v>
      </c>
      <c r="J26" s="517"/>
      <c r="K26" s="517"/>
      <c r="L26" s="518"/>
      <c r="M26" s="96"/>
      <c r="N26" s="71"/>
      <c r="O26" s="519" t="s">
        <v>39</v>
      </c>
      <c r="P26" s="520"/>
      <c r="Q26" s="520"/>
      <c r="R26" s="520"/>
      <c r="S26" s="517" t="s">
        <v>166</v>
      </c>
      <c r="T26" s="517"/>
      <c r="U26" s="517"/>
      <c r="V26" s="517"/>
      <c r="W26" s="518"/>
      <c r="X26" s="128"/>
      <c r="Y26" s="128"/>
      <c r="Z26" s="128"/>
    </row>
    <row r="27" spans="2:27" ht="15" customHeight="1" x14ac:dyDescent="0.2">
      <c r="B27" s="510"/>
      <c r="C27" s="510"/>
      <c r="D27" s="510"/>
      <c r="E27" s="510"/>
      <c r="F27" s="510"/>
      <c r="G27" s="510"/>
      <c r="H27" s="510"/>
      <c r="I27" s="510"/>
      <c r="J27" s="510"/>
      <c r="K27" s="510"/>
      <c r="L27" s="510"/>
      <c r="M27" s="510"/>
      <c r="N27" s="510"/>
      <c r="O27" s="510"/>
      <c r="P27" s="510"/>
      <c r="Q27" s="510"/>
      <c r="R27" s="510"/>
      <c r="S27" s="510"/>
      <c r="T27" s="510"/>
      <c r="U27" s="510"/>
      <c r="V27" s="510"/>
      <c r="W27" s="510"/>
      <c r="X27" s="108"/>
      <c r="Y27" s="108"/>
      <c r="Z27" s="108"/>
    </row>
    <row r="28" spans="2:27" ht="15" customHeight="1" x14ac:dyDescent="0.2">
      <c r="B28" s="502" t="s">
        <v>150</v>
      </c>
      <c r="C28" s="502"/>
      <c r="D28" s="502"/>
      <c r="E28" s="502"/>
      <c r="F28" s="502"/>
      <c r="G28" s="502"/>
      <c r="H28" s="502"/>
      <c r="I28" s="502"/>
      <c r="J28" s="502"/>
      <c r="K28" s="502"/>
      <c r="L28" s="502"/>
      <c r="M28" s="502"/>
      <c r="N28" s="502"/>
      <c r="O28" s="502"/>
      <c r="P28" s="502"/>
      <c r="Q28" s="502"/>
      <c r="R28" s="502"/>
      <c r="S28" s="502"/>
      <c r="T28" s="502"/>
      <c r="U28" s="521"/>
      <c r="V28" s="522"/>
      <c r="W28" s="522"/>
      <c r="X28" s="108"/>
      <c r="Y28" s="108"/>
      <c r="Z28" s="108"/>
    </row>
    <row r="29" spans="2:27" ht="6.75" customHeight="1" x14ac:dyDescent="0.2">
      <c r="B29"/>
      <c r="C29"/>
      <c r="X29" s="108"/>
      <c r="Y29" s="108"/>
      <c r="Z29" s="108"/>
    </row>
    <row r="30" spans="2:27" ht="15" customHeight="1" x14ac:dyDescent="0.2">
      <c r="B30"/>
      <c r="C30"/>
      <c r="D30" s="530" t="s">
        <v>151</v>
      </c>
      <c r="E30" s="531"/>
      <c r="F30" s="531"/>
      <c r="G30" s="531"/>
      <c r="H30" s="531" t="s">
        <v>152</v>
      </c>
      <c r="I30" s="531"/>
      <c r="J30" s="531"/>
      <c r="K30" s="532" t="s">
        <v>153</v>
      </c>
      <c r="L30" s="532"/>
      <c r="M30" s="532"/>
      <c r="N30" s="532"/>
      <c r="O30" s="532" t="s">
        <v>89</v>
      </c>
      <c r="P30" s="532"/>
      <c r="Q30" s="532"/>
      <c r="R30" s="532"/>
      <c r="S30" s="532" t="s">
        <v>154</v>
      </c>
      <c r="T30" s="532"/>
      <c r="U30" s="533"/>
      <c r="X30" s="108"/>
      <c r="Y30" s="108"/>
      <c r="Z30" s="108"/>
    </row>
    <row r="31" spans="2:27" ht="24" customHeight="1" x14ac:dyDescent="0.2">
      <c r="B31"/>
      <c r="C31"/>
      <c r="D31" s="534" t="str">
        <f>IF('Entrada de Dados'!U23="","--------",'Entrada de Dados'!U23)</f>
        <v>MC-3186224</v>
      </c>
      <c r="E31" s="535"/>
      <c r="F31" s="535"/>
      <c r="G31" s="539" t="str">
        <f>IF(D31="--------","-----","Termohigrômetro e Barômetro")</f>
        <v>Termohigrômetro e Barômetro</v>
      </c>
      <c r="H31" s="539"/>
      <c r="I31" s="539"/>
      <c r="J31" s="539"/>
      <c r="K31" s="540" t="str">
        <f>IF(D31="--------","-----",INDEX('Dados dos Padrões'!$X$6:$AR$1000000,MATCH('Sem ajuste+Declaração'!D31,'Dados dos Padrões'!$X$6:$X$1000000,0),6))</f>
        <v>2611.08/23</v>
      </c>
      <c r="L31" s="540"/>
      <c r="M31" s="540"/>
      <c r="N31" s="540"/>
      <c r="O31" s="541">
        <f>IF(D31="--------","-----",INDEX('Dados dos Padrões'!$X$6:$AR$1000000,MATCH('Sem ajuste+Declaração'!D31,'Dados dos Padrões'!$X$6:$X$1000000,0),12))</f>
        <v>45535</v>
      </c>
      <c r="P31" s="541"/>
      <c r="Q31" s="541"/>
      <c r="R31" s="541"/>
      <c r="S31" s="535" t="str">
        <f>IF(D31="--------","-----",INDEX('Dados dos Padrões'!$X$6:$AR$1000000,MATCH('Sem ajuste+Declaração'!D31,'Dados dos Padrões'!$X$6:$X$1000000,0),17))</f>
        <v>CAL 0XXX</v>
      </c>
      <c r="T31" s="535"/>
      <c r="U31" s="538"/>
      <c r="X31" s="108"/>
      <c r="Y31" s="108"/>
      <c r="Z31" s="108"/>
    </row>
    <row r="32" spans="2:27" ht="15" customHeight="1" x14ac:dyDescent="0.2">
      <c r="B32"/>
      <c r="C32"/>
      <c r="D32" s="539" t="str">
        <f>IF('Entrada de Dados'!P28="","",'Entrada de Dados'!P28)</f>
        <v>25 x 20kg</v>
      </c>
      <c r="E32" s="539"/>
      <c r="F32" s="539"/>
      <c r="G32" s="539" t="str">
        <f>IF(D32="","","Conjunto de Massa")</f>
        <v>Conjunto de Massa</v>
      </c>
      <c r="H32" s="539"/>
      <c r="I32" s="539"/>
      <c r="J32" s="539"/>
      <c r="K32" s="540" t="str">
        <f>IF(D32="","",INDEX('Dados dos Padrões'!$B$6:$V$1000000,MATCH('Sem ajuste+Declaração'!D32,'Dados dos Padrões'!$B$6:$B$1000000,0),6))</f>
        <v>P-421</v>
      </c>
      <c r="L32" s="540"/>
      <c r="M32" s="540"/>
      <c r="N32" s="540"/>
      <c r="O32" s="541">
        <f>IF(D32="","",INDEX('Dados dos Padrões'!$B$6:$V$1000000,MATCH('Sem ajuste+Declaração'!D32,'Dados dos Padrões'!$B$6:$B$1000000,0),12))</f>
        <v>45417</v>
      </c>
      <c r="P32" s="541"/>
      <c r="Q32" s="541"/>
      <c r="R32" s="541"/>
      <c r="S32" s="656" t="str">
        <f>IF(D32="","",INDEX('Dados dos Padrões'!$B$6:$V$1000000,MATCH('Sem ajuste+Declaração'!D32,'Dados dos Padrões'!$B$6:$B$1000000,0),17))</f>
        <v>CAL 0460</v>
      </c>
      <c r="T32" s="656"/>
      <c r="U32" s="656" t="str">
        <f>IF(D32="","",INDEX('Dados dos Padrões'!$B$6:$V$1000000,MATCH('Sem ajuste+Declaração'!D32,'Dados dos Padrões'!$B$6:$B$1000000,0),17))</f>
        <v>CAL 0460</v>
      </c>
      <c r="V32" s="136"/>
      <c r="W32" s="136"/>
      <c r="X32" s="108"/>
      <c r="Y32" s="108"/>
      <c r="Z32" s="108"/>
    </row>
    <row r="33" spans="1:44" ht="15" customHeight="1" x14ac:dyDescent="0.2">
      <c r="B33"/>
      <c r="C33"/>
      <c r="D33" s="539" t="str">
        <f>IF('Entrada de Dados'!P29="","",'Entrada de Dados'!P29)</f>
        <v>22 x 500kg</v>
      </c>
      <c r="E33" s="539"/>
      <c r="F33" s="539"/>
      <c r="G33" s="539" t="str">
        <f t="shared" ref="G33:G36" si="0">IF(D33="","","Conjunto de Massa")</f>
        <v>Conjunto de Massa</v>
      </c>
      <c r="H33" s="539"/>
      <c r="I33" s="539"/>
      <c r="J33" s="539"/>
      <c r="K33" s="540" t="str">
        <f>IF(D33="","",INDEX('Dados dos Padrões'!$B$6:$V$1000000,MATCH('Sem ajuste+Declaração'!D33,'Dados dos Padrões'!$B$6:$B$1000000,0),6))</f>
        <v>MA-00083</v>
      </c>
      <c r="L33" s="540"/>
      <c r="M33" s="540"/>
      <c r="N33" s="540"/>
      <c r="O33" s="541">
        <f>IF(D33="","",INDEX('Dados dos Padrões'!$B$6:$V$1000000,MATCH('Sem ajuste+Declaração'!D33,'Dados dos Padrões'!$B$6:$B$1000000,0),12))</f>
        <v>45557</v>
      </c>
      <c r="P33" s="541"/>
      <c r="Q33" s="541"/>
      <c r="R33" s="541"/>
      <c r="S33" s="510" t="str">
        <f>IF(D33="","",INDEX('Dados dos Padrões'!$B$6:$V$1000000,MATCH('Sem ajuste+Declaração'!D33,'Dados dos Padrões'!$B$6:$B$1000000,0),17))</f>
        <v>CAL 0268</v>
      </c>
      <c r="T33" s="510"/>
      <c r="U33" s="510" t="str">
        <f>IF(D33="","",INDEX('Dados dos Padrões'!$B$6:$V$1000000,MATCH('Sem ajuste+Declaração'!D33,'Dados dos Padrões'!$B$6:$B$1000000,0),17))</f>
        <v>CAL 0268</v>
      </c>
      <c r="V33" s="136"/>
      <c r="W33" s="136"/>
      <c r="X33" s="108"/>
      <c r="Y33" s="108"/>
      <c r="Z33" s="108"/>
    </row>
    <row r="34" spans="1:44" ht="15" customHeight="1" x14ac:dyDescent="0.2">
      <c r="B34"/>
      <c r="C34"/>
      <c r="D34" s="539" t="str">
        <f>IF('Entrada de Dados'!P30="","",'Entrada de Dados'!P30)</f>
        <v/>
      </c>
      <c r="E34" s="539"/>
      <c r="F34" s="539"/>
      <c r="G34" s="539" t="str">
        <f t="shared" si="0"/>
        <v/>
      </c>
      <c r="H34" s="539"/>
      <c r="I34" s="539"/>
      <c r="J34" s="539"/>
      <c r="K34" s="540" t="str">
        <f>IF(D34="","",INDEX('Dados dos Padrões'!$B$6:$V$1000000,MATCH('Sem ajuste+Declaração'!D34,'Dados dos Padrões'!$B$6:$B$1000000,0),6))</f>
        <v/>
      </c>
      <c r="L34" s="540"/>
      <c r="M34" s="540"/>
      <c r="N34" s="540"/>
      <c r="O34" s="541" t="str">
        <f>IF(D34="","",INDEX('Dados dos Padrões'!$B$6:$V$1000000,MATCH('Sem ajuste+Declaração'!D34,'Dados dos Padrões'!$B$6:$B$1000000,0),12))</f>
        <v/>
      </c>
      <c r="P34" s="541"/>
      <c r="Q34" s="541"/>
      <c r="R34" s="541"/>
      <c r="S34" s="510" t="str">
        <f>IF(D34="","",INDEX('Dados dos Padrões'!$B$6:$V$1000000,MATCH('Sem ajuste+Declaração'!D34,'Dados dos Padrões'!$B$6:$B$1000000,0),17))</f>
        <v/>
      </c>
      <c r="T34" s="510"/>
      <c r="U34" s="510" t="str">
        <f>IF(D34="","",INDEX('Dados dos Padrões'!$B$6:$V$1000000,MATCH('Sem ajuste+Declaração'!D34,'Dados dos Padrões'!$B$6:$B$1000000,0),17))</f>
        <v/>
      </c>
      <c r="V34" s="136"/>
      <c r="W34" s="136"/>
      <c r="X34" s="108"/>
      <c r="Y34" s="108"/>
      <c r="Z34" s="108"/>
    </row>
    <row r="35" spans="1:44" ht="15" customHeight="1" x14ac:dyDescent="0.2">
      <c r="B35"/>
      <c r="C35"/>
      <c r="D35" s="539" t="str">
        <f>IF('Entrada de Dados'!P31="","",'Entrada de Dados'!P31)</f>
        <v/>
      </c>
      <c r="E35" s="539"/>
      <c r="F35" s="539"/>
      <c r="G35" s="539" t="str">
        <f t="shared" si="0"/>
        <v/>
      </c>
      <c r="H35" s="539"/>
      <c r="I35" s="539"/>
      <c r="J35" s="539"/>
      <c r="K35" s="540" t="str">
        <f>IF(D35="","",INDEX('Dados dos Padrões'!$B$6:$V$1000000,MATCH('Sem ajuste+Declaração'!D35,'Dados dos Padrões'!$B$6:$B$1000000,0),6))</f>
        <v/>
      </c>
      <c r="L35" s="540"/>
      <c r="M35" s="540"/>
      <c r="N35" s="540"/>
      <c r="O35" s="541" t="str">
        <f>IF(D35="","",INDEX('Dados dos Padrões'!$B$6:$V$1000000,MATCH('Sem ajuste+Declaração'!D35,'Dados dos Padrões'!$B$6:$B$1000000,0),12))</f>
        <v/>
      </c>
      <c r="P35" s="541"/>
      <c r="Q35" s="541"/>
      <c r="R35" s="541"/>
      <c r="S35" s="539" t="str">
        <f>IF(D35="","",INDEX('Dados dos Padrões'!$B$6:$V$1000000,MATCH('Sem ajuste+Declaração'!D35,'Dados dos Padrões'!$B$6:$B$1000000,0),17))</f>
        <v/>
      </c>
      <c r="T35" s="539"/>
      <c r="U35" s="539" t="str">
        <f>IF(D35="","",INDEX('Dados dos Padrões'!$B$6:$V$1000000,MATCH('Sem ajuste+Declaração'!D35,'Dados dos Padrões'!$B$6:$B$1000000,0),17))</f>
        <v/>
      </c>
      <c r="V35" s="136"/>
      <c r="W35" s="136"/>
      <c r="X35" s="108"/>
      <c r="Y35" s="108"/>
      <c r="Z35" s="108"/>
    </row>
    <row r="36" spans="1:44" ht="15" customHeight="1" x14ac:dyDescent="0.2">
      <c r="B36"/>
      <c r="C36"/>
      <c r="D36" s="539" t="str">
        <f>IF('Entrada de Dados'!P32="","",'Entrada de Dados'!P32)</f>
        <v/>
      </c>
      <c r="E36" s="539"/>
      <c r="F36" s="539"/>
      <c r="G36" s="539" t="str">
        <f t="shared" si="0"/>
        <v/>
      </c>
      <c r="H36" s="539"/>
      <c r="I36" s="539"/>
      <c r="J36" s="539"/>
      <c r="K36" s="540" t="str">
        <f>IF(D36="","",INDEX('Dados dos Padrões'!$B$6:$V$1000000,MATCH('Sem ajuste+Declaração'!D36,'Dados dos Padrões'!$B$6:$B$1000000,0),6))</f>
        <v/>
      </c>
      <c r="L36" s="540"/>
      <c r="M36" s="540"/>
      <c r="N36" s="540"/>
      <c r="O36" s="541" t="str">
        <f>IF(D36="","",INDEX('Dados dos Padrões'!$B$6:$V$1000000,MATCH('Sem ajuste+Declaração'!D36,'Dados dos Padrões'!$B$6:$B$1000000,0),12))</f>
        <v/>
      </c>
      <c r="P36" s="541"/>
      <c r="Q36" s="541"/>
      <c r="R36" s="541"/>
      <c r="S36" s="539" t="str">
        <f>IF(D36="","",INDEX('Dados dos Padrões'!$B$6:$V$1000000,MATCH('Sem ajuste+Declaração'!D36,'Dados dos Padrões'!$B$6:$B$1000000,0),17))</f>
        <v/>
      </c>
      <c r="T36" s="539"/>
      <c r="U36" s="539" t="str">
        <f>IF(D36="","",INDEX('Dados dos Padrões'!$B$6:$V$1000000,MATCH('Sem ajuste+Declaração'!D36,'Dados dos Padrões'!$B$6:$B$1000000,0),17))</f>
        <v/>
      </c>
      <c r="V36" s="136"/>
      <c r="W36" s="136"/>
      <c r="X36" s="108"/>
      <c r="Y36" s="108"/>
      <c r="Z36" s="108"/>
    </row>
    <row r="37" spans="1:44" ht="15" customHeight="1" x14ac:dyDescent="0.2">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x14ac:dyDescent="0.2">
      <c r="B38" s="502" t="s">
        <v>157</v>
      </c>
      <c r="C38" s="502"/>
      <c r="D38" s="502"/>
      <c r="E38" s="502"/>
      <c r="F38" s="502"/>
      <c r="G38" s="502"/>
      <c r="H38" s="502"/>
      <c r="I38" s="502"/>
      <c r="J38" s="502"/>
      <c r="K38" s="502"/>
      <c r="L38" s="502"/>
      <c r="M38" s="502"/>
      <c r="N38" s="502"/>
      <c r="O38" s="502"/>
      <c r="P38" s="502"/>
      <c r="Q38" s="502"/>
      <c r="R38" s="502"/>
      <c r="S38" s="502"/>
      <c r="T38" s="502"/>
      <c r="U38" s="39"/>
      <c r="V38" s="39"/>
      <c r="W38" s="39"/>
    </row>
    <row r="39" spans="1:44" ht="6.95" customHeight="1" x14ac:dyDescent="0.2">
      <c r="B39" s="483"/>
      <c r="C39" s="483"/>
      <c r="D39" s="483"/>
      <c r="E39" s="483"/>
      <c r="F39" s="483"/>
      <c r="G39" s="483"/>
      <c r="H39" s="483"/>
      <c r="I39" s="483"/>
      <c r="J39" s="483"/>
      <c r="K39" s="483"/>
      <c r="L39" s="483"/>
      <c r="M39" s="483"/>
      <c r="N39" s="483"/>
      <c r="O39" s="483"/>
      <c r="P39" s="483"/>
      <c r="Q39" s="483"/>
      <c r="R39" s="483"/>
      <c r="S39" s="483"/>
      <c r="T39" s="483"/>
      <c r="U39" s="483"/>
      <c r="V39" s="483"/>
      <c r="W39" s="483"/>
      <c r="X39" s="116"/>
      <c r="Y39" s="116"/>
      <c r="Z39" s="116"/>
    </row>
    <row r="40" spans="1:44" ht="15.75" customHeight="1" x14ac:dyDescent="0.2">
      <c r="B40" s="556" t="s">
        <v>33</v>
      </c>
      <c r="C40" s="557"/>
      <c r="D40" s="557"/>
      <c r="E40" s="558"/>
      <c r="F40" s="556" t="s">
        <v>241</v>
      </c>
      <c r="G40" s="557"/>
      <c r="H40" s="558"/>
      <c r="I40" s="556" t="s">
        <v>235</v>
      </c>
      <c r="J40" s="557"/>
      <c r="K40" s="558"/>
      <c r="L40" s="556" t="s">
        <v>233</v>
      </c>
      <c r="M40" s="558"/>
      <c r="N40" s="556" t="s">
        <v>158</v>
      </c>
      <c r="O40" s="557"/>
      <c r="P40" s="558"/>
      <c r="Q40" s="556" t="s">
        <v>159</v>
      </c>
      <c r="R40" s="557"/>
      <c r="S40" s="558"/>
      <c r="T40" s="559" t="s">
        <v>160</v>
      </c>
      <c r="U40" s="560"/>
      <c r="V40" s="560"/>
      <c r="W40" s="561"/>
      <c r="X40" s="117"/>
      <c r="Y40" s="117"/>
      <c r="Z40" s="117"/>
    </row>
    <row r="41" spans="1:44" ht="15.75" customHeight="1" x14ac:dyDescent="0.2">
      <c r="B41" s="565" t="s">
        <v>221</v>
      </c>
      <c r="C41" s="566"/>
      <c r="D41" s="543" t="s">
        <v>223</v>
      </c>
      <c r="E41" s="544"/>
      <c r="F41" s="542" t="s">
        <v>161</v>
      </c>
      <c r="G41" s="543"/>
      <c r="H41" s="544"/>
      <c r="I41" s="542" t="s">
        <v>162</v>
      </c>
      <c r="J41" s="543"/>
      <c r="K41" s="544"/>
      <c r="L41" s="542" t="s">
        <v>234</v>
      </c>
      <c r="M41" s="544"/>
      <c r="N41" s="542" t="s">
        <v>98</v>
      </c>
      <c r="O41" s="543"/>
      <c r="P41" s="544"/>
      <c r="Q41" s="542" t="s">
        <v>163</v>
      </c>
      <c r="R41" s="543"/>
      <c r="S41" s="544"/>
      <c r="T41" s="542" t="s">
        <v>164</v>
      </c>
      <c r="U41" s="543"/>
      <c r="V41" s="543"/>
      <c r="W41" s="544"/>
      <c r="X41" s="117"/>
      <c r="Y41" s="117"/>
      <c r="Z41" s="117"/>
    </row>
    <row r="42" spans="1:44" ht="9.75" customHeight="1" thickBot="1" x14ac:dyDescent="0.25">
      <c r="B42" s="565"/>
      <c r="C42" s="566"/>
      <c r="D42" s="543"/>
      <c r="E42" s="544"/>
      <c r="F42" s="542"/>
      <c r="G42" s="543"/>
      <c r="H42" s="544"/>
      <c r="I42" s="542"/>
      <c r="J42" s="543"/>
      <c r="K42" s="544"/>
      <c r="L42" s="542"/>
      <c r="M42" s="544"/>
      <c r="N42" s="542"/>
      <c r="O42" s="543"/>
      <c r="P42" s="544"/>
      <c r="Q42" s="542"/>
      <c r="R42" s="543"/>
      <c r="S42" s="544"/>
      <c r="T42" s="542"/>
      <c r="U42" s="543"/>
      <c r="V42" s="543"/>
      <c r="W42" s="544"/>
      <c r="X42" s="117"/>
      <c r="Y42" s="117"/>
      <c r="Z42" s="117"/>
      <c r="AO42" s="226" t="s">
        <v>244</v>
      </c>
    </row>
    <row r="43" spans="1:44" ht="9.75" customHeight="1" x14ac:dyDescent="0.2">
      <c r="B43" s="562" t="str">
        <f>IF($I$26="micrograma (µg)","(µg)",IF($I$26="miligrama (mg)","(mg)",IF($I$26="grama (g)","(g)",IF($I$26="quilograma (kg)","(kg)",IF($I$26="tonelada (t)","(t)","-")))))</f>
        <v>(kg)</v>
      </c>
      <c r="C43" s="563"/>
      <c r="D43" s="563" t="str">
        <f>IF($I$26="micrograma (µg)","(µg)",IF($I$26="miligrama (mg)","(mg)",IF($I$26="grama (g)","(g)",IF($I$26="quilograma (kg)","(kg)",IF($I$26="tonelada (t)","(t)","-")))))</f>
        <v>(kg)</v>
      </c>
      <c r="E43" s="564"/>
      <c r="F43" s="562" t="str">
        <f>IF($I$26="micrograma (µg)","(µg)",IF($I$26="miligrama (mg)","(mg)",IF($I$26="grama (g)","(g)",IF($I$26="quilograma (kg)","(kg)",IF($I$26="tonelada (t)","(t)","-")))))</f>
        <v>(kg)</v>
      </c>
      <c r="G43" s="563"/>
      <c r="H43" s="564"/>
      <c r="I43" s="562" t="str">
        <f>IF($I$26="micrograma (µg)","(µg)",IF($I$26="miligrama (mg)","(mg)",IF($I$26="grama (g)","(g)",IF($I$26="quilograma (kg)","(kg)",IF($I$26="tonelada (t)","(t)","-")))))</f>
        <v>(kg)</v>
      </c>
      <c r="J43" s="563"/>
      <c r="K43" s="564"/>
      <c r="L43" s="562" t="str">
        <f>IF($I$26="micrograma (µg)","(µg)",IF($I$26="miligrama (mg)","(mg)",IF($I$26="grama (g)","(g)",IF($I$26="quilograma (kg)","(kg)",IF($I$26="tonelada (t)","(t)","-")))))</f>
        <v>(kg)</v>
      </c>
      <c r="M43" s="564"/>
      <c r="N43" s="562" t="str">
        <f>IF($I$26="micrograma (µg)","(µg)",IF($I$26="miligrama (mg)","(mg)",IF($I$26="grama (g)","(g)",IF($I$26="quilograma (kg)","(kg)",IF($I$26="tonelada (t)","(t)","-")))))</f>
        <v>(kg)</v>
      </c>
      <c r="O43" s="563"/>
      <c r="P43" s="564"/>
      <c r="Q43" s="545"/>
      <c r="R43" s="546"/>
      <c r="S43" s="547"/>
      <c r="T43" s="545"/>
      <c r="U43" s="546"/>
      <c r="V43" s="546"/>
      <c r="W43" s="547"/>
      <c r="X43" s="117"/>
      <c r="Y43" s="117"/>
      <c r="Z43" s="117"/>
      <c r="AO43" s="227" t="s">
        <v>245</v>
      </c>
      <c r="AP43" s="228" t="s">
        <v>246</v>
      </c>
      <c r="AQ43" s="228" t="s">
        <v>247</v>
      </c>
      <c r="AR43" s="229" t="s">
        <v>1</v>
      </c>
    </row>
    <row r="44" spans="1:44" ht="14.1" customHeight="1" x14ac:dyDescent="0.2">
      <c r="A44" s="145">
        <v>1</v>
      </c>
      <c r="B44" s="551" t="str">
        <f ca="1">IF('Entrada de Dados'!D29="","-",(FIXED(('Entrada de Dados'!D29),IF(Cálculo!$CT$259&lt;1,LEN(Cálculo!$CT$259)-SEARCH(",",Cálculo!$CT$259),LEN(Cálculo!$CT$259)))))</f>
        <v>400,00</v>
      </c>
      <c r="C44" s="552"/>
      <c r="D44" s="553" t="str">
        <f ca="1">IF(B44="-","-",IF(Cálculo!$BT$5="",IF(T24="-","-",IF(Cálculo!$CT$259&lt;1,FIXED(0,LEN(Cálculo!$CT$259)-SEARCH(",",Cálculo!$CT$259)),FIXED(0,LEN(Cálculo!$CT$259)))),IF(Cálculo!$CP$258="-","-",(IF(Cálculo!$CT$259&lt;1,(FIXED(Cálculo!$CP$258,LEN(Cálculo!$CT$259)-SEARCH(",",Cálculo!$CT$259))),FIXED(Cálculo!$CP$258,LEN(Cálculo!$CT$259)))))))</f>
        <v>400,00</v>
      </c>
      <c r="E44" s="553"/>
      <c r="F44" s="554" t="str">
        <f ca="1">(IF('Entrada de Dados'!F29="","-",IF(Cálculo!$CT$259&lt;1,FIXED('Entrada de Dados'!F29,LEN(Cálculo!$CT$259)-SEARCH(",",Cálculo!$CT$259)),FIXED('Entrada de Dados'!F29,LEN(Cálculo!$CT$259)))))</f>
        <v>400,00</v>
      </c>
      <c r="G44" s="554"/>
      <c r="H44" s="554"/>
      <c r="I44" s="554" t="str">
        <f ca="1">(IF('Entrada de Dados'!H29="","-",IF(Cálculo!$CT$259&lt;1,FIXED(MROUND(AVERAGE('Entrada de Dados'!H29:M29),Cálculo!$CT$259),LEN(Cálculo!$CT$259)-SEARCH(",",Cálculo!$CT$259)),FIXED(MROUND(AVERAGE('Entrada de Dados'!H29:M29),Cálculo!$CT$259),LEN(Cálculo!$CT$259)))))</f>
        <v>400,00</v>
      </c>
      <c r="J44" s="554"/>
      <c r="K44" s="554"/>
      <c r="L44" s="555" t="str">
        <f ca="1">(IF('Entrada de Dados'!H29="","-",CONCATENATE(IF('Entrada de Dados'!H29="","",IF(MROUND(ABS(I44-D44),Cálculo!$CT$259)=0,"",IF((I44-D44)&gt;0,"+","-")))," ",IF(Cálculo!$CT$259&lt;1,FIXED(MROUND(ABS(I44-D44),Cálculo!$CT$259),(LEN(Cálculo!$CT$259)-SEARCH(",",Cálculo!$CT$259))),FIXED(MROUND(ABS(I44-D44),Cálculo!$CT$259),LEN(Cálculo!$CT$259))))))</f>
        <v xml:space="preserve"> 0,00</v>
      </c>
      <c r="M44" s="555"/>
      <c r="N44" s="554" t="str">
        <f ca="1">IF(Cálculo!$CP$269="-","-",CONCATENATE(IF(Cálculo!$CT$259&lt;1,FIXED(MROUND(Cálculo!$CP$269,Cálculo!$CT$259),(LEN(Cálculo!$CT$259)-SEARCH(",",Cálculo!$CT$259))),FIXED(MROUND(Cálculo!$CP$269,Cálculo!$CT$259),(LEN(Cálculo!$CT$259))))))</f>
        <v>20,00</v>
      </c>
      <c r="O44" s="554"/>
      <c r="P44" s="554"/>
      <c r="Q44" s="576">
        <f ca="1">Cálculo!CP268</f>
        <v>2</v>
      </c>
      <c r="R44" s="576"/>
      <c r="S44" s="576"/>
      <c r="T44" s="574" t="str">
        <f ca="1">Cálculo!CP267</f>
        <v>¥</v>
      </c>
      <c r="U44" s="574"/>
      <c r="V44" s="574"/>
      <c r="W44" s="575"/>
      <c r="X44" s="118"/>
      <c r="Y44" s="118"/>
      <c r="Z44" s="118"/>
      <c r="AO44" s="230">
        <f ca="1">IFERROR(VALUE(Cálculo!$CP$258),"")</f>
        <v>400.0001045360745</v>
      </c>
      <c r="AP44" s="231">
        <f ca="1">IFERROR(VALUE(I44),"")</f>
        <v>400</v>
      </c>
      <c r="AQ44" s="231">
        <f ca="1">IFERROR((FIXED(SLOPE((OFFSET($AO$44,,,(5-COUNTBLANK($AO$44:$AO$47)),1)),(OFFSET($AP$44,,,(5-COUNTBLANK($AP$44:$AP$47)),1))),4)*I44)+FIXED(INTERCEPT((OFFSET($AO$44,,,(5-COUNTBLANK($AO$44:$AO$47)),1)),(OFFSET($AP$44,,,(5-COUNTBLANK($AP$44:$AP$47)),1))),4),"")</f>
        <v>399.9991</v>
      </c>
      <c r="AR44" s="232">
        <f ca="1">IFERROR(ABS(AO44-AQ44),"")</f>
        <v>1.0045360745039034E-3</v>
      </c>
    </row>
    <row r="45" spans="1:44" ht="14.1" customHeight="1" x14ac:dyDescent="0.2">
      <c r="A45" s="145">
        <v>2</v>
      </c>
      <c r="B45" s="551" t="str">
        <f ca="1">IF('Entrada de Dados'!D30="","-",(FIXED(('Entrada de Dados'!D30),IF(Cálculo!$DU$259&lt;1,LEN(Cálculo!$DU$259)-SEARCH(",",Cálculo!$DU$259),LEN(Cálculo!$DU$259)))))</f>
        <v>5.000,00</v>
      </c>
      <c r="C45" s="552"/>
      <c r="D45" s="553" t="str">
        <f ca="1">IF(B45="-","-",IF(Cálculo!$BT$5="",IF(T25="-","-",IF(Cálculo!$DU$259&lt;1,FIXED(0,LEN(Cálculo!$DU$259)-SEARCH(",",Cálculo!$DU$259)),FIXED(0,LEN(Cálculo!$DU$259)))),IF(Cálculo!$DQ$258="-","-",(IF(Cálculo!$DU$259&lt;1,(FIXED(Cálculo!$DQ$258,LEN(Cálculo!$DU$259)-SEARCH(",",Cálculo!$DU$259))),FIXED(Cálculo!$DQ$258,LEN(Cálculo!$DU$259)))))))</f>
        <v>5.000,00</v>
      </c>
      <c r="E45" s="553"/>
      <c r="F45" s="553" t="str">
        <f ca="1">(IF('Entrada de Dados'!F30="","-",IF(Cálculo!$DU$259&lt;1,FIXED('Entrada de Dados'!F30,LEN(Cálculo!$DU$259)-SEARCH(",",Cálculo!$DU$259)),FIXED('Entrada de Dados'!F30,LEN(Cálculo!$DU$259)))))</f>
        <v>5.000,00</v>
      </c>
      <c r="G45" s="553"/>
      <c r="H45" s="553"/>
      <c r="I45" s="554" t="str">
        <f ca="1">(IF('Entrada de Dados'!H30="","-",IF(Cálculo!$DU$259&lt;1,FIXED(MROUND(AVERAGE('Entrada de Dados'!H30:M30),Cálculo!$DU$259),LEN(Cálculo!$DU$259)-SEARCH(",",Cálculo!$DU$259)),FIXED(MROUND(AVERAGE('Entrada de Dados'!H30:M30),Cálculo!$DU$259),LEN(Cálculo!$DU$259)))))</f>
        <v>5.000,00</v>
      </c>
      <c r="J45" s="554"/>
      <c r="K45" s="554"/>
      <c r="L45" s="555" t="str">
        <f ca="1">(IF('Entrada de Dados'!H30="","-",CONCATENATE(IF('Entrada de Dados'!H30="","",IF(MROUND(ABS(I45-D45),Cálculo!$DU$259)=0,"",IF((I45-D45)&gt;0,"+","-")))," ",IF(Cálculo!$DU$259&lt;1,FIXED(MROUND(ABS(I45-D45),Cálculo!$DU$259),(LEN(Cálculo!$DU$259)-SEARCH(",",Cálculo!$DU$259))),FIXED(MROUND(ABS(I45-D45),Cálculo!$DU$259),LEN(Cálculo!$DU$259))))))</f>
        <v xml:space="preserve"> 0,00</v>
      </c>
      <c r="M45" s="555"/>
      <c r="N45" s="554" t="str">
        <f ca="1">IF(Cálculo!$DQ$269="-","-",CONCATENATE(IF(Cálculo!$DU$259&lt;1,FIXED(MROUND(Cálculo!$DQ$269,Cálculo!$DU$259),(LEN(Cálculo!$DU$259)-SEARCH(",",Cálculo!$DU$259))),FIXED(MROUND(Cálculo!$DQ$269,Cálculo!$DU$259),(LEN(Cálculo!$DU$259))))))</f>
        <v>20,00</v>
      </c>
      <c r="O45" s="554"/>
      <c r="P45" s="554"/>
      <c r="Q45" s="576">
        <f ca="1">Cálculo!$DQ$268</f>
        <v>2</v>
      </c>
      <c r="R45" s="576"/>
      <c r="S45" s="576"/>
      <c r="T45" s="574" t="str">
        <f ca="1">Cálculo!$DQ$267</f>
        <v>¥</v>
      </c>
      <c r="U45" s="574"/>
      <c r="V45" s="574"/>
      <c r="W45" s="575"/>
      <c r="X45" s="118"/>
      <c r="Y45" s="118"/>
      <c r="Z45" s="118"/>
      <c r="AO45" s="230">
        <f ca="1">IFERROR(VALUE(Cálculo!$DQ$258),"")</f>
        <v>4999.9963066996279</v>
      </c>
      <c r="AP45" s="231">
        <f t="shared" ref="AP45:AP47" ca="1" si="1">IFERROR(VALUE(I45),"")</f>
        <v>5000</v>
      </c>
      <c r="AQ45" s="231">
        <f t="shared" ref="AQ45:AQ47" ca="1" si="2">IFERROR((FIXED(SLOPE((OFFSET($AO$44,,,(5-COUNTBLANK($AO$44:$AO$47)),1)),(OFFSET($AP$44,,,(5-COUNTBLANK($AP$44:$AP$47)),1))),4)*I45)+FIXED(INTERCEPT((OFFSET($AO$44,,,(5-COUNTBLANK($AO$44:$AO$47)),1)),(OFFSET($AP$44,,,(5-COUNTBLANK($AP$44:$AP$47)),1))),4),"")</f>
        <v>4999.9991</v>
      </c>
      <c r="AR45" s="232">
        <f ca="1">IFERROR(ABS(AO45-AQ45),"")</f>
        <v>2.7933003721045679E-3</v>
      </c>
    </row>
    <row r="46" spans="1:44" ht="14.1" customHeight="1" x14ac:dyDescent="0.2">
      <c r="A46" s="145">
        <v>3</v>
      </c>
      <c r="B46" s="551" t="str">
        <f ca="1">IF('Entrada de Dados'!D31="","-",(FIXED(('Entrada de Dados'!D31),IF(Cálculo!$EV$259&lt;1,LEN(Cálculo!$EV$259)-SEARCH(",",Cálculo!$EV$259),LEN(Cálculo!$EV$259)))))</f>
        <v>10.000,00</v>
      </c>
      <c r="C46" s="552"/>
      <c r="D46" s="553" t="str">
        <f ca="1">IF(B46="-","-",IF(Cálculo!$BT$5="",IF(T26="-","-",IF(Cálculo!$EV$259&lt;1,FIXED(0,LEN(Cálculo!$EV$259)-SEARCH(",",Cálculo!$EV$259)),FIXED(0,LEN(Cálculo!$EV$259)))),IF(Cálculo!$ER$258="-","-",(IF(Cálculo!$EV$259&lt;1,(FIXED(Cálculo!$ER$258,LEN(Cálculo!$EV$259)-SEARCH(",",Cálculo!$EV$259))),FIXED(Cálculo!$ER$258,LEN(Cálculo!$EV$259)))))))</f>
        <v>10.000,00</v>
      </c>
      <c r="E46" s="553"/>
      <c r="F46" s="553" t="str">
        <f ca="1">(IF('Entrada de Dados'!F31="","-",IF(Cálculo!$EV$259&lt;1,FIXED('Entrada de Dados'!F31,LEN(Cálculo!$EV$259)-SEARCH(",",Cálculo!$EV$259)),FIXED('Entrada de Dados'!F31,LEN(Cálculo!$EV$259)))))</f>
        <v>10.000,00</v>
      </c>
      <c r="G46" s="553"/>
      <c r="H46" s="553"/>
      <c r="I46" s="554" t="str">
        <f ca="1">(IF('Entrada de Dados'!H31="","-",IF(Cálculo!$EV$259&lt;1,FIXED(MROUND(AVERAGE('Entrada de Dados'!H31:M31),Cálculo!$EV$259),LEN(Cálculo!$EV$259)-SEARCH(",",Cálculo!$EV$259)),FIXED(MROUND(AVERAGE('Entrada de Dados'!H31:M31),Cálculo!$EV$259),LEN(Cálculo!$EV$259)))))</f>
        <v>10.000,00</v>
      </c>
      <c r="J46" s="554"/>
      <c r="K46" s="554"/>
      <c r="L46" s="555" t="str">
        <f ca="1">(IF('Entrada de Dados'!H31="","-",CONCATENATE(IF('Entrada de Dados'!H31="","",IF(MROUND(ABS(I46-D46),Cálculo!$EV$259)=0,"",IF((I46-D46)&gt;0,"+","-")))," ",IF(Cálculo!$EV$259&lt;1,FIXED(MROUND(ABS(I46-D46),Cálculo!$EV$259),(LEN(Cálculo!$EV$259)-SEARCH(",",Cálculo!$EV$259))),FIXED(MROUND(ABS(I46-D46),Cálculo!$EV$259),LEN(Cálculo!$EV$259))))))</f>
        <v xml:space="preserve"> 0,00</v>
      </c>
      <c r="M46" s="555"/>
      <c r="N46" s="554" t="str">
        <f ca="1">IF(Cálculo!$ER$269="-","-",CONCATENATE(IF(Cálculo!$EV$259&lt;1,FIXED(MROUND(Cálculo!$ER$269,Cálculo!$EV$259),(LEN(Cálculo!$EV$259)-SEARCH(",",Cálculo!$EV$259))),FIXED(MROUND(Cálculo!$ER$269,Cálculo!$EV$259),(LEN(Cálculo!$EV$259))))))</f>
        <v>20,00</v>
      </c>
      <c r="O46" s="554"/>
      <c r="P46" s="554"/>
      <c r="Q46" s="576">
        <f ca="1">Cálculo!$ER$268</f>
        <v>2</v>
      </c>
      <c r="R46" s="576"/>
      <c r="S46" s="576"/>
      <c r="T46" s="574" t="str">
        <f ca="1">Cálculo!$ER$267</f>
        <v>¥</v>
      </c>
      <c r="U46" s="574"/>
      <c r="V46" s="574"/>
      <c r="W46" s="575"/>
      <c r="X46" s="118"/>
      <c r="Y46" s="118"/>
      <c r="Z46" s="118"/>
      <c r="AO46" s="230">
        <f ca="1">IFERROR(VALUE(Cálculo!$ER$258),"")</f>
        <v>9999.9976134005647</v>
      </c>
      <c r="AP46" s="231">
        <f t="shared" ca="1" si="1"/>
        <v>10000</v>
      </c>
      <c r="AQ46" s="231">
        <f ca="1">IFERROR((FIXED(SLOPE((OFFSET($AO$44,,,(5-COUNTBLANK($AO$44:$AO$47)),1)),(OFFSET($AP$44,,,(5-COUNTBLANK($AP$44:$AP$47)),1))),4)*I46)+FIXED(INTERCEPT((OFFSET($AO$44,,,(5-COUNTBLANK($AO$44:$AO$47)),1)),(OFFSET($AP$44,,,(5-COUNTBLANK($AP$44:$AP$47)),1))),4),"")</f>
        <v>9999.9991000000009</v>
      </c>
      <c r="AR46" s="232">
        <f t="shared" ref="AR46" ca="1" si="3">IFERROR(ABS(AO46-AQ46),"")</f>
        <v>1.4865994362480706E-3</v>
      </c>
    </row>
    <row r="47" spans="1:44" ht="14.1" customHeight="1" x14ac:dyDescent="0.2">
      <c r="A47" s="145">
        <v>4</v>
      </c>
      <c r="B47" s="578" t="str">
        <f ca="1">IF('Entrada de Dados'!D32="","-",(FIXED(('Entrada de Dados'!D32),IF(Cálculo!$FW$259&lt;1,LEN(Cálculo!$FW$259)-SEARCH(",",Cálculo!$FW$259),LEN(Cálculo!$FW$259)))))</f>
        <v>11.000,00</v>
      </c>
      <c r="C47" s="579"/>
      <c r="D47" s="580" t="str">
        <f ca="1">IF(B47="-","-",IF(Cálculo!$BT$5="",IF(T27="-","-",IF(Cálculo!$FW$259&lt;1,FIXED(0,LEN(Cálculo!$FW$259)-SEARCH(",",Cálculo!$FW$259)),FIXED(0,LEN(Cálculo!$FW$259)))),IF(Cálculo!$FS$258="-","-",(IF(Cálculo!$FW$259&lt;1,(FIXED(Cálculo!$FS$258,LEN(Cálculo!$FW$259)-SEARCH(",",Cálculo!$FW$259))),FIXED(Cálculo!$FS$258,LEN(Cálculo!$FW$259)))))))</f>
        <v>11.000,00</v>
      </c>
      <c r="E47" s="580"/>
      <c r="F47" s="580" t="str">
        <f ca="1">(IF('Entrada de Dados'!F32="","-",IF(Cálculo!$FW$259&lt;1,FIXED('Entrada de Dados'!F32,LEN(Cálculo!$FW$259)-SEARCH(",",Cálculo!$FW$259)),FIXED('Entrada de Dados'!F32,LEN(Cálculo!$FW$259)))))</f>
        <v>11.000,00</v>
      </c>
      <c r="G47" s="580"/>
      <c r="H47" s="580"/>
      <c r="I47" s="581" t="str">
        <f ca="1">(IF('Entrada de Dados'!H32="","-",IF(Cálculo!$FW$259&lt;1,FIXED(MROUND(AVERAGE('Entrada de Dados'!H32:M32),Cálculo!$FW$259),LEN(Cálculo!$FW$259)-SEARCH(",",Cálculo!$FW$259)),FIXED(MROUND(AVERAGE('Entrada de Dados'!H32:M32),Cálculo!$FW$259),LEN(Cálculo!$FW$259)))))</f>
        <v>11.000,00</v>
      </c>
      <c r="J47" s="581"/>
      <c r="K47" s="581"/>
      <c r="L47" s="582" t="str">
        <f ca="1">(IF('Entrada de Dados'!H32="","-",CONCATENATE(IF('Entrada de Dados'!H32="","",IF(MROUND(ABS(I47-D47),Cálculo!$FW$259)=0,"",IF((I47-D47)&gt;0,"+","-")))," ",IF(Cálculo!$FW$259&lt;1,FIXED(MROUND(ABS(I47-D47),Cálculo!$FW$259),(LEN(Cálculo!$FW$259)-SEARCH(",",Cálculo!$FW$259))),FIXED(MROUND(ABS(I47-D47),Cálculo!$FW$259),LEN(Cálculo!$FW$259))))))</f>
        <v xml:space="preserve"> 0,00</v>
      </c>
      <c r="M47" s="582"/>
      <c r="N47" s="581" t="str">
        <f ca="1">IF(Cálculo!$FS$269="-","-",CONCATENATE(IF(Cálculo!$FW$259&lt;1,FIXED(MROUND(Cálculo!$FS$269,Cálculo!$FW$259),(LEN(Cálculo!$FW$259)-SEARCH(",",Cálculo!$FW$259))),FIXED(MROUND(Cálculo!$FS$269,Cálculo!$FW$259),(LEN(Cálculo!$FW$259))))))</f>
        <v>20,00</v>
      </c>
      <c r="O47" s="581"/>
      <c r="P47" s="581"/>
      <c r="Q47" s="548">
        <f ca="1">Cálculo!$FS$268</f>
        <v>2</v>
      </c>
      <c r="R47" s="548"/>
      <c r="S47" s="548"/>
      <c r="T47" s="549" t="str">
        <f ca="1">Cálculo!$FS$267</f>
        <v>¥</v>
      </c>
      <c r="U47" s="549"/>
      <c r="V47" s="549"/>
      <c r="W47" s="550"/>
      <c r="X47" s="118"/>
      <c r="Y47" s="118"/>
      <c r="Z47" s="118"/>
      <c r="AO47" s="230">
        <f ca="1">IFERROR(VALUE(Cálculo!$FS$258),"")</f>
        <v>10999.997874740751</v>
      </c>
      <c r="AP47" s="231">
        <f t="shared" ca="1" si="1"/>
        <v>11000</v>
      </c>
      <c r="AQ47" s="231">
        <f t="shared" ca="1" si="2"/>
        <v>10999.999100000001</v>
      </c>
      <c r="AR47" s="232">
        <f ca="1">IFERROR(ABS(AO47-AQ47),"")</f>
        <v>1.2252592496224679E-3</v>
      </c>
    </row>
    <row r="48" spans="1:44" s="146" customFormat="1" x14ac:dyDescent="0.2">
      <c r="B48" s="650"/>
      <c r="C48" s="650"/>
      <c r="D48" s="650"/>
      <c r="E48" s="650"/>
      <c r="F48" s="650"/>
      <c r="G48" s="650"/>
      <c r="H48" s="650"/>
      <c r="I48" s="650"/>
      <c r="J48" s="650"/>
      <c r="K48" s="650"/>
      <c r="L48" s="650"/>
      <c r="M48" s="650"/>
      <c r="N48" s="650"/>
      <c r="O48" s="650"/>
      <c r="P48" s="650"/>
      <c r="Q48" s="650"/>
      <c r="R48" s="650"/>
      <c r="S48" s="650"/>
      <c r="T48" s="650"/>
      <c r="U48" s="650"/>
      <c r="V48" s="650"/>
      <c r="W48" s="650"/>
      <c r="X48" s="147"/>
      <c r="Y48" s="148"/>
      <c r="Z48" s="148"/>
      <c r="AO48" s="230"/>
      <c r="AP48" s="231"/>
      <c r="AQ48" s="231"/>
      <c r="AR48" s="232"/>
    </row>
    <row r="49" spans="2:44" s="146" customFormat="1" ht="20.25" customHeight="1" x14ac:dyDescent="0.2">
      <c r="B49" s="567" t="s">
        <v>248</v>
      </c>
      <c r="C49" s="568"/>
      <c r="D49" s="568"/>
      <c r="E49" s="568"/>
      <c r="F49" s="568"/>
      <c r="G49" s="568"/>
      <c r="H49" s="568"/>
      <c r="I49" s="568"/>
      <c r="J49" s="569" t="str">
        <f ca="1">'Sem ajuste+Declaração'!J49</f>
        <v>VR= 1,00000x VML - 0,00091</v>
      </c>
      <c r="K49" s="569"/>
      <c r="L49" s="569"/>
      <c r="M49" s="569"/>
      <c r="N49" s="569"/>
      <c r="O49" s="569"/>
      <c r="P49" s="569"/>
      <c r="Q49" s="569"/>
      <c r="R49" s="569"/>
      <c r="S49" s="569"/>
      <c r="T49" s="569"/>
      <c r="U49" s="584" t="str">
        <f ca="1">'Sem ajuste+Declaração'!U49</f>
        <v>ELin = 0,00%</v>
      </c>
      <c r="V49" s="584"/>
      <c r="W49" s="585"/>
      <c r="X49" s="147"/>
      <c r="Y49" s="148"/>
      <c r="Z49" s="148"/>
      <c r="AO49" s="230"/>
      <c r="AP49" s="231"/>
      <c r="AQ49" s="231"/>
      <c r="AR49" s="232"/>
    </row>
    <row r="50" spans="2:44" s="146" customFormat="1" ht="15" customHeight="1" x14ac:dyDescent="0.2">
      <c r="B50" s="241"/>
      <c r="C50" s="241"/>
      <c r="D50" s="241"/>
      <c r="E50" s="241"/>
      <c r="F50" s="241"/>
      <c r="G50" s="241"/>
      <c r="H50" s="241"/>
      <c r="I50" s="241"/>
      <c r="J50" s="241"/>
      <c r="K50" s="241"/>
      <c r="L50" s="241"/>
      <c r="M50" s="241"/>
      <c r="N50" s="241"/>
      <c r="O50" s="241"/>
      <c r="P50" s="241"/>
      <c r="Q50" s="241"/>
      <c r="R50" s="241"/>
      <c r="S50" s="241"/>
      <c r="T50" s="241"/>
      <c r="U50" s="241"/>
      <c r="V50" s="241"/>
      <c r="W50" s="241"/>
      <c r="X50" s="147"/>
      <c r="Y50" s="148"/>
      <c r="Z50" s="148"/>
      <c r="AO50" s="230"/>
      <c r="AP50" s="231"/>
      <c r="AQ50" s="231"/>
      <c r="AR50" s="232"/>
    </row>
    <row r="51" spans="2:44" ht="15" customHeight="1" x14ac:dyDescent="0.2">
      <c r="B51" s="502" t="s">
        <v>198</v>
      </c>
      <c r="C51" s="502"/>
      <c r="D51" s="502"/>
      <c r="E51" s="502"/>
      <c r="F51" s="502"/>
      <c r="G51" s="502"/>
      <c r="H51" s="502"/>
      <c r="I51" s="502"/>
      <c r="J51" s="502"/>
      <c r="K51" s="502"/>
      <c r="L51" s="502"/>
      <c r="M51" s="502"/>
      <c r="N51" s="502"/>
      <c r="O51" s="502"/>
      <c r="P51" s="502"/>
      <c r="Q51" s="502"/>
      <c r="R51" s="502"/>
      <c r="S51" s="502"/>
      <c r="T51" s="502"/>
      <c r="U51" s="132"/>
      <c r="V51" s="132"/>
      <c r="W51" s="132"/>
      <c r="X51" s="133"/>
      <c r="Y51" s="133"/>
      <c r="Z51" s="133"/>
      <c r="AO51" s="233"/>
      <c r="AP51" s="164"/>
      <c r="AQ51" s="234"/>
      <c r="AR51" s="235"/>
    </row>
    <row r="52" spans="2:44" s="101" customFormat="1" ht="6.75" customHeight="1" x14ac:dyDescent="0.2">
      <c r="B52" s="521"/>
      <c r="C52" s="521"/>
      <c r="D52" s="521"/>
      <c r="E52" s="521"/>
      <c r="F52" s="521"/>
      <c r="G52" s="521"/>
      <c r="H52" s="521"/>
      <c r="I52" s="521"/>
      <c r="J52" s="521"/>
      <c r="K52" s="521"/>
      <c r="L52" s="521"/>
      <c r="M52" s="521"/>
      <c r="N52" s="521"/>
      <c r="O52" s="521"/>
      <c r="P52" s="521"/>
      <c r="Q52" s="521"/>
      <c r="R52" s="521"/>
      <c r="S52" s="521"/>
      <c r="T52" s="521"/>
      <c r="U52" s="521"/>
      <c r="V52" s="521"/>
      <c r="W52" s="521"/>
      <c r="X52" s="119"/>
      <c r="Y52" s="119"/>
      <c r="Z52" s="119"/>
      <c r="AO52" s="236"/>
      <c r="AP52" s="165"/>
      <c r="AQ52" s="165"/>
      <c r="AR52" s="237"/>
    </row>
    <row r="53" spans="2:44" s="102" customFormat="1" ht="20.25" customHeight="1" thickBot="1" x14ac:dyDescent="0.25">
      <c r="B53" s="593"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6 meses adotada pelo Cliente.</v>
      </c>
      <c r="C53" s="594"/>
      <c r="D53" s="594"/>
      <c r="E53" s="594"/>
      <c r="F53" s="594"/>
      <c r="G53" s="594"/>
      <c r="H53" s="594"/>
      <c r="I53" s="594"/>
      <c r="J53" s="594"/>
      <c r="K53" s="594"/>
      <c r="L53" s="594"/>
      <c r="M53" s="594"/>
      <c r="N53" s="594"/>
      <c r="O53" s="594"/>
      <c r="P53" s="594"/>
      <c r="Q53" s="594"/>
      <c r="R53" s="594"/>
      <c r="S53" s="594"/>
      <c r="T53" s="594"/>
      <c r="U53" s="594"/>
      <c r="V53" s="594"/>
      <c r="W53" s="595"/>
      <c r="X53" s="134"/>
      <c r="Y53" s="134"/>
      <c r="Z53" s="134"/>
      <c r="AO53" s="238"/>
      <c r="AP53" s="239"/>
      <c r="AQ53" s="239"/>
      <c r="AR53" s="240"/>
    </row>
    <row r="54" spans="2:44" s="102" customFormat="1" ht="20.25" customHeight="1" x14ac:dyDescent="0.2">
      <c r="B54" s="596"/>
      <c r="C54" s="597"/>
      <c r="D54" s="597"/>
      <c r="E54" s="597"/>
      <c r="F54" s="597"/>
      <c r="G54" s="597"/>
      <c r="H54" s="597"/>
      <c r="I54" s="597"/>
      <c r="J54" s="597"/>
      <c r="K54" s="597"/>
      <c r="L54" s="597"/>
      <c r="M54" s="597"/>
      <c r="N54" s="597"/>
      <c r="O54" s="597"/>
      <c r="P54" s="597"/>
      <c r="Q54" s="597"/>
      <c r="R54" s="597"/>
      <c r="S54" s="597"/>
      <c r="T54" s="597"/>
      <c r="U54" s="597"/>
      <c r="V54" s="597"/>
      <c r="W54" s="598"/>
      <c r="X54" s="134"/>
      <c r="Y54" s="134"/>
      <c r="Z54" s="134"/>
    </row>
    <row r="55" spans="2:44" s="102" customFormat="1" ht="20.25" customHeight="1" x14ac:dyDescent="0.2">
      <c r="B55" s="596"/>
      <c r="C55" s="597"/>
      <c r="D55" s="597"/>
      <c r="E55" s="597"/>
      <c r="F55" s="597"/>
      <c r="G55" s="597"/>
      <c r="H55" s="597"/>
      <c r="I55" s="597"/>
      <c r="J55" s="597"/>
      <c r="K55" s="597"/>
      <c r="L55" s="597"/>
      <c r="M55" s="597"/>
      <c r="N55" s="597"/>
      <c r="O55" s="597"/>
      <c r="P55" s="597"/>
      <c r="Q55" s="597"/>
      <c r="R55" s="597"/>
      <c r="S55" s="597"/>
      <c r="T55" s="597"/>
      <c r="U55" s="597"/>
      <c r="V55" s="597"/>
      <c r="W55" s="598"/>
      <c r="X55" s="134"/>
      <c r="Y55" s="134"/>
      <c r="Z55" s="134"/>
    </row>
    <row r="56" spans="2:44" s="102" customFormat="1" ht="20.25" customHeight="1" x14ac:dyDescent="0.2">
      <c r="B56" s="596"/>
      <c r="C56" s="597"/>
      <c r="D56" s="597"/>
      <c r="E56" s="597"/>
      <c r="F56" s="597"/>
      <c r="G56" s="597"/>
      <c r="H56" s="597"/>
      <c r="I56" s="597"/>
      <c r="J56" s="597"/>
      <c r="K56" s="597"/>
      <c r="L56" s="597"/>
      <c r="M56" s="597"/>
      <c r="N56" s="597"/>
      <c r="O56" s="597"/>
      <c r="P56" s="597"/>
      <c r="Q56" s="597"/>
      <c r="R56" s="597"/>
      <c r="S56" s="597"/>
      <c r="T56" s="597"/>
      <c r="U56" s="597"/>
      <c r="V56" s="597"/>
      <c r="W56" s="598"/>
      <c r="X56" s="134"/>
      <c r="Y56" s="134"/>
      <c r="Z56" s="134"/>
    </row>
    <row r="57" spans="2:44" s="102" customFormat="1" ht="20.25" customHeight="1" x14ac:dyDescent="0.2">
      <c r="B57" s="596"/>
      <c r="C57" s="597"/>
      <c r="D57" s="597"/>
      <c r="E57" s="597"/>
      <c r="F57" s="597"/>
      <c r="G57" s="597"/>
      <c r="H57" s="597"/>
      <c r="I57" s="597"/>
      <c r="J57" s="597"/>
      <c r="K57" s="597"/>
      <c r="L57" s="597"/>
      <c r="M57" s="597"/>
      <c r="N57" s="597"/>
      <c r="O57" s="597"/>
      <c r="P57" s="597"/>
      <c r="Q57" s="597"/>
      <c r="R57" s="597"/>
      <c r="S57" s="597"/>
      <c r="T57" s="597"/>
      <c r="U57" s="597"/>
      <c r="V57" s="597"/>
      <c r="W57" s="598"/>
      <c r="X57" s="134"/>
      <c r="Y57" s="134"/>
      <c r="Z57" s="134"/>
    </row>
    <row r="58" spans="2:44" s="102" customFormat="1" ht="20.25" customHeight="1" x14ac:dyDescent="0.2">
      <c r="B58" s="596"/>
      <c r="C58" s="597"/>
      <c r="D58" s="597"/>
      <c r="E58" s="597"/>
      <c r="F58" s="597"/>
      <c r="G58" s="597"/>
      <c r="H58" s="597"/>
      <c r="I58" s="597"/>
      <c r="J58" s="597"/>
      <c r="K58" s="597"/>
      <c r="L58" s="597"/>
      <c r="M58" s="597"/>
      <c r="N58" s="597"/>
      <c r="O58" s="597"/>
      <c r="P58" s="597"/>
      <c r="Q58" s="597"/>
      <c r="R58" s="597"/>
      <c r="S58" s="597"/>
      <c r="T58" s="597"/>
      <c r="U58" s="597"/>
      <c r="V58" s="597"/>
      <c r="W58" s="598"/>
      <c r="X58" s="134"/>
      <c r="Y58" s="134"/>
      <c r="Z58" s="134"/>
    </row>
    <row r="59" spans="2:44" s="102" customFormat="1" ht="20.25" customHeight="1" x14ac:dyDescent="0.2">
      <c r="B59" s="596"/>
      <c r="C59" s="597"/>
      <c r="D59" s="597"/>
      <c r="E59" s="597"/>
      <c r="F59" s="597"/>
      <c r="G59" s="597"/>
      <c r="H59" s="597"/>
      <c r="I59" s="597"/>
      <c r="J59" s="597"/>
      <c r="K59" s="597"/>
      <c r="L59" s="597"/>
      <c r="M59" s="597"/>
      <c r="N59" s="597"/>
      <c r="O59" s="597"/>
      <c r="P59" s="597"/>
      <c r="Q59" s="597"/>
      <c r="R59" s="597"/>
      <c r="S59" s="597"/>
      <c r="T59" s="597"/>
      <c r="U59" s="597"/>
      <c r="V59" s="597"/>
      <c r="W59" s="598"/>
      <c r="X59" s="134"/>
      <c r="Y59" s="134"/>
      <c r="Z59" s="134"/>
    </row>
    <row r="60" spans="2:44" s="102" customFormat="1" ht="20.25" customHeight="1" x14ac:dyDescent="0.2">
      <c r="B60" s="596"/>
      <c r="C60" s="597"/>
      <c r="D60" s="597"/>
      <c r="E60" s="597"/>
      <c r="F60" s="597"/>
      <c r="G60" s="597"/>
      <c r="H60" s="597"/>
      <c r="I60" s="597"/>
      <c r="J60" s="597"/>
      <c r="K60" s="597"/>
      <c r="L60" s="597"/>
      <c r="M60" s="597"/>
      <c r="N60" s="597"/>
      <c r="O60" s="597"/>
      <c r="P60" s="597"/>
      <c r="Q60" s="597"/>
      <c r="R60" s="597"/>
      <c r="S60" s="597"/>
      <c r="T60" s="597"/>
      <c r="U60" s="597"/>
      <c r="V60" s="597"/>
      <c r="W60" s="598"/>
      <c r="X60" s="134"/>
      <c r="Y60" s="134"/>
      <c r="Z60" s="134"/>
    </row>
    <row r="61" spans="2:44" s="102" customFormat="1" ht="20.25" customHeight="1" x14ac:dyDescent="0.2">
      <c r="B61" s="596"/>
      <c r="C61" s="597"/>
      <c r="D61" s="597"/>
      <c r="E61" s="597"/>
      <c r="F61" s="597"/>
      <c r="G61" s="597"/>
      <c r="H61" s="597"/>
      <c r="I61" s="597"/>
      <c r="J61" s="597"/>
      <c r="K61" s="597"/>
      <c r="L61" s="597"/>
      <c r="M61" s="597"/>
      <c r="N61" s="597"/>
      <c r="O61" s="597"/>
      <c r="P61" s="597"/>
      <c r="Q61" s="597"/>
      <c r="R61" s="597"/>
      <c r="S61" s="597"/>
      <c r="T61" s="597"/>
      <c r="U61" s="597"/>
      <c r="V61" s="597"/>
      <c r="W61" s="598"/>
      <c r="X61" s="134"/>
      <c r="Y61" s="134"/>
      <c r="Z61" s="134"/>
    </row>
    <row r="62" spans="2:44" s="102" customFormat="1" ht="20.25" customHeight="1" x14ac:dyDescent="0.2">
      <c r="B62" s="596"/>
      <c r="C62" s="597"/>
      <c r="D62" s="597"/>
      <c r="E62" s="597"/>
      <c r="F62" s="597"/>
      <c r="G62" s="597"/>
      <c r="H62" s="597"/>
      <c r="I62" s="597"/>
      <c r="J62" s="597"/>
      <c r="K62" s="597"/>
      <c r="L62" s="597"/>
      <c r="M62" s="597"/>
      <c r="N62" s="597"/>
      <c r="O62" s="597"/>
      <c r="P62" s="597"/>
      <c r="Q62" s="597"/>
      <c r="R62" s="597"/>
      <c r="S62" s="597"/>
      <c r="T62" s="597"/>
      <c r="U62" s="597"/>
      <c r="V62" s="597"/>
      <c r="W62" s="598"/>
      <c r="X62" s="134"/>
      <c r="Y62" s="134"/>
      <c r="Z62" s="134"/>
    </row>
    <row r="63" spans="2:44" s="102" customFormat="1" ht="20.25" customHeight="1" x14ac:dyDescent="0.2">
      <c r="B63" s="596"/>
      <c r="C63" s="597"/>
      <c r="D63" s="597"/>
      <c r="E63" s="597"/>
      <c r="F63" s="597"/>
      <c r="G63" s="597"/>
      <c r="H63" s="597"/>
      <c r="I63" s="597"/>
      <c r="J63" s="597"/>
      <c r="K63" s="597"/>
      <c r="L63" s="597"/>
      <c r="M63" s="597"/>
      <c r="N63" s="597"/>
      <c r="O63" s="597"/>
      <c r="P63" s="597"/>
      <c r="Q63" s="597"/>
      <c r="R63" s="597"/>
      <c r="S63" s="597"/>
      <c r="T63" s="597"/>
      <c r="U63" s="597"/>
      <c r="V63" s="597"/>
      <c r="W63" s="598"/>
      <c r="X63" s="134"/>
      <c r="Y63" s="134"/>
      <c r="Z63" s="134"/>
    </row>
    <row r="64" spans="2:44" s="102" customFormat="1" ht="20.25" customHeight="1" x14ac:dyDescent="0.2">
      <c r="B64" s="599"/>
      <c r="C64" s="600"/>
      <c r="D64" s="600"/>
      <c r="E64" s="600"/>
      <c r="F64" s="600"/>
      <c r="G64" s="600"/>
      <c r="H64" s="600"/>
      <c r="I64" s="600"/>
      <c r="J64" s="600"/>
      <c r="K64" s="600"/>
      <c r="L64" s="600"/>
      <c r="M64" s="600"/>
      <c r="N64" s="600"/>
      <c r="O64" s="600"/>
      <c r="P64" s="600"/>
      <c r="Q64" s="600"/>
      <c r="R64" s="600"/>
      <c r="S64" s="600"/>
      <c r="T64" s="600"/>
      <c r="U64" s="600"/>
      <c r="V64" s="600"/>
      <c r="W64" s="601"/>
      <c r="X64" s="134"/>
      <c r="Y64" s="134"/>
      <c r="Z64" s="134"/>
    </row>
    <row r="65" spans="2:26" s="102" customFormat="1" ht="15" customHeight="1" x14ac:dyDescent="0.2">
      <c r="B65" s="202"/>
      <c r="C65" s="202"/>
      <c r="D65" s="202"/>
      <c r="E65" s="202"/>
      <c r="F65" s="202"/>
      <c r="G65" s="202"/>
      <c r="H65" s="202"/>
      <c r="I65" s="202"/>
      <c r="J65" s="202"/>
      <c r="K65" s="202"/>
      <c r="L65" s="202"/>
      <c r="M65" s="202"/>
      <c r="N65" s="202"/>
      <c r="O65" s="202"/>
      <c r="P65" s="202"/>
      <c r="Q65" s="202"/>
      <c r="R65" s="202"/>
      <c r="S65" s="202"/>
      <c r="T65" s="202"/>
      <c r="U65" s="202"/>
      <c r="V65" s="202"/>
      <c r="W65" s="202"/>
      <c r="X65" s="134"/>
      <c r="Y65" s="134"/>
      <c r="Z65" s="134"/>
    </row>
    <row r="66" spans="2:26" s="102" customFormat="1" ht="15" customHeight="1" x14ac:dyDescent="0.2">
      <c r="B66" s="502" t="s">
        <v>220</v>
      </c>
      <c r="C66" s="502"/>
      <c r="D66" s="502"/>
      <c r="E66" s="502"/>
      <c r="F66" s="502"/>
      <c r="G66" s="502"/>
      <c r="H66" s="502"/>
      <c r="I66" s="502"/>
      <c r="J66" s="502"/>
      <c r="K66" s="502"/>
      <c r="L66" s="502"/>
      <c r="M66" s="502"/>
      <c r="N66" s="502"/>
      <c r="O66" s="502"/>
      <c r="P66" s="502"/>
      <c r="Q66" s="502"/>
      <c r="R66" s="502"/>
      <c r="S66" s="502"/>
      <c r="T66" s="502"/>
      <c r="U66" s="202"/>
      <c r="V66" s="202"/>
      <c r="W66" s="202"/>
      <c r="X66" s="134"/>
      <c r="Y66" s="134"/>
      <c r="Z66" s="134"/>
    </row>
    <row r="67" spans="2:26" s="102" customFormat="1" ht="6.75" customHeight="1" x14ac:dyDescent="0.2">
      <c r="B67" s="202"/>
      <c r="C67" s="202"/>
      <c r="D67" s="202"/>
      <c r="E67" s="202"/>
      <c r="F67" s="202"/>
      <c r="G67" s="202"/>
      <c r="H67" s="202"/>
      <c r="I67" s="202"/>
      <c r="J67" s="202"/>
      <c r="K67" s="202"/>
      <c r="L67" s="202"/>
      <c r="M67" s="202"/>
      <c r="N67" s="202"/>
      <c r="O67" s="202"/>
      <c r="P67" s="202"/>
      <c r="Q67" s="202"/>
      <c r="R67" s="202"/>
      <c r="S67" s="202"/>
      <c r="T67" s="202"/>
      <c r="U67" s="202"/>
      <c r="V67" s="202"/>
      <c r="W67" s="202"/>
      <c r="X67" s="134"/>
      <c r="Y67" s="134"/>
      <c r="Z67" s="134"/>
    </row>
    <row r="68" spans="2:26" s="102" customFormat="1" ht="12.95" customHeight="1" x14ac:dyDescent="0.2">
      <c r="B68" s="320" t="s">
        <v>236</v>
      </c>
      <c r="C68" s="571" t="s">
        <v>222</v>
      </c>
      <c r="D68" s="572"/>
      <c r="E68" s="572"/>
      <c r="F68" s="572"/>
      <c r="G68" s="572"/>
      <c r="H68" s="572"/>
      <c r="I68" s="572"/>
      <c r="J68" s="572"/>
      <c r="K68" s="572"/>
      <c r="L68" s="572"/>
      <c r="M68" s="572"/>
      <c r="N68" s="572"/>
      <c r="O68" s="572"/>
      <c r="P68" s="572"/>
      <c r="Q68" s="572"/>
      <c r="R68" s="572"/>
      <c r="S68" s="572"/>
      <c r="T68" s="572"/>
      <c r="U68" s="572"/>
      <c r="V68" s="572"/>
      <c r="W68" s="573"/>
      <c r="X68" s="134"/>
      <c r="Y68" s="134"/>
      <c r="Z68" s="134"/>
    </row>
    <row r="69" spans="2:26" s="102" customFormat="1" ht="12.95" customHeight="1" x14ac:dyDescent="0.2">
      <c r="B69" s="321" t="s">
        <v>237</v>
      </c>
      <c r="C69" s="605" t="s">
        <v>224</v>
      </c>
      <c r="D69" s="606"/>
      <c r="E69" s="606"/>
      <c r="F69" s="606"/>
      <c r="G69" s="606"/>
      <c r="H69" s="606"/>
      <c r="I69" s="606"/>
      <c r="J69" s="606"/>
      <c r="K69" s="606"/>
      <c r="L69" s="606"/>
      <c r="M69" s="606"/>
      <c r="N69" s="606"/>
      <c r="O69" s="606"/>
      <c r="P69" s="606"/>
      <c r="Q69" s="606"/>
      <c r="R69" s="606"/>
      <c r="S69" s="606"/>
      <c r="T69" s="606"/>
      <c r="U69" s="606"/>
      <c r="V69" s="606"/>
      <c r="W69" s="607"/>
      <c r="X69" s="134"/>
      <c r="Y69" s="134"/>
      <c r="Z69" s="134"/>
    </row>
    <row r="70" spans="2:26" s="102" customFormat="1" ht="12.95" customHeight="1" x14ac:dyDescent="0.2">
      <c r="B70" s="321" t="s">
        <v>242</v>
      </c>
      <c r="C70" s="605" t="s">
        <v>243</v>
      </c>
      <c r="D70" s="606"/>
      <c r="E70" s="606"/>
      <c r="F70" s="606"/>
      <c r="G70" s="606"/>
      <c r="H70" s="606"/>
      <c r="I70" s="606"/>
      <c r="J70" s="606"/>
      <c r="K70" s="606"/>
      <c r="L70" s="606"/>
      <c r="M70" s="606"/>
      <c r="N70" s="606"/>
      <c r="O70" s="606"/>
      <c r="P70" s="606"/>
      <c r="Q70" s="606"/>
      <c r="R70" s="606"/>
      <c r="S70" s="606"/>
      <c r="T70" s="606"/>
      <c r="U70" s="606"/>
      <c r="V70" s="606"/>
      <c r="W70" s="607"/>
      <c r="X70" s="134"/>
      <c r="Y70" s="134"/>
      <c r="Z70" s="134"/>
    </row>
    <row r="71" spans="2:26" s="102" customFormat="1" ht="12.95" customHeight="1" x14ac:dyDescent="0.2">
      <c r="B71" s="321" t="s">
        <v>238</v>
      </c>
      <c r="C71" s="605" t="s">
        <v>230</v>
      </c>
      <c r="D71" s="606"/>
      <c r="E71" s="606"/>
      <c r="F71" s="606"/>
      <c r="G71" s="606"/>
      <c r="H71" s="606"/>
      <c r="I71" s="606"/>
      <c r="J71" s="606"/>
      <c r="K71" s="606"/>
      <c r="L71" s="606"/>
      <c r="M71" s="606"/>
      <c r="N71" s="606"/>
      <c r="O71" s="606"/>
      <c r="P71" s="606"/>
      <c r="Q71" s="606"/>
      <c r="R71" s="606"/>
      <c r="S71" s="606"/>
      <c r="T71" s="606"/>
      <c r="U71" s="606"/>
      <c r="V71" s="606"/>
      <c r="W71" s="607"/>
      <c r="X71" s="134"/>
      <c r="Y71" s="134"/>
      <c r="Z71" s="134"/>
    </row>
    <row r="72" spans="2:26" s="102" customFormat="1" ht="12.95" customHeight="1" x14ac:dyDescent="0.2">
      <c r="B72" s="321" t="s">
        <v>239</v>
      </c>
      <c r="C72" s="605" t="s">
        <v>225</v>
      </c>
      <c r="D72" s="606"/>
      <c r="E72" s="606"/>
      <c r="F72" s="606"/>
      <c r="G72" s="606"/>
      <c r="H72" s="606"/>
      <c r="I72" s="606"/>
      <c r="J72" s="606"/>
      <c r="K72" s="606"/>
      <c r="L72" s="606"/>
      <c r="M72" s="606"/>
      <c r="N72" s="606"/>
      <c r="O72" s="606"/>
      <c r="P72" s="606"/>
      <c r="Q72" s="606"/>
      <c r="R72" s="606"/>
      <c r="S72" s="606"/>
      <c r="T72" s="606"/>
      <c r="U72" s="606"/>
      <c r="V72" s="606"/>
      <c r="W72" s="607"/>
      <c r="X72" s="134"/>
      <c r="Y72" s="134"/>
      <c r="Z72" s="134"/>
    </row>
    <row r="73" spans="2:26" s="102" customFormat="1" ht="12.95" customHeight="1" x14ac:dyDescent="0.2">
      <c r="B73" s="321" t="s">
        <v>240</v>
      </c>
      <c r="C73" s="605" t="s">
        <v>226</v>
      </c>
      <c r="D73" s="606"/>
      <c r="E73" s="606"/>
      <c r="F73" s="606"/>
      <c r="G73" s="606"/>
      <c r="H73" s="606"/>
      <c r="I73" s="606"/>
      <c r="J73" s="606"/>
      <c r="K73" s="606"/>
      <c r="L73" s="606"/>
      <c r="M73" s="606"/>
      <c r="N73" s="606"/>
      <c r="O73" s="606"/>
      <c r="P73" s="606"/>
      <c r="Q73" s="606"/>
      <c r="R73" s="606"/>
      <c r="S73" s="606"/>
      <c r="T73" s="606"/>
      <c r="U73" s="606"/>
      <c r="V73" s="606"/>
      <c r="W73" s="607"/>
      <c r="X73" s="134"/>
      <c r="Y73" s="134"/>
      <c r="Z73" s="134"/>
    </row>
    <row r="74" spans="2:26" s="102" customFormat="1" ht="12.95" customHeight="1" x14ac:dyDescent="0.2">
      <c r="B74" s="321" t="s">
        <v>179</v>
      </c>
      <c r="C74" s="605" t="s">
        <v>227</v>
      </c>
      <c r="D74" s="606"/>
      <c r="E74" s="606"/>
      <c r="F74" s="606"/>
      <c r="G74" s="606"/>
      <c r="H74" s="606"/>
      <c r="I74" s="606"/>
      <c r="J74" s="606"/>
      <c r="K74" s="606"/>
      <c r="L74" s="606"/>
      <c r="M74" s="606"/>
      <c r="N74" s="606"/>
      <c r="O74" s="606"/>
      <c r="P74" s="606"/>
      <c r="Q74" s="606"/>
      <c r="R74" s="606"/>
      <c r="S74" s="606"/>
      <c r="T74" s="606"/>
      <c r="U74" s="606"/>
      <c r="V74" s="606"/>
      <c r="W74" s="607"/>
      <c r="X74" s="134"/>
      <c r="Y74" s="134"/>
      <c r="Z74" s="134"/>
    </row>
    <row r="75" spans="2:26" s="102" customFormat="1" ht="12.95" customHeight="1" x14ac:dyDescent="0.2">
      <c r="B75" s="321" t="s">
        <v>180</v>
      </c>
      <c r="C75" s="605" t="s">
        <v>228</v>
      </c>
      <c r="D75" s="606"/>
      <c r="E75" s="606"/>
      <c r="F75" s="606"/>
      <c r="G75" s="606"/>
      <c r="H75" s="606"/>
      <c r="I75" s="606"/>
      <c r="J75" s="606"/>
      <c r="K75" s="606"/>
      <c r="L75" s="606"/>
      <c r="M75" s="606"/>
      <c r="N75" s="606"/>
      <c r="O75" s="606"/>
      <c r="P75" s="606"/>
      <c r="Q75" s="606"/>
      <c r="R75" s="606"/>
      <c r="S75" s="606"/>
      <c r="T75" s="606"/>
      <c r="U75" s="606"/>
      <c r="V75" s="606"/>
      <c r="W75" s="607"/>
      <c r="X75" s="134"/>
      <c r="Y75" s="134"/>
      <c r="Z75" s="134"/>
    </row>
    <row r="76" spans="2:26" s="102" customFormat="1" ht="12.95" customHeight="1" x14ac:dyDescent="0.2">
      <c r="B76" s="321" t="s">
        <v>251</v>
      </c>
      <c r="C76" s="605" t="s">
        <v>252</v>
      </c>
      <c r="D76" s="605"/>
      <c r="E76" s="605"/>
      <c r="F76" s="605"/>
      <c r="G76" s="605"/>
      <c r="H76" s="605"/>
      <c r="I76" s="605"/>
      <c r="J76" s="605"/>
      <c r="K76" s="605"/>
      <c r="L76" s="605"/>
      <c r="M76" s="605"/>
      <c r="N76" s="605"/>
      <c r="O76" s="605"/>
      <c r="P76" s="605"/>
      <c r="Q76" s="605"/>
      <c r="R76" s="605"/>
      <c r="S76" s="605"/>
      <c r="T76" s="605"/>
      <c r="U76" s="605"/>
      <c r="V76" s="605"/>
      <c r="W76" s="657"/>
      <c r="X76" s="134"/>
      <c r="Y76" s="134"/>
      <c r="Z76" s="134"/>
    </row>
    <row r="77" spans="2:26" x14ac:dyDescent="0.2">
      <c r="B77" s="203" t="str">
        <f>IF('Entrada de Dados'!$R$12="","","E1/E2")</f>
        <v/>
      </c>
      <c r="C77" s="606" t="str">
        <f>IF('Entrada de Dados'!$R$12="","","- Valores referentes à escala 1 e à escala 2 do instrumento.")</f>
        <v/>
      </c>
      <c r="D77" s="606"/>
      <c r="E77" s="606"/>
      <c r="F77" s="606"/>
      <c r="G77" s="606"/>
      <c r="H77" s="606"/>
      <c r="I77" s="606"/>
      <c r="J77" s="606"/>
      <c r="K77" s="606"/>
      <c r="L77" s="606"/>
      <c r="M77" s="606"/>
      <c r="N77" s="606"/>
      <c r="O77" s="606"/>
      <c r="P77" s="606"/>
      <c r="Q77" s="606"/>
      <c r="R77" s="606"/>
      <c r="S77" s="606"/>
      <c r="T77" s="606"/>
      <c r="U77" s="606"/>
      <c r="V77" s="606"/>
      <c r="W77" s="606"/>
      <c r="X77" s="121"/>
      <c r="Y77" s="121"/>
      <c r="Z77" s="121"/>
    </row>
    <row r="78" spans="2:26" ht="15" customHeight="1" x14ac:dyDescent="0.2">
      <c r="B78" s="203"/>
      <c r="C78" s="210"/>
      <c r="D78" s="210"/>
      <c r="E78" s="210"/>
      <c r="F78" s="210"/>
      <c r="G78" s="210"/>
      <c r="H78" s="210"/>
      <c r="I78" s="210"/>
      <c r="J78" s="210"/>
      <c r="K78" s="210"/>
      <c r="L78" s="210"/>
      <c r="M78" s="210"/>
      <c r="N78" s="210"/>
      <c r="O78" s="210"/>
      <c r="P78" s="210"/>
      <c r="Q78" s="210"/>
      <c r="R78" s="210"/>
      <c r="S78" s="210"/>
      <c r="T78" s="210"/>
      <c r="U78" s="210"/>
      <c r="V78" s="210"/>
      <c r="W78" s="210"/>
      <c r="X78" s="121"/>
      <c r="Y78" s="121"/>
      <c r="Z78" s="121"/>
    </row>
    <row r="79" spans="2:26" x14ac:dyDescent="0.2">
      <c r="B79" s="496" t="s">
        <v>42</v>
      </c>
      <c r="C79" s="496"/>
      <c r="D79" s="496"/>
      <c r="E79" s="496"/>
      <c r="F79" s="496"/>
      <c r="G79" s="602">
        <f>IF('Entrada de Dados'!Q5="","-",'Entrada de Dados'!Q5)</f>
        <v>45295</v>
      </c>
      <c r="H79" s="602"/>
      <c r="I79" s="602"/>
      <c r="J79" s="29"/>
      <c r="K79" s="29"/>
      <c r="L79" s="29"/>
      <c r="M79" s="603" t="str">
        <f>IF('Entrada de Dados'!E16="","DATA EMISSÃO:","PRÓXIMA CALIBRAÇÃO:")</f>
        <v>PRÓXIMA CALIBRAÇÃO:</v>
      </c>
      <c r="N79" s="603"/>
      <c r="O79" s="603"/>
      <c r="P79" s="603"/>
      <c r="Q79" s="603"/>
      <c r="R79" s="603"/>
      <c r="S79" s="603"/>
      <c r="T79" s="3"/>
      <c r="U79" s="604">
        <f>IF('Entrada de Dados'!E16="",IF('Entrada de Dados'!M63="","-",'Entrada de Dados'!M63),IF('Entrada de Dados'!$G$16="Meses",EDATE(G79,'Entrada de Dados'!$E$16),DATE(YEAR(G79)+'Entrada de Dados'!$E$16,MONTH(G79),DAY(G79))))</f>
        <v>45477</v>
      </c>
      <c r="V79" s="602"/>
      <c r="W79" s="602"/>
      <c r="X79" s="122"/>
      <c r="Y79" s="122"/>
      <c r="Z79" s="122"/>
    </row>
    <row r="80" spans="2:26" x14ac:dyDescent="0.2">
      <c r="B80" s="496" t="str">
        <f>IF('Entrada de Dados'!E16="","","DATA EMISSÃO:")</f>
        <v>DATA EMISSÃO:</v>
      </c>
      <c r="C80" s="496"/>
      <c r="D80" s="496"/>
      <c r="E80" s="496"/>
      <c r="F80" s="496"/>
      <c r="G80" s="589">
        <f>IF('Entrada de Dados'!E16="","",IF('Entrada de Dados'!M63="","-",'Entrada de Dados'!M63))</f>
        <v>45296</v>
      </c>
      <c r="H80" s="589"/>
      <c r="I80" s="589"/>
      <c r="J80" s="29"/>
      <c r="K80" s="29"/>
      <c r="L80" s="29"/>
      <c r="M80" s="31"/>
      <c r="N80" s="31"/>
      <c r="O80" s="590" t="str">
        <f>IF(U79="____/____/______","Preenchido pelo cliente","")</f>
        <v/>
      </c>
      <c r="P80" s="590"/>
      <c r="Q80" s="590"/>
      <c r="R80" s="590"/>
      <c r="S80" s="590"/>
      <c r="T80" s="3"/>
      <c r="U80" s="59"/>
      <c r="V80" s="59"/>
      <c r="W80" s="59"/>
      <c r="X80" s="122"/>
      <c r="Y80" s="122"/>
      <c r="Z80" s="122"/>
    </row>
    <row r="81" spans="2:26" ht="12.75" customHeight="1" x14ac:dyDescent="0.2">
      <c r="B81" s="96"/>
      <c r="C81" s="96"/>
      <c r="D81" s="96"/>
      <c r="E81" s="96"/>
      <c r="F81" s="96"/>
      <c r="G81" s="59"/>
      <c r="H81" s="59"/>
      <c r="I81" s="59"/>
      <c r="J81" s="29"/>
      <c r="K81" s="29"/>
      <c r="L81" s="29"/>
      <c r="M81" s="31"/>
      <c r="N81" s="31"/>
      <c r="O81" s="31"/>
      <c r="P81" s="31"/>
      <c r="Q81" s="31"/>
      <c r="R81" s="31"/>
      <c r="S81" s="31"/>
      <c r="T81" s="31"/>
      <c r="U81" s="59"/>
      <c r="V81" s="59"/>
      <c r="W81" s="59"/>
      <c r="X81" s="122"/>
      <c r="Y81" s="122"/>
      <c r="Z81" s="122"/>
    </row>
    <row r="82" spans="2:26" ht="12.75" customHeight="1" x14ac:dyDescent="0.2">
      <c r="B82" s="38"/>
      <c r="C82" s="38"/>
      <c r="D82" s="38"/>
      <c r="E82" s="38"/>
      <c r="F82" s="38"/>
      <c r="G82" s="38"/>
      <c r="H82" s="38"/>
      <c r="I82" s="38"/>
      <c r="J82" s="591" t="s">
        <v>2</v>
      </c>
      <c r="K82" s="532"/>
      <c r="L82" s="532"/>
      <c r="M82" s="532"/>
      <c r="N82" s="532"/>
      <c r="O82" s="533"/>
      <c r="P82" s="29"/>
      <c r="Q82" s="29"/>
      <c r="X82" s="117"/>
      <c r="Y82" s="117"/>
      <c r="Z82" s="117"/>
    </row>
    <row r="83" spans="2:26" ht="21" customHeight="1" x14ac:dyDescent="0.2">
      <c r="B83" s="3"/>
      <c r="C83" s="3"/>
      <c r="D83" s="3"/>
      <c r="E83" s="3"/>
      <c r="F83" s="3"/>
      <c r="G83" s="3"/>
      <c r="H83" s="29"/>
      <c r="I83" s="29"/>
      <c r="J83" s="592"/>
      <c r="K83" s="592"/>
      <c r="L83" s="592"/>
      <c r="M83" s="592"/>
      <c r="N83" s="592"/>
      <c r="O83" s="592"/>
      <c r="P83" s="29"/>
      <c r="Q83" s="29"/>
      <c r="X83" s="103"/>
      <c r="Y83" s="103"/>
      <c r="Z83" s="103"/>
    </row>
    <row r="84" spans="2:26" x14ac:dyDescent="0.2">
      <c r="H84" s="1"/>
      <c r="I84" s="1"/>
      <c r="J84" s="588" t="str">
        <f>IF('Entrada de Dados'!$R$63="","-",'Entrada de Dados'!$R$63)</f>
        <v>Roldão Batista da Silva Filho</v>
      </c>
      <c r="K84" s="588"/>
      <c r="L84" s="588"/>
      <c r="M84" s="588"/>
      <c r="N84" s="588"/>
      <c r="O84" s="588"/>
      <c r="P84" s="29"/>
      <c r="Q84" s="29"/>
      <c r="X84" s="116"/>
      <c r="Y84" s="116"/>
      <c r="Z84" s="116"/>
    </row>
    <row r="85" spans="2:26" x14ac:dyDescent="0.2">
      <c r="B85" s="103"/>
      <c r="C85" s="103"/>
      <c r="D85" s="100"/>
      <c r="E85" s="100"/>
      <c r="F85" s="100"/>
      <c r="G85" s="100"/>
      <c r="H85" s="100"/>
      <c r="I85" s="100"/>
      <c r="J85" s="100"/>
      <c r="K85" s="100"/>
      <c r="L85" s="100"/>
      <c r="M85" s="100"/>
      <c r="N85" s="100"/>
      <c r="O85" s="100"/>
      <c r="P85" s="100"/>
      <c r="Q85" s="100"/>
      <c r="R85" s="100"/>
      <c r="S85" s="100"/>
      <c r="T85" s="100"/>
      <c r="U85" s="100"/>
      <c r="V85" s="100"/>
      <c r="W85" s="100"/>
    </row>
    <row r="86" spans="2:26" x14ac:dyDescent="0.2">
      <c r="B86" s="103"/>
      <c r="C86" s="103"/>
      <c r="D86" s="100"/>
      <c r="E86" s="100"/>
      <c r="F86" s="100"/>
      <c r="G86" s="100"/>
      <c r="H86" s="100"/>
      <c r="I86" s="100"/>
      <c r="J86" s="100"/>
      <c r="K86" s="100"/>
      <c r="L86" s="100"/>
      <c r="M86" s="100"/>
      <c r="N86" s="100"/>
      <c r="O86" s="100"/>
      <c r="P86" s="100"/>
      <c r="Q86" s="100"/>
      <c r="R86" s="100"/>
      <c r="S86" s="100"/>
      <c r="T86" s="100"/>
      <c r="U86" s="100"/>
      <c r="V86" s="100"/>
      <c r="W86" s="100"/>
    </row>
    <row r="87" spans="2:26" x14ac:dyDescent="0.2">
      <c r="B87" s="103"/>
      <c r="C87" s="103"/>
      <c r="D87" s="100"/>
      <c r="E87" s="100"/>
      <c r="F87" s="100"/>
      <c r="G87" s="100"/>
      <c r="H87" s="100"/>
      <c r="I87" s="100"/>
      <c r="J87" s="100"/>
      <c r="K87" s="100"/>
      <c r="L87" s="100"/>
      <c r="M87" s="100"/>
      <c r="N87" s="100"/>
      <c r="O87" s="100"/>
      <c r="P87" s="100"/>
      <c r="Q87" s="100"/>
      <c r="R87" s="100"/>
      <c r="S87" s="100"/>
      <c r="T87" s="100"/>
      <c r="U87" s="100"/>
      <c r="V87" s="100"/>
      <c r="W87" s="100"/>
    </row>
    <row r="88" spans="2:26" x14ac:dyDescent="0.2">
      <c r="B88" s="103"/>
      <c r="C88" s="103"/>
      <c r="D88" s="100"/>
      <c r="E88" s="100"/>
      <c r="F88" s="100"/>
      <c r="G88" s="100"/>
      <c r="H88" s="100"/>
      <c r="I88" s="100"/>
      <c r="J88" s="100"/>
      <c r="K88" s="100"/>
      <c r="L88" s="100"/>
      <c r="M88" s="100"/>
      <c r="N88" s="100"/>
      <c r="O88" s="100"/>
      <c r="P88" s="100"/>
      <c r="Q88" s="100"/>
      <c r="R88" s="100"/>
      <c r="S88" s="100"/>
      <c r="T88" s="100"/>
      <c r="U88" s="100"/>
      <c r="V88" s="100"/>
      <c r="W88" s="100"/>
    </row>
    <row r="89" spans="2:26" x14ac:dyDescent="0.2">
      <c r="B89" s="103"/>
      <c r="C89" s="103"/>
      <c r="D89" s="100"/>
      <c r="E89" s="100"/>
      <c r="F89" s="100"/>
      <c r="G89" s="100"/>
      <c r="H89" s="100"/>
      <c r="I89" s="100"/>
      <c r="J89" s="100"/>
      <c r="K89" s="100"/>
      <c r="L89" s="100"/>
      <c r="M89" s="100"/>
      <c r="N89" s="100"/>
      <c r="O89" s="100"/>
      <c r="P89" s="100"/>
      <c r="Q89" s="100"/>
      <c r="R89" s="100"/>
      <c r="S89" s="100"/>
      <c r="T89" s="100"/>
      <c r="U89" s="100"/>
      <c r="V89" s="100"/>
      <c r="W89" s="100"/>
    </row>
    <row r="90" spans="2:26" x14ac:dyDescent="0.2">
      <c r="B90" s="103"/>
      <c r="C90" s="103"/>
      <c r="D90" s="100"/>
      <c r="E90" s="100"/>
      <c r="F90" s="100"/>
      <c r="G90" s="100"/>
      <c r="H90" s="100"/>
      <c r="I90" s="100"/>
      <c r="J90" s="100"/>
      <c r="K90" s="100"/>
      <c r="L90" s="100"/>
      <c r="M90" s="100"/>
      <c r="N90" s="100"/>
      <c r="O90" s="100"/>
      <c r="P90" s="100"/>
      <c r="Q90" s="100"/>
      <c r="R90" s="100"/>
      <c r="S90" s="100"/>
      <c r="T90" s="100"/>
      <c r="U90" s="100"/>
      <c r="V90" s="100"/>
      <c r="W90" s="100"/>
    </row>
    <row r="91" spans="2:26" x14ac:dyDescent="0.2">
      <c r="B91" s="103"/>
      <c r="C91" s="103"/>
      <c r="D91" s="100"/>
      <c r="E91" s="100"/>
      <c r="F91" s="100"/>
      <c r="G91" s="100"/>
      <c r="H91" s="100"/>
      <c r="I91" s="100"/>
      <c r="J91" s="100"/>
      <c r="K91" s="100"/>
      <c r="L91" s="100"/>
      <c r="M91" s="100"/>
      <c r="N91" s="100"/>
      <c r="O91" s="100"/>
      <c r="P91" s="100"/>
      <c r="Q91" s="100"/>
      <c r="R91" s="100"/>
      <c r="S91" s="100"/>
      <c r="T91" s="100"/>
      <c r="U91" s="100"/>
      <c r="V91" s="100"/>
      <c r="W91" s="100"/>
    </row>
    <row r="92" spans="2:26" x14ac:dyDescent="0.2">
      <c r="B92" s="103"/>
      <c r="C92" s="103"/>
      <c r="D92" s="100"/>
      <c r="E92" s="100"/>
      <c r="F92" s="100"/>
      <c r="G92" s="100"/>
      <c r="H92" s="100"/>
      <c r="I92" s="100"/>
      <c r="J92" s="100"/>
      <c r="K92" s="100"/>
      <c r="L92" s="100"/>
      <c r="M92" s="100"/>
      <c r="N92" s="100"/>
      <c r="O92" s="100"/>
      <c r="P92" s="100"/>
      <c r="Q92" s="100"/>
      <c r="R92" s="100"/>
      <c r="S92" s="100"/>
      <c r="T92" s="100"/>
      <c r="U92" s="100"/>
      <c r="V92" s="100"/>
      <c r="W92" s="100"/>
    </row>
    <row r="93" spans="2:26" x14ac:dyDescent="0.2">
      <c r="B93" s="103"/>
      <c r="C93" s="103"/>
      <c r="D93" s="100"/>
      <c r="E93" s="100"/>
      <c r="F93" s="100"/>
      <c r="G93" s="100"/>
      <c r="H93" s="100"/>
      <c r="I93" s="100"/>
      <c r="J93" s="100"/>
      <c r="K93" s="100"/>
      <c r="L93" s="100"/>
      <c r="M93" s="100"/>
      <c r="N93" s="100"/>
      <c r="O93" s="100"/>
      <c r="P93" s="100"/>
      <c r="Q93" s="100"/>
      <c r="R93" s="100"/>
      <c r="S93" s="100"/>
      <c r="T93" s="100"/>
      <c r="U93" s="100"/>
      <c r="V93" s="100"/>
      <c r="W93" s="100"/>
    </row>
    <row r="94" spans="2:26" x14ac:dyDescent="0.2">
      <c r="B94" s="103"/>
      <c r="C94" s="103"/>
      <c r="D94" s="100"/>
      <c r="E94" s="100"/>
      <c r="F94" s="100"/>
      <c r="G94" s="100"/>
      <c r="H94" s="100"/>
      <c r="I94" s="100"/>
      <c r="J94" s="100"/>
      <c r="K94" s="100"/>
      <c r="L94" s="100"/>
      <c r="M94" s="100"/>
      <c r="N94" s="100"/>
      <c r="O94" s="100"/>
      <c r="P94" s="100"/>
      <c r="Q94" s="100"/>
      <c r="R94" s="100"/>
      <c r="S94" s="100"/>
      <c r="T94" s="100"/>
      <c r="U94" s="100"/>
      <c r="V94" s="100"/>
      <c r="W94" s="100"/>
    </row>
    <row r="95" spans="2:26" x14ac:dyDescent="0.2">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x14ac:dyDescent="0.2">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
      <c r="B200" s="103"/>
      <c r="C200" s="103"/>
      <c r="D200" s="100"/>
      <c r="E200" s="100"/>
      <c r="F200" s="100"/>
      <c r="G200" s="100"/>
      <c r="H200" s="100"/>
      <c r="I200" s="100"/>
      <c r="J200" s="100"/>
      <c r="K200" s="100"/>
      <c r="L200" s="100"/>
      <c r="M200" s="100"/>
      <c r="N200" s="100"/>
      <c r="O200" s="100"/>
      <c r="P200" s="100"/>
      <c r="Q200" s="100"/>
      <c r="R200" s="100"/>
      <c r="S200" s="100"/>
      <c r="T200" s="100"/>
      <c r="U200" s="100"/>
      <c r="V200" s="100"/>
      <c r="W200" s="100"/>
    </row>
    <row r="201" spans="2:23" x14ac:dyDescent="0.2">
      <c r="H201" s="100"/>
      <c r="I201" s="100"/>
      <c r="J201" s="100"/>
      <c r="K201" s="100"/>
      <c r="L201" s="100"/>
      <c r="M201" s="100"/>
      <c r="N201" s="100"/>
      <c r="O201" s="100"/>
      <c r="P201" s="100"/>
      <c r="Q201" s="100"/>
      <c r="R201" s="100"/>
      <c r="S201" s="100"/>
      <c r="T201" s="100"/>
      <c r="U201" s="100"/>
      <c r="V201" s="100"/>
      <c r="W201" s="100"/>
    </row>
  </sheetData>
  <sheetProtection formatCells="0" formatRows="0" insertRows="0" selectLockedCells="1" autoFilter="0"/>
  <dataConsolidate/>
  <mergeCells count="174">
    <mergeCell ref="J84:O84"/>
    <mergeCell ref="B80:F80"/>
    <mergeCell ref="G80:I80"/>
    <mergeCell ref="O80:S80"/>
    <mergeCell ref="J82:O82"/>
    <mergeCell ref="J83:O83"/>
    <mergeCell ref="B52:W52"/>
    <mergeCell ref="B53:W64"/>
    <mergeCell ref="B79:F79"/>
    <mergeCell ref="G79:I79"/>
    <mergeCell ref="M79:S79"/>
    <mergeCell ref="U79:W79"/>
    <mergeCell ref="B66:T66"/>
    <mergeCell ref="C68:W68"/>
    <mergeCell ref="C69:W69"/>
    <mergeCell ref="C70:W70"/>
    <mergeCell ref="C71:W71"/>
    <mergeCell ref="C72:W72"/>
    <mergeCell ref="C73:W73"/>
    <mergeCell ref="C74:W74"/>
    <mergeCell ref="C75:W75"/>
    <mergeCell ref="C77:W77"/>
    <mergeCell ref="C76:W76"/>
    <mergeCell ref="B51:T51"/>
    <mergeCell ref="B48:W48"/>
    <mergeCell ref="Q46:S46"/>
    <mergeCell ref="T46:W46"/>
    <mergeCell ref="B47:C47"/>
    <mergeCell ref="D47:E47"/>
    <mergeCell ref="F47:H47"/>
    <mergeCell ref="I47:K47"/>
    <mergeCell ref="L47:M47"/>
    <mergeCell ref="N47:P47"/>
    <mergeCell ref="Q47:S47"/>
    <mergeCell ref="T47:W47"/>
    <mergeCell ref="B46:C46"/>
    <mergeCell ref="D46:E46"/>
    <mergeCell ref="F46:H46"/>
    <mergeCell ref="I46:K46"/>
    <mergeCell ref="L46:M46"/>
    <mergeCell ref="N46:P46"/>
    <mergeCell ref="B49:I49"/>
    <mergeCell ref="J49:T49"/>
    <mergeCell ref="U49:W49"/>
    <mergeCell ref="Q44:S44"/>
    <mergeCell ref="T44:W44"/>
    <mergeCell ref="B45:C45"/>
    <mergeCell ref="D45:E45"/>
    <mergeCell ref="F45:H45"/>
    <mergeCell ref="I45:K45"/>
    <mergeCell ref="L45:M45"/>
    <mergeCell ref="N45:P45"/>
    <mergeCell ref="Q45:S45"/>
    <mergeCell ref="T45:W45"/>
    <mergeCell ref="B44:C44"/>
    <mergeCell ref="D44:E44"/>
    <mergeCell ref="F44:H44"/>
    <mergeCell ref="I44:K44"/>
    <mergeCell ref="L44:M44"/>
    <mergeCell ref="N44:P44"/>
    <mergeCell ref="Q41:S43"/>
    <mergeCell ref="T41:W43"/>
    <mergeCell ref="B43:C43"/>
    <mergeCell ref="D43:E43"/>
    <mergeCell ref="F43:H43"/>
    <mergeCell ref="I43:K43"/>
    <mergeCell ref="L43:M43"/>
    <mergeCell ref="N43:P43"/>
    <mergeCell ref="B41:C42"/>
    <mergeCell ref="D41:E42"/>
    <mergeCell ref="F41:H42"/>
    <mergeCell ref="I41:K42"/>
    <mergeCell ref="L41:M42"/>
    <mergeCell ref="N41:P42"/>
    <mergeCell ref="S35:U35"/>
    <mergeCell ref="B39:W39"/>
    <mergeCell ref="B40:E40"/>
    <mergeCell ref="F40:H40"/>
    <mergeCell ref="I40:K40"/>
    <mergeCell ref="L40:M40"/>
    <mergeCell ref="N40:P40"/>
    <mergeCell ref="Q40:S40"/>
    <mergeCell ref="T40:W40"/>
    <mergeCell ref="B38:T38"/>
    <mergeCell ref="D30:G30"/>
    <mergeCell ref="H30:J30"/>
    <mergeCell ref="K30:N30"/>
    <mergeCell ref="O30:R30"/>
    <mergeCell ref="S30:U30"/>
    <mergeCell ref="D31:F31"/>
    <mergeCell ref="G31:J31"/>
    <mergeCell ref="K31:N31"/>
    <mergeCell ref="O31:R31"/>
    <mergeCell ref="S31:U31"/>
    <mergeCell ref="B26:H26"/>
    <mergeCell ref="I26:L26"/>
    <mergeCell ref="O26:R26"/>
    <mergeCell ref="S26:W26"/>
    <mergeCell ref="B27:W27"/>
    <mergeCell ref="B28:T28"/>
    <mergeCell ref="U28:W28"/>
    <mergeCell ref="B21:L21"/>
    <mergeCell ref="B23:W23"/>
    <mergeCell ref="F24:G24"/>
    <mergeCell ref="P24:S24"/>
    <mergeCell ref="T24:U24"/>
    <mergeCell ref="C24:E24"/>
    <mergeCell ref="J24:L24"/>
    <mergeCell ref="M24:N24"/>
    <mergeCell ref="M21:R21"/>
    <mergeCell ref="B18:D18"/>
    <mergeCell ref="E18:L18"/>
    <mergeCell ref="M18:Q18"/>
    <mergeCell ref="B19:D19"/>
    <mergeCell ref="E19:L20"/>
    <mergeCell ref="M20:R20"/>
    <mergeCell ref="R18:U18"/>
    <mergeCell ref="M19:Q19"/>
    <mergeCell ref="R19:U19"/>
    <mergeCell ref="S20:U20"/>
    <mergeCell ref="B12:C12"/>
    <mergeCell ref="E12:I12"/>
    <mergeCell ref="B16:D16"/>
    <mergeCell ref="E16:L16"/>
    <mergeCell ref="M16:Q16"/>
    <mergeCell ref="R16:V16"/>
    <mergeCell ref="B17:D17"/>
    <mergeCell ref="E17:L17"/>
    <mergeCell ref="M17:Q17"/>
    <mergeCell ref="B13:W13"/>
    <mergeCell ref="B14:H14"/>
    <mergeCell ref="B15:D15"/>
    <mergeCell ref="E15:L15"/>
    <mergeCell ref="M15:Q15"/>
    <mergeCell ref="R15:V15"/>
    <mergeCell ref="R17:U17"/>
    <mergeCell ref="B11:D11"/>
    <mergeCell ref="E11:N11"/>
    <mergeCell ref="B2:L7"/>
    <mergeCell ref="M2:W6"/>
    <mergeCell ref="M7:W7"/>
    <mergeCell ref="B9:G9"/>
    <mergeCell ref="H9:J9"/>
    <mergeCell ref="B10:D10"/>
    <mergeCell ref="E10:N10"/>
    <mergeCell ref="O10:P10"/>
    <mergeCell ref="R10:V10"/>
    <mergeCell ref="L8:W8"/>
    <mergeCell ref="O11:Q11"/>
    <mergeCell ref="R11:W11"/>
    <mergeCell ref="S32:U32"/>
    <mergeCell ref="S36:U36"/>
    <mergeCell ref="O36:R36"/>
    <mergeCell ref="K36:N36"/>
    <mergeCell ref="G36:J36"/>
    <mergeCell ref="D36:F36"/>
    <mergeCell ref="S33:U33"/>
    <mergeCell ref="O33:R33"/>
    <mergeCell ref="K33:N33"/>
    <mergeCell ref="G33:J33"/>
    <mergeCell ref="D33:F33"/>
    <mergeCell ref="D32:F32"/>
    <mergeCell ref="G32:J32"/>
    <mergeCell ref="K32:N32"/>
    <mergeCell ref="O32:R32"/>
    <mergeCell ref="D34:F34"/>
    <mergeCell ref="G34:J34"/>
    <mergeCell ref="K34:N34"/>
    <mergeCell ref="O34:R34"/>
    <mergeCell ref="S34:U34"/>
    <mergeCell ref="D35:F35"/>
    <mergeCell ref="G35:J35"/>
    <mergeCell ref="K35:N35"/>
    <mergeCell ref="O35:R35"/>
  </mergeCells>
  <conditionalFormatting sqref="V19">
    <cfRule type="notContainsBlanks" dxfId="168" priority="49">
      <formula>LEN(TRIM(V19))&gt;0</formula>
    </cfRule>
  </conditionalFormatting>
  <conditionalFormatting sqref="D33:U33">
    <cfRule type="expression" dxfId="167" priority="42">
      <formula>AND($D$33&lt;&gt;"",$D$34="")</formula>
    </cfRule>
  </conditionalFormatting>
  <conditionalFormatting sqref="D33:F33">
    <cfRule type="notContainsBlanks" dxfId="166" priority="46">
      <formula>LEN(TRIM(D33))&gt;0</formula>
    </cfRule>
  </conditionalFormatting>
  <conditionalFormatting sqref="S33:U33">
    <cfRule type="notContainsBlanks" dxfId="165" priority="47">
      <formula>LEN(TRIM(S33))&gt;0</formula>
    </cfRule>
  </conditionalFormatting>
  <conditionalFormatting sqref="D32:U32">
    <cfRule type="expression" dxfId="164" priority="39">
      <formula>AND($D$32&lt;&gt;"",$D$33="")</formula>
    </cfRule>
  </conditionalFormatting>
  <conditionalFormatting sqref="D32:F32 D34:F36">
    <cfRule type="notContainsBlanks" dxfId="163" priority="45">
      <formula>LEN(TRIM(D32))&gt;0</formula>
    </cfRule>
  </conditionalFormatting>
  <conditionalFormatting sqref="S32:U32 S34:U36">
    <cfRule type="notContainsBlanks" dxfId="162" priority="48">
      <formula>LEN(TRIM(S32))&gt;0</formula>
    </cfRule>
  </conditionalFormatting>
  <conditionalFormatting sqref="D34:U34">
    <cfRule type="expression" dxfId="161" priority="36">
      <formula>AND($D$34&lt;&gt;"",$D$35="")</formula>
    </cfRule>
  </conditionalFormatting>
  <conditionalFormatting sqref="D35:U35">
    <cfRule type="expression" dxfId="160" priority="33">
      <formula>AND($D$35&lt;&gt;"",$D$36="")</formula>
    </cfRule>
  </conditionalFormatting>
  <conditionalFormatting sqref="D36:U36">
    <cfRule type="expression" dxfId="159" priority="30">
      <formula>AND($D$36&lt;&gt;"",$D$37="")</formula>
    </cfRule>
  </conditionalFormatting>
  <conditionalFormatting sqref="M19:Q19">
    <cfRule type="cellIs" priority="18" operator="equal">
      <formula>"""*E = Escala"""</formula>
    </cfRule>
  </conditionalFormatting>
  <conditionalFormatting sqref="J49">
    <cfRule type="expression" dxfId="158" priority="13">
      <formula>#REF!&lt;&gt;""</formula>
    </cfRule>
  </conditionalFormatting>
  <conditionalFormatting sqref="G80:I80">
    <cfRule type="notContainsBlanks" dxfId="157" priority="9">
      <formula>LEN(TRIM(G80))&gt;0</formula>
    </cfRule>
  </conditionalFormatting>
  <conditionalFormatting sqref="B77">
    <cfRule type="containsBlanks" dxfId="156" priority="5">
      <formula>LEN(TRIM(B77))=0</formula>
    </cfRule>
  </conditionalFormatting>
  <conditionalFormatting sqref="D31:U31">
    <cfRule type="expression" dxfId="155" priority="4">
      <formula>$D$32=""</formula>
    </cfRule>
  </conditionalFormatting>
  <conditionalFormatting sqref="S20:U20">
    <cfRule type="notContainsBlanks" dxfId="154" priority="1">
      <formula>LEN(TRIM(S20))&gt;0</formula>
    </cfRule>
  </conditionalFormatting>
  <conditionalFormatting sqref="M20:R20">
    <cfRule type="notContainsBlanks" dxfId="153" priority="2">
      <formula>LEN(TRIM(M20))&gt;0</formula>
    </cfRule>
  </conditionalFormatting>
  <conditionalFormatting sqref="S20">
    <cfRule type="notContainsBlanks" dxfId="152" priority="3">
      <formula>LEN(TRIM(S20))&gt;0</formula>
    </cfRule>
  </conditionalFormatting>
  <dataValidations disablePrompts="1" count="1">
    <dataValidation allowBlank="1" showErrorMessage="1" errorTitle="Erro" error="Selecionar dados já inseridos" promptTitle="Selecionar dados" prompt="Unidade de massa" sqref="I26:L26" xr:uid="{00000000-0002-0000-0400-000000000000}"/>
  </dataValidations>
  <printOptions horizontalCentered="1"/>
  <pageMargins left="0.15748031496062992" right="0.15748031496062992" top="0.51181102362204722" bottom="0.43307086614173229" header="0.31496062992125984" footer="0.15748031496062992"/>
  <pageSetup paperSize="9" scale="92"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47809" r:id="rId5" name="Check Box 1">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8">
    <tabColor theme="7"/>
  </sheetPr>
  <dimension ref="A1:AR212"/>
  <sheetViews>
    <sheetView showGridLines="0" showRowColHeaders="0" view="pageBreakPreview" zoomScale="120" zoomScaleNormal="110" zoomScaleSheetLayoutView="120" zoomScalePageLayoutView="120" workbookViewId="0">
      <selection activeCell="D60" sqref="D60:J60"/>
    </sheetView>
  </sheetViews>
  <sheetFormatPr defaultColWidth="9.140625" defaultRowHeight="12.75" outlineLevelRow="1" x14ac:dyDescent="0.2"/>
  <cols>
    <col min="1" max="1" width="15.140625" style="100" customWidth="1"/>
    <col min="2" max="3" width="5" style="5" customWidth="1"/>
    <col min="4" max="9" width="5" customWidth="1"/>
    <col min="10" max="11" width="4.7109375" customWidth="1"/>
    <col min="12" max="13" width="5.28515625" customWidth="1"/>
    <col min="14" max="23" width="4.7109375" customWidth="1"/>
    <col min="24" max="26" width="8.140625" style="100" customWidth="1"/>
    <col min="27" max="27" width="2.7109375" style="100" customWidth="1"/>
    <col min="28" max="16384" width="9.140625" style="100"/>
  </cols>
  <sheetData>
    <row r="1" spans="2:26" ht="15" customHeight="1" x14ac:dyDescent="0.2">
      <c r="B1" s="103"/>
      <c r="C1" s="103"/>
      <c r="D1" s="100"/>
      <c r="E1" s="100"/>
      <c r="F1" s="100"/>
      <c r="G1" s="100"/>
      <c r="H1" s="100"/>
      <c r="I1" s="100"/>
      <c r="J1" s="100"/>
      <c r="K1" s="100"/>
      <c r="L1" s="100"/>
      <c r="M1" s="100"/>
      <c r="N1" s="100"/>
      <c r="O1" s="100"/>
      <c r="P1" s="100"/>
      <c r="Q1" s="100"/>
      <c r="R1" s="100"/>
      <c r="S1" s="100"/>
      <c r="T1" s="100"/>
      <c r="U1" s="100"/>
      <c r="V1" s="100"/>
      <c r="W1" s="100"/>
    </row>
    <row r="2" spans="2:26" ht="17.45" customHeight="1" x14ac:dyDescent="0.2">
      <c r="B2" s="499" t="s">
        <v>340</v>
      </c>
      <c r="C2" s="499"/>
      <c r="D2" s="499"/>
      <c r="E2" s="499"/>
      <c r="F2" s="499"/>
      <c r="G2" s="499"/>
      <c r="H2" s="499"/>
      <c r="I2" s="499"/>
      <c r="J2" s="499"/>
      <c r="K2" s="499"/>
      <c r="L2" s="499"/>
      <c r="M2" s="500" t="s">
        <v>92</v>
      </c>
      <c r="N2" s="500"/>
      <c r="O2" s="500"/>
      <c r="P2" s="500"/>
      <c r="Q2" s="500"/>
      <c r="R2" s="500"/>
      <c r="S2" s="500"/>
      <c r="T2" s="500"/>
      <c r="U2" s="500"/>
      <c r="V2" s="500"/>
      <c r="W2" s="500"/>
      <c r="X2" s="104"/>
      <c r="Y2" s="104"/>
      <c r="Z2" s="104"/>
    </row>
    <row r="3" spans="2:26" ht="17.45" customHeight="1" x14ac:dyDescent="0.2">
      <c r="B3" s="499"/>
      <c r="C3" s="499"/>
      <c r="D3" s="499"/>
      <c r="E3" s="499"/>
      <c r="F3" s="499"/>
      <c r="G3" s="499"/>
      <c r="H3" s="499"/>
      <c r="I3" s="499"/>
      <c r="J3" s="499"/>
      <c r="K3" s="499"/>
      <c r="L3" s="499"/>
      <c r="M3" s="500"/>
      <c r="N3" s="500"/>
      <c r="O3" s="500"/>
      <c r="P3" s="500"/>
      <c r="Q3" s="500"/>
      <c r="R3" s="500"/>
      <c r="S3" s="500"/>
      <c r="T3" s="500"/>
      <c r="U3" s="500"/>
      <c r="V3" s="500"/>
      <c r="W3" s="500"/>
      <c r="X3" s="104"/>
      <c r="Y3" s="104"/>
      <c r="Z3" s="104"/>
    </row>
    <row r="4" spans="2:26" ht="17.45" customHeight="1" x14ac:dyDescent="0.2">
      <c r="B4" s="499"/>
      <c r="C4" s="499"/>
      <c r="D4" s="499"/>
      <c r="E4" s="499"/>
      <c r="F4" s="499"/>
      <c r="G4" s="499"/>
      <c r="H4" s="499"/>
      <c r="I4" s="499"/>
      <c r="J4" s="499"/>
      <c r="K4" s="499"/>
      <c r="L4" s="499"/>
      <c r="M4" s="500"/>
      <c r="N4" s="500"/>
      <c r="O4" s="500"/>
      <c r="P4" s="500"/>
      <c r="Q4" s="500"/>
      <c r="R4" s="500"/>
      <c r="S4" s="500"/>
      <c r="T4" s="500"/>
      <c r="U4" s="500"/>
      <c r="V4" s="500"/>
      <c r="W4" s="500"/>
      <c r="X4" s="104"/>
      <c r="Y4" s="104"/>
      <c r="Z4" s="104"/>
    </row>
    <row r="5" spans="2:26" ht="17.45" customHeight="1" x14ac:dyDescent="0.2">
      <c r="B5" s="499"/>
      <c r="C5" s="499"/>
      <c r="D5" s="499"/>
      <c r="E5" s="499"/>
      <c r="F5" s="499"/>
      <c r="G5" s="499"/>
      <c r="H5" s="499"/>
      <c r="I5" s="499"/>
      <c r="J5" s="499"/>
      <c r="K5" s="499"/>
      <c r="L5" s="499"/>
      <c r="M5" s="500"/>
      <c r="N5" s="500"/>
      <c r="O5" s="500"/>
      <c r="P5" s="500"/>
      <c r="Q5" s="500"/>
      <c r="R5" s="500"/>
      <c r="S5" s="500"/>
      <c r="T5" s="500"/>
      <c r="U5" s="500"/>
      <c r="V5" s="500"/>
      <c r="W5" s="500"/>
      <c r="X5" s="104"/>
      <c r="Y5" s="104"/>
      <c r="Z5" s="104"/>
    </row>
    <row r="6" spans="2:26" ht="17.45" customHeight="1" x14ac:dyDescent="0.2">
      <c r="B6" s="499"/>
      <c r="C6" s="499"/>
      <c r="D6" s="499"/>
      <c r="E6" s="499"/>
      <c r="F6" s="499"/>
      <c r="G6" s="499"/>
      <c r="H6" s="499"/>
      <c r="I6" s="499"/>
      <c r="J6" s="499"/>
      <c r="K6" s="499"/>
      <c r="L6" s="499"/>
      <c r="M6" s="500"/>
      <c r="N6" s="500"/>
      <c r="O6" s="500"/>
      <c r="P6" s="500"/>
      <c r="Q6" s="500"/>
      <c r="R6" s="500"/>
      <c r="S6" s="500"/>
      <c r="T6" s="500"/>
      <c r="U6" s="500"/>
      <c r="V6" s="500"/>
      <c r="W6" s="500"/>
      <c r="X6" s="104"/>
      <c r="Y6" s="104"/>
      <c r="Z6" s="104"/>
    </row>
    <row r="7" spans="2:26" ht="17.45" customHeight="1" x14ac:dyDescent="0.2">
      <c r="B7" s="499"/>
      <c r="C7" s="499"/>
      <c r="D7" s="499"/>
      <c r="E7" s="499"/>
      <c r="F7" s="499"/>
      <c r="G7" s="499"/>
      <c r="H7" s="499"/>
      <c r="I7" s="499"/>
      <c r="J7" s="499"/>
      <c r="K7" s="499"/>
      <c r="L7" s="499"/>
      <c r="M7" s="501" t="str">
        <f>'Sem ajuste'!M7:W7</f>
        <v>N° 74</v>
      </c>
      <c r="N7" s="501"/>
      <c r="O7" s="501"/>
      <c r="P7" s="501"/>
      <c r="Q7" s="501"/>
      <c r="R7" s="501"/>
      <c r="S7" s="501"/>
      <c r="T7" s="501"/>
      <c r="U7" s="501"/>
      <c r="V7" s="501"/>
      <c r="W7" s="501"/>
      <c r="X7" s="137"/>
      <c r="Y7" s="137"/>
      <c r="Z7" s="137"/>
    </row>
    <row r="8" spans="2:26" ht="19.5" customHeight="1" x14ac:dyDescent="0.2">
      <c r="L8" s="506" t="str">
        <f>IF('Entrada de Dados'!U2="","",CONCATENATE("Este certificado cancela e substitui o certificado de número ",'Entrada de Dados'!U2))</f>
        <v/>
      </c>
      <c r="M8" s="506"/>
      <c r="N8" s="506"/>
      <c r="O8" s="506"/>
      <c r="P8" s="506"/>
      <c r="Q8" s="506"/>
      <c r="R8" s="506"/>
      <c r="S8" s="506"/>
      <c r="T8" s="506"/>
      <c r="U8" s="506"/>
      <c r="V8" s="506"/>
      <c r="W8" s="506"/>
    </row>
    <row r="9" spans="2:26" ht="15" customHeight="1" x14ac:dyDescent="0.2">
      <c r="B9" s="502" t="s">
        <v>140</v>
      </c>
      <c r="C9" s="503"/>
      <c r="D9" s="503"/>
      <c r="E9" s="503"/>
      <c r="F9" s="503"/>
      <c r="G9" s="503"/>
      <c r="H9" s="504"/>
      <c r="I9" s="504"/>
      <c r="J9" s="504"/>
      <c r="K9" s="3"/>
      <c r="L9" s="3"/>
      <c r="M9" s="3"/>
      <c r="N9" s="3"/>
      <c r="O9" s="3"/>
      <c r="P9" s="3"/>
      <c r="Q9" s="3"/>
      <c r="R9" s="3"/>
      <c r="S9" s="3"/>
      <c r="T9" s="3"/>
      <c r="U9" s="3"/>
      <c r="V9" s="3"/>
      <c r="W9" s="3"/>
      <c r="X9" s="105"/>
      <c r="Y9" s="105"/>
      <c r="Z9" s="105"/>
    </row>
    <row r="10" spans="2:26" ht="12.75" customHeight="1" x14ac:dyDescent="0.2">
      <c r="B10" s="496" t="s">
        <v>16</v>
      </c>
      <c r="C10" s="496"/>
      <c r="D10" s="496"/>
      <c r="E10" s="497" t="str">
        <f>IF('Entrada de Dados'!E5="","-",IFERROR(INDEX(Clientes!$A$2:$H$1000000,MATCH('Entrada de Dados'!$E$5,Clientes!$B$2:$B$1000000,0),1),"-"))</f>
        <v>ADAIR JOSE MENEGOL</v>
      </c>
      <c r="F10" s="498"/>
      <c r="G10" s="498"/>
      <c r="H10" s="498"/>
      <c r="I10" s="498"/>
      <c r="J10" s="498"/>
      <c r="K10" s="498"/>
      <c r="L10" s="498"/>
      <c r="M10" s="498"/>
      <c r="N10" s="498"/>
      <c r="O10" s="496" t="s">
        <v>104</v>
      </c>
      <c r="P10" s="496"/>
      <c r="Q10" s="3"/>
      <c r="R10" s="505" t="str">
        <f>IF('Entrada de Dados'!E5="","-",IFERROR(INDEX(Clientes!$A$2:$H$1000000,MATCH('Entrada de Dados'!$E$5,Clientes!$B$2:$B$1000000,0),7),"-"))</f>
        <v>953.801.080-91</v>
      </c>
      <c r="S10" s="505"/>
      <c r="T10" s="505"/>
      <c r="U10" s="505"/>
      <c r="V10" s="505"/>
      <c r="W10" s="1"/>
      <c r="X10" s="106"/>
      <c r="Y10" s="106"/>
      <c r="Z10" s="106"/>
    </row>
    <row r="11" spans="2:26" ht="15" customHeight="1" x14ac:dyDescent="0.2">
      <c r="B11" s="496" t="s">
        <v>17</v>
      </c>
      <c r="C11" s="496"/>
      <c r="D11" s="496"/>
      <c r="E11" s="497" t="str">
        <f>IF('Entrada de Dados'!E5="","-",IFERROR(INDEX(Clientes!$A$2:$H$1000000,MATCH('Entrada de Dados'!$E$5,Clientes!$B$2:$B$1000000,0),4),"-"))</f>
        <v>GLEBA IQUE, LOTE RURAL 23, SETOR TENENTE</v>
      </c>
      <c r="F11" s="498"/>
      <c r="G11" s="498"/>
      <c r="H11" s="498"/>
      <c r="I11" s="498"/>
      <c r="J11" s="498"/>
      <c r="K11" s="498"/>
      <c r="L11" s="498"/>
      <c r="M11" s="498"/>
      <c r="N11" s="498"/>
      <c r="O11" s="496" t="s">
        <v>18</v>
      </c>
      <c r="P11" s="496"/>
      <c r="Q11" s="496"/>
      <c r="R11" s="507" t="str">
        <f>IF('Entrada de Dados'!E5="","-",IFERROR(CONCATENATE(INDEX(Clientes!$A$2:$H$1000000,MATCH('Entrada de Dados'!$E$5,Clientes!$B$2:$B$1000000,0),5)," / ",INDEX(Clientes!$A$2:$H$1000000,MATCH('Entrada de Dados'!$E$5,Clientes!$B$2:$B$1000000,0),6)),"-"))</f>
        <v>VILHENA / RO</v>
      </c>
      <c r="S11" s="507"/>
      <c r="T11" s="507"/>
      <c r="U11" s="507"/>
      <c r="V11" s="507"/>
      <c r="W11" s="507"/>
      <c r="X11" s="107"/>
      <c r="Y11" s="107"/>
      <c r="Z11" s="107"/>
    </row>
    <row r="12" spans="2:26" ht="15" customHeight="1" x14ac:dyDescent="0.2">
      <c r="B12" s="496" t="str">
        <f>IF('Entrada de Dados'!$E$5="","Unidade:",IF(INDEX(Clientes!$A$2:$I$1000000,MATCH('Entrada de Dados'!$E$5,Clientes!$B$2:$B$1000000,0),3)="-","","Unidade:"))</f>
        <v>Unidade:</v>
      </c>
      <c r="C12" s="496"/>
      <c r="D12" s="3"/>
      <c r="E12" s="498" t="str">
        <f>IF('Entrada de Dados'!$E$5="","-",IF(INDEX(Clientes!$A$2:$I$1000000,MATCH('Entrada de Dados'!$E$5,Clientes!$B$2:$B$1000000,0),3)="-","",INDEX(Clientes!$A$2:$I$1000000,MATCH('Entrada de Dados'!$E$5,Clientes!$B$2:$B$1000000,0),3)))</f>
        <v>FAZ. RETIRO</v>
      </c>
      <c r="F12" s="498"/>
      <c r="G12" s="498"/>
      <c r="H12" s="498"/>
      <c r="I12" s="498"/>
      <c r="J12" s="1"/>
      <c r="K12" s="1"/>
      <c r="L12" s="1"/>
      <c r="M12" s="1"/>
      <c r="N12" s="1"/>
      <c r="W12" s="1"/>
      <c r="X12" s="106"/>
      <c r="Y12" s="106"/>
      <c r="Z12" s="106"/>
    </row>
    <row r="13" spans="2:26" ht="15" customHeight="1" x14ac:dyDescent="0.2">
      <c r="B13" s="510"/>
      <c r="C13" s="510"/>
      <c r="D13" s="510"/>
      <c r="E13" s="510"/>
      <c r="F13" s="510"/>
      <c r="G13" s="510"/>
      <c r="H13" s="510"/>
      <c r="I13" s="510"/>
      <c r="J13" s="510"/>
      <c r="K13" s="510"/>
      <c r="L13" s="510"/>
      <c r="M13" s="510"/>
      <c r="N13" s="510"/>
      <c r="O13" s="510"/>
      <c r="P13" s="510"/>
      <c r="Q13" s="510"/>
      <c r="R13" s="510"/>
      <c r="S13" s="510"/>
      <c r="T13" s="510"/>
      <c r="U13" s="510"/>
      <c r="V13" s="510"/>
      <c r="W13" s="510"/>
      <c r="X13" s="108"/>
      <c r="Y13" s="108"/>
      <c r="Z13" s="108"/>
    </row>
    <row r="14" spans="2:26" ht="15" customHeight="1" x14ac:dyDescent="0.2">
      <c r="B14" s="502" t="s">
        <v>141</v>
      </c>
      <c r="C14" s="503"/>
      <c r="D14" s="503"/>
      <c r="E14" s="503"/>
      <c r="F14" s="503"/>
      <c r="G14" s="503"/>
      <c r="H14" s="503"/>
      <c r="I14" s="3"/>
      <c r="J14" s="3"/>
      <c r="K14" s="3"/>
      <c r="L14" s="3"/>
      <c r="M14" s="3"/>
      <c r="N14" s="3"/>
      <c r="O14" s="3"/>
      <c r="P14" s="3"/>
      <c r="Q14" s="3"/>
      <c r="R14" s="3"/>
      <c r="S14" s="3"/>
      <c r="T14" s="3"/>
      <c r="U14" s="3"/>
      <c r="V14" s="29"/>
      <c r="W14" s="3"/>
      <c r="X14" s="105"/>
      <c r="Y14" s="105"/>
      <c r="Z14" s="105"/>
    </row>
    <row r="15" spans="2:26" ht="15" customHeight="1" x14ac:dyDescent="0.2">
      <c r="B15" s="496" t="s">
        <v>19</v>
      </c>
      <c r="C15" s="496"/>
      <c r="D15" s="496"/>
      <c r="E15" s="498" t="str">
        <f>IF('Entrada de Dados'!E8="","-",'Entrada de Dados'!E8)</f>
        <v>CIANORTE</v>
      </c>
      <c r="F15" s="498"/>
      <c r="G15" s="498"/>
      <c r="H15" s="498"/>
      <c r="I15" s="498"/>
      <c r="J15" s="498"/>
      <c r="K15" s="498"/>
      <c r="L15" s="498"/>
      <c r="M15" s="496" t="s">
        <v>38</v>
      </c>
      <c r="N15" s="496"/>
      <c r="O15" s="496"/>
      <c r="P15" s="496"/>
      <c r="Q15" s="496"/>
      <c r="R15" s="498" t="str">
        <f>IF('Entrada de Dados'!G13="","-",'Entrada de Dados'!G13)</f>
        <v>Balança</v>
      </c>
      <c r="S15" s="498"/>
      <c r="T15" s="498"/>
      <c r="U15" s="498"/>
      <c r="V15" s="498"/>
      <c r="W15" s="3"/>
      <c r="X15" s="105"/>
      <c r="Y15" s="105"/>
      <c r="Z15" s="105"/>
    </row>
    <row r="16" spans="2:26" ht="15" customHeight="1" x14ac:dyDescent="0.2">
      <c r="B16" s="496" t="s">
        <v>21</v>
      </c>
      <c r="C16" s="496"/>
      <c r="D16" s="496"/>
      <c r="E16" s="498" t="str">
        <f>IF('Entrada de Dados'!E9="","-",'Entrada de Dados'!E9)</f>
        <v>BRO</v>
      </c>
      <c r="F16" s="498"/>
      <c r="G16" s="498"/>
      <c r="H16" s="498"/>
      <c r="I16" s="498"/>
      <c r="J16" s="498"/>
      <c r="K16" s="498"/>
      <c r="L16" s="498"/>
      <c r="M16" s="496" t="s">
        <v>36</v>
      </c>
      <c r="N16" s="496"/>
      <c r="O16" s="496"/>
      <c r="P16" s="496"/>
      <c r="Q16" s="496"/>
      <c r="R16" s="508" t="str">
        <f>IF('Entrada de Dados'!G14="","-",'Entrada de Dados'!G14)</f>
        <v>III</v>
      </c>
      <c r="S16" s="508"/>
      <c r="T16" s="508"/>
      <c r="U16" s="508"/>
      <c r="V16" s="508"/>
      <c r="W16" s="32"/>
      <c r="X16" s="109"/>
      <c r="Y16" s="109"/>
      <c r="Z16" s="109"/>
    </row>
    <row r="17" spans="2:27" ht="15" customHeight="1" x14ac:dyDescent="0.2">
      <c r="B17" s="496" t="s">
        <v>20</v>
      </c>
      <c r="C17" s="496"/>
      <c r="D17" s="496"/>
      <c r="E17" s="498" t="str">
        <f>IF('Entrada de Dados'!E10="","-",'Entrada de Dados'!E10)</f>
        <v>061023</v>
      </c>
      <c r="F17" s="498"/>
      <c r="G17" s="498"/>
      <c r="H17" s="498"/>
      <c r="I17" s="498"/>
      <c r="J17" s="498"/>
      <c r="K17" s="498"/>
      <c r="L17" s="498"/>
      <c r="M17" s="496" t="str">
        <f>IF('Entrada de Dados'!$R$12="","Capacidade:","Capacidade (E1/E2):")</f>
        <v>Capacidade:</v>
      </c>
      <c r="N17" s="509"/>
      <c r="O17" s="509"/>
      <c r="P17" s="509"/>
      <c r="Q17" s="509"/>
      <c r="R17" s="511"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140.000,00 kg</v>
      </c>
      <c r="S17" s="511"/>
      <c r="T17" s="511"/>
      <c r="U17" s="511"/>
      <c r="V17" s="1"/>
      <c r="W17" s="29"/>
      <c r="X17" s="110"/>
      <c r="Y17" s="110"/>
      <c r="Z17" s="110"/>
    </row>
    <row r="18" spans="2:27" ht="15" customHeight="1" x14ac:dyDescent="0.2">
      <c r="B18" s="496" t="s">
        <v>22</v>
      </c>
      <c r="C18" s="496"/>
      <c r="D18" s="496"/>
      <c r="E18" s="498">
        <f>IF('Entrada de Dados'!E11="","-",'Entrada de Dados'!E11)</f>
        <v>61023</v>
      </c>
      <c r="F18" s="498"/>
      <c r="G18" s="498"/>
      <c r="H18" s="498"/>
      <c r="I18" s="498"/>
      <c r="J18" s="498"/>
      <c r="K18" s="498"/>
      <c r="L18" s="498"/>
      <c r="M18" s="496" t="str">
        <f>IF('Entrada de Dados'!$R$12="","Divisão:",IF(AND('Entrada de Dados'!$R$9='Entrada de Dados'!$R$10,'Entrada de Dados'!$R$13='Entrada de Dados'!$R$14),"Divisão (E1/E2):","Divisão 'd' (E1/E2):"))</f>
        <v>Divisão:</v>
      </c>
      <c r="N18" s="509"/>
      <c r="O18" s="509"/>
      <c r="P18" s="509"/>
      <c r="Q18" s="509"/>
      <c r="R18" s="513"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20 kg</v>
      </c>
      <c r="S18" s="513"/>
      <c r="T18" s="513"/>
      <c r="U18" s="513"/>
      <c r="V18" s="1"/>
      <c r="W18" s="35"/>
      <c r="X18" s="111"/>
      <c r="Y18" s="111"/>
      <c r="Z18" s="111"/>
    </row>
    <row r="19" spans="2:27" ht="15" customHeight="1" x14ac:dyDescent="0.2">
      <c r="B19" s="496" t="s">
        <v>93</v>
      </c>
      <c r="C19" s="496"/>
      <c r="D19" s="496"/>
      <c r="E19" s="512" t="str">
        <f>IF('Entrada de Dados'!E12="","-",'Entrada de Dados'!E12)</f>
        <v>FATURAMENTO</v>
      </c>
      <c r="F19" s="512"/>
      <c r="G19" s="512"/>
      <c r="H19" s="512"/>
      <c r="I19" s="512"/>
      <c r="J19" s="512"/>
      <c r="K19" s="512"/>
      <c r="L19" s="512"/>
      <c r="M19" s="496" t="str">
        <f>IF('Entrada de Dados'!$R$12="","",IF(AND('Entrada de Dados'!$R$9='Entrada de Dados'!$R$10,'Entrada de Dados'!$R$13='Entrada de Dados'!$R$14),"","Divisão 'e' (E1/E2):"))</f>
        <v/>
      </c>
      <c r="N19" s="509"/>
      <c r="O19" s="509"/>
      <c r="P19" s="509"/>
      <c r="Q19" s="509"/>
      <c r="R19" s="513" t="str">
        <f>IF('Entrada de Dados'!$R$12="","",IF(AND('Entrada de Dados'!$R$9='Entrada de Dados'!$R$10,'Entrada de Dados'!$R$13='Entrada de Dados'!$R$14),"",CONCATENATE('Entrada de Dados'!$R$10," ",'Entrada de Dados'!$T$10," / ",'Entrada de Dados'!$R$14," ",'Entrada de Dados'!$T$14)))</f>
        <v/>
      </c>
      <c r="S19" s="513"/>
      <c r="T19" s="513"/>
      <c r="U19" s="513"/>
      <c r="V19" s="201"/>
      <c r="W19" s="1"/>
      <c r="X19" s="106"/>
      <c r="Y19" s="106"/>
      <c r="Z19" s="106"/>
    </row>
    <row r="20" spans="2:27" ht="15" customHeight="1" x14ac:dyDescent="0.2">
      <c r="D20" s="3"/>
      <c r="E20" s="512"/>
      <c r="F20" s="512"/>
      <c r="G20" s="512"/>
      <c r="H20" s="512"/>
      <c r="I20" s="512"/>
      <c r="J20" s="512"/>
      <c r="K20" s="512"/>
      <c r="L20" s="512"/>
      <c r="M20" s="496" t="str">
        <f>IF('Entrada de Dados'!E16="","","Periodicidade da calibração*:")</f>
        <v>Periodicidade da calibração*:</v>
      </c>
      <c r="N20" s="496"/>
      <c r="O20" s="496"/>
      <c r="P20" s="496"/>
      <c r="Q20" s="496"/>
      <c r="R20" s="496"/>
      <c r="S20" s="514" t="str">
        <f>IF('Entrada de Dados'!$E$16="","",CONCATENATE('Entrada de Dados'!$E$16," ",'Entrada de Dados'!G$16))</f>
        <v>6 Meses</v>
      </c>
      <c r="T20" s="514"/>
      <c r="U20" s="514"/>
      <c r="W20" s="29"/>
      <c r="X20" s="110"/>
      <c r="Y20" s="110"/>
      <c r="Z20" s="110"/>
      <c r="AA20" s="112"/>
    </row>
    <row r="21" spans="2:27" s="101" customFormat="1" ht="15" customHeight="1" x14ac:dyDescent="0.2">
      <c r="B21" s="502" t="s">
        <v>142</v>
      </c>
      <c r="C21" s="502"/>
      <c r="D21" s="502"/>
      <c r="E21" s="502"/>
      <c r="F21" s="502"/>
      <c r="G21" s="502"/>
      <c r="H21" s="502"/>
      <c r="I21" s="502"/>
      <c r="J21" s="502"/>
      <c r="K21" s="502"/>
      <c r="L21" s="502"/>
      <c r="M21" s="493" t="str">
        <f>IF(M20="","","* Acordada com o cliente")</f>
        <v>* Acordada com o cliente</v>
      </c>
      <c r="N21" s="493"/>
      <c r="O21" s="493"/>
      <c r="P21" s="493"/>
      <c r="Q21" s="493"/>
      <c r="R21" s="493"/>
      <c r="S21" s="97"/>
      <c r="T21" s="97"/>
      <c r="U21" s="97"/>
      <c r="V21" s="97"/>
      <c r="W21" s="97"/>
      <c r="X21" s="114"/>
      <c r="Y21" s="114"/>
      <c r="Z21" s="114"/>
    </row>
    <row r="22" spans="2:27" ht="6.75" customHeight="1" x14ac:dyDescent="0.2">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
      <c r="B23" s="523" t="s">
        <v>94</v>
      </c>
      <c r="C23" s="524"/>
      <c r="D23" s="524"/>
      <c r="E23" s="524"/>
      <c r="F23" s="524"/>
      <c r="G23" s="524"/>
      <c r="H23" s="524"/>
      <c r="I23" s="524"/>
      <c r="J23" s="524"/>
      <c r="K23" s="524"/>
      <c r="L23" s="524"/>
      <c r="M23" s="524"/>
      <c r="N23" s="524"/>
      <c r="O23" s="524"/>
      <c r="P23" s="524"/>
      <c r="Q23" s="524"/>
      <c r="R23" s="524"/>
      <c r="S23" s="524"/>
      <c r="T23" s="524"/>
      <c r="U23" s="524"/>
      <c r="V23" s="524"/>
      <c r="W23" s="525"/>
      <c r="X23" s="115"/>
      <c r="Y23" s="115"/>
      <c r="Z23" s="115"/>
    </row>
    <row r="24" spans="2:27" ht="13.5" customHeight="1" x14ac:dyDescent="0.2">
      <c r="B24" s="311"/>
      <c r="C24" s="527" t="s">
        <v>199</v>
      </c>
      <c r="D24" s="527"/>
      <c r="E24" s="527"/>
      <c r="F24" s="526" t="str">
        <f ca="1">CONCATENATE(IF('Densidade do AR'!G4="-","-",ROUND('Densidade do AR'!G4,1))," %ur")</f>
        <v>49 %ur</v>
      </c>
      <c r="G24" s="526"/>
      <c r="H24" s="312"/>
      <c r="I24" s="313"/>
      <c r="J24" s="528" t="s">
        <v>201</v>
      </c>
      <c r="K24" s="528"/>
      <c r="L24" s="528"/>
      <c r="M24" s="529" t="str">
        <f ca="1">CONCATENATE(IF('Densidade do AR'!G3="-","-",ROUND('Densidade do AR'!G3,1))," hPa")</f>
        <v>1021 hPa</v>
      </c>
      <c r="N24" s="529"/>
      <c r="O24" s="314"/>
      <c r="P24" s="527" t="s">
        <v>200</v>
      </c>
      <c r="Q24" s="527"/>
      <c r="R24" s="527"/>
      <c r="S24" s="527"/>
      <c r="T24" s="526" t="str">
        <f ca="1">CONCATENATE(IF('Densidade do AR'!G5="-","-",ROUND('Densidade do AR'!G5,1))," °C")</f>
        <v>34,1 °C</v>
      </c>
      <c r="U24" s="526"/>
      <c r="V24" s="312"/>
      <c r="W24" s="315"/>
      <c r="X24" s="110"/>
      <c r="Y24" s="110"/>
      <c r="Z24" s="110"/>
    </row>
    <row r="25" spans="2:27" ht="12.75" customHeight="1" x14ac:dyDescent="0.2">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
      <c r="B26" s="515" t="s">
        <v>79</v>
      </c>
      <c r="C26" s="516"/>
      <c r="D26" s="516"/>
      <c r="E26" s="516"/>
      <c r="F26" s="516"/>
      <c r="G26" s="516"/>
      <c r="H26" s="516"/>
      <c r="I26" s="517" t="str">
        <f>IF('Entrada de Dados'!D23="","-",'Entrada de Dados'!D23)</f>
        <v>quilograma (kg)</v>
      </c>
      <c r="J26" s="517"/>
      <c r="K26" s="517"/>
      <c r="L26" s="518"/>
      <c r="M26" s="96"/>
      <c r="N26" s="71"/>
      <c r="O26" s="519" t="s">
        <v>39</v>
      </c>
      <c r="P26" s="520"/>
      <c r="Q26" s="520"/>
      <c r="R26" s="520"/>
      <c r="S26" s="517" t="s">
        <v>166</v>
      </c>
      <c r="T26" s="517"/>
      <c r="U26" s="517"/>
      <c r="V26" s="517"/>
      <c r="W26" s="518"/>
      <c r="X26" s="128"/>
      <c r="Y26" s="128"/>
      <c r="Z26" s="128"/>
    </row>
    <row r="27" spans="2:27" ht="15" customHeight="1" x14ac:dyDescent="0.2">
      <c r="B27" s="510"/>
      <c r="C27" s="510"/>
      <c r="D27" s="510"/>
      <c r="E27" s="510"/>
      <c r="F27" s="510"/>
      <c r="G27" s="510"/>
      <c r="H27" s="510"/>
      <c r="I27" s="510"/>
      <c r="J27" s="510"/>
      <c r="K27" s="510"/>
      <c r="L27" s="510"/>
      <c r="M27" s="510"/>
      <c r="N27" s="510"/>
      <c r="O27" s="510"/>
      <c r="P27" s="510"/>
      <c r="Q27" s="510"/>
      <c r="R27" s="510"/>
      <c r="S27" s="510"/>
      <c r="T27" s="510"/>
      <c r="U27" s="510"/>
      <c r="V27" s="510"/>
      <c r="W27" s="510"/>
      <c r="X27" s="108"/>
      <c r="Y27" s="108"/>
      <c r="Z27" s="108"/>
    </row>
    <row r="28" spans="2:27" ht="15" customHeight="1" x14ac:dyDescent="0.2">
      <c r="B28" s="502" t="s">
        <v>150</v>
      </c>
      <c r="C28" s="502"/>
      <c r="D28" s="502"/>
      <c r="E28" s="502"/>
      <c r="F28" s="502"/>
      <c r="G28" s="502"/>
      <c r="H28" s="502"/>
      <c r="I28" s="502"/>
      <c r="J28" s="502"/>
      <c r="K28" s="502"/>
      <c r="L28" s="502"/>
      <c r="M28" s="502"/>
      <c r="N28" s="502"/>
      <c r="O28" s="502"/>
      <c r="P28" s="502"/>
      <c r="Q28" s="502"/>
      <c r="R28" s="502"/>
      <c r="S28" s="502"/>
      <c r="T28" s="502"/>
      <c r="U28" s="521"/>
      <c r="V28" s="522"/>
      <c r="W28" s="522"/>
      <c r="X28" s="108"/>
      <c r="Y28" s="108"/>
      <c r="Z28" s="108"/>
    </row>
    <row r="29" spans="2:27" ht="6.75" customHeight="1" x14ac:dyDescent="0.2">
      <c r="B29"/>
      <c r="C29"/>
      <c r="X29" s="108"/>
      <c r="Y29" s="108"/>
      <c r="Z29" s="108"/>
    </row>
    <row r="30" spans="2:27" ht="15" customHeight="1" x14ac:dyDescent="0.2">
      <c r="B30"/>
      <c r="C30"/>
      <c r="D30" s="530" t="s">
        <v>151</v>
      </c>
      <c r="E30" s="531"/>
      <c r="F30" s="531"/>
      <c r="G30" s="531"/>
      <c r="H30" s="531" t="s">
        <v>152</v>
      </c>
      <c r="I30" s="531"/>
      <c r="J30" s="531"/>
      <c r="K30" s="532" t="s">
        <v>153</v>
      </c>
      <c r="L30" s="532"/>
      <c r="M30" s="532"/>
      <c r="N30" s="532"/>
      <c r="O30" s="532" t="s">
        <v>89</v>
      </c>
      <c r="P30" s="532"/>
      <c r="Q30" s="532"/>
      <c r="R30" s="532"/>
      <c r="S30" s="532" t="s">
        <v>154</v>
      </c>
      <c r="T30" s="532"/>
      <c r="U30" s="533"/>
      <c r="X30" s="108"/>
      <c r="Y30" s="108"/>
      <c r="Z30" s="108"/>
    </row>
    <row r="31" spans="2:27" ht="24" customHeight="1" x14ac:dyDescent="0.2">
      <c r="B31"/>
      <c r="C31"/>
      <c r="D31" s="534" t="str">
        <f>IF('Entrada de Dados'!U23="","--------",'Entrada de Dados'!U23)</f>
        <v>MC-3186224</v>
      </c>
      <c r="E31" s="535"/>
      <c r="F31" s="535"/>
      <c r="G31" s="539" t="str">
        <f>IF(D31="--------","-----","Termohigrômetro e Barômetro")</f>
        <v>Termohigrômetro e Barômetro</v>
      </c>
      <c r="H31" s="539"/>
      <c r="I31" s="539"/>
      <c r="J31" s="539"/>
      <c r="K31" s="540" t="str">
        <f>IF(D31="--------","-----",INDEX('Dados dos Padrões'!$X$6:$AR$1000000,MATCH('Sem ajuste+Declaração'!D31,'Dados dos Padrões'!$X$6:$X$1000000,0),6))</f>
        <v>2611.08/23</v>
      </c>
      <c r="L31" s="540"/>
      <c r="M31" s="540"/>
      <c r="N31" s="540"/>
      <c r="O31" s="541">
        <f>IF(D31="--------","-----",INDEX('Dados dos Padrões'!$X$6:$AR$1000000,MATCH('Sem ajuste+Declaração'!D31,'Dados dos Padrões'!$X$6:$X$1000000,0),12))</f>
        <v>45535</v>
      </c>
      <c r="P31" s="541"/>
      <c r="Q31" s="541"/>
      <c r="R31" s="541"/>
      <c r="S31" s="535" t="str">
        <f>IF(D31="--------","-----",INDEX('Dados dos Padrões'!$X$6:$AR$1000000,MATCH('Sem ajuste+Declaração'!D31,'Dados dos Padrões'!$X$6:$X$1000000,0),17))</f>
        <v>CAL 0XXX</v>
      </c>
      <c r="T31" s="535"/>
      <c r="U31" s="538"/>
      <c r="X31" s="108"/>
      <c r="Y31" s="108"/>
      <c r="Z31" s="108"/>
    </row>
    <row r="32" spans="2:27" ht="15" customHeight="1" x14ac:dyDescent="0.2">
      <c r="B32"/>
      <c r="C32"/>
      <c r="D32" s="539" t="str">
        <f>IF('Entrada de Dados'!P28="","",'Entrada de Dados'!P28)</f>
        <v>25 x 20kg</v>
      </c>
      <c r="E32" s="539"/>
      <c r="F32" s="539"/>
      <c r="G32" s="539" t="str">
        <f>IF(D32="","","Conjunto de Massa")</f>
        <v>Conjunto de Massa</v>
      </c>
      <c r="H32" s="539"/>
      <c r="I32" s="539"/>
      <c r="J32" s="539"/>
      <c r="K32" s="540" t="str">
        <f>IF(D32="","",INDEX('Dados dos Padrões'!$B$6:$V$1000000,MATCH('Sem ajuste+Declaração'!D32,'Dados dos Padrões'!$B$6:$B$1000000,0),6))</f>
        <v>P-421</v>
      </c>
      <c r="L32" s="540"/>
      <c r="M32" s="540"/>
      <c r="N32" s="540"/>
      <c r="O32" s="541">
        <f>IF(D32="","",INDEX('Dados dos Padrões'!$B$6:$V$1000000,MATCH('Sem ajuste+Declaração'!D32,'Dados dos Padrões'!$B$6:$B$1000000,0),12))</f>
        <v>45417</v>
      </c>
      <c r="P32" s="541"/>
      <c r="Q32" s="541"/>
      <c r="R32" s="541"/>
      <c r="S32" s="539" t="str">
        <f>IF(D32="","",INDEX('Dados dos Padrões'!$B$6:$V$1000000,MATCH('Sem ajuste+Declaração'!D32,'Dados dos Padrões'!$B$6:$B$1000000,0),17))</f>
        <v>CAL 0460</v>
      </c>
      <c r="T32" s="539"/>
      <c r="U32" s="539"/>
      <c r="V32" s="136"/>
      <c r="W32" s="136"/>
      <c r="X32" s="108"/>
      <c r="Y32" s="108"/>
      <c r="Z32" s="108"/>
    </row>
    <row r="33" spans="1:44" ht="15" customHeight="1" x14ac:dyDescent="0.2">
      <c r="B33"/>
      <c r="C33"/>
      <c r="D33" s="539" t="str">
        <f>IF('Entrada de Dados'!P29="","",'Entrada de Dados'!P29)</f>
        <v>22 x 500kg</v>
      </c>
      <c r="E33" s="539"/>
      <c r="F33" s="539"/>
      <c r="G33" s="539" t="str">
        <f t="shared" ref="G33:G36" si="0">IF(D33="","","Conjunto de Massa")</f>
        <v>Conjunto de Massa</v>
      </c>
      <c r="H33" s="539"/>
      <c r="I33" s="539"/>
      <c r="J33" s="539"/>
      <c r="K33" s="540" t="str">
        <f>IF(D33="","",INDEX('Dados dos Padrões'!$B$6:$V$1000000,MATCH('Sem ajuste+Declaração'!D33,'Dados dos Padrões'!$B$6:$B$1000000,0),6))</f>
        <v>MA-00083</v>
      </c>
      <c r="L33" s="540"/>
      <c r="M33" s="540"/>
      <c r="N33" s="540"/>
      <c r="O33" s="541">
        <f>IF(D33="","",INDEX('Dados dos Padrões'!$B$6:$V$1000000,MATCH('Sem ajuste+Declaração'!D33,'Dados dos Padrões'!$B$6:$B$1000000,0),12))</f>
        <v>45557</v>
      </c>
      <c r="P33" s="541"/>
      <c r="Q33" s="541"/>
      <c r="R33" s="541"/>
      <c r="S33" s="539" t="str">
        <f>IF(D33="","",INDEX('Dados dos Padrões'!$B$6:$V$1000000,MATCH('Sem ajuste+Declaração'!D33,'Dados dos Padrões'!$B$6:$B$1000000,0),17))</f>
        <v>CAL 0268</v>
      </c>
      <c r="T33" s="539"/>
      <c r="U33" s="539"/>
      <c r="V33" s="136"/>
      <c r="W33" s="136"/>
      <c r="X33" s="108"/>
      <c r="Y33" s="108"/>
      <c r="Z33" s="108"/>
    </row>
    <row r="34" spans="1:44" ht="15" customHeight="1" x14ac:dyDescent="0.2">
      <c r="B34"/>
      <c r="C34"/>
      <c r="D34" s="539" t="str">
        <f>IF('Entrada de Dados'!P30="","",'Entrada de Dados'!P30)</f>
        <v/>
      </c>
      <c r="E34" s="539"/>
      <c r="F34" s="539"/>
      <c r="G34" s="539" t="str">
        <f t="shared" si="0"/>
        <v/>
      </c>
      <c r="H34" s="539"/>
      <c r="I34" s="539"/>
      <c r="J34" s="539"/>
      <c r="K34" s="540" t="str">
        <f>IF(D34="","",INDEX('Dados dos Padrões'!$B$6:$V$1000000,MATCH('Sem ajuste+Declaração'!D34,'Dados dos Padrões'!$B$6:$B$1000000,0),6))</f>
        <v/>
      </c>
      <c r="L34" s="540"/>
      <c r="M34" s="540"/>
      <c r="N34" s="540"/>
      <c r="O34" s="541" t="str">
        <f>IF(D34="","",INDEX('Dados dos Padrões'!$B$6:$V$1000000,MATCH('Sem ajuste+Declaração'!D34,'Dados dos Padrões'!$B$6:$B$1000000,0),12))</f>
        <v/>
      </c>
      <c r="P34" s="541"/>
      <c r="Q34" s="541"/>
      <c r="R34" s="541"/>
      <c r="S34" s="539" t="str">
        <f>IF(D34="","",INDEX('Dados dos Padrões'!$B$6:$V$1000000,MATCH('Sem ajuste+Declaração'!D34,'Dados dos Padrões'!$B$6:$B$1000000,0),17))</f>
        <v/>
      </c>
      <c r="T34" s="539"/>
      <c r="U34" s="539"/>
      <c r="V34" s="136"/>
      <c r="W34" s="136"/>
      <c r="X34" s="108"/>
      <c r="Y34" s="108"/>
      <c r="Z34" s="108"/>
    </row>
    <row r="35" spans="1:44" ht="15" customHeight="1" x14ac:dyDescent="0.2">
      <c r="B35"/>
      <c r="C35"/>
      <c r="D35" s="539" t="str">
        <f>IF('Entrada de Dados'!P31="","",'Entrada de Dados'!P31)</f>
        <v/>
      </c>
      <c r="E35" s="539"/>
      <c r="F35" s="539"/>
      <c r="G35" s="539" t="str">
        <f t="shared" si="0"/>
        <v/>
      </c>
      <c r="H35" s="539"/>
      <c r="I35" s="539"/>
      <c r="J35" s="539"/>
      <c r="K35" s="540" t="str">
        <f>IF(D35="","",INDEX('Dados dos Padrões'!$B$6:$V$1000000,MATCH('Sem ajuste+Declaração'!D35,'Dados dos Padrões'!$B$6:$B$1000000,0),6))</f>
        <v/>
      </c>
      <c r="L35" s="540"/>
      <c r="M35" s="540"/>
      <c r="N35" s="540"/>
      <c r="O35" s="541" t="str">
        <f>IF(D35="","",INDEX('Dados dos Padrões'!$B$6:$V$1000000,MATCH('Sem ajuste+Declaração'!D35,'Dados dos Padrões'!$B$6:$B$1000000,0),12))</f>
        <v/>
      </c>
      <c r="P35" s="541"/>
      <c r="Q35" s="541"/>
      <c r="R35" s="541"/>
      <c r="S35" s="539" t="str">
        <f>IF(D35="","",INDEX('Dados dos Padrões'!$B$6:$V$1000000,MATCH('Sem ajuste+Declaração'!D35,'Dados dos Padrões'!$B$6:$B$1000000,0),17))</f>
        <v/>
      </c>
      <c r="T35" s="539"/>
      <c r="U35" s="539"/>
      <c r="V35" s="136"/>
      <c r="W35" s="136"/>
      <c r="X35" s="108"/>
      <c r="Y35" s="108"/>
      <c r="Z35" s="108"/>
    </row>
    <row r="36" spans="1:44" ht="15" customHeight="1" x14ac:dyDescent="0.2">
      <c r="B36"/>
      <c r="C36"/>
      <c r="D36" s="539" t="str">
        <f>IF('Entrada de Dados'!P32="","",'Entrada de Dados'!P32)</f>
        <v/>
      </c>
      <c r="E36" s="539"/>
      <c r="F36" s="539"/>
      <c r="G36" s="539" t="str">
        <f t="shared" si="0"/>
        <v/>
      </c>
      <c r="H36" s="539"/>
      <c r="I36" s="539"/>
      <c r="J36" s="539"/>
      <c r="K36" s="540" t="str">
        <f>IF(D36="","",INDEX('Dados dos Padrões'!$B$6:$V$1000000,MATCH('Sem ajuste+Declaração'!D36,'Dados dos Padrões'!$B$6:$B$1000000,0),6))</f>
        <v/>
      </c>
      <c r="L36" s="540"/>
      <c r="M36" s="540"/>
      <c r="N36" s="540"/>
      <c r="O36" s="541" t="str">
        <f>IF(D36="","",INDEX('Dados dos Padrões'!$B$6:$V$1000000,MATCH('Sem ajuste+Declaração'!D36,'Dados dos Padrões'!$B$6:$B$1000000,0),12))</f>
        <v/>
      </c>
      <c r="P36" s="541"/>
      <c r="Q36" s="541"/>
      <c r="R36" s="541"/>
      <c r="S36" s="539" t="str">
        <f>IF(D36="","",INDEX('Dados dos Padrões'!$B$6:$V$1000000,MATCH('Sem ajuste+Declaração'!D36,'Dados dos Padrões'!$B$6:$B$1000000,0),17))</f>
        <v/>
      </c>
      <c r="T36" s="539"/>
      <c r="U36" s="539"/>
      <c r="V36" s="136"/>
      <c r="W36" s="136"/>
      <c r="X36" s="108"/>
      <c r="Y36" s="108"/>
      <c r="Z36" s="108"/>
    </row>
    <row r="37" spans="1:44" ht="15" customHeight="1" x14ac:dyDescent="0.2">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x14ac:dyDescent="0.2">
      <c r="B38" s="502" t="s">
        <v>157</v>
      </c>
      <c r="C38" s="502"/>
      <c r="D38" s="502"/>
      <c r="E38" s="502"/>
      <c r="F38" s="502"/>
      <c r="G38" s="502"/>
      <c r="H38" s="502"/>
      <c r="I38" s="502"/>
      <c r="J38" s="502"/>
      <c r="K38" s="502"/>
      <c r="L38" s="502"/>
      <c r="M38" s="502"/>
      <c r="N38" s="502"/>
      <c r="O38" s="502"/>
      <c r="P38" s="502"/>
      <c r="Q38" s="502"/>
      <c r="R38" s="502"/>
      <c r="S38" s="502"/>
      <c r="T38" s="502"/>
      <c r="U38" s="39"/>
      <c r="V38" s="39"/>
      <c r="W38" s="39"/>
    </row>
    <row r="39" spans="1:44" ht="6.95" customHeight="1" x14ac:dyDescent="0.2">
      <c r="B39" s="483"/>
      <c r="C39" s="483"/>
      <c r="D39" s="483"/>
      <c r="E39" s="483"/>
      <c r="F39" s="483"/>
      <c r="G39" s="483"/>
      <c r="H39" s="483"/>
      <c r="I39" s="483"/>
      <c r="J39" s="483"/>
      <c r="K39" s="483"/>
      <c r="L39" s="483"/>
      <c r="M39" s="483"/>
      <c r="N39" s="483"/>
      <c r="O39" s="483"/>
      <c r="P39" s="483"/>
      <c r="Q39" s="483"/>
      <c r="R39" s="483"/>
      <c r="S39" s="483"/>
      <c r="T39" s="483"/>
      <c r="U39" s="483"/>
      <c r="V39" s="483"/>
      <c r="W39" s="483"/>
      <c r="X39" s="116"/>
      <c r="Y39" s="116"/>
      <c r="Z39" s="116"/>
    </row>
    <row r="40" spans="1:44" ht="15.75" customHeight="1" x14ac:dyDescent="0.2">
      <c r="B40" s="556" t="s">
        <v>33</v>
      </c>
      <c r="C40" s="557"/>
      <c r="D40" s="557"/>
      <c r="E40" s="558"/>
      <c r="F40" s="556" t="s">
        <v>241</v>
      </c>
      <c r="G40" s="557"/>
      <c r="H40" s="558"/>
      <c r="I40" s="556" t="s">
        <v>235</v>
      </c>
      <c r="J40" s="557"/>
      <c r="K40" s="558"/>
      <c r="L40" s="556" t="s">
        <v>233</v>
      </c>
      <c r="M40" s="558"/>
      <c r="N40" s="556" t="s">
        <v>158</v>
      </c>
      <c r="O40" s="557"/>
      <c r="P40" s="558"/>
      <c r="Q40" s="556" t="s">
        <v>159</v>
      </c>
      <c r="R40" s="557"/>
      <c r="S40" s="558"/>
      <c r="T40" s="559" t="s">
        <v>160</v>
      </c>
      <c r="U40" s="560"/>
      <c r="V40" s="560"/>
      <c r="W40" s="561"/>
      <c r="X40" s="117"/>
      <c r="Y40" s="117"/>
      <c r="Z40" s="117"/>
    </row>
    <row r="41" spans="1:44" ht="15.75" customHeight="1" x14ac:dyDescent="0.2">
      <c r="B41" s="565" t="s">
        <v>221</v>
      </c>
      <c r="C41" s="566"/>
      <c r="D41" s="543" t="s">
        <v>223</v>
      </c>
      <c r="E41" s="544"/>
      <c r="F41" s="542" t="s">
        <v>161</v>
      </c>
      <c r="G41" s="543"/>
      <c r="H41" s="544"/>
      <c r="I41" s="542" t="s">
        <v>162</v>
      </c>
      <c r="J41" s="543"/>
      <c r="K41" s="544"/>
      <c r="L41" s="542" t="s">
        <v>234</v>
      </c>
      <c r="M41" s="544"/>
      <c r="N41" s="542" t="s">
        <v>98</v>
      </c>
      <c r="O41" s="543"/>
      <c r="P41" s="544"/>
      <c r="Q41" s="542" t="s">
        <v>163</v>
      </c>
      <c r="R41" s="543"/>
      <c r="S41" s="544"/>
      <c r="T41" s="542" t="s">
        <v>164</v>
      </c>
      <c r="U41" s="543"/>
      <c r="V41" s="543"/>
      <c r="W41" s="544"/>
      <c r="X41" s="117"/>
      <c r="Y41" s="117"/>
      <c r="Z41" s="117"/>
    </row>
    <row r="42" spans="1:44" ht="9.75" customHeight="1" thickBot="1" x14ac:dyDescent="0.25">
      <c r="B42" s="565"/>
      <c r="C42" s="566"/>
      <c r="D42" s="543"/>
      <c r="E42" s="544"/>
      <c r="F42" s="542"/>
      <c r="G42" s="543"/>
      <c r="H42" s="544"/>
      <c r="I42" s="542"/>
      <c r="J42" s="543"/>
      <c r="K42" s="544"/>
      <c r="L42" s="542"/>
      <c r="M42" s="544"/>
      <c r="N42" s="542"/>
      <c r="O42" s="543"/>
      <c r="P42" s="544"/>
      <c r="Q42" s="542"/>
      <c r="R42" s="543"/>
      <c r="S42" s="544"/>
      <c r="T42" s="542"/>
      <c r="U42" s="543"/>
      <c r="V42" s="543"/>
      <c r="W42" s="544"/>
      <c r="X42" s="117"/>
      <c r="Y42" s="117"/>
      <c r="Z42" s="117"/>
      <c r="AO42" s="226" t="s">
        <v>244</v>
      </c>
    </row>
    <row r="43" spans="1:44" ht="9.75" customHeight="1" x14ac:dyDescent="0.2">
      <c r="B43" s="562" t="str">
        <f>IF($I$26="micrograma (µg)","(µg)",IF($I$26="miligrama (mg)","(mg)",IF($I$26="grama (g)","(g)",IF($I$26="quilograma (kg)","(kg)",IF($I$26="tonelada (t)","(t)","-")))))</f>
        <v>(kg)</v>
      </c>
      <c r="C43" s="563"/>
      <c r="D43" s="563" t="str">
        <f>IF($I$26="micrograma (µg)","(µg)",IF($I$26="miligrama (mg)","(mg)",IF($I$26="grama (g)","(g)",IF($I$26="quilograma (kg)","(kg)",IF($I$26="tonelada (t)","(t)","-")))))</f>
        <v>(kg)</v>
      </c>
      <c r="E43" s="564"/>
      <c r="F43" s="562" t="str">
        <f>IF($I$26="micrograma (µg)","(µg)",IF($I$26="miligrama (mg)","(mg)",IF($I$26="grama (g)","(g)",IF($I$26="quilograma (kg)","(kg)",IF($I$26="tonelada (t)","(t)","-")))))</f>
        <v>(kg)</v>
      </c>
      <c r="G43" s="563"/>
      <c r="H43" s="564"/>
      <c r="I43" s="562" t="str">
        <f>IF($I$26="micrograma (µg)","(µg)",IF($I$26="miligrama (mg)","(mg)",IF($I$26="grama (g)","(g)",IF($I$26="quilograma (kg)","(kg)",IF($I$26="tonelada (t)","(t)","-")))))</f>
        <v>(kg)</v>
      </c>
      <c r="J43" s="563"/>
      <c r="K43" s="564"/>
      <c r="L43" s="562" t="str">
        <f>IF($I$26="micrograma (µg)","(µg)",IF($I$26="miligrama (mg)","(mg)",IF($I$26="grama (g)","(g)",IF($I$26="quilograma (kg)","(kg)",IF($I$26="tonelada (t)","(t)","-")))))</f>
        <v>(kg)</v>
      </c>
      <c r="M43" s="564"/>
      <c r="N43" s="562" t="str">
        <f>IF($I$26="micrograma (µg)","(µg)",IF($I$26="miligrama (mg)","(mg)",IF($I$26="grama (g)","(g)",IF($I$26="quilograma (kg)","(kg)",IF($I$26="tonelada (t)","(t)","-")))))</f>
        <v>(kg)</v>
      </c>
      <c r="O43" s="563"/>
      <c r="P43" s="564"/>
      <c r="Q43" s="545"/>
      <c r="R43" s="546"/>
      <c r="S43" s="547"/>
      <c r="T43" s="545"/>
      <c r="U43" s="546"/>
      <c r="V43" s="546"/>
      <c r="W43" s="547"/>
      <c r="X43" s="117"/>
      <c r="Y43" s="117"/>
      <c r="Z43" s="117"/>
      <c r="AO43" s="227" t="s">
        <v>245</v>
      </c>
      <c r="AP43" s="228" t="s">
        <v>246</v>
      </c>
      <c r="AQ43" s="228" t="s">
        <v>247</v>
      </c>
      <c r="AR43" s="229" t="s">
        <v>1</v>
      </c>
    </row>
    <row r="44" spans="1:44" ht="14.1" customHeight="1" x14ac:dyDescent="0.2">
      <c r="A44" s="145">
        <v>1</v>
      </c>
      <c r="B44" s="613" t="str">
        <f ca="1">IF('Entrada de Dados'!D29="","-",(FIXED(('Entrada de Dados'!D29),IF(Cálculo!$CT$259&lt;1,LEN(Cálculo!$CT$259)-SEARCH(",",Cálculo!$CT$259),LEN(Cálculo!$CT$259)))))</f>
        <v>400,00</v>
      </c>
      <c r="C44" s="614"/>
      <c r="D44" s="615" t="str">
        <f ca="1">IF(B44="-","-",IF(Cálculo!$BT$5="",IF(T24="-","-",IF(Cálculo!$CT$259&lt;1,FIXED(0,LEN(Cálculo!$CT$259)-SEARCH(",",Cálculo!$CT$259)),FIXED(0,LEN(Cálculo!$CT$259)))),IF(Cálculo!$CP$258="-","-",(IF(Cálculo!$CT$259&lt;1,(FIXED(Cálculo!$CP$258,LEN(Cálculo!$CT$259)-SEARCH(",",Cálculo!$CT$259))),FIXED(Cálculo!$CP$258,LEN(Cálculo!$CT$259)))))))</f>
        <v>400,00</v>
      </c>
      <c r="E44" s="615"/>
      <c r="F44" s="609" t="str">
        <f ca="1">(IF('Entrada de Dados'!F29="","-",IF(Cálculo!$CT$259&lt;1,FIXED('Entrada de Dados'!F29,LEN(Cálculo!$CT$259)-SEARCH(",",Cálculo!$CT$259)),FIXED('Entrada de Dados'!F29,LEN(Cálculo!$CT$259)))))</f>
        <v>400,00</v>
      </c>
      <c r="G44" s="609"/>
      <c r="H44" s="609"/>
      <c r="I44" s="609" t="str">
        <f ca="1">(IF('Entrada de Dados'!H29="","-",IF(Cálculo!$CT$259&lt;1,FIXED(MROUND(AVERAGE('Entrada de Dados'!H29:M29),Cálculo!$CT$259),LEN(Cálculo!$CT$259)-SEARCH(",",Cálculo!$CT$259)),FIXED(MROUND(AVERAGE('Entrada de Dados'!H29:M29),Cálculo!$CT$259),LEN(Cálculo!$CT$259)))))</f>
        <v>400,00</v>
      </c>
      <c r="J44" s="609"/>
      <c r="K44" s="609"/>
      <c r="L44" s="610" t="str">
        <f ca="1">(IF('Entrada de Dados'!H29="","-",CONCATENATE(IF('Entrada de Dados'!H29="","",IF(MROUND(ABS(I44-D44),Cálculo!$CT$259)=0,"",IF((I44-D44)&gt;0,"+","-")))," ",IF(Cálculo!$CT$259&lt;1,FIXED(MROUND(ABS(I44-D44),Cálculo!$CT$259),(LEN(Cálculo!$CT$259)-SEARCH(",",Cálculo!$CT$259))),FIXED(MROUND(ABS(I44-D44),Cálculo!$CT$259),LEN(Cálculo!$CT$259))))))</f>
        <v xml:space="preserve"> 0,00</v>
      </c>
      <c r="M44" s="610"/>
      <c r="N44" s="609" t="str">
        <f ca="1">IF(Cálculo!$CP$269="-","-",CONCATENATE(IF(Cálculo!$CT$259&lt;1,FIXED(MROUND(Cálculo!$CP$269,Cálculo!$CT$259),(LEN(Cálculo!$CT$259)-SEARCH(",",Cálculo!$CT$259))),FIXED(MROUND(Cálculo!$CP$269,Cálculo!$CT$259),(LEN(Cálculo!$CT$259))))))</f>
        <v>20,00</v>
      </c>
      <c r="O44" s="609"/>
      <c r="P44" s="609"/>
      <c r="Q44" s="608">
        <f ca="1">Cálculo!CP268</f>
        <v>2</v>
      </c>
      <c r="R44" s="608"/>
      <c r="S44" s="608"/>
      <c r="T44" s="611" t="str">
        <f ca="1">Cálculo!CP267</f>
        <v>¥</v>
      </c>
      <c r="U44" s="611"/>
      <c r="V44" s="611"/>
      <c r="W44" s="612"/>
      <c r="X44" s="118"/>
      <c r="Y44" s="118"/>
      <c r="Z44" s="118"/>
      <c r="AO44" s="230">
        <f ca="1">IFERROR(VALUE(Cálculo!$CP$258),"")</f>
        <v>400.0001045360745</v>
      </c>
      <c r="AP44" s="231">
        <f ca="1">IFERROR(VALUE(I44),"")</f>
        <v>400</v>
      </c>
      <c r="AQ44" s="231">
        <f ca="1">IFERROR((FIXED(SLOPE((OFFSET($AO$44,,,(5-COUNTBLANK($AO$44:$AO$47)),1)),(OFFSET($AP$44,,,(5-COUNTBLANK($AP$44:$AP$47)),1))),4)*I44)+FIXED(INTERCEPT((OFFSET($AO$44,,,(5-COUNTBLANK($AO$44:$AO$47)),1)),(OFFSET($AP$44,,,(5-COUNTBLANK($AP$44:$AP$47)),1))),4),"")</f>
        <v>399.9991</v>
      </c>
      <c r="AR44" s="232">
        <f ca="1">IFERROR(ABS(AO44-AQ44),"")</f>
        <v>1.0045360745039034E-3</v>
      </c>
    </row>
    <row r="45" spans="1:44" ht="14.1" customHeight="1" x14ac:dyDescent="0.2">
      <c r="A45" s="145">
        <v>2</v>
      </c>
      <c r="B45" s="551" t="str">
        <f ca="1">IF('Entrada de Dados'!D30="","-",(FIXED(('Entrada de Dados'!D30),IF(Cálculo!$DU$259&lt;1,LEN(Cálculo!$DU$259)-SEARCH(",",Cálculo!$DU$259),LEN(Cálculo!$DU$259)))))</f>
        <v>5.000,00</v>
      </c>
      <c r="C45" s="552"/>
      <c r="D45" s="553" t="str">
        <f ca="1">IF(B45="-","-",IF(Cálculo!$BT$5="",IF(T25="-","-",IF(Cálculo!$DU$259&lt;1,FIXED(0,LEN(Cálculo!$DU$259)-SEARCH(",",Cálculo!$DU$259)),FIXED(0,LEN(Cálculo!$DU$259)))),IF(Cálculo!$DQ$258="-","-",(IF(Cálculo!$DU$259&lt;1,(FIXED(Cálculo!$DQ$258,LEN(Cálculo!$DU$259)-SEARCH(",",Cálculo!$DU$259))),FIXED(Cálculo!$DQ$258,LEN(Cálculo!$DU$259)))))))</f>
        <v>5.000,00</v>
      </c>
      <c r="E45" s="553"/>
      <c r="F45" s="553" t="str">
        <f ca="1">(IF('Entrada de Dados'!F30="","-",IF(Cálculo!$DU$259&lt;1,FIXED('Entrada de Dados'!F30,LEN(Cálculo!$DU$259)-SEARCH(",",Cálculo!$DU$259)),FIXED('Entrada de Dados'!F30,LEN(Cálculo!$DU$259)))))</f>
        <v>5.000,00</v>
      </c>
      <c r="G45" s="553"/>
      <c r="H45" s="553"/>
      <c r="I45" s="554" t="str">
        <f ca="1">(IF('Entrada de Dados'!H30="","-",IF(Cálculo!$DU$259&lt;1,FIXED(MROUND(AVERAGE('Entrada de Dados'!H30:M30),Cálculo!$DU$259),LEN(Cálculo!$DU$259)-SEARCH(",",Cálculo!$DU$259)),FIXED(MROUND(AVERAGE('Entrada de Dados'!H30:M30),Cálculo!$DU$259),LEN(Cálculo!$DU$259)))))</f>
        <v>5.000,00</v>
      </c>
      <c r="J45" s="554"/>
      <c r="K45" s="554"/>
      <c r="L45" s="555" t="str">
        <f ca="1">(IF('Entrada de Dados'!H30="","-",CONCATENATE(IF('Entrada de Dados'!H30="","",IF(MROUND(ABS(I45-D45),Cálculo!$DU$259)=0,"",IF((I45-D45)&gt;0,"+","-")))," ",IF(Cálculo!$DU$259&lt;1,FIXED(MROUND(ABS(I45-D45),Cálculo!$DU$259),(LEN(Cálculo!$DU$259)-SEARCH(",",Cálculo!$DU$259))),FIXED(MROUND(ABS(I45-D45),Cálculo!$DU$259),LEN(Cálculo!$DU$259))))))</f>
        <v xml:space="preserve"> 0,00</v>
      </c>
      <c r="M45" s="555"/>
      <c r="N45" s="554" t="str">
        <f ca="1">IF(Cálculo!$DQ$269="-","-",CONCATENATE(IF(Cálculo!$DU$259&lt;1,FIXED(MROUND(Cálculo!$DQ$269,Cálculo!$DU$259),(LEN(Cálculo!$DU$259)-SEARCH(",",Cálculo!$DU$259))),FIXED(MROUND(Cálculo!$DQ$269,Cálculo!$DU$259),(LEN(Cálculo!$DU$259))))))</f>
        <v>20,00</v>
      </c>
      <c r="O45" s="554"/>
      <c r="P45" s="554"/>
      <c r="Q45" s="576">
        <f ca="1">Cálculo!$DQ$268</f>
        <v>2</v>
      </c>
      <c r="R45" s="576"/>
      <c r="S45" s="576"/>
      <c r="T45" s="574" t="str">
        <f ca="1">Cálculo!$DQ$267</f>
        <v>¥</v>
      </c>
      <c r="U45" s="574"/>
      <c r="V45" s="574"/>
      <c r="W45" s="575"/>
      <c r="X45" s="118"/>
      <c r="Y45" s="118"/>
      <c r="Z45" s="118"/>
      <c r="AO45" s="230">
        <f ca="1">IFERROR(VALUE(Cálculo!$DQ$258),"")</f>
        <v>4999.9963066996279</v>
      </c>
      <c r="AP45" s="231">
        <f t="shared" ref="AP45:AP47" ca="1" si="1">IFERROR(VALUE(I45),"")</f>
        <v>5000</v>
      </c>
      <c r="AQ45" s="231">
        <f t="shared" ref="AQ45:AQ47" ca="1" si="2">IFERROR((FIXED(SLOPE((OFFSET($AO$44,,,(5-COUNTBLANK($AO$44:$AO$47)),1)),(OFFSET($AP$44,,,(5-COUNTBLANK($AP$44:$AP$47)),1))),4)*I45)+FIXED(INTERCEPT((OFFSET($AO$44,,,(5-COUNTBLANK($AO$44:$AO$47)),1)),(OFFSET($AP$44,,,(5-COUNTBLANK($AP$44:$AP$47)),1))),4),"")</f>
        <v>4999.9991</v>
      </c>
      <c r="AR45" s="232">
        <f ca="1">IFERROR(ABS(AO45-AQ45),"")</f>
        <v>2.7933003721045679E-3</v>
      </c>
    </row>
    <row r="46" spans="1:44" ht="14.1" customHeight="1" x14ac:dyDescent="0.2">
      <c r="A46" s="145">
        <v>3</v>
      </c>
      <c r="B46" s="551" t="str">
        <f ca="1">IF('Entrada de Dados'!D31="","-",(FIXED(('Entrada de Dados'!D31),IF(Cálculo!$EV$259&lt;1,LEN(Cálculo!$EV$259)-SEARCH(",",Cálculo!$EV$259),LEN(Cálculo!$EV$259)))))</f>
        <v>10.000,00</v>
      </c>
      <c r="C46" s="552"/>
      <c r="D46" s="553" t="str">
        <f ca="1">IF(B46="-","-",IF(Cálculo!$BT$5="",IF(T26="-","-",IF(Cálculo!$EV$259&lt;1,FIXED(0,LEN(Cálculo!$EV$259)-SEARCH(",",Cálculo!$EV$259)),FIXED(0,LEN(Cálculo!$EV$259)))),IF(Cálculo!$ER$258="-","-",(IF(Cálculo!$EV$259&lt;1,(FIXED(Cálculo!$ER$258,LEN(Cálculo!$EV$259)-SEARCH(",",Cálculo!$EV$259))),FIXED(Cálculo!$ER$258,LEN(Cálculo!$EV$259)))))))</f>
        <v>10.000,00</v>
      </c>
      <c r="E46" s="553"/>
      <c r="F46" s="553" t="str">
        <f ca="1">(IF('Entrada de Dados'!F31="","-",IF(Cálculo!$EV$259&lt;1,FIXED('Entrada de Dados'!F31,LEN(Cálculo!$EV$259)-SEARCH(",",Cálculo!$EV$259)),FIXED('Entrada de Dados'!F31,LEN(Cálculo!$EV$259)))))</f>
        <v>10.000,00</v>
      </c>
      <c r="G46" s="553"/>
      <c r="H46" s="553"/>
      <c r="I46" s="554" t="str">
        <f ca="1">(IF('Entrada de Dados'!H31="","-",IF(Cálculo!$EV$259&lt;1,FIXED(MROUND(AVERAGE('Entrada de Dados'!H31:M31),Cálculo!$EV$259),LEN(Cálculo!$EV$259)-SEARCH(",",Cálculo!$EV$259)),FIXED(MROUND(AVERAGE('Entrada de Dados'!H31:M31),Cálculo!$EV$259),LEN(Cálculo!$EV$259)))))</f>
        <v>10.000,00</v>
      </c>
      <c r="J46" s="554"/>
      <c r="K46" s="554"/>
      <c r="L46" s="555" t="str">
        <f ca="1">(IF('Entrada de Dados'!H31="","-",CONCATENATE(IF('Entrada de Dados'!H31="","",IF(MROUND(ABS(I46-D46),Cálculo!$EV$259)=0,"",IF((I46-D46)&gt;0,"+","-")))," ",IF(Cálculo!$EV$259&lt;1,FIXED(MROUND(ABS(I46-D46),Cálculo!$EV$259),(LEN(Cálculo!$EV$259)-SEARCH(",",Cálculo!$EV$259))),FIXED(MROUND(ABS(I46-D46),Cálculo!$EV$259),LEN(Cálculo!$EV$259))))))</f>
        <v xml:space="preserve"> 0,00</v>
      </c>
      <c r="M46" s="555"/>
      <c r="N46" s="554" t="str">
        <f ca="1">IF(Cálculo!$ER$269="-","-",CONCATENATE(IF(Cálculo!$EV$259&lt;1,FIXED(MROUND(Cálculo!$ER$269,Cálculo!$EV$259),(LEN(Cálculo!$EV$259)-SEARCH(",",Cálculo!$EV$259))),FIXED(MROUND(Cálculo!$ER$269,Cálculo!$EV$259),(LEN(Cálculo!$EV$259))))))</f>
        <v>20,00</v>
      </c>
      <c r="O46" s="554"/>
      <c r="P46" s="554"/>
      <c r="Q46" s="576">
        <f ca="1">Cálculo!$ER$268</f>
        <v>2</v>
      </c>
      <c r="R46" s="576"/>
      <c r="S46" s="576"/>
      <c r="T46" s="574" t="str">
        <f ca="1">Cálculo!$ER$267</f>
        <v>¥</v>
      </c>
      <c r="U46" s="574"/>
      <c r="V46" s="574"/>
      <c r="W46" s="575"/>
      <c r="X46" s="118"/>
      <c r="Y46" s="118"/>
      <c r="Z46" s="118"/>
      <c r="AO46" s="230">
        <f ca="1">IFERROR(VALUE(Cálculo!$ER$258),"")</f>
        <v>9999.9976134005647</v>
      </c>
      <c r="AP46" s="231">
        <f t="shared" ca="1" si="1"/>
        <v>10000</v>
      </c>
      <c r="AQ46" s="231">
        <f ca="1">IFERROR((FIXED(SLOPE((OFFSET($AO$44,,,(5-COUNTBLANK($AO$44:$AO$47)),1)),(OFFSET($AP$44,,,(5-COUNTBLANK($AP$44:$AP$47)),1))),4)*I46)+FIXED(INTERCEPT((OFFSET($AO$44,,,(5-COUNTBLANK($AO$44:$AO$47)),1)),(OFFSET($AP$44,,,(5-COUNTBLANK($AP$44:$AP$47)),1))),4),"")</f>
        <v>9999.9991000000009</v>
      </c>
      <c r="AR46" s="232">
        <f t="shared" ref="AR46" ca="1" si="3">IFERROR(ABS(AO46-AQ46),"")</f>
        <v>1.4865994362480706E-3</v>
      </c>
    </row>
    <row r="47" spans="1:44" ht="14.1" customHeight="1" x14ac:dyDescent="0.2">
      <c r="A47" s="145">
        <v>4</v>
      </c>
      <c r="B47" s="578" t="str">
        <f ca="1">IF('Entrada de Dados'!D32="","-",(FIXED(('Entrada de Dados'!D32),IF(Cálculo!$FW$259&lt;1,LEN(Cálculo!$FW$259)-SEARCH(",",Cálculo!$FW$259),LEN(Cálculo!$FW$259)))))</f>
        <v>11.000,00</v>
      </c>
      <c r="C47" s="579"/>
      <c r="D47" s="580" t="str">
        <f ca="1">IF(B47="-","-",IF(Cálculo!$BT$5="",IF(T27="-","-",IF(Cálculo!$FW$259&lt;1,FIXED(0,LEN(Cálculo!$FW$259)-SEARCH(",",Cálculo!$FW$259)),FIXED(0,LEN(Cálculo!$FW$259)))),IF(Cálculo!$FS$258="-","-",(IF(Cálculo!$FW$259&lt;1,(FIXED(Cálculo!$FS$258,LEN(Cálculo!$FW$259)-SEARCH(",",Cálculo!$FW$259))),FIXED(Cálculo!$FS$258,LEN(Cálculo!$FW$259)))))))</f>
        <v>11.000,00</v>
      </c>
      <c r="E47" s="580"/>
      <c r="F47" s="580" t="str">
        <f ca="1">(IF('Entrada de Dados'!F32="","-",IF(Cálculo!$FW$259&lt;1,FIXED('Entrada de Dados'!F32,LEN(Cálculo!$FW$259)-SEARCH(",",Cálculo!$FW$259)),FIXED('Entrada de Dados'!F32,LEN(Cálculo!$FW$259)))))</f>
        <v>11.000,00</v>
      </c>
      <c r="G47" s="580"/>
      <c r="H47" s="580"/>
      <c r="I47" s="581" t="str">
        <f ca="1">(IF('Entrada de Dados'!H32="","-",IF(Cálculo!$FW$259&lt;1,FIXED(MROUND(AVERAGE('Entrada de Dados'!H32:M32),Cálculo!$FW$259),LEN(Cálculo!$FW$259)-SEARCH(",",Cálculo!$FW$259)),FIXED(MROUND(AVERAGE('Entrada de Dados'!H32:M32),Cálculo!$FW$259),LEN(Cálculo!$FW$259)))))</f>
        <v>11.000,00</v>
      </c>
      <c r="J47" s="581"/>
      <c r="K47" s="581"/>
      <c r="L47" s="582" t="str">
        <f ca="1">(IF('Entrada de Dados'!H32="","-",CONCATENATE(IF('Entrada de Dados'!H32="","",IF(MROUND(ABS(I47-D47),Cálculo!$FW$259)=0,"",IF((I47-D47)&gt;0,"+","-")))," ",IF(Cálculo!$FW$259&lt;1,FIXED(MROUND(ABS(I47-D47),Cálculo!$FW$259),(LEN(Cálculo!$FW$259)-SEARCH(",",Cálculo!$FW$259))),FIXED(MROUND(ABS(I47-D47),Cálculo!$FW$259),LEN(Cálculo!$FW$259))))))</f>
        <v xml:space="preserve"> 0,00</v>
      </c>
      <c r="M47" s="582"/>
      <c r="N47" s="581" t="str">
        <f ca="1">IF(Cálculo!$FS$269="-","-",CONCATENATE(IF(Cálculo!$FW$259&lt;1,FIXED(MROUND(Cálculo!$FS$269,Cálculo!$FW$259),(LEN(Cálculo!$FW$259)-SEARCH(",",Cálculo!$FW$259))),FIXED(MROUND(Cálculo!$FS$269,Cálculo!$FW$259),(LEN(Cálculo!$FW$259))))))</f>
        <v>20,00</v>
      </c>
      <c r="O47" s="581"/>
      <c r="P47" s="581"/>
      <c r="Q47" s="548">
        <f ca="1">Cálculo!$FS$268</f>
        <v>2</v>
      </c>
      <c r="R47" s="548"/>
      <c r="S47" s="548"/>
      <c r="T47" s="549" t="str">
        <f ca="1">Cálculo!$FS$267</f>
        <v>¥</v>
      </c>
      <c r="U47" s="549"/>
      <c r="V47" s="549"/>
      <c r="W47" s="550"/>
      <c r="X47" s="118"/>
      <c r="Y47" s="118"/>
      <c r="Z47" s="118"/>
      <c r="AO47" s="230">
        <f ca="1">IFERROR(VALUE(Cálculo!$FS$258),"")</f>
        <v>10999.997874740751</v>
      </c>
      <c r="AP47" s="231">
        <f t="shared" ca="1" si="1"/>
        <v>11000</v>
      </c>
      <c r="AQ47" s="231">
        <f t="shared" ca="1" si="2"/>
        <v>10999.999100000001</v>
      </c>
      <c r="AR47" s="232">
        <f ca="1">IFERROR(ABS(AO47-AQ47),"")</f>
        <v>1.2252592496224679E-3</v>
      </c>
    </row>
    <row r="48" spans="1:44" s="146" customFormat="1" x14ac:dyDescent="0.2">
      <c r="B48" s="650"/>
      <c r="C48" s="650"/>
      <c r="D48" s="650"/>
      <c r="E48" s="650"/>
      <c r="F48" s="650"/>
      <c r="G48" s="650"/>
      <c r="H48" s="650"/>
      <c r="I48" s="650"/>
      <c r="J48" s="650"/>
      <c r="K48" s="650"/>
      <c r="L48" s="650"/>
      <c r="M48" s="650"/>
      <c r="N48" s="650"/>
      <c r="O48" s="650"/>
      <c r="P48" s="650"/>
      <c r="Q48" s="650"/>
      <c r="R48" s="650"/>
      <c r="S48" s="650"/>
      <c r="T48" s="650"/>
      <c r="U48" s="650"/>
      <c r="V48" s="650"/>
      <c r="W48" s="650"/>
      <c r="X48" s="147"/>
      <c r="Y48" s="148"/>
      <c r="Z48" s="148"/>
      <c r="AO48" s="230"/>
      <c r="AP48" s="231"/>
      <c r="AQ48" s="231"/>
      <c r="AR48" s="232"/>
    </row>
    <row r="49" spans="2:44" s="146" customFormat="1" ht="20.25" customHeight="1" x14ac:dyDescent="0.2">
      <c r="B49" s="567" t="s">
        <v>248</v>
      </c>
      <c r="C49" s="568"/>
      <c r="D49" s="568"/>
      <c r="E49" s="568"/>
      <c r="F49" s="568"/>
      <c r="G49" s="568"/>
      <c r="H49" s="568"/>
      <c r="I49" s="568"/>
      <c r="J49" s="569" t="str">
        <f ca="1">'Sem ajuste+Declaração'!J49</f>
        <v>VR= 1,00000x VML - 0,00091</v>
      </c>
      <c r="K49" s="569"/>
      <c r="L49" s="569"/>
      <c r="M49" s="569"/>
      <c r="N49" s="569"/>
      <c r="O49" s="569"/>
      <c r="P49" s="569"/>
      <c r="Q49" s="569"/>
      <c r="R49" s="569"/>
      <c r="S49" s="569"/>
      <c r="T49" s="569"/>
      <c r="U49" s="584" t="str">
        <f ca="1">'Sem ajuste+Declaração'!U49</f>
        <v>ELin = 0,00%</v>
      </c>
      <c r="V49" s="584"/>
      <c r="W49" s="585"/>
      <c r="X49" s="147"/>
      <c r="Y49" s="148"/>
      <c r="Z49" s="148"/>
      <c r="AO49" s="230"/>
      <c r="AP49" s="231"/>
      <c r="AQ49" s="231"/>
      <c r="AR49" s="232"/>
    </row>
    <row r="50" spans="2:44" s="146" customFormat="1" ht="15" customHeight="1" x14ac:dyDescent="0.2">
      <c r="B50" s="241"/>
      <c r="C50" s="241"/>
      <c r="D50" s="241"/>
      <c r="E50" s="241"/>
      <c r="F50" s="241"/>
      <c r="G50" s="241"/>
      <c r="H50" s="241"/>
      <c r="I50" s="241"/>
      <c r="J50" s="241"/>
      <c r="K50" s="241"/>
      <c r="L50" s="241"/>
      <c r="M50" s="241"/>
      <c r="N50" s="241"/>
      <c r="O50" s="241"/>
      <c r="P50" s="241"/>
      <c r="Q50" s="241"/>
      <c r="R50" s="241"/>
      <c r="S50" s="241"/>
      <c r="T50" s="241"/>
      <c r="U50" s="241"/>
      <c r="V50" s="241"/>
      <c r="W50" s="241"/>
      <c r="X50" s="147"/>
      <c r="Y50" s="148"/>
      <c r="Z50" s="148"/>
      <c r="AO50" s="230"/>
      <c r="AP50" s="231"/>
      <c r="AQ50" s="231"/>
      <c r="AR50" s="232"/>
    </row>
    <row r="51" spans="2:44" ht="15" customHeight="1" outlineLevel="1" x14ac:dyDescent="0.2">
      <c r="B51" s="655" t="s">
        <v>165</v>
      </c>
      <c r="C51" s="655"/>
      <c r="D51" s="655"/>
      <c r="E51" s="655"/>
      <c r="F51" s="655"/>
      <c r="G51" s="655"/>
      <c r="H51" s="655"/>
      <c r="I51" s="655"/>
      <c r="J51" s="655"/>
      <c r="K51" s="655"/>
      <c r="L51" s="655"/>
      <c r="M51" s="655"/>
      <c r="N51" s="655"/>
      <c r="O51" s="655"/>
      <c r="P51" s="655"/>
      <c r="Q51" s="655"/>
      <c r="R51" s="655"/>
      <c r="S51" s="655"/>
      <c r="T51" s="655"/>
      <c r="U51" s="655"/>
      <c r="V51" s="655"/>
      <c r="W51" s="655"/>
      <c r="X51" s="133"/>
      <c r="Y51" s="133"/>
      <c r="Z51" s="133"/>
      <c r="AO51" s="233"/>
      <c r="AP51" s="164"/>
      <c r="AQ51" s="234"/>
      <c r="AR51" s="235"/>
    </row>
    <row r="52" spans="2:44" ht="6.75" customHeight="1" outlineLevel="1" x14ac:dyDescent="0.2">
      <c r="B52" s="521"/>
      <c r="C52" s="521"/>
      <c r="D52" s="521"/>
      <c r="E52" s="521"/>
      <c r="F52" s="521"/>
      <c r="G52" s="521"/>
      <c r="H52" s="521"/>
      <c r="I52" s="521"/>
      <c r="J52" s="521"/>
      <c r="K52" s="521"/>
      <c r="L52" s="521"/>
      <c r="M52" s="521"/>
      <c r="N52" s="521"/>
      <c r="O52" s="521"/>
      <c r="P52" s="521"/>
      <c r="Q52" s="521"/>
      <c r="R52" s="521"/>
      <c r="S52" s="521"/>
      <c r="T52" s="521"/>
      <c r="U52" s="521"/>
      <c r="V52" s="521"/>
      <c r="W52" s="521"/>
      <c r="X52" s="119"/>
      <c r="Y52" s="119"/>
      <c r="Z52" s="119"/>
      <c r="AO52" s="236"/>
      <c r="AP52" s="165"/>
      <c r="AQ52" s="165"/>
      <c r="AR52" s="237"/>
    </row>
    <row r="53" spans="2:44" ht="22.5" customHeight="1" outlineLevel="1" thickBot="1" x14ac:dyDescent="0.25">
      <c r="D53" s="632" t="s">
        <v>100</v>
      </c>
      <c r="E53" s="633"/>
      <c r="F53" s="633"/>
      <c r="G53" s="634"/>
      <c r="H53" s="618" t="s">
        <v>179</v>
      </c>
      <c r="I53" s="632" t="s">
        <v>108</v>
      </c>
      <c r="J53" s="633"/>
      <c r="K53" s="633"/>
      <c r="L53" s="633"/>
      <c r="M53" s="634"/>
      <c r="N53" s="641" t="s">
        <v>137</v>
      </c>
      <c r="O53" s="642"/>
      <c r="P53" s="642"/>
      <c r="Q53" s="642"/>
      <c r="R53" s="643"/>
      <c r="S53" s="632" t="s">
        <v>101</v>
      </c>
      <c r="T53" s="633"/>
      <c r="U53" s="634"/>
      <c r="AO53" s="238"/>
      <c r="AP53" s="239"/>
      <c r="AQ53" s="239"/>
      <c r="AR53" s="240"/>
    </row>
    <row r="54" spans="2:44" ht="11.25" customHeight="1" outlineLevel="1" x14ac:dyDescent="0.2">
      <c r="D54" s="635"/>
      <c r="E54" s="636"/>
      <c r="F54" s="636"/>
      <c r="G54" s="637"/>
      <c r="H54" s="619"/>
      <c r="I54" s="638" t="str">
        <f>IF($I$26="micrograma (µg)","(µg)",IF($I$26="miligrama (mg)","(mg)",IF($I$26="grama (g)","(g)",IF($I$26="quilograma (kg)","(kg)",IF($I$26="tonelada (t)","(t)","-")))))</f>
        <v>(kg)</v>
      </c>
      <c r="J54" s="639"/>
      <c r="K54" s="639"/>
      <c r="L54" s="639"/>
      <c r="M54" s="640"/>
      <c r="N54" s="638" t="str">
        <f>IF($I$26="micrograma (µg)","(µg)",IF($I$26="miligrama (mg)","(mg)",IF($I$26="grama (g)","(g)",IF($I$26="quilograma (kg)","(kg)",IF($I$26="tonelada (t)","(t)","-")))))</f>
        <v>(kg)</v>
      </c>
      <c r="O54" s="639"/>
      <c r="P54" s="639"/>
      <c r="Q54" s="639"/>
      <c r="R54" s="640"/>
      <c r="S54" s="635"/>
      <c r="T54" s="636"/>
      <c r="U54" s="637"/>
    </row>
    <row r="55" spans="2:44" ht="13.5" customHeight="1" outlineLevel="1" x14ac:dyDescent="0.2">
      <c r="D55" s="629" t="str">
        <f>IF($I$26="micrograma (µg)","(µg)",IF($I$26="miligrama (mg)","(mg)",IF($I$26="grama (g)","(g)",IF($I$26="quilograma (kg)","(kg)",IF($I$26="tonelada (t)","(t)","-")))))</f>
        <v>(kg)</v>
      </c>
      <c r="E55" s="630"/>
      <c r="F55" s="630"/>
      <c r="G55" s="631"/>
      <c r="H55" s="620"/>
      <c r="I55" s="644" t="s">
        <v>87</v>
      </c>
      <c r="J55" s="616"/>
      <c r="K55" s="318"/>
      <c r="L55" s="616" t="s">
        <v>86</v>
      </c>
      <c r="M55" s="617"/>
      <c r="N55" s="644" t="s">
        <v>87</v>
      </c>
      <c r="O55" s="616"/>
      <c r="P55" s="319"/>
      <c r="Q55" s="616" t="s">
        <v>86</v>
      </c>
      <c r="R55" s="617"/>
      <c r="S55" s="629" t="str">
        <f>IF($I$26="micrograma (µg)","(µg)",IF($I$26="miligrama (mg)","(mg)",IF($I$26="grama (g)","(g)",IF($I$26="quilograma (kg)","(kg)",IF($I$26="tonelada (t)","(t)","-")))))</f>
        <v>(kg)</v>
      </c>
      <c r="T55" s="630"/>
      <c r="U55" s="631"/>
    </row>
    <row r="56" spans="2:44" ht="18" customHeight="1" outlineLevel="1" x14ac:dyDescent="0.2">
      <c r="D56" s="658" t="str">
        <f ca="1">IF(N44="-","-",(CONCATENATE(MID(MAX(VALUE(N44),VALUE(N45),VALUE(N46),VALUE(N47)),1,IF('Entrada de Dados'!$R$9&lt;1,(LEN('Entrada de Dados'!$R$9)),(LEN('Entrada de Dados'!$R$9))+2)))))</f>
        <v>20</v>
      </c>
      <c r="E56" s="659"/>
      <c r="F56" s="659"/>
      <c r="G56" s="659"/>
      <c r="H56" s="52" t="e">
        <f ca="1">IF(N44="-","-",LOOKUP(MAX(VALUE(N44),VALUE(N45),VALUE(N46),VALUE(N47)),(VALUE(N44:U47)),(VALUE(Q44:Q47))))</f>
        <v>#N/A</v>
      </c>
      <c r="I56" s="660" t="str">
        <f ca="1">(IF('Desvio Permissível'!C14="-","-",IF('Entrada de Dados'!R9&lt;1,FIXED(MAX('Desvio Permissível'!C14:D17),LEN('Entrada de Dados'!$R$9)-SEARCH(",",'Entrada de Dados'!$R$9)),FIXED(MAX('Desvio Permissível'!C14:D17),LEN('Entrada de Dados'!$R$9)))))</f>
        <v>20,00</v>
      </c>
      <c r="J56" s="660"/>
      <c r="K56" s="29"/>
      <c r="L56" s="660" t="str">
        <f ca="1">(IF('Desvio Permissível'!D14="-","-",IF('Entrada de Dados'!$R$9&lt;1,FIXED(MIN('Desvio Permissível'!C14:D17),LEN('Entrada de Dados'!$R$9)-SEARCH(",",'Entrada de Dados'!$R$9)),FIXED(MIN('Desvio Permissível'!C14:D17),LEN('Entrada de Dados'!$R$9)))))</f>
        <v>-20,00</v>
      </c>
      <c r="M56" s="660"/>
      <c r="N56" s="661" t="str">
        <f ca="1">IF(AND('Entrada de Dados'!$S$42="",'Entrada de Dados'!$P$42=""),"-",IF('Entrada de Dados'!$S$42="",(CONCATENATE(CHAR(177)," ",IF('Entrada de Dados'!$R$9&lt;1,FIXED('Entrada de Dados'!$P$42,LEN('Entrada de Dados'!$R$9)-SEARCH(",",'Entrada de Dados'!$R$9)),FIXED('Entrada de Dados'!$P$42,LEN('Entrada de Dados'!$R$9))))),IF(I56="-","-",(CONCATENATE(CHAR(177)," ",MID(INDEX('Desvio Permissível'!$I$12:$J$19,MATCH(VALUE(I56),'Desvio Permissível'!I12:I19,0),2),1,IF('Entrada de Dados'!$R$9&lt;1,LEN('Entrada de Dados'!$R$9),LEN('Entrada de Dados'!$R$9)+2)))))))</f>
        <v>± 20,0</v>
      </c>
      <c r="O56" s="661"/>
      <c r="Q56" s="662" t="str">
        <f ca="1">IF(AND('Entrada de Dados'!$S$42="",'Entrada de Dados'!$P$42=""),"-",IF('Entrada de Dados'!$S$42="",(CONCATENATE(CHAR(177)," ",IF('Entrada de Dados'!$R$9&lt;1,FIXED('Entrada de Dados'!$P$42,LEN('Entrada de Dados'!$R$9)-SEARCH(",",'Entrada de Dados'!$R$9)),FIXED('Entrada de Dados'!$P$42,LEN('Entrada de Dados'!$R$9))))),IF(L56="-","-",(CONCATENATE(CHAR(177)," ",MID(INDEX('Desvio Permissível'!$I$12:$J$19,MATCH(VALUE(L56),'Desvio Permissível'!I12:I19,0),2),1,IF('Entrada de Dados'!$R$9&lt;1,LEN('Entrada de Dados'!$R$9),LEN('Entrada de Dados'!$R$9)+2)))))))</f>
        <v>± 20,0</v>
      </c>
      <c r="R56" s="662"/>
      <c r="S56" s="662" t="str">
        <f ca="1">IF(L44="-","-",CONCATENATE(IF('Entrada de Dados'!H31="","",IF(MAX(ABS(I44-D44),ABS(I45-D45),ABS(I46-D46),ABS(I47-D47))=0,"",IF(MIN(I44-D44,I45-D45,I46-D46,I47-D47)&lt;0,"-","+")))," ",MID((MAX(ABS(I44-D44),ABS(I45-D45),ABS(I46-D46),ABS(I47-D47))),1,IF('Entrada de Dados'!$R$9&lt;1,(LEN('Entrada de Dados'!$R$9)),(LEN('Entrada de Dados'!$R$9)+2)))))</f>
        <v xml:space="preserve"> 0</v>
      </c>
      <c r="T56" s="659"/>
      <c r="U56" s="663"/>
    </row>
    <row r="57" spans="2:44" ht="6.75" customHeight="1" outlineLevel="1" x14ac:dyDescent="0.2">
      <c r="D57" s="317"/>
      <c r="E57" s="29"/>
      <c r="F57" s="29"/>
      <c r="G57" s="29"/>
      <c r="H57" s="29"/>
      <c r="I57" s="652"/>
      <c r="J57" s="652"/>
      <c r="K57" s="651"/>
      <c r="L57" s="651"/>
      <c r="M57" s="651"/>
      <c r="N57" s="651"/>
      <c r="O57" s="95"/>
      <c r="P57" s="653"/>
      <c r="Q57" s="653"/>
      <c r="R57" s="653"/>
      <c r="S57" s="653"/>
      <c r="T57" s="653"/>
      <c r="U57" s="654"/>
      <c r="V57" s="1"/>
      <c r="W57" s="94"/>
    </row>
    <row r="58" spans="2:44" ht="12.75" customHeight="1" outlineLevel="1" x14ac:dyDescent="0.2">
      <c r="C58" s="316"/>
      <c r="D58" s="622" t="str">
        <f ca="1">IF(AND('Entrada de Dados'!$S$42="",'Entrada de Dados'!$P$42=""),"-",IF(AND('Entrada de Dados'!$S$42&lt;&gt;"",'Entrada de Dados'!$P$42=""),IF(AND('Entrada de Dados'!$S$42="",'Entrada de Dados'!$P$42=""),"-",IF(AND('Entrada de Dados'!$S$42="",'Entrada de Dados'!$P$42&lt;&gt;""),"-",IF(AND(ABS(I56)&lt;=VALUE(MID(N56,2,10000)),ABS(L56)&lt;=VALUE(MID(Q56,2,10000))),"Todas as medições, ampliadas pela incerteza expandida, estão dentro dos limites de Desvio Permissível Adotado de acordo a portaria 157/22.","As medições, ampliadas pela incerteza expandida, não estão dentro dos limites de Desvio Permissível Adotado de acordo a portaria 157/22."))),IF(AND('Entrada de Dados'!$S$42="",'Entrada de Dados'!$P$42=""),"-",IF(AND('Entrada de Dados'!$S$42&lt;&gt;"",'Entrada de Dados'!$P$42=""),"-",IF(AND(ABS(I56)&lt;=VALUE(MID(N56,2,10000)),ABS(L56)&lt;=VALUE(MID(Q56,2,10000))),"Todas as medições, ampliadas pela incerteza expandida, estão dentro dos limites de Desvio Permissível Adotado de acordo a portaria 157/22.","As medições, ampliadas pela incerteza expandida, não estão dentro dos limites de Desvio Permissível Adotado de acordo a portaria 157/22.")))))</f>
        <v>Todas as medições, ampliadas pela incerteza expandida, estão dentro dos limites de Desvio Permissível Adotado de acordo a portaria 157/22.</v>
      </c>
      <c r="E58" s="623"/>
      <c r="F58" s="623"/>
      <c r="G58" s="623"/>
      <c r="H58" s="623"/>
      <c r="I58" s="623"/>
      <c r="J58" s="623"/>
      <c r="K58" s="623"/>
      <c r="L58" s="623"/>
      <c r="M58" s="623"/>
      <c r="N58" s="623"/>
      <c r="O58" s="623"/>
      <c r="P58" s="623"/>
      <c r="Q58" s="623"/>
      <c r="R58" s="623"/>
      <c r="S58" s="623"/>
      <c r="T58" s="623"/>
      <c r="U58" s="624"/>
      <c r="V58" s="38"/>
      <c r="W58" s="38"/>
    </row>
    <row r="59" spans="2:44" ht="12.75" customHeight="1" outlineLevel="1" x14ac:dyDescent="0.2">
      <c r="B59" s="38"/>
      <c r="C59" s="38"/>
      <c r="D59" s="625"/>
      <c r="E59" s="626"/>
      <c r="F59" s="626"/>
      <c r="G59" s="626"/>
      <c r="H59" s="626"/>
      <c r="I59" s="626"/>
      <c r="J59" s="626"/>
      <c r="K59" s="626"/>
      <c r="L59" s="626"/>
      <c r="M59" s="626"/>
      <c r="N59" s="626"/>
      <c r="O59" s="626"/>
      <c r="P59" s="626"/>
      <c r="Q59" s="626"/>
      <c r="R59" s="626"/>
      <c r="S59" s="626"/>
      <c r="T59" s="626"/>
      <c r="U59" s="627"/>
      <c r="V59" s="38"/>
      <c r="W59" s="38"/>
      <c r="X59" s="117"/>
      <c r="Y59" s="117"/>
      <c r="Z59" s="117"/>
    </row>
    <row r="60" spans="2:44" ht="9" customHeight="1" outlineLevel="1" x14ac:dyDescent="0.2">
      <c r="B60"/>
      <c r="C60" s="2"/>
      <c r="D60" s="628" t="s">
        <v>102</v>
      </c>
      <c r="E60" s="628"/>
      <c r="F60" s="628"/>
      <c r="G60" s="628"/>
      <c r="H60" s="628"/>
      <c r="I60" s="628"/>
      <c r="J60" s="628"/>
      <c r="K60" s="149"/>
      <c r="L60" s="149"/>
      <c r="M60" s="149"/>
      <c r="N60" s="149"/>
      <c r="O60" s="149"/>
      <c r="P60" s="149"/>
      <c r="Q60" s="149"/>
      <c r="R60" s="2"/>
      <c r="S60" s="2"/>
      <c r="T60" s="2"/>
      <c r="U60" s="2"/>
      <c r="V60" s="1"/>
      <c r="W60" s="94"/>
      <c r="X60" s="120"/>
      <c r="Y60" s="120"/>
      <c r="Z60" s="120"/>
    </row>
    <row r="61" spans="2:44" ht="15" customHeight="1" x14ac:dyDescent="0.2">
      <c r="B61" s="150"/>
      <c r="C61" s="150"/>
      <c r="D61" s="29"/>
      <c r="E61" s="29"/>
      <c r="F61" s="29"/>
      <c r="G61" s="29"/>
      <c r="H61" s="29"/>
      <c r="I61" s="29"/>
      <c r="J61" s="29"/>
      <c r="K61" s="149"/>
      <c r="L61" s="149"/>
      <c r="M61" s="149"/>
      <c r="N61" s="149"/>
      <c r="O61" s="149"/>
      <c r="P61" s="149"/>
      <c r="Q61" s="149"/>
      <c r="R61" s="2"/>
      <c r="S61" s="2"/>
      <c r="T61" s="2"/>
      <c r="U61" s="2"/>
      <c r="V61" s="1"/>
      <c r="W61" s="94"/>
      <c r="X61" s="120"/>
      <c r="Y61" s="120"/>
      <c r="Z61" s="120"/>
    </row>
    <row r="62" spans="2:44" ht="15" customHeight="1" x14ac:dyDescent="0.2">
      <c r="B62" s="502" t="s">
        <v>149</v>
      </c>
      <c r="C62" s="502"/>
      <c r="D62" s="502"/>
      <c r="E62" s="502"/>
      <c r="F62" s="502"/>
      <c r="G62" s="502"/>
      <c r="H62" s="502"/>
      <c r="I62" s="502"/>
      <c r="J62" s="502"/>
      <c r="K62" s="502"/>
      <c r="L62" s="502"/>
      <c r="M62" s="502"/>
      <c r="N62" s="502"/>
      <c r="O62" s="502"/>
      <c r="P62" s="502"/>
      <c r="Q62" s="502"/>
      <c r="R62" s="502"/>
      <c r="S62" s="502"/>
      <c r="T62" s="502"/>
      <c r="U62" s="132"/>
      <c r="V62" s="132"/>
      <c r="W62" s="132"/>
      <c r="X62" s="133"/>
      <c r="Y62" s="133"/>
      <c r="Z62" s="133"/>
    </row>
    <row r="63" spans="2:44" s="101" customFormat="1" ht="6.75" customHeight="1" x14ac:dyDescent="0.2">
      <c r="B63" s="521"/>
      <c r="C63" s="521"/>
      <c r="D63" s="521"/>
      <c r="E63" s="521"/>
      <c r="F63" s="521"/>
      <c r="G63" s="521"/>
      <c r="H63" s="521"/>
      <c r="I63" s="521"/>
      <c r="J63" s="521"/>
      <c r="K63" s="521"/>
      <c r="L63" s="521"/>
      <c r="M63" s="521"/>
      <c r="N63" s="521"/>
      <c r="O63" s="521"/>
      <c r="P63" s="521"/>
      <c r="Q63" s="521"/>
      <c r="R63" s="521"/>
      <c r="S63" s="521"/>
      <c r="T63" s="521"/>
      <c r="U63" s="521"/>
      <c r="V63" s="521"/>
      <c r="W63" s="521"/>
      <c r="X63" s="119"/>
      <c r="Y63" s="119"/>
      <c r="Z63" s="119"/>
    </row>
    <row r="64" spans="2:44" s="102" customFormat="1" ht="19.5" customHeight="1" x14ac:dyDescent="0.2">
      <c r="B64" s="593"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6 meses adotada pelo Cliente.</v>
      </c>
      <c r="C64" s="594"/>
      <c r="D64" s="594"/>
      <c r="E64" s="594"/>
      <c r="F64" s="594"/>
      <c r="G64" s="594"/>
      <c r="H64" s="594"/>
      <c r="I64" s="594"/>
      <c r="J64" s="594"/>
      <c r="K64" s="594"/>
      <c r="L64" s="594"/>
      <c r="M64" s="594"/>
      <c r="N64" s="594"/>
      <c r="O64" s="594"/>
      <c r="P64" s="594"/>
      <c r="Q64" s="594"/>
      <c r="R64" s="594"/>
      <c r="S64" s="594"/>
      <c r="T64" s="594"/>
      <c r="U64" s="594"/>
      <c r="V64" s="594"/>
      <c r="W64" s="595"/>
      <c r="X64" s="134"/>
      <c r="Y64" s="134"/>
      <c r="Z64" s="134"/>
    </row>
    <row r="65" spans="2:26" s="102" customFormat="1" ht="19.5" customHeight="1" x14ac:dyDescent="0.2">
      <c r="B65" s="596"/>
      <c r="C65" s="597"/>
      <c r="D65" s="597"/>
      <c r="E65" s="597"/>
      <c r="F65" s="597"/>
      <c r="G65" s="597"/>
      <c r="H65" s="597"/>
      <c r="I65" s="597"/>
      <c r="J65" s="597"/>
      <c r="K65" s="597"/>
      <c r="L65" s="597"/>
      <c r="M65" s="597"/>
      <c r="N65" s="597"/>
      <c r="O65" s="597"/>
      <c r="P65" s="597"/>
      <c r="Q65" s="597"/>
      <c r="R65" s="597"/>
      <c r="S65" s="597"/>
      <c r="T65" s="597"/>
      <c r="U65" s="597"/>
      <c r="V65" s="597"/>
      <c r="W65" s="598"/>
      <c r="X65" s="134"/>
      <c r="Y65" s="134"/>
      <c r="Z65" s="134"/>
    </row>
    <row r="66" spans="2:26" s="102" customFormat="1" ht="19.5" customHeight="1" x14ac:dyDescent="0.2">
      <c r="B66" s="596"/>
      <c r="C66" s="597"/>
      <c r="D66" s="597"/>
      <c r="E66" s="597"/>
      <c r="F66" s="597"/>
      <c r="G66" s="597"/>
      <c r="H66" s="597"/>
      <c r="I66" s="597"/>
      <c r="J66" s="597"/>
      <c r="K66" s="597"/>
      <c r="L66" s="597"/>
      <c r="M66" s="597"/>
      <c r="N66" s="597"/>
      <c r="O66" s="597"/>
      <c r="P66" s="597"/>
      <c r="Q66" s="597"/>
      <c r="R66" s="597"/>
      <c r="S66" s="597"/>
      <c r="T66" s="597"/>
      <c r="U66" s="597"/>
      <c r="V66" s="597"/>
      <c r="W66" s="598"/>
      <c r="X66" s="134"/>
      <c r="Y66" s="134"/>
      <c r="Z66" s="134"/>
    </row>
    <row r="67" spans="2:26" s="102" customFormat="1" ht="19.5" customHeight="1" x14ac:dyDescent="0.2">
      <c r="B67" s="596"/>
      <c r="C67" s="597"/>
      <c r="D67" s="597"/>
      <c r="E67" s="597"/>
      <c r="F67" s="597"/>
      <c r="G67" s="597"/>
      <c r="H67" s="597"/>
      <c r="I67" s="597"/>
      <c r="J67" s="597"/>
      <c r="K67" s="597"/>
      <c r="L67" s="597"/>
      <c r="M67" s="597"/>
      <c r="N67" s="597"/>
      <c r="O67" s="597"/>
      <c r="P67" s="597"/>
      <c r="Q67" s="597"/>
      <c r="R67" s="597"/>
      <c r="S67" s="597"/>
      <c r="T67" s="597"/>
      <c r="U67" s="597"/>
      <c r="V67" s="597"/>
      <c r="W67" s="598"/>
      <c r="X67" s="134"/>
      <c r="Y67" s="134"/>
      <c r="Z67" s="134"/>
    </row>
    <row r="68" spans="2:26" s="102" customFormat="1" ht="19.5" customHeight="1" x14ac:dyDescent="0.2">
      <c r="B68" s="596"/>
      <c r="C68" s="597"/>
      <c r="D68" s="597"/>
      <c r="E68" s="597"/>
      <c r="F68" s="597"/>
      <c r="G68" s="597"/>
      <c r="H68" s="597"/>
      <c r="I68" s="597"/>
      <c r="J68" s="597"/>
      <c r="K68" s="597"/>
      <c r="L68" s="597"/>
      <c r="M68" s="597"/>
      <c r="N68" s="597"/>
      <c r="O68" s="597"/>
      <c r="P68" s="597"/>
      <c r="Q68" s="597"/>
      <c r="R68" s="597"/>
      <c r="S68" s="597"/>
      <c r="T68" s="597"/>
      <c r="U68" s="597"/>
      <c r="V68" s="597"/>
      <c r="W68" s="598"/>
      <c r="X68" s="134"/>
      <c r="Y68" s="134"/>
      <c r="Z68" s="134"/>
    </row>
    <row r="69" spans="2:26" s="102" customFormat="1" ht="19.5" customHeight="1" x14ac:dyDescent="0.2">
      <c r="B69" s="596"/>
      <c r="C69" s="597"/>
      <c r="D69" s="597"/>
      <c r="E69" s="597"/>
      <c r="F69" s="597"/>
      <c r="G69" s="597"/>
      <c r="H69" s="597"/>
      <c r="I69" s="597"/>
      <c r="J69" s="597"/>
      <c r="K69" s="597"/>
      <c r="L69" s="597"/>
      <c r="M69" s="597"/>
      <c r="N69" s="597"/>
      <c r="O69" s="597"/>
      <c r="P69" s="597"/>
      <c r="Q69" s="597"/>
      <c r="R69" s="597"/>
      <c r="S69" s="597"/>
      <c r="T69" s="597"/>
      <c r="U69" s="597"/>
      <c r="V69" s="597"/>
      <c r="W69" s="598"/>
      <c r="X69" s="134"/>
      <c r="Y69" s="134"/>
      <c r="Z69" s="134"/>
    </row>
    <row r="70" spans="2:26" s="102" customFormat="1" ht="19.5" customHeight="1" x14ac:dyDescent="0.2">
      <c r="B70" s="596"/>
      <c r="C70" s="597"/>
      <c r="D70" s="597"/>
      <c r="E70" s="597"/>
      <c r="F70" s="597"/>
      <c r="G70" s="597"/>
      <c r="H70" s="597"/>
      <c r="I70" s="597"/>
      <c r="J70" s="597"/>
      <c r="K70" s="597"/>
      <c r="L70" s="597"/>
      <c r="M70" s="597"/>
      <c r="N70" s="597"/>
      <c r="O70" s="597"/>
      <c r="P70" s="597"/>
      <c r="Q70" s="597"/>
      <c r="R70" s="597"/>
      <c r="S70" s="597"/>
      <c r="T70" s="597"/>
      <c r="U70" s="597"/>
      <c r="V70" s="597"/>
      <c r="W70" s="598"/>
      <c r="X70" s="134"/>
      <c r="Y70" s="134"/>
      <c r="Z70" s="134"/>
    </row>
    <row r="71" spans="2:26" s="102" customFormat="1" ht="19.5" customHeight="1" x14ac:dyDescent="0.2">
      <c r="B71" s="596"/>
      <c r="C71" s="597"/>
      <c r="D71" s="597"/>
      <c r="E71" s="597"/>
      <c r="F71" s="597"/>
      <c r="G71" s="597"/>
      <c r="H71" s="597"/>
      <c r="I71" s="597"/>
      <c r="J71" s="597"/>
      <c r="K71" s="597"/>
      <c r="L71" s="597"/>
      <c r="M71" s="597"/>
      <c r="N71" s="597"/>
      <c r="O71" s="597"/>
      <c r="P71" s="597"/>
      <c r="Q71" s="597"/>
      <c r="R71" s="597"/>
      <c r="S71" s="597"/>
      <c r="T71" s="597"/>
      <c r="U71" s="597"/>
      <c r="V71" s="597"/>
      <c r="W71" s="598"/>
      <c r="X71" s="134"/>
      <c r="Y71" s="134"/>
      <c r="Z71" s="134"/>
    </row>
    <row r="72" spans="2:26" s="102" customFormat="1" ht="19.5" customHeight="1" x14ac:dyDescent="0.2">
      <c r="B72" s="596"/>
      <c r="C72" s="597"/>
      <c r="D72" s="597"/>
      <c r="E72" s="597"/>
      <c r="F72" s="597"/>
      <c r="G72" s="597"/>
      <c r="H72" s="597"/>
      <c r="I72" s="597"/>
      <c r="J72" s="597"/>
      <c r="K72" s="597"/>
      <c r="L72" s="597"/>
      <c r="M72" s="597"/>
      <c r="N72" s="597"/>
      <c r="O72" s="597"/>
      <c r="P72" s="597"/>
      <c r="Q72" s="597"/>
      <c r="R72" s="597"/>
      <c r="S72" s="597"/>
      <c r="T72" s="597"/>
      <c r="U72" s="597"/>
      <c r="V72" s="597"/>
      <c r="W72" s="598"/>
      <c r="X72" s="134"/>
      <c r="Y72" s="134"/>
      <c r="Z72" s="134"/>
    </row>
    <row r="73" spans="2:26" s="102" customFormat="1" ht="19.5" customHeight="1" x14ac:dyDescent="0.2">
      <c r="B73" s="596"/>
      <c r="C73" s="597"/>
      <c r="D73" s="597"/>
      <c r="E73" s="597"/>
      <c r="F73" s="597"/>
      <c r="G73" s="597"/>
      <c r="H73" s="597"/>
      <c r="I73" s="597"/>
      <c r="J73" s="597"/>
      <c r="K73" s="597"/>
      <c r="L73" s="597"/>
      <c r="M73" s="597"/>
      <c r="N73" s="597"/>
      <c r="O73" s="597"/>
      <c r="P73" s="597"/>
      <c r="Q73" s="597"/>
      <c r="R73" s="597"/>
      <c r="S73" s="597"/>
      <c r="T73" s="597"/>
      <c r="U73" s="597"/>
      <c r="V73" s="597"/>
      <c r="W73" s="598"/>
      <c r="X73" s="134"/>
      <c r="Y73" s="134"/>
      <c r="Z73" s="134"/>
    </row>
    <row r="74" spans="2:26" s="102" customFormat="1" ht="19.5" customHeight="1" x14ac:dyDescent="0.2">
      <c r="B74" s="596"/>
      <c r="C74" s="597"/>
      <c r="D74" s="597"/>
      <c r="E74" s="597"/>
      <c r="F74" s="597"/>
      <c r="G74" s="597"/>
      <c r="H74" s="597"/>
      <c r="I74" s="597"/>
      <c r="J74" s="597"/>
      <c r="K74" s="597"/>
      <c r="L74" s="597"/>
      <c r="M74" s="597"/>
      <c r="N74" s="597"/>
      <c r="O74" s="597"/>
      <c r="P74" s="597"/>
      <c r="Q74" s="597"/>
      <c r="R74" s="597"/>
      <c r="S74" s="597"/>
      <c r="T74" s="597"/>
      <c r="U74" s="597"/>
      <c r="V74" s="597"/>
      <c r="W74" s="598"/>
      <c r="X74" s="134"/>
      <c r="Y74" s="134"/>
      <c r="Z74" s="134"/>
    </row>
    <row r="75" spans="2:26" s="102" customFormat="1" ht="19.5" customHeight="1" x14ac:dyDescent="0.2">
      <c r="B75" s="599"/>
      <c r="C75" s="600"/>
      <c r="D75" s="600"/>
      <c r="E75" s="600"/>
      <c r="F75" s="600"/>
      <c r="G75" s="600"/>
      <c r="H75" s="600"/>
      <c r="I75" s="600"/>
      <c r="J75" s="600"/>
      <c r="K75" s="600"/>
      <c r="L75" s="600"/>
      <c r="M75" s="600"/>
      <c r="N75" s="600"/>
      <c r="O75" s="600"/>
      <c r="P75" s="600"/>
      <c r="Q75" s="600"/>
      <c r="R75" s="600"/>
      <c r="S75" s="600"/>
      <c r="T75" s="600"/>
      <c r="U75" s="600"/>
      <c r="V75" s="600"/>
      <c r="W75" s="601"/>
      <c r="X75" s="134"/>
      <c r="Y75" s="134"/>
      <c r="Z75" s="134"/>
    </row>
    <row r="76" spans="2:26" s="102" customFormat="1" ht="15" customHeight="1" x14ac:dyDescent="0.2">
      <c r="B76" s="202"/>
      <c r="C76" s="202"/>
      <c r="D76" s="202"/>
      <c r="E76" s="202"/>
      <c r="F76" s="202"/>
      <c r="G76" s="202"/>
      <c r="H76" s="202"/>
      <c r="I76" s="202"/>
      <c r="J76" s="202"/>
      <c r="K76" s="202"/>
      <c r="L76" s="202"/>
      <c r="M76" s="202"/>
      <c r="N76" s="202"/>
      <c r="O76" s="202"/>
      <c r="P76" s="202"/>
      <c r="Q76" s="202"/>
      <c r="R76" s="202"/>
      <c r="S76" s="202"/>
      <c r="T76" s="202"/>
      <c r="U76" s="202"/>
      <c r="V76" s="202"/>
      <c r="W76" s="202"/>
      <c r="X76" s="134"/>
      <c r="Y76" s="134"/>
      <c r="Z76" s="134"/>
    </row>
    <row r="77" spans="2:26" s="102" customFormat="1" ht="15" customHeight="1" x14ac:dyDescent="0.2">
      <c r="B77" s="502" t="s">
        <v>229</v>
      </c>
      <c r="C77" s="502"/>
      <c r="D77" s="502"/>
      <c r="E77" s="502"/>
      <c r="F77" s="502"/>
      <c r="G77" s="502"/>
      <c r="H77" s="502"/>
      <c r="I77" s="502"/>
      <c r="J77" s="502"/>
      <c r="K77" s="502"/>
      <c r="L77" s="502"/>
      <c r="M77" s="502"/>
      <c r="N77" s="502"/>
      <c r="O77" s="502"/>
      <c r="P77" s="502"/>
      <c r="Q77" s="502"/>
      <c r="R77" s="502"/>
      <c r="S77" s="502"/>
      <c r="T77" s="502"/>
      <c r="U77" s="202"/>
      <c r="V77" s="202"/>
      <c r="W77" s="202"/>
      <c r="X77" s="134"/>
      <c r="Y77" s="134"/>
      <c r="Z77" s="134"/>
    </row>
    <row r="78" spans="2:26" s="102" customFormat="1" ht="6.75" customHeight="1" x14ac:dyDescent="0.2">
      <c r="B78" s="202"/>
      <c r="C78" s="202"/>
      <c r="D78" s="202"/>
      <c r="E78" s="202"/>
      <c r="F78" s="202"/>
      <c r="G78" s="202"/>
      <c r="H78" s="202"/>
      <c r="I78" s="202"/>
      <c r="J78" s="202"/>
      <c r="K78" s="202"/>
      <c r="L78" s="202"/>
      <c r="M78" s="202"/>
      <c r="N78" s="202"/>
      <c r="O78" s="202"/>
      <c r="P78" s="202"/>
      <c r="Q78" s="202"/>
      <c r="R78" s="202"/>
      <c r="S78" s="202"/>
      <c r="T78" s="202"/>
      <c r="U78" s="202"/>
      <c r="V78" s="202"/>
      <c r="W78" s="202"/>
      <c r="X78" s="134"/>
      <c r="Y78" s="134"/>
      <c r="Z78" s="134"/>
    </row>
    <row r="79" spans="2:26" s="102" customFormat="1" ht="12.95" customHeight="1" x14ac:dyDescent="0.2">
      <c r="B79" s="320" t="s">
        <v>236</v>
      </c>
      <c r="C79" s="571" t="s">
        <v>222</v>
      </c>
      <c r="D79" s="572"/>
      <c r="E79" s="572"/>
      <c r="F79" s="572"/>
      <c r="G79" s="572"/>
      <c r="H79" s="572"/>
      <c r="I79" s="572"/>
      <c r="J79" s="572"/>
      <c r="K79" s="572"/>
      <c r="L79" s="572"/>
      <c r="M79" s="572"/>
      <c r="N79" s="572"/>
      <c r="O79" s="572"/>
      <c r="P79" s="572"/>
      <c r="Q79" s="572"/>
      <c r="R79" s="572"/>
      <c r="S79" s="572"/>
      <c r="T79" s="572"/>
      <c r="U79" s="572"/>
      <c r="V79" s="572"/>
      <c r="W79" s="573"/>
      <c r="X79" s="134"/>
      <c r="Y79" s="134"/>
      <c r="Z79" s="134"/>
    </row>
    <row r="80" spans="2:26" s="102" customFormat="1" ht="12.95" customHeight="1" x14ac:dyDescent="0.2">
      <c r="B80" s="321" t="s">
        <v>237</v>
      </c>
      <c r="C80" s="605" t="s">
        <v>224</v>
      </c>
      <c r="D80" s="606"/>
      <c r="E80" s="606"/>
      <c r="F80" s="606"/>
      <c r="G80" s="606"/>
      <c r="H80" s="606"/>
      <c r="I80" s="606"/>
      <c r="J80" s="606"/>
      <c r="K80" s="606"/>
      <c r="L80" s="606"/>
      <c r="M80" s="606"/>
      <c r="N80" s="606"/>
      <c r="O80" s="606"/>
      <c r="P80" s="606"/>
      <c r="Q80" s="606"/>
      <c r="R80" s="606"/>
      <c r="S80" s="606"/>
      <c r="T80" s="606"/>
      <c r="U80" s="606"/>
      <c r="V80" s="606"/>
      <c r="W80" s="607"/>
      <c r="X80" s="134"/>
      <c r="Y80" s="134"/>
      <c r="Z80" s="134"/>
    </row>
    <row r="81" spans="2:26" s="102" customFormat="1" ht="12.95" customHeight="1" x14ac:dyDescent="0.2">
      <c r="B81" s="321" t="s">
        <v>242</v>
      </c>
      <c r="C81" s="605" t="s">
        <v>243</v>
      </c>
      <c r="D81" s="606"/>
      <c r="E81" s="606"/>
      <c r="F81" s="606"/>
      <c r="G81" s="606"/>
      <c r="H81" s="606"/>
      <c r="I81" s="606"/>
      <c r="J81" s="606"/>
      <c r="K81" s="606"/>
      <c r="L81" s="606"/>
      <c r="M81" s="606"/>
      <c r="N81" s="606"/>
      <c r="O81" s="606"/>
      <c r="P81" s="606"/>
      <c r="Q81" s="606"/>
      <c r="R81" s="606"/>
      <c r="S81" s="606"/>
      <c r="T81" s="606"/>
      <c r="U81" s="606"/>
      <c r="V81" s="606"/>
      <c r="W81" s="607"/>
      <c r="X81" s="134"/>
      <c r="Y81" s="134"/>
      <c r="Z81" s="134"/>
    </row>
    <row r="82" spans="2:26" s="102" customFormat="1" ht="12.95" customHeight="1" x14ac:dyDescent="0.2">
      <c r="B82" s="321" t="s">
        <v>238</v>
      </c>
      <c r="C82" s="605" t="s">
        <v>230</v>
      </c>
      <c r="D82" s="606"/>
      <c r="E82" s="606"/>
      <c r="F82" s="606"/>
      <c r="G82" s="606"/>
      <c r="H82" s="606"/>
      <c r="I82" s="606"/>
      <c r="J82" s="606"/>
      <c r="K82" s="606"/>
      <c r="L82" s="606"/>
      <c r="M82" s="606"/>
      <c r="N82" s="606"/>
      <c r="O82" s="606"/>
      <c r="P82" s="606"/>
      <c r="Q82" s="606"/>
      <c r="R82" s="606"/>
      <c r="S82" s="606"/>
      <c r="T82" s="606"/>
      <c r="U82" s="606"/>
      <c r="V82" s="606"/>
      <c r="W82" s="607"/>
      <c r="X82" s="134"/>
      <c r="Y82" s="134"/>
      <c r="Z82" s="134"/>
    </row>
    <row r="83" spans="2:26" s="102" customFormat="1" ht="12.95" customHeight="1" x14ac:dyDescent="0.2">
      <c r="B83" s="321" t="s">
        <v>239</v>
      </c>
      <c r="C83" s="605" t="s">
        <v>225</v>
      </c>
      <c r="D83" s="606"/>
      <c r="E83" s="606"/>
      <c r="F83" s="606"/>
      <c r="G83" s="606"/>
      <c r="H83" s="606"/>
      <c r="I83" s="606"/>
      <c r="J83" s="606"/>
      <c r="K83" s="606"/>
      <c r="L83" s="606"/>
      <c r="M83" s="606"/>
      <c r="N83" s="606"/>
      <c r="O83" s="606"/>
      <c r="P83" s="606"/>
      <c r="Q83" s="606"/>
      <c r="R83" s="606"/>
      <c r="S83" s="606"/>
      <c r="T83" s="606"/>
      <c r="U83" s="606"/>
      <c r="V83" s="606"/>
      <c r="W83" s="607"/>
      <c r="X83" s="134"/>
      <c r="Y83" s="134"/>
      <c r="Z83" s="134"/>
    </row>
    <row r="84" spans="2:26" s="102" customFormat="1" ht="12.95" customHeight="1" x14ac:dyDescent="0.2">
      <c r="B84" s="321" t="s">
        <v>240</v>
      </c>
      <c r="C84" s="605" t="s">
        <v>226</v>
      </c>
      <c r="D84" s="606"/>
      <c r="E84" s="606"/>
      <c r="F84" s="606"/>
      <c r="G84" s="606"/>
      <c r="H84" s="606"/>
      <c r="I84" s="606"/>
      <c r="J84" s="606"/>
      <c r="K84" s="606"/>
      <c r="L84" s="606"/>
      <c r="M84" s="606"/>
      <c r="N84" s="606"/>
      <c r="O84" s="606"/>
      <c r="P84" s="606"/>
      <c r="Q84" s="606"/>
      <c r="R84" s="606"/>
      <c r="S84" s="606"/>
      <c r="T84" s="606"/>
      <c r="U84" s="606"/>
      <c r="V84" s="606"/>
      <c r="W84" s="607"/>
      <c r="X84" s="134"/>
      <c r="Y84" s="134"/>
      <c r="Z84" s="134"/>
    </row>
    <row r="85" spans="2:26" s="102" customFormat="1" ht="12.95" customHeight="1" x14ac:dyDescent="0.2">
      <c r="B85" s="321" t="s">
        <v>179</v>
      </c>
      <c r="C85" s="605" t="s">
        <v>227</v>
      </c>
      <c r="D85" s="606"/>
      <c r="E85" s="606"/>
      <c r="F85" s="606"/>
      <c r="G85" s="606"/>
      <c r="H85" s="606"/>
      <c r="I85" s="606"/>
      <c r="J85" s="606"/>
      <c r="K85" s="606"/>
      <c r="L85" s="606"/>
      <c r="M85" s="606"/>
      <c r="N85" s="606"/>
      <c r="O85" s="606"/>
      <c r="P85" s="606"/>
      <c r="Q85" s="606"/>
      <c r="R85" s="606"/>
      <c r="S85" s="606"/>
      <c r="T85" s="606"/>
      <c r="U85" s="606"/>
      <c r="V85" s="606"/>
      <c r="W85" s="607"/>
      <c r="X85" s="134"/>
      <c r="Y85" s="134"/>
      <c r="Z85" s="134"/>
    </row>
    <row r="86" spans="2:26" s="102" customFormat="1" ht="12.95" customHeight="1" x14ac:dyDescent="0.2">
      <c r="B86" s="321" t="s">
        <v>180</v>
      </c>
      <c r="C86" s="605" t="s">
        <v>228</v>
      </c>
      <c r="D86" s="606"/>
      <c r="E86" s="606"/>
      <c r="F86" s="606"/>
      <c r="G86" s="606"/>
      <c r="H86" s="606"/>
      <c r="I86" s="606"/>
      <c r="J86" s="606"/>
      <c r="K86" s="606"/>
      <c r="L86" s="606"/>
      <c r="M86" s="606"/>
      <c r="N86" s="606"/>
      <c r="O86" s="606"/>
      <c r="P86" s="606"/>
      <c r="Q86" s="606"/>
      <c r="R86" s="606"/>
      <c r="S86" s="606"/>
      <c r="T86" s="606"/>
      <c r="U86" s="606"/>
      <c r="V86" s="606"/>
      <c r="W86" s="607"/>
      <c r="X86" s="134"/>
      <c r="Y86" s="134"/>
      <c r="Z86" s="134"/>
    </row>
    <row r="87" spans="2:26" s="102" customFormat="1" ht="12.95" customHeight="1" x14ac:dyDescent="0.2">
      <c r="B87" s="322" t="s">
        <v>251</v>
      </c>
      <c r="C87" s="586" t="s">
        <v>252</v>
      </c>
      <c r="D87" s="586"/>
      <c r="E87" s="586"/>
      <c r="F87" s="586"/>
      <c r="G87" s="586"/>
      <c r="H87" s="586"/>
      <c r="I87" s="586"/>
      <c r="J87" s="586"/>
      <c r="K87" s="586"/>
      <c r="L87" s="586"/>
      <c r="M87" s="586"/>
      <c r="N87" s="586"/>
      <c r="O87" s="586"/>
      <c r="P87" s="586"/>
      <c r="Q87" s="586"/>
      <c r="R87" s="586"/>
      <c r="S87" s="586"/>
      <c r="T87" s="586"/>
      <c r="U87" s="586"/>
      <c r="V87" s="586"/>
      <c r="W87" s="587"/>
      <c r="X87" s="134"/>
      <c r="Y87" s="134"/>
      <c r="Z87" s="134"/>
    </row>
    <row r="88" spans="2:26" s="102" customFormat="1" ht="12.95" customHeight="1" x14ac:dyDescent="0.2">
      <c r="B88" s="203" t="str">
        <f>IF('Entrada de Dados'!$R$12="","","E1/E2")</f>
        <v/>
      </c>
      <c r="C88" s="606" t="str">
        <f>IF('Entrada de Dados'!$R$12="","","- Valores referentes à escala 1 e à escala 2 do instrumento.")</f>
        <v/>
      </c>
      <c r="D88" s="606"/>
      <c r="E88" s="606"/>
      <c r="F88" s="606"/>
      <c r="G88" s="606"/>
      <c r="H88" s="606"/>
      <c r="I88" s="606"/>
      <c r="J88" s="606"/>
      <c r="K88" s="606"/>
      <c r="L88" s="606"/>
      <c r="M88" s="606"/>
      <c r="N88" s="606"/>
      <c r="O88" s="606"/>
      <c r="P88" s="606"/>
      <c r="Q88" s="606"/>
      <c r="R88" s="606"/>
      <c r="S88" s="606"/>
      <c r="T88" s="606"/>
      <c r="U88" s="606"/>
      <c r="V88" s="606"/>
      <c r="W88" s="606"/>
      <c r="X88" s="134"/>
      <c r="Y88" s="134"/>
      <c r="Z88" s="134"/>
    </row>
    <row r="89" spans="2:26" ht="15" customHeight="1" x14ac:dyDescent="0.2">
      <c r="B89" s="202"/>
      <c r="C89" s="202"/>
      <c r="D89" s="202"/>
      <c r="E89" s="202"/>
      <c r="F89" s="202"/>
      <c r="G89" s="202"/>
      <c r="H89" s="202"/>
      <c r="I89" s="202"/>
      <c r="J89" s="202"/>
      <c r="K89" s="202"/>
      <c r="L89" s="202"/>
      <c r="M89" s="202"/>
      <c r="N89" s="202"/>
      <c r="O89" s="202"/>
      <c r="P89" s="202"/>
      <c r="Q89" s="202"/>
      <c r="R89" s="202"/>
      <c r="S89" s="202"/>
      <c r="T89" s="202"/>
      <c r="U89" s="202"/>
      <c r="V89" s="202"/>
      <c r="W89" s="202"/>
      <c r="X89" s="121"/>
      <c r="Y89" s="121"/>
      <c r="Z89" s="121"/>
    </row>
    <row r="90" spans="2:26" x14ac:dyDescent="0.2">
      <c r="B90" s="496" t="s">
        <v>42</v>
      </c>
      <c r="C90" s="496"/>
      <c r="D90" s="496"/>
      <c r="E90" s="496"/>
      <c r="F90" s="496"/>
      <c r="G90" s="602">
        <f>IF('Entrada de Dados'!Q5="","-",'Entrada de Dados'!Q5)</f>
        <v>45295</v>
      </c>
      <c r="H90" s="602"/>
      <c r="I90" s="602"/>
      <c r="J90" s="29"/>
      <c r="K90" s="29"/>
      <c r="L90" s="29"/>
      <c r="M90" s="603" t="str">
        <f>IF('Entrada de Dados'!E16="","DATA EMISSÃO:","PRÓXIMA CALIBRAÇÃO:")</f>
        <v>PRÓXIMA CALIBRAÇÃO:</v>
      </c>
      <c r="N90" s="603"/>
      <c r="O90" s="603"/>
      <c r="P90" s="603"/>
      <c r="Q90" s="603"/>
      <c r="R90" s="603"/>
      <c r="S90" s="603"/>
      <c r="T90" s="3"/>
      <c r="U90" s="604">
        <f>IF('Entrada de Dados'!$E$16="",IF('Entrada de Dados'!$M$63="","-",'Entrada de Dados'!M63),IF('Entrada de Dados'!$G$16="Meses",EDATE(G90,'Entrada de Dados'!$E$16),DATE(YEAR(G90)+'Entrada de Dados'!$E$16,MONTH(G90),DAY(G90))))</f>
        <v>45477</v>
      </c>
      <c r="V90" s="604"/>
      <c r="W90" s="604"/>
      <c r="X90" s="122"/>
      <c r="Y90" s="122"/>
      <c r="Z90" s="122"/>
    </row>
    <row r="91" spans="2:26" x14ac:dyDescent="0.2">
      <c r="B91" s="496" t="str">
        <f>IF('Entrada de Dados'!E16="","","DATA EMISSÃO:")</f>
        <v>DATA EMISSÃO:</v>
      </c>
      <c r="C91" s="496"/>
      <c r="D91" s="496"/>
      <c r="E91" s="496"/>
      <c r="F91" s="496"/>
      <c r="G91" s="589">
        <f>IF('Entrada de Dados'!E16="","",IF('Entrada de Dados'!M63="","-",'Entrada de Dados'!M63))</f>
        <v>45296</v>
      </c>
      <c r="H91" s="589"/>
      <c r="I91" s="589"/>
      <c r="J91" s="29"/>
      <c r="K91" s="29"/>
      <c r="L91" s="29"/>
      <c r="M91" s="31"/>
      <c r="N91" s="31"/>
      <c r="O91" s="590" t="str">
        <f>IF(U90="____/____/______","Preenchido pelo cliente","")</f>
        <v/>
      </c>
      <c r="P91" s="590"/>
      <c r="Q91" s="590"/>
      <c r="R91" s="590"/>
      <c r="S91" s="590"/>
      <c r="T91" s="3"/>
      <c r="U91" s="59"/>
      <c r="V91" s="59"/>
      <c r="W91" s="59"/>
      <c r="X91" s="122"/>
      <c r="Y91" s="122"/>
      <c r="Z91" s="122"/>
    </row>
    <row r="92" spans="2:26" ht="12.75" customHeight="1" x14ac:dyDescent="0.2">
      <c r="B92" s="96"/>
      <c r="C92" s="96"/>
      <c r="D92" s="96"/>
      <c r="E92" s="96"/>
      <c r="F92" s="96"/>
      <c r="G92" s="59"/>
      <c r="H92" s="59"/>
      <c r="I92" s="59"/>
      <c r="J92" s="29"/>
      <c r="K92" s="29"/>
      <c r="L92" s="29"/>
      <c r="M92" s="31"/>
      <c r="N92" s="31"/>
      <c r="O92" s="31"/>
      <c r="P92" s="31"/>
      <c r="Q92" s="31"/>
      <c r="R92" s="31"/>
      <c r="S92" s="31"/>
      <c r="T92" s="31"/>
      <c r="U92" s="59"/>
      <c r="V92" s="59"/>
      <c r="W92" s="59"/>
      <c r="X92" s="122"/>
      <c r="Y92" s="122"/>
      <c r="Z92" s="122"/>
    </row>
    <row r="93" spans="2:26" ht="12.75" customHeight="1" x14ac:dyDescent="0.2">
      <c r="B93" s="38"/>
      <c r="C93" s="38"/>
      <c r="D93" s="38"/>
      <c r="E93" s="38"/>
      <c r="F93" s="38"/>
      <c r="G93" s="38"/>
      <c r="H93" s="38"/>
      <c r="I93" s="38"/>
      <c r="J93" s="591" t="s">
        <v>2</v>
      </c>
      <c r="K93" s="532"/>
      <c r="L93" s="532"/>
      <c r="M93" s="532"/>
      <c r="N93" s="532"/>
      <c r="O93" s="533"/>
      <c r="P93" s="29"/>
      <c r="Q93" s="29"/>
      <c r="X93" s="117"/>
      <c r="Y93" s="117"/>
      <c r="Z93" s="117"/>
    </row>
    <row r="94" spans="2:26" ht="21" customHeight="1" x14ac:dyDescent="0.2">
      <c r="B94" s="3"/>
      <c r="C94" s="3"/>
      <c r="D94" s="3"/>
      <c r="E94" s="3"/>
      <c r="F94" s="3"/>
      <c r="G94" s="3"/>
      <c r="H94" s="29"/>
      <c r="I94" s="29"/>
      <c r="J94" s="592"/>
      <c r="K94" s="592"/>
      <c r="L94" s="592"/>
      <c r="M94" s="592"/>
      <c r="N94" s="592"/>
      <c r="O94" s="592"/>
      <c r="P94" s="29"/>
      <c r="Q94" s="29"/>
      <c r="X94" s="103"/>
      <c r="Y94" s="103"/>
      <c r="Z94" s="103"/>
    </row>
    <row r="95" spans="2:26" x14ac:dyDescent="0.2">
      <c r="H95" s="1"/>
      <c r="I95" s="1"/>
      <c r="J95" s="588" t="str">
        <f>IF('Entrada de Dados'!$R$63="","-",'Entrada de Dados'!$R$63)</f>
        <v>Roldão Batista da Silva Filho</v>
      </c>
      <c r="K95" s="588"/>
      <c r="L95" s="588"/>
      <c r="M95" s="588"/>
      <c r="N95" s="588"/>
      <c r="O95" s="588"/>
      <c r="P95" s="29"/>
      <c r="Q95" s="29"/>
      <c r="X95" s="116"/>
      <c r="Y95" s="116"/>
      <c r="Z95" s="116"/>
    </row>
    <row r="96" spans="2:26" x14ac:dyDescent="0.2">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
      <c r="B200" s="103"/>
      <c r="C200" s="103"/>
      <c r="D200" s="100"/>
      <c r="E200" s="100"/>
      <c r="F200" s="100"/>
      <c r="G200" s="100"/>
      <c r="H200" s="100"/>
      <c r="I200" s="100"/>
      <c r="J200" s="100"/>
      <c r="K200" s="100"/>
      <c r="L200" s="100"/>
      <c r="M200" s="100"/>
      <c r="N200" s="100"/>
      <c r="O200" s="100"/>
      <c r="P200" s="100"/>
      <c r="Q200" s="100"/>
      <c r="R200" s="100"/>
      <c r="S200" s="100"/>
      <c r="T200" s="100"/>
      <c r="U200" s="100"/>
      <c r="V200" s="100"/>
      <c r="W200" s="100"/>
    </row>
    <row r="201" spans="2:23" x14ac:dyDescent="0.2">
      <c r="B201" s="103"/>
      <c r="C201" s="103"/>
      <c r="D201" s="100"/>
      <c r="E201" s="100"/>
      <c r="F201" s="100"/>
      <c r="G201" s="100"/>
      <c r="H201" s="100"/>
      <c r="I201" s="100"/>
      <c r="J201" s="100"/>
      <c r="K201" s="100"/>
      <c r="L201" s="100"/>
      <c r="M201" s="100"/>
      <c r="N201" s="100"/>
      <c r="O201" s="100"/>
      <c r="P201" s="100"/>
      <c r="Q201" s="100"/>
      <c r="R201" s="100"/>
      <c r="S201" s="100"/>
      <c r="T201" s="100"/>
      <c r="U201" s="100"/>
      <c r="V201" s="100"/>
      <c r="W201" s="100"/>
    </row>
    <row r="202" spans="2:23" x14ac:dyDescent="0.2">
      <c r="B202" s="103"/>
      <c r="C202" s="103"/>
      <c r="D202" s="100"/>
      <c r="E202" s="100"/>
      <c r="F202" s="100"/>
      <c r="G202" s="100"/>
      <c r="H202" s="100"/>
      <c r="I202" s="100"/>
      <c r="J202" s="100"/>
      <c r="K202" s="100"/>
      <c r="L202" s="100"/>
      <c r="M202" s="100"/>
      <c r="N202" s="100"/>
      <c r="O202" s="100"/>
      <c r="P202" s="100"/>
      <c r="Q202" s="100"/>
      <c r="R202" s="100"/>
      <c r="S202" s="100"/>
      <c r="T202" s="100"/>
      <c r="U202" s="100"/>
      <c r="V202" s="100"/>
      <c r="W202" s="100"/>
    </row>
    <row r="203" spans="2:23" x14ac:dyDescent="0.2">
      <c r="B203" s="103"/>
      <c r="C203" s="103"/>
      <c r="D203" s="100"/>
      <c r="E203" s="100"/>
      <c r="F203" s="100"/>
      <c r="G203" s="100"/>
      <c r="H203" s="100"/>
      <c r="I203" s="100"/>
      <c r="J203" s="100"/>
      <c r="K203" s="100"/>
      <c r="L203" s="100"/>
      <c r="M203" s="100"/>
      <c r="N203" s="100"/>
      <c r="O203" s="100"/>
      <c r="P203" s="100"/>
      <c r="Q203" s="100"/>
      <c r="R203" s="100"/>
      <c r="S203" s="100"/>
      <c r="T203" s="100"/>
      <c r="U203" s="100"/>
      <c r="V203" s="100"/>
      <c r="W203" s="100"/>
    </row>
    <row r="204" spans="2:23" x14ac:dyDescent="0.2">
      <c r="B204" s="103"/>
      <c r="C204" s="103"/>
      <c r="D204" s="100"/>
      <c r="E204" s="100"/>
      <c r="F204" s="100"/>
      <c r="G204" s="100"/>
      <c r="H204" s="100"/>
      <c r="I204" s="100"/>
      <c r="J204" s="100"/>
      <c r="K204" s="100"/>
      <c r="L204" s="100"/>
      <c r="M204" s="100"/>
      <c r="N204" s="100"/>
      <c r="O204" s="100"/>
      <c r="P204" s="100"/>
      <c r="Q204" s="100"/>
      <c r="R204" s="100"/>
      <c r="S204" s="100"/>
      <c r="T204" s="100"/>
      <c r="U204" s="100"/>
      <c r="V204" s="100"/>
      <c r="W204" s="100"/>
    </row>
    <row r="205" spans="2:23" x14ac:dyDescent="0.2">
      <c r="B205" s="103"/>
      <c r="C205" s="103"/>
      <c r="D205" s="100"/>
      <c r="E205" s="100"/>
      <c r="F205" s="100"/>
      <c r="G205" s="100"/>
      <c r="H205" s="100"/>
      <c r="I205" s="100"/>
      <c r="J205" s="100"/>
      <c r="K205" s="100"/>
      <c r="L205" s="100"/>
      <c r="M205" s="100"/>
      <c r="N205" s="100"/>
      <c r="O205" s="100"/>
      <c r="P205" s="100"/>
      <c r="Q205" s="100"/>
      <c r="R205" s="100"/>
      <c r="S205" s="100"/>
      <c r="T205" s="100"/>
      <c r="U205" s="100"/>
      <c r="V205" s="100"/>
      <c r="W205" s="100"/>
    </row>
    <row r="206" spans="2:23" x14ac:dyDescent="0.2">
      <c r="B206" s="103"/>
      <c r="C206" s="103"/>
      <c r="D206" s="100"/>
      <c r="E206" s="100"/>
      <c r="F206" s="100"/>
      <c r="G206" s="100"/>
      <c r="H206" s="100"/>
      <c r="I206" s="100"/>
      <c r="J206" s="100"/>
      <c r="K206" s="100"/>
      <c r="L206" s="100"/>
      <c r="M206" s="100"/>
      <c r="N206" s="100"/>
      <c r="O206" s="100"/>
      <c r="P206" s="100"/>
      <c r="Q206" s="100"/>
      <c r="R206" s="100"/>
      <c r="S206" s="100"/>
      <c r="T206" s="100"/>
      <c r="U206" s="100"/>
      <c r="V206" s="100"/>
      <c r="W206" s="100"/>
    </row>
    <row r="207" spans="2:23" x14ac:dyDescent="0.2">
      <c r="B207" s="103"/>
      <c r="C207" s="103"/>
      <c r="D207" s="100"/>
      <c r="E207" s="100"/>
      <c r="F207" s="100"/>
      <c r="G207" s="100"/>
      <c r="H207" s="100"/>
      <c r="I207" s="100"/>
      <c r="J207" s="100"/>
      <c r="K207" s="100"/>
      <c r="L207" s="100"/>
      <c r="M207" s="100"/>
      <c r="N207" s="100"/>
      <c r="O207" s="100"/>
      <c r="P207" s="100"/>
      <c r="Q207" s="100"/>
      <c r="R207" s="100"/>
      <c r="S207" s="100"/>
      <c r="T207" s="100"/>
      <c r="U207" s="100"/>
      <c r="V207" s="100"/>
      <c r="W207" s="100"/>
    </row>
    <row r="208" spans="2:23" x14ac:dyDescent="0.2">
      <c r="B208" s="103"/>
      <c r="C208" s="103"/>
      <c r="D208" s="100"/>
      <c r="E208" s="100"/>
      <c r="F208" s="100"/>
      <c r="G208" s="100"/>
      <c r="H208" s="100"/>
      <c r="I208" s="100"/>
      <c r="J208" s="100"/>
      <c r="K208" s="100"/>
      <c r="L208" s="100"/>
      <c r="M208" s="100"/>
      <c r="N208" s="100"/>
      <c r="O208" s="100"/>
      <c r="P208" s="100"/>
      <c r="Q208" s="100"/>
      <c r="R208" s="100"/>
      <c r="S208" s="100"/>
      <c r="T208" s="100"/>
      <c r="U208" s="100"/>
      <c r="V208" s="100"/>
      <c r="W208" s="100"/>
    </row>
    <row r="209" spans="2:23" x14ac:dyDescent="0.2">
      <c r="B209" s="103"/>
      <c r="C209" s="103"/>
      <c r="D209" s="100"/>
      <c r="E209" s="100"/>
      <c r="F209" s="100"/>
      <c r="G209" s="100"/>
      <c r="H209" s="100"/>
      <c r="I209" s="100"/>
      <c r="J209" s="100"/>
      <c r="K209" s="100"/>
      <c r="L209" s="100"/>
      <c r="M209" s="100"/>
      <c r="N209" s="100"/>
      <c r="O209" s="100"/>
      <c r="P209" s="100"/>
      <c r="Q209" s="100"/>
      <c r="R209" s="100"/>
      <c r="S209" s="100"/>
      <c r="T209" s="100"/>
      <c r="U209" s="100"/>
      <c r="V209" s="100"/>
      <c r="W209" s="100"/>
    </row>
    <row r="210" spans="2:23" x14ac:dyDescent="0.2">
      <c r="B210" s="103"/>
      <c r="C210" s="103"/>
      <c r="D210" s="100"/>
      <c r="E210" s="100"/>
      <c r="F210" s="100"/>
      <c r="G210" s="100"/>
      <c r="H210" s="100"/>
      <c r="I210" s="100"/>
      <c r="J210" s="100"/>
      <c r="K210" s="100"/>
      <c r="L210" s="100"/>
      <c r="M210" s="100"/>
      <c r="N210" s="100"/>
      <c r="O210" s="100"/>
      <c r="P210" s="100"/>
      <c r="Q210" s="100"/>
      <c r="R210" s="100"/>
      <c r="S210" s="100"/>
      <c r="T210" s="100"/>
      <c r="U210" s="100"/>
      <c r="V210" s="100"/>
      <c r="W210" s="100"/>
    </row>
    <row r="211" spans="2:23" x14ac:dyDescent="0.2">
      <c r="B211" s="103"/>
      <c r="C211" s="103"/>
      <c r="D211" s="100"/>
      <c r="E211" s="100"/>
      <c r="F211" s="100"/>
      <c r="G211" s="100"/>
      <c r="H211" s="100"/>
      <c r="I211" s="100"/>
      <c r="J211" s="100"/>
      <c r="K211" s="100"/>
      <c r="L211" s="100"/>
      <c r="M211" s="100"/>
      <c r="N211" s="100"/>
      <c r="O211" s="100"/>
      <c r="P211" s="100"/>
      <c r="Q211" s="100"/>
      <c r="R211" s="100"/>
      <c r="S211" s="100"/>
      <c r="T211" s="100"/>
      <c r="U211" s="100"/>
      <c r="V211" s="100"/>
      <c r="W211" s="100"/>
    </row>
    <row r="212" spans="2:23" x14ac:dyDescent="0.2">
      <c r="H212" s="100"/>
      <c r="I212" s="100"/>
      <c r="J212" s="100"/>
      <c r="K212" s="100"/>
      <c r="L212" s="100"/>
      <c r="M212" s="100"/>
      <c r="N212" s="100"/>
      <c r="O212" s="100"/>
      <c r="P212" s="100"/>
      <c r="Q212" s="100"/>
      <c r="R212" s="100"/>
      <c r="S212" s="100"/>
      <c r="T212" s="100"/>
      <c r="U212" s="100"/>
      <c r="V212" s="100"/>
      <c r="W212" s="100"/>
    </row>
  </sheetData>
  <sheetProtection formatCells="0" formatRows="0" insertRows="0" selectLockedCells="1" autoFilter="0"/>
  <dataConsolidate/>
  <mergeCells count="200">
    <mergeCell ref="B12:C12"/>
    <mergeCell ref="E12:I12"/>
    <mergeCell ref="B11:D11"/>
    <mergeCell ref="E11:N11"/>
    <mergeCell ref="B2:L7"/>
    <mergeCell ref="M2:W6"/>
    <mergeCell ref="M7:W7"/>
    <mergeCell ref="B9:G9"/>
    <mergeCell ref="H9:J9"/>
    <mergeCell ref="B10:D10"/>
    <mergeCell ref="E10:N10"/>
    <mergeCell ref="O10:P10"/>
    <mergeCell ref="R10:V10"/>
    <mergeCell ref="L8:W8"/>
    <mergeCell ref="O11:Q11"/>
    <mergeCell ref="R11:W11"/>
    <mergeCell ref="B16:D16"/>
    <mergeCell ref="E16:L16"/>
    <mergeCell ref="M16:Q16"/>
    <mergeCell ref="R16:V16"/>
    <mergeCell ref="B17:D17"/>
    <mergeCell ref="E17:L17"/>
    <mergeCell ref="M17:Q17"/>
    <mergeCell ref="B13:W13"/>
    <mergeCell ref="B14:H14"/>
    <mergeCell ref="B15:D15"/>
    <mergeCell ref="E15:L15"/>
    <mergeCell ref="M15:Q15"/>
    <mergeCell ref="R15:V15"/>
    <mergeCell ref="R17:U17"/>
    <mergeCell ref="B18:D18"/>
    <mergeCell ref="E18:L18"/>
    <mergeCell ref="M18:Q18"/>
    <mergeCell ref="B19:D19"/>
    <mergeCell ref="E19:L20"/>
    <mergeCell ref="M20:R20"/>
    <mergeCell ref="R18:U18"/>
    <mergeCell ref="M19:Q19"/>
    <mergeCell ref="R19:U19"/>
    <mergeCell ref="S20:U20"/>
    <mergeCell ref="B26:H26"/>
    <mergeCell ref="I26:L26"/>
    <mergeCell ref="O26:R26"/>
    <mergeCell ref="S26:W26"/>
    <mergeCell ref="B27:W27"/>
    <mergeCell ref="B28:T28"/>
    <mergeCell ref="U28:W28"/>
    <mergeCell ref="B21:L21"/>
    <mergeCell ref="B23:W23"/>
    <mergeCell ref="F24:G24"/>
    <mergeCell ref="P24:S24"/>
    <mergeCell ref="T24:U24"/>
    <mergeCell ref="C24:E24"/>
    <mergeCell ref="J24:L24"/>
    <mergeCell ref="M24:N24"/>
    <mergeCell ref="M21:R21"/>
    <mergeCell ref="D30:G30"/>
    <mergeCell ref="H30:J30"/>
    <mergeCell ref="K30:N30"/>
    <mergeCell ref="O30:R30"/>
    <mergeCell ref="S30:U30"/>
    <mergeCell ref="D31:F31"/>
    <mergeCell ref="G31:J31"/>
    <mergeCell ref="K31:N31"/>
    <mergeCell ref="O31:R31"/>
    <mergeCell ref="S31:U31"/>
    <mergeCell ref="D32:F32"/>
    <mergeCell ref="G32:J32"/>
    <mergeCell ref="K32:N32"/>
    <mergeCell ref="O32:R32"/>
    <mergeCell ref="S32:U32"/>
    <mergeCell ref="D33:F33"/>
    <mergeCell ref="G33:J33"/>
    <mergeCell ref="K33:N33"/>
    <mergeCell ref="O33:R33"/>
    <mergeCell ref="S33:U33"/>
    <mergeCell ref="D36:F36"/>
    <mergeCell ref="G36:J36"/>
    <mergeCell ref="K36:N36"/>
    <mergeCell ref="O36:R36"/>
    <mergeCell ref="S36:U36"/>
    <mergeCell ref="B38:T38"/>
    <mergeCell ref="D34:F34"/>
    <mergeCell ref="G34:J34"/>
    <mergeCell ref="K34:N34"/>
    <mergeCell ref="O34:R34"/>
    <mergeCell ref="S34:U34"/>
    <mergeCell ref="D35:F35"/>
    <mergeCell ref="G35:J35"/>
    <mergeCell ref="K35:N35"/>
    <mergeCell ref="O35:R35"/>
    <mergeCell ref="S35:U35"/>
    <mergeCell ref="B39:W39"/>
    <mergeCell ref="B40:E40"/>
    <mergeCell ref="F40:H40"/>
    <mergeCell ref="I40:K40"/>
    <mergeCell ref="L40:M40"/>
    <mergeCell ref="N40:P40"/>
    <mergeCell ref="Q40:S40"/>
    <mergeCell ref="T40:W40"/>
    <mergeCell ref="Q41:S43"/>
    <mergeCell ref="T41:W43"/>
    <mergeCell ref="B43:C43"/>
    <mergeCell ref="D43:E43"/>
    <mergeCell ref="F43:H43"/>
    <mergeCell ref="I43:K43"/>
    <mergeCell ref="L43:M43"/>
    <mergeCell ref="N43:P43"/>
    <mergeCell ref="B41:C42"/>
    <mergeCell ref="D41:E42"/>
    <mergeCell ref="F41:H42"/>
    <mergeCell ref="I41:K42"/>
    <mergeCell ref="L41:M42"/>
    <mergeCell ref="N41:P42"/>
    <mergeCell ref="Q44:S44"/>
    <mergeCell ref="T44:W44"/>
    <mergeCell ref="B45:C45"/>
    <mergeCell ref="D45:E45"/>
    <mergeCell ref="F45:H45"/>
    <mergeCell ref="I45:K45"/>
    <mergeCell ref="L45:M45"/>
    <mergeCell ref="N45:P45"/>
    <mergeCell ref="Q45:S45"/>
    <mergeCell ref="T45:W45"/>
    <mergeCell ref="B44:C44"/>
    <mergeCell ref="D44:E44"/>
    <mergeCell ref="F44:H44"/>
    <mergeCell ref="I44:K44"/>
    <mergeCell ref="L44:M44"/>
    <mergeCell ref="N44:P44"/>
    <mergeCell ref="Q46:S46"/>
    <mergeCell ref="T46:W46"/>
    <mergeCell ref="B47:C47"/>
    <mergeCell ref="D47:E47"/>
    <mergeCell ref="F47:H47"/>
    <mergeCell ref="I47:K47"/>
    <mergeCell ref="L47:M47"/>
    <mergeCell ref="N47:P47"/>
    <mergeCell ref="Q47:S47"/>
    <mergeCell ref="T47:W47"/>
    <mergeCell ref="B46:C46"/>
    <mergeCell ref="D46:E46"/>
    <mergeCell ref="F46:H46"/>
    <mergeCell ref="I46:K46"/>
    <mergeCell ref="L46:M46"/>
    <mergeCell ref="N46:P46"/>
    <mergeCell ref="B48:W48"/>
    <mergeCell ref="B51:W51"/>
    <mergeCell ref="B52:W52"/>
    <mergeCell ref="D53:G54"/>
    <mergeCell ref="H53:H55"/>
    <mergeCell ref="I53:M53"/>
    <mergeCell ref="N53:R53"/>
    <mergeCell ref="S53:U54"/>
    <mergeCell ref="I54:M54"/>
    <mergeCell ref="N54:R54"/>
    <mergeCell ref="B49:I49"/>
    <mergeCell ref="J49:T49"/>
    <mergeCell ref="U49:W49"/>
    <mergeCell ref="D56:G56"/>
    <mergeCell ref="I56:J56"/>
    <mergeCell ref="L56:M56"/>
    <mergeCell ref="N56:O56"/>
    <mergeCell ref="Q56:R56"/>
    <mergeCell ref="S56:U56"/>
    <mergeCell ref="D55:G55"/>
    <mergeCell ref="I55:J55"/>
    <mergeCell ref="L55:M55"/>
    <mergeCell ref="N55:O55"/>
    <mergeCell ref="Q55:R55"/>
    <mergeCell ref="S55:U55"/>
    <mergeCell ref="I57:J57"/>
    <mergeCell ref="K57:N57"/>
    <mergeCell ref="P57:U57"/>
    <mergeCell ref="D58:U59"/>
    <mergeCell ref="D60:J60"/>
    <mergeCell ref="B62:T62"/>
    <mergeCell ref="B77:T77"/>
    <mergeCell ref="C79:W79"/>
    <mergeCell ref="C80:W80"/>
    <mergeCell ref="J95:O95"/>
    <mergeCell ref="B91:F91"/>
    <mergeCell ref="G91:I91"/>
    <mergeCell ref="O91:S91"/>
    <mergeCell ref="J93:O93"/>
    <mergeCell ref="J94:O94"/>
    <mergeCell ref="B63:W63"/>
    <mergeCell ref="B64:W75"/>
    <mergeCell ref="B90:F90"/>
    <mergeCell ref="G90:I90"/>
    <mergeCell ref="M90:S90"/>
    <mergeCell ref="U90:W90"/>
    <mergeCell ref="C82:W82"/>
    <mergeCell ref="C83:W83"/>
    <mergeCell ref="C84:W84"/>
    <mergeCell ref="C85:W85"/>
    <mergeCell ref="C86:W86"/>
    <mergeCell ref="C88:W88"/>
    <mergeCell ref="C81:W81"/>
    <mergeCell ref="C87:W87"/>
  </mergeCells>
  <conditionalFormatting sqref="G91:I91">
    <cfRule type="notContainsBlanks" dxfId="151" priority="36">
      <formula>LEN(TRIM(G91))&gt;0</formula>
    </cfRule>
  </conditionalFormatting>
  <conditionalFormatting sqref="V19 S20:U20">
    <cfRule type="notContainsBlanks" dxfId="150" priority="37">
      <formula>LEN(TRIM(S19))&gt;0</formula>
    </cfRule>
  </conditionalFormatting>
  <conditionalFormatting sqref="D33:U33">
    <cfRule type="expression" dxfId="149" priority="32">
      <formula>AND($D$33&lt;&gt;"",$D$34="")</formula>
    </cfRule>
  </conditionalFormatting>
  <conditionalFormatting sqref="D32:F36">
    <cfRule type="notContainsBlanks" dxfId="148" priority="38">
      <formula>LEN(TRIM(D32))&gt;0</formula>
    </cfRule>
  </conditionalFormatting>
  <conditionalFormatting sqref="S32:U36">
    <cfRule type="notContainsBlanks" dxfId="147" priority="39">
      <formula>LEN(TRIM(S32))&gt;0</formula>
    </cfRule>
  </conditionalFormatting>
  <conditionalFormatting sqref="D32:U32">
    <cfRule type="expression" dxfId="146" priority="29">
      <formula>AND($D$32&lt;&gt;"",$D$33="")</formula>
    </cfRule>
  </conditionalFormatting>
  <conditionalFormatting sqref="D34:U34">
    <cfRule type="expression" dxfId="145" priority="26">
      <formula>AND($D$34&lt;&gt;"",$D$35="")</formula>
    </cfRule>
  </conditionalFormatting>
  <conditionalFormatting sqref="D35:U35">
    <cfRule type="expression" dxfId="144" priority="23">
      <formula>AND($D$35&lt;&gt;"",$D$36="")</formula>
    </cfRule>
  </conditionalFormatting>
  <conditionalFormatting sqref="D36:U36">
    <cfRule type="expression" dxfId="143" priority="20">
      <formula>AND($D$36&lt;&gt;"",$D$37="")</formula>
    </cfRule>
  </conditionalFormatting>
  <conditionalFormatting sqref="D31:U31">
    <cfRule type="expression" dxfId="142" priority="17">
      <formula>$D$32=""</formula>
    </cfRule>
  </conditionalFormatting>
  <conditionalFormatting sqref="M20:R20">
    <cfRule type="notContainsBlanks" dxfId="141" priority="40">
      <formula>LEN(TRIM(M20))&gt;0</formula>
    </cfRule>
  </conditionalFormatting>
  <conditionalFormatting sqref="S20">
    <cfRule type="notContainsBlanks" dxfId="140" priority="41">
      <formula>LEN(TRIM(S20))&gt;0</formula>
    </cfRule>
  </conditionalFormatting>
  <conditionalFormatting sqref="M19:Q19">
    <cfRule type="cellIs" priority="6" operator="equal">
      <formula>"""*E = Escala"""</formula>
    </cfRule>
  </conditionalFormatting>
  <conditionalFormatting sqref="B88">
    <cfRule type="containsBlanks" dxfId="139" priority="42">
      <formula>LEN(TRIM(B88))=0</formula>
    </cfRule>
    <cfRule type="notContainsBlanks" dxfId="138" priority="42">
      <formula>LEN(TRIM(B88))&gt;0</formula>
    </cfRule>
  </conditionalFormatting>
  <conditionalFormatting sqref="C88:W88">
    <cfRule type="containsBlanks" dxfId="137" priority="43">
      <formula>LEN(TRIM(C88))=0</formula>
    </cfRule>
    <cfRule type="notContainsBlanks" dxfId="136" priority="43">
      <formula>LEN(TRIM(C88))&gt;0</formula>
    </cfRule>
  </conditionalFormatting>
  <conditionalFormatting sqref="J49">
    <cfRule type="expression" dxfId="135" priority="1">
      <formula>#REF!&lt;&gt;""</formula>
    </cfRule>
  </conditionalFormatting>
  <dataValidations disablePrompts="1" count="1">
    <dataValidation allowBlank="1" showErrorMessage="1" errorTitle="Erro" error="Selecionar dados já inseridos" promptTitle="Selecionar dados" prompt="Unidade de massa" sqref="I26:L26" xr:uid="{00000000-0002-0000-0500-000000000000}"/>
  </dataValidations>
  <printOptions horizontalCentered="1"/>
  <pageMargins left="0.19685039370078741" right="0.15748031496062992" top="0.51181102362204722" bottom="0.43307086614173229" header="0.31496062992125984" footer="0.17"/>
  <pageSetup paperSize="9" scale="92"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39617" r:id="rId5" name="Check Box 1">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mc:AlternateContent xmlns:mc="http://schemas.openxmlformats.org/markup-compatibility/2006">
          <mc:Choice Requires="x14">
            <control shapeId="239618" r:id="rId6" name="Check Box 2">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3">
    <tabColor rgb="FFFF6600"/>
    <pageSetUpPr fitToPage="1"/>
  </sheetPr>
  <dimension ref="A1:AS171"/>
  <sheetViews>
    <sheetView showGridLines="0" showRowColHeaders="0" zoomScale="120" zoomScaleNormal="120" zoomScaleSheetLayoutView="100" zoomScalePageLayoutView="120" workbookViewId="0">
      <selection activeCell="M7" sqref="M7:W7"/>
    </sheetView>
  </sheetViews>
  <sheetFormatPr defaultColWidth="0" defaultRowHeight="12.75" x14ac:dyDescent="0.2"/>
  <cols>
    <col min="1" max="1" width="6.5703125" style="100" customWidth="1"/>
    <col min="2" max="22" width="4.85546875" customWidth="1"/>
    <col min="23" max="23" width="4.7109375" style="100" customWidth="1"/>
    <col min="24" max="24" width="2.7109375" style="100" customWidth="1"/>
  </cols>
  <sheetData>
    <row r="1" spans="2:45" s="248" customFormat="1" ht="12.75" customHeight="1" x14ac:dyDescent="0.2">
      <c r="D1" s="249"/>
      <c r="E1" s="249"/>
      <c r="F1" s="249"/>
      <c r="G1" s="249"/>
      <c r="H1" s="249"/>
      <c r="I1" s="249"/>
      <c r="J1" s="249"/>
      <c r="K1" s="249"/>
      <c r="M1" s="250"/>
      <c r="N1" s="250"/>
      <c r="O1" s="250"/>
      <c r="P1" s="250"/>
      <c r="Q1" s="250"/>
      <c r="R1" s="250"/>
      <c r="S1" s="250"/>
      <c r="T1" s="250"/>
      <c r="U1" s="250"/>
      <c r="V1" s="250"/>
      <c r="W1" s="250"/>
    </row>
    <row r="2" spans="2:45" ht="19.5" customHeight="1" x14ac:dyDescent="0.2">
      <c r="B2" s="499" t="s">
        <v>340</v>
      </c>
      <c r="C2" s="499"/>
      <c r="D2" s="499"/>
      <c r="E2" s="499"/>
      <c r="F2" s="499"/>
      <c r="G2" s="499"/>
      <c r="H2" s="499"/>
      <c r="I2" s="499"/>
      <c r="J2" s="499"/>
      <c r="K2" s="499"/>
      <c r="L2" s="499"/>
      <c r="M2" s="500" t="s">
        <v>106</v>
      </c>
      <c r="N2" s="500"/>
      <c r="O2" s="500"/>
      <c r="P2" s="500"/>
      <c r="Q2" s="500"/>
      <c r="R2" s="500"/>
      <c r="S2" s="500"/>
      <c r="T2" s="500"/>
      <c r="U2" s="500"/>
      <c r="V2" s="500"/>
      <c r="W2" s="500"/>
    </row>
    <row r="3" spans="2:45" ht="19.5" customHeight="1" x14ac:dyDescent="0.2">
      <c r="B3" s="499"/>
      <c r="C3" s="499"/>
      <c r="D3" s="499"/>
      <c r="E3" s="499"/>
      <c r="F3" s="499"/>
      <c r="G3" s="499"/>
      <c r="H3" s="499"/>
      <c r="I3" s="499"/>
      <c r="J3" s="499"/>
      <c r="K3" s="499"/>
      <c r="L3" s="499"/>
      <c r="M3" s="500"/>
      <c r="N3" s="500"/>
      <c r="O3" s="500"/>
      <c r="P3" s="500"/>
      <c r="Q3" s="500"/>
      <c r="R3" s="500"/>
      <c r="S3" s="500"/>
      <c r="T3" s="500"/>
      <c r="U3" s="500"/>
      <c r="V3" s="500"/>
      <c r="W3" s="500"/>
    </row>
    <row r="4" spans="2:45" ht="19.5" customHeight="1" x14ac:dyDescent="0.2">
      <c r="B4" s="499"/>
      <c r="C4" s="499"/>
      <c r="D4" s="499"/>
      <c r="E4" s="499"/>
      <c r="F4" s="499"/>
      <c r="G4" s="499"/>
      <c r="H4" s="499"/>
      <c r="I4" s="499"/>
      <c r="J4" s="499"/>
      <c r="K4" s="499"/>
      <c r="L4" s="499"/>
      <c r="M4" s="500"/>
      <c r="N4" s="500"/>
      <c r="O4" s="500"/>
      <c r="P4" s="500"/>
      <c r="Q4" s="500"/>
      <c r="R4" s="500"/>
      <c r="S4" s="500"/>
      <c r="T4" s="500"/>
      <c r="U4" s="500"/>
      <c r="V4" s="500"/>
      <c r="W4" s="500"/>
    </row>
    <row r="5" spans="2:45" ht="12.75" customHeight="1" x14ac:dyDescent="0.2">
      <c r="B5" s="499"/>
      <c r="C5" s="499"/>
      <c r="D5" s="499"/>
      <c r="E5" s="499"/>
      <c r="F5" s="499"/>
      <c r="G5" s="499"/>
      <c r="H5" s="499"/>
      <c r="I5" s="499"/>
      <c r="J5" s="499"/>
      <c r="K5" s="499"/>
      <c r="L5" s="499"/>
      <c r="M5" s="500"/>
      <c r="N5" s="500"/>
      <c r="O5" s="500"/>
      <c r="P5" s="500"/>
      <c r="Q5" s="500"/>
      <c r="R5" s="500"/>
      <c r="S5" s="500"/>
      <c r="T5" s="500"/>
      <c r="U5" s="500"/>
      <c r="V5" s="500"/>
      <c r="W5" s="500"/>
    </row>
    <row r="6" spans="2:45" ht="15" customHeight="1" x14ac:dyDescent="0.2">
      <c r="B6" s="499"/>
      <c r="C6" s="499"/>
      <c r="D6" s="499"/>
      <c r="E6" s="499"/>
      <c r="F6" s="499"/>
      <c r="G6" s="499"/>
      <c r="H6" s="499"/>
      <c r="I6" s="499"/>
      <c r="J6" s="499"/>
      <c r="K6" s="499"/>
      <c r="L6" s="499"/>
      <c r="M6" s="500"/>
      <c r="N6" s="500"/>
      <c r="O6" s="500"/>
      <c r="P6" s="500"/>
      <c r="Q6" s="500"/>
      <c r="R6" s="500"/>
      <c r="S6" s="500"/>
      <c r="T6" s="500"/>
      <c r="U6" s="500"/>
      <c r="V6" s="500"/>
      <c r="W6" s="500"/>
    </row>
    <row r="7" spans="2:45" ht="22.5" customHeight="1" x14ac:dyDescent="0.2">
      <c r="B7" s="499"/>
      <c r="C7" s="499"/>
      <c r="D7" s="499"/>
      <c r="E7" s="499"/>
      <c r="F7" s="499"/>
      <c r="G7" s="499"/>
      <c r="H7" s="499"/>
      <c r="I7" s="499"/>
      <c r="J7" s="499"/>
      <c r="K7" s="499"/>
      <c r="L7" s="499"/>
      <c r="M7" s="501" t="str">
        <f>'Sem ajuste'!M7:W7</f>
        <v>N° 74</v>
      </c>
      <c r="N7" s="501"/>
      <c r="O7" s="501"/>
      <c r="P7" s="501"/>
      <c r="Q7" s="501"/>
      <c r="R7" s="501"/>
      <c r="S7" s="501"/>
      <c r="T7" s="501"/>
      <c r="U7" s="501"/>
      <c r="V7" s="501"/>
      <c r="W7" s="501"/>
    </row>
    <row r="8" spans="2:45" ht="15" customHeight="1" x14ac:dyDescent="0.2">
      <c r="T8" s="30"/>
      <c r="W8"/>
    </row>
    <row r="9" spans="2:45" ht="15" customHeight="1" x14ac:dyDescent="0.2">
      <c r="F9" s="502" t="s">
        <v>253</v>
      </c>
      <c r="G9" s="502"/>
      <c r="H9" s="502"/>
      <c r="I9" s="502"/>
      <c r="J9" s="502"/>
      <c r="K9" s="502"/>
      <c r="L9" s="502"/>
      <c r="M9" s="74"/>
      <c r="N9" s="74"/>
      <c r="O9" s="37"/>
      <c r="S9" s="37"/>
      <c r="T9" s="37"/>
      <c r="U9" s="37"/>
      <c r="W9" s="37"/>
      <c r="Z9" s="37"/>
      <c r="AA9" s="37"/>
      <c r="AB9" s="37"/>
      <c r="AC9" s="37"/>
      <c r="AD9" s="37"/>
      <c r="AE9" s="37"/>
      <c r="AF9" s="37"/>
      <c r="AG9" s="37"/>
      <c r="AH9" s="37"/>
      <c r="AI9" s="37"/>
      <c r="AJ9" s="37"/>
      <c r="AK9" s="37"/>
      <c r="AL9" s="37"/>
      <c r="AM9" s="37"/>
      <c r="AN9" s="37"/>
      <c r="AO9" s="37"/>
      <c r="AP9" s="37"/>
      <c r="AQ9" s="37"/>
      <c r="AR9" s="37"/>
      <c r="AS9" s="37"/>
    </row>
    <row r="10" spans="2:45" ht="6.95" customHeight="1" x14ac:dyDescent="0.2">
      <c r="B10" s="3"/>
      <c r="F10" s="3"/>
      <c r="G10" s="3"/>
      <c r="H10" s="3"/>
      <c r="I10" s="3"/>
      <c r="J10" s="3"/>
      <c r="K10" s="3"/>
      <c r="L10" s="3"/>
      <c r="M10" s="3"/>
      <c r="N10" s="3"/>
      <c r="O10" s="3"/>
      <c r="P10" s="3"/>
      <c r="W10"/>
    </row>
    <row r="11" spans="2:45" ht="12" customHeight="1" x14ac:dyDescent="0.2">
      <c r="F11" s="556" t="str">
        <f>IF('Entrada de Dados'!D23="micrograma (µg)","Carga (µg):",IF('Entrada de Dados'!D23="miligrama (mg)","Carga (mg):",IF('Entrada de Dados'!D23="grama (g)","Carga (g):",IF('Entrada de Dados'!D23="Quilograma (kg)","Carga (kg):",IF('Entrada de Dados'!D23="tonelada (t)","Carga (t):","Carga")))))</f>
        <v>Carga (kg):</v>
      </c>
      <c r="G11" s="557"/>
      <c r="H11" s="558"/>
      <c r="I11" s="670" t="s">
        <v>231</v>
      </c>
      <c r="J11" s="671"/>
      <c r="K11" s="672"/>
      <c r="L11" s="556" t="s">
        <v>25</v>
      </c>
      <c r="M11" s="557"/>
      <c r="N11" s="557"/>
      <c r="O11" s="557"/>
      <c r="P11" s="557"/>
      <c r="Q11" s="557"/>
      <c r="R11" s="558"/>
      <c r="S11" s="38"/>
      <c r="T11" s="38"/>
      <c r="U11" s="38"/>
      <c r="W11" s="38"/>
    </row>
    <row r="12" spans="2:45" ht="12" customHeight="1" x14ac:dyDescent="0.2">
      <c r="F12" s="664">
        <f ca="1">IF('Entrada de Dados'!E40="","-",MROUND('Entrada de Dados'!E40,Cálculo!$CT$259))</f>
        <v>22000</v>
      </c>
      <c r="G12" s="665"/>
      <c r="H12" s="666"/>
      <c r="I12" s="667" t="s">
        <v>1</v>
      </c>
      <c r="J12" s="668"/>
      <c r="K12" s="669"/>
      <c r="L12" s="542"/>
      <c r="M12" s="543"/>
      <c r="N12" s="543"/>
      <c r="O12" s="543"/>
      <c r="P12" s="543"/>
      <c r="Q12" s="543"/>
      <c r="R12" s="544"/>
      <c r="S12" s="38"/>
      <c r="T12" s="38"/>
      <c r="U12" s="38"/>
      <c r="W12" s="38"/>
    </row>
    <row r="13" spans="2:45" ht="12" customHeight="1" x14ac:dyDescent="0.2">
      <c r="F13" s="673" t="s">
        <v>168</v>
      </c>
      <c r="G13" s="674"/>
      <c r="H13" s="675"/>
      <c r="I13" s="679" t="str">
        <f>IF('Entrada de Dados'!D23="micrograma (µg)","(µg)",IF('Entrada de Dados'!D23="miligrama (mg)","(mg)",IF('Entrada de Dados'!D23="grama (g)","(g)",IF('Entrada de Dados'!D23="Quilograma (kg)","(kg)",IF('Entrada de Dados'!D23="tonelada (t)","(t)","-")))))</f>
        <v>(kg)</v>
      </c>
      <c r="J13" s="680"/>
      <c r="K13" s="681"/>
      <c r="L13" s="545"/>
      <c r="M13" s="546"/>
      <c r="N13" s="546"/>
      <c r="O13" s="546"/>
      <c r="P13" s="546"/>
      <c r="Q13" s="546"/>
      <c r="R13" s="547"/>
      <c r="S13" s="38"/>
      <c r="T13" s="38"/>
      <c r="U13" s="38"/>
      <c r="W13" s="38"/>
    </row>
    <row r="14" spans="2:45" ht="15" customHeight="1" x14ac:dyDescent="0.2">
      <c r="F14" s="702" t="s">
        <v>257</v>
      </c>
      <c r="G14" s="703"/>
      <c r="H14" s="703"/>
      <c r="I14" s="696" t="str">
        <f ca="1">IF(OR($F$12="-",$F$12="",'Entrada de Dados'!E43="-"),"-",FIXED(('Entrada de Dados'!E43-'Entrada de Dados'!$E$42),IF('Entrada de Dados'!$R$9&lt;1,LEN('Entrada de Dados'!$R$9)-SEARCH(",",'Entrada de Dados'!$R$9),LEN('Entrada de Dados'!$R$9))))</f>
        <v>0,00</v>
      </c>
      <c r="J14" s="696"/>
      <c r="K14" s="697"/>
      <c r="L14" s="687" t="str">
        <f>IF('Entrada de Dados'!H45&lt;&gt;"","Retângular",IF('Entrada de Dados'!H41&lt;&gt;"","Circular","-"))</f>
        <v>Retângular</v>
      </c>
      <c r="M14" s="688"/>
      <c r="N14" s="688"/>
      <c r="O14" s="688"/>
      <c r="P14" s="688"/>
      <c r="Q14" s="688"/>
      <c r="R14" s="689"/>
      <c r="S14" s="38"/>
      <c r="T14" s="38"/>
      <c r="U14" s="38"/>
      <c r="W14" s="38"/>
    </row>
    <row r="15" spans="2:45" ht="15" customHeight="1" x14ac:dyDescent="0.2">
      <c r="F15" s="700" t="s">
        <v>258</v>
      </c>
      <c r="G15" s="701"/>
      <c r="H15" s="701"/>
      <c r="I15" s="683" t="str">
        <f ca="1">IF(OR($F$12="-",$F$12="",'Entrada de Dados'!E44="-"),"-",FIXED(('Entrada de Dados'!E44-'Entrada de Dados'!$E$42),IF('Entrada de Dados'!$R$9&lt;1,LEN('Entrada de Dados'!$R$9)-SEARCH(",",'Entrada de Dados'!$R$9),LEN('Entrada de Dados'!$R$9))))</f>
        <v>0,00</v>
      </c>
      <c r="J15" s="683"/>
      <c r="K15" s="684"/>
      <c r="L15" s="690"/>
      <c r="M15" s="691"/>
      <c r="N15" s="691"/>
      <c r="O15" s="691"/>
      <c r="P15" s="691"/>
      <c r="Q15" s="691"/>
      <c r="R15" s="692"/>
      <c r="S15" s="38"/>
      <c r="T15" s="38"/>
      <c r="U15" s="38"/>
      <c r="W15" s="38"/>
    </row>
    <row r="16" spans="2:45" ht="15" customHeight="1" x14ac:dyDescent="0.2">
      <c r="F16" s="700" t="s">
        <v>259</v>
      </c>
      <c r="G16" s="701"/>
      <c r="H16" s="701"/>
      <c r="I16" s="683" t="str">
        <f ca="1">IF(OR($F$12="-",$F$12="",'Entrada de Dados'!E45="-"),"-",FIXED(('Entrada de Dados'!E45-'Entrada de Dados'!$E$42),IF('Entrada de Dados'!$R$9&lt;1,LEN('Entrada de Dados'!$R$9)-SEARCH(",",'Entrada de Dados'!$R$9),LEN('Entrada de Dados'!$R$9))))</f>
        <v>0,00</v>
      </c>
      <c r="J16" s="683"/>
      <c r="K16" s="684"/>
      <c r="L16" s="690"/>
      <c r="M16" s="691"/>
      <c r="N16" s="691"/>
      <c r="O16" s="691"/>
      <c r="P16" s="691"/>
      <c r="Q16" s="691"/>
      <c r="R16" s="692"/>
      <c r="S16" s="38"/>
      <c r="T16" s="38"/>
      <c r="U16" s="38"/>
      <c r="W16" s="38"/>
    </row>
    <row r="17" spans="2:23" ht="15" customHeight="1" x14ac:dyDescent="0.2">
      <c r="F17" s="698" t="s">
        <v>260</v>
      </c>
      <c r="G17" s="699"/>
      <c r="H17" s="699"/>
      <c r="I17" s="685" t="str">
        <f ca="1">IF(OR($F$12="-",$F$12="",'Entrada de Dados'!E46="-"),"-",FIXED(('Entrada de Dados'!E46-'Entrada de Dados'!$E$42),IF('Entrada de Dados'!$R$9&lt;1,LEN('Entrada de Dados'!$R$9)-SEARCH(",",'Entrada de Dados'!$R$9),LEN('Entrada de Dados'!$R$9))))</f>
        <v>0,00</v>
      </c>
      <c r="J17" s="685"/>
      <c r="K17" s="686"/>
      <c r="L17" s="693"/>
      <c r="M17" s="694"/>
      <c r="N17" s="694"/>
      <c r="O17" s="694"/>
      <c r="P17" s="694"/>
      <c r="Q17" s="694"/>
      <c r="R17" s="695"/>
      <c r="S17" s="37"/>
      <c r="T17" s="37"/>
      <c r="U17" s="37"/>
      <c r="W17" s="37"/>
    </row>
    <row r="18" spans="2:23" ht="15" customHeight="1" x14ac:dyDescent="0.2">
      <c r="F18" s="676" t="str">
        <f>CONCATENATE("Plataforma ",IF('Entrada de Dados'!H45&lt;&gt;"","Retangular",IF('Entrada de Dados'!H41&lt;&gt;"","Circular","-")))</f>
        <v>Plataforma Retangular</v>
      </c>
      <c r="G18" s="677"/>
      <c r="H18" s="677"/>
      <c r="I18" s="677"/>
      <c r="J18" s="677"/>
      <c r="K18" s="677"/>
      <c r="L18" s="677"/>
      <c r="M18" s="677"/>
      <c r="N18" s="677"/>
      <c r="O18" s="677"/>
      <c r="P18" s="677"/>
      <c r="Q18" s="677"/>
      <c r="R18" s="678"/>
      <c r="W18"/>
    </row>
    <row r="19" spans="2:23" s="100" customFormat="1" ht="18.75" customHeight="1" x14ac:dyDescent="0.2">
      <c r="B19"/>
      <c r="C19" s="29"/>
      <c r="D19" s="29"/>
      <c r="E19" s="29"/>
      <c r="F19" s="682" t="s">
        <v>261</v>
      </c>
      <c r="G19" s="682"/>
      <c r="H19" s="682"/>
      <c r="I19" s="682"/>
      <c r="J19" s="682"/>
      <c r="K19" s="682"/>
      <c r="L19" s="682"/>
      <c r="M19" s="682"/>
      <c r="N19" s="682"/>
      <c r="O19" s="682"/>
      <c r="P19" s="682"/>
      <c r="Q19" s="682"/>
      <c r="R19" s="682"/>
      <c r="S19" s="99"/>
      <c r="T19" s="144"/>
      <c r="U19" s="144"/>
      <c r="V19"/>
      <c r="W19" s="144"/>
    </row>
    <row r="20" spans="2:23" s="100" customFormat="1" x14ac:dyDescent="0.2">
      <c r="C20" s="110"/>
      <c r="D20" s="110"/>
      <c r="E20" s="110"/>
      <c r="F20" s="140"/>
      <c r="G20" s="140"/>
      <c r="H20" s="140"/>
      <c r="I20" s="140"/>
      <c r="J20" s="141"/>
      <c r="K20" s="141"/>
      <c r="L20" s="141"/>
      <c r="M20" s="141"/>
      <c r="N20" s="140"/>
      <c r="O20" s="140"/>
      <c r="P20" s="138"/>
      <c r="Q20" s="142"/>
      <c r="R20" s="142"/>
      <c r="S20" s="139"/>
      <c r="T20" s="143"/>
      <c r="U20" s="143"/>
      <c r="V20" s="143"/>
    </row>
    <row r="21" spans="2:23" s="100" customFormat="1" x14ac:dyDescent="0.2"/>
    <row r="22" spans="2:23" s="100" customFormat="1" x14ac:dyDescent="0.2"/>
    <row r="23" spans="2:23" s="100" customFormat="1" x14ac:dyDescent="0.2"/>
    <row r="24" spans="2:23" s="100" customFormat="1" x14ac:dyDescent="0.2"/>
    <row r="25" spans="2:23" s="100" customFormat="1" x14ac:dyDescent="0.2"/>
    <row r="26" spans="2:23" s="100" customFormat="1" x14ac:dyDescent="0.2"/>
    <row r="27" spans="2:23" s="100" customFormat="1" x14ac:dyDescent="0.2"/>
    <row r="28" spans="2:23" s="100" customFormat="1" x14ac:dyDescent="0.2"/>
    <row r="29" spans="2:23" s="100" customFormat="1" x14ac:dyDescent="0.2"/>
    <row r="30" spans="2:23" s="100" customFormat="1" x14ac:dyDescent="0.2"/>
    <row r="31" spans="2:23" s="100" customFormat="1" x14ac:dyDescent="0.2"/>
    <row r="32" spans="2:23" s="100" customFormat="1" x14ac:dyDescent="0.2"/>
    <row r="33" s="100" customFormat="1" x14ac:dyDescent="0.2"/>
    <row r="34" s="100" customFormat="1" x14ac:dyDescent="0.2"/>
    <row r="35" s="100" customFormat="1" x14ac:dyDescent="0.2"/>
    <row r="36" s="100" customFormat="1" x14ac:dyDescent="0.2"/>
    <row r="37" s="100" customFormat="1" x14ac:dyDescent="0.2"/>
    <row r="38" s="100" customFormat="1" x14ac:dyDescent="0.2"/>
    <row r="39" s="100" customFormat="1" x14ac:dyDescent="0.2"/>
    <row r="40" s="100" customFormat="1" x14ac:dyDescent="0.2"/>
    <row r="41" s="100" customFormat="1" x14ac:dyDescent="0.2"/>
    <row r="42" s="100" customFormat="1" x14ac:dyDescent="0.2"/>
    <row r="43" s="100" customFormat="1" x14ac:dyDescent="0.2"/>
    <row r="44" s="100" customFormat="1" x14ac:dyDescent="0.2"/>
    <row r="45" s="100" customFormat="1" x14ac:dyDescent="0.2"/>
    <row r="46" s="100" customFormat="1" x14ac:dyDescent="0.2"/>
    <row r="47" s="100" customFormat="1" x14ac:dyDescent="0.2"/>
    <row r="48" s="100" customFormat="1" x14ac:dyDescent="0.2"/>
    <row r="49" s="100" customFormat="1" x14ac:dyDescent="0.2"/>
    <row r="50" s="100" customFormat="1" x14ac:dyDescent="0.2"/>
    <row r="51" s="100" customFormat="1" x14ac:dyDescent="0.2"/>
    <row r="52" s="100" customFormat="1" x14ac:dyDescent="0.2"/>
    <row r="53" s="100" customFormat="1" x14ac:dyDescent="0.2"/>
    <row r="54" s="100" customFormat="1" x14ac:dyDescent="0.2"/>
    <row r="55" s="100" customFormat="1" x14ac:dyDescent="0.2"/>
    <row r="56" s="100" customFormat="1" x14ac:dyDescent="0.2"/>
    <row r="57" s="100" customFormat="1" x14ac:dyDescent="0.2"/>
    <row r="58" s="100" customFormat="1" x14ac:dyDescent="0.2"/>
    <row r="59" s="100" customFormat="1" x14ac:dyDescent="0.2"/>
    <row r="60" s="100" customFormat="1" x14ac:dyDescent="0.2"/>
    <row r="61" s="100" customFormat="1" x14ac:dyDescent="0.2"/>
    <row r="62" s="100" customFormat="1" x14ac:dyDescent="0.2"/>
    <row r="63" s="100" customFormat="1" x14ac:dyDescent="0.2"/>
    <row r="64" s="100" customFormat="1" x14ac:dyDescent="0.2"/>
    <row r="65" s="100" customFormat="1" x14ac:dyDescent="0.2"/>
    <row r="66" s="100" customFormat="1" x14ac:dyDescent="0.2"/>
    <row r="67" s="100" customFormat="1" x14ac:dyDescent="0.2"/>
    <row r="68" s="100" customFormat="1" x14ac:dyDescent="0.2"/>
    <row r="69" s="100" customFormat="1" x14ac:dyDescent="0.2"/>
    <row r="70" s="100" customFormat="1" x14ac:dyDescent="0.2"/>
    <row r="71" s="100" customFormat="1" x14ac:dyDescent="0.2"/>
    <row r="72" s="100" customFormat="1" x14ac:dyDescent="0.2"/>
    <row r="73" s="100" customFormat="1" x14ac:dyDescent="0.2"/>
    <row r="74" s="100" customFormat="1" x14ac:dyDescent="0.2"/>
    <row r="75" s="100" customFormat="1" x14ac:dyDescent="0.2"/>
    <row r="76" s="100" customFormat="1" x14ac:dyDescent="0.2"/>
    <row r="77" s="100" customFormat="1" x14ac:dyDescent="0.2"/>
    <row r="78" s="100" customFormat="1" x14ac:dyDescent="0.2"/>
    <row r="79" s="100" customFormat="1" x14ac:dyDescent="0.2"/>
    <row r="80" s="100" customFormat="1" x14ac:dyDescent="0.2"/>
    <row r="81" s="100" customFormat="1" x14ac:dyDescent="0.2"/>
    <row r="82" s="100" customFormat="1" x14ac:dyDescent="0.2"/>
    <row r="83" s="100" customFormat="1" x14ac:dyDescent="0.2"/>
    <row r="84" s="100" customFormat="1" x14ac:dyDescent="0.2"/>
    <row r="85" s="100" customFormat="1" x14ac:dyDescent="0.2"/>
    <row r="86" s="100" customFormat="1" x14ac:dyDescent="0.2"/>
    <row r="87" s="100" customFormat="1" x14ac:dyDescent="0.2"/>
    <row r="88" s="100" customFormat="1" x14ac:dyDescent="0.2"/>
    <row r="89" s="100" customFormat="1" x14ac:dyDescent="0.2"/>
    <row r="90" s="100" customFormat="1" x14ac:dyDescent="0.2"/>
    <row r="91" s="100" customFormat="1" x14ac:dyDescent="0.2"/>
    <row r="92" s="100" customFormat="1" x14ac:dyDescent="0.2"/>
    <row r="93" s="100" customFormat="1" x14ac:dyDescent="0.2"/>
    <row r="94" s="100" customFormat="1" x14ac:dyDescent="0.2"/>
    <row r="95" s="100" customFormat="1" x14ac:dyDescent="0.2"/>
    <row r="96" s="100" customFormat="1" x14ac:dyDescent="0.2"/>
    <row r="97" s="100" customFormat="1" x14ac:dyDescent="0.2"/>
    <row r="98" s="100" customFormat="1" x14ac:dyDescent="0.2"/>
    <row r="99" s="100" customFormat="1" x14ac:dyDescent="0.2"/>
    <row r="100" s="100" customFormat="1" x14ac:dyDescent="0.2"/>
    <row r="101" s="100" customFormat="1" x14ac:dyDescent="0.2"/>
    <row r="102" s="100" customFormat="1" x14ac:dyDescent="0.2"/>
    <row r="103" s="100" customFormat="1" x14ac:dyDescent="0.2"/>
    <row r="104" s="100" customFormat="1" x14ac:dyDescent="0.2"/>
    <row r="105" s="100" customFormat="1" x14ac:dyDescent="0.2"/>
    <row r="106" s="100" customFormat="1" x14ac:dyDescent="0.2"/>
    <row r="107" s="100" customFormat="1" x14ac:dyDescent="0.2"/>
    <row r="108" s="100" customFormat="1" x14ac:dyDescent="0.2"/>
    <row r="109" s="100" customFormat="1" x14ac:dyDescent="0.2"/>
    <row r="110" s="100" customFormat="1" x14ac:dyDescent="0.2"/>
    <row r="111" s="100" customFormat="1" x14ac:dyDescent="0.2"/>
    <row r="112" s="100" customFormat="1" x14ac:dyDescent="0.2"/>
    <row r="113" s="100" customFormat="1" x14ac:dyDescent="0.2"/>
    <row r="114" s="100" customFormat="1" x14ac:dyDescent="0.2"/>
    <row r="115" s="100" customFormat="1" x14ac:dyDescent="0.2"/>
    <row r="116" s="100" customFormat="1" x14ac:dyDescent="0.2"/>
    <row r="117" s="100" customFormat="1" x14ac:dyDescent="0.2"/>
    <row r="118" s="100" customFormat="1" x14ac:dyDescent="0.2"/>
    <row r="119" s="100" customFormat="1" x14ac:dyDescent="0.2"/>
    <row r="120" s="100" customFormat="1" x14ac:dyDescent="0.2"/>
    <row r="121" s="100" customFormat="1" x14ac:dyDescent="0.2"/>
    <row r="122" s="100" customFormat="1" x14ac:dyDescent="0.2"/>
    <row r="123" s="100" customFormat="1" x14ac:dyDescent="0.2"/>
    <row r="124" s="100" customFormat="1" x14ac:dyDescent="0.2"/>
    <row r="125" s="100" customFormat="1" x14ac:dyDescent="0.2"/>
    <row r="126" s="100" customFormat="1" x14ac:dyDescent="0.2"/>
    <row r="127" s="100" customFormat="1" x14ac:dyDescent="0.2"/>
    <row r="128" s="100" customFormat="1" x14ac:dyDescent="0.2"/>
    <row r="129" s="100" customFormat="1" x14ac:dyDescent="0.2"/>
    <row r="130" s="100" customFormat="1" x14ac:dyDescent="0.2"/>
    <row r="131" s="100" customFormat="1" x14ac:dyDescent="0.2"/>
    <row r="132" s="100" customFormat="1" x14ac:dyDescent="0.2"/>
    <row r="133" s="100" customFormat="1" x14ac:dyDescent="0.2"/>
    <row r="134" s="100" customFormat="1" x14ac:dyDescent="0.2"/>
    <row r="135" s="100" customFormat="1" x14ac:dyDescent="0.2"/>
    <row r="136" s="100" customFormat="1" x14ac:dyDescent="0.2"/>
    <row r="137" s="100" customFormat="1" x14ac:dyDescent="0.2"/>
    <row r="138" s="100" customFormat="1" x14ac:dyDescent="0.2"/>
    <row r="139" s="100" customFormat="1" x14ac:dyDescent="0.2"/>
    <row r="140" s="100" customFormat="1" x14ac:dyDescent="0.2"/>
    <row r="141" s="100" customFormat="1" x14ac:dyDescent="0.2"/>
    <row r="142" s="100" customFormat="1" x14ac:dyDescent="0.2"/>
    <row r="143" s="100" customFormat="1" x14ac:dyDescent="0.2"/>
    <row r="144" s="100" customFormat="1" x14ac:dyDescent="0.2"/>
    <row r="145" s="100" customFormat="1" x14ac:dyDescent="0.2"/>
    <row r="146" s="100" customFormat="1" x14ac:dyDescent="0.2"/>
    <row r="147" s="100" customFormat="1" x14ac:dyDescent="0.2"/>
    <row r="148" s="100" customFormat="1" x14ac:dyDescent="0.2"/>
    <row r="149" s="100" customFormat="1" x14ac:dyDescent="0.2"/>
    <row r="150" s="100" customFormat="1" x14ac:dyDescent="0.2"/>
    <row r="151" s="100" customFormat="1" x14ac:dyDescent="0.2"/>
    <row r="152" s="100" customFormat="1" x14ac:dyDescent="0.2"/>
    <row r="153" s="100" customFormat="1" x14ac:dyDescent="0.2"/>
    <row r="154" s="100" customFormat="1" x14ac:dyDescent="0.2"/>
    <row r="155" s="100" customFormat="1" x14ac:dyDescent="0.2"/>
    <row r="156" s="100" customFormat="1" x14ac:dyDescent="0.2"/>
    <row r="157" s="100" customFormat="1" x14ac:dyDescent="0.2"/>
    <row r="158" s="100" customFormat="1" x14ac:dyDescent="0.2"/>
    <row r="159" s="100" customFormat="1" x14ac:dyDescent="0.2"/>
    <row r="160" s="100" customFormat="1" x14ac:dyDescent="0.2"/>
    <row r="161" s="100" customFormat="1" x14ac:dyDescent="0.2"/>
    <row r="162" s="100" customFormat="1" x14ac:dyDescent="0.2"/>
    <row r="163" s="100" customFormat="1" x14ac:dyDescent="0.2"/>
    <row r="164" s="100" customFormat="1" x14ac:dyDescent="0.2"/>
    <row r="165" s="100" customFormat="1" x14ac:dyDescent="0.2"/>
    <row r="166" s="100" customFormat="1" x14ac:dyDescent="0.2"/>
    <row r="167" s="100" customFormat="1" x14ac:dyDescent="0.2"/>
    <row r="168" s="100" customFormat="1" x14ac:dyDescent="0.2"/>
    <row r="169" s="100" customFormat="1" x14ac:dyDescent="0.2"/>
    <row r="170" s="100" customFormat="1" x14ac:dyDescent="0.2"/>
    <row r="171" s="100" customFormat="1" x14ac:dyDescent="0.2"/>
  </sheetData>
  <sheetProtection formatCells="0" selectLockedCells="1"/>
  <dataConsolidate/>
  <mergeCells count="22">
    <mergeCell ref="F13:H13"/>
    <mergeCell ref="F18:R18"/>
    <mergeCell ref="I13:K13"/>
    <mergeCell ref="B2:L7"/>
    <mergeCell ref="F19:R19"/>
    <mergeCell ref="I16:K16"/>
    <mergeCell ref="I17:K17"/>
    <mergeCell ref="L11:R13"/>
    <mergeCell ref="L14:R17"/>
    <mergeCell ref="I14:K14"/>
    <mergeCell ref="I15:K15"/>
    <mergeCell ref="F17:H17"/>
    <mergeCell ref="F16:H16"/>
    <mergeCell ref="F14:H14"/>
    <mergeCell ref="F15:H15"/>
    <mergeCell ref="M2:W6"/>
    <mergeCell ref="M7:W7"/>
    <mergeCell ref="F9:L9"/>
    <mergeCell ref="F11:H11"/>
    <mergeCell ref="F12:H12"/>
    <mergeCell ref="I12:K12"/>
    <mergeCell ref="I11:K11"/>
  </mergeCells>
  <printOptions horizontalCentered="1"/>
  <pageMargins left="0.19685039370078741" right="0.15748031496062992" top="0.51181102362204722" bottom="0.43307086614173229" header="0.31496062992125984" footer="0.31496062992125984"/>
  <pageSetup paperSize="9" scale="95"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23236" r:id="rId5" name="Check Box 4">
              <controlPr defaultSize="0" autoFill="0" autoLine="0" autoPict="0">
                <anchor moveWithCells="1">
                  <from>
                    <xdr:col>18</xdr:col>
                    <xdr:colOff>0</xdr:colOff>
                    <xdr:row>16</xdr:row>
                    <xdr:rowOff>0</xdr:rowOff>
                  </from>
                  <to>
                    <xdr:col>18</xdr:col>
                    <xdr:colOff>0</xdr:colOff>
                    <xdr:row>18</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13">
    <tabColor rgb="FFFF6600"/>
    <pageSetUpPr fitToPage="1"/>
  </sheetPr>
  <dimension ref="A1:AS171"/>
  <sheetViews>
    <sheetView showGridLines="0" showRowColHeaders="0" zoomScale="120" zoomScaleNormal="120" zoomScaleSheetLayoutView="100" zoomScalePageLayoutView="120" workbookViewId="0">
      <selection activeCell="L11" sqref="L11:R13"/>
    </sheetView>
  </sheetViews>
  <sheetFormatPr defaultColWidth="0" defaultRowHeight="12.75" x14ac:dyDescent="0.2"/>
  <cols>
    <col min="1" max="1" width="6.5703125" style="100" customWidth="1"/>
    <col min="2" max="22" width="4.85546875" customWidth="1"/>
    <col min="23" max="23" width="4.7109375" style="100" customWidth="1"/>
    <col min="24" max="24" width="2.7109375" style="100" customWidth="1"/>
  </cols>
  <sheetData>
    <row r="1" spans="2:45" s="248" customFormat="1" ht="12.75" customHeight="1" x14ac:dyDescent="0.2">
      <c r="D1" s="249"/>
      <c r="E1" s="249"/>
      <c r="F1" s="249"/>
      <c r="G1" s="249"/>
      <c r="H1" s="249"/>
      <c r="I1" s="249"/>
      <c r="J1" s="249"/>
      <c r="K1" s="249"/>
      <c r="M1" s="250"/>
      <c r="N1" s="250"/>
      <c r="O1" s="250"/>
      <c r="P1" s="250"/>
      <c r="Q1" s="250"/>
      <c r="R1" s="250"/>
      <c r="S1" s="250"/>
      <c r="T1" s="250"/>
      <c r="U1" s="250"/>
      <c r="V1" s="250"/>
      <c r="W1" s="250"/>
    </row>
    <row r="2" spans="2:45" ht="19.5" customHeight="1" x14ac:dyDescent="0.2">
      <c r="B2" s="499" t="s">
        <v>340</v>
      </c>
      <c r="C2" s="499"/>
      <c r="D2" s="499"/>
      <c r="E2" s="499"/>
      <c r="F2" s="499"/>
      <c r="G2" s="499"/>
      <c r="H2" s="499"/>
      <c r="I2" s="499"/>
      <c r="J2" s="499"/>
      <c r="K2" s="499"/>
      <c r="L2" s="499"/>
      <c r="M2" s="500" t="s">
        <v>106</v>
      </c>
      <c r="N2" s="500"/>
      <c r="O2" s="500"/>
      <c r="P2" s="500"/>
      <c r="Q2" s="500"/>
      <c r="R2" s="500"/>
      <c r="S2" s="500"/>
      <c r="T2" s="500"/>
      <c r="U2" s="500"/>
      <c r="V2" s="500"/>
      <c r="W2" s="500"/>
    </row>
    <row r="3" spans="2:45" ht="19.5" customHeight="1" x14ac:dyDescent="0.2">
      <c r="B3" s="499"/>
      <c r="C3" s="499"/>
      <c r="D3" s="499"/>
      <c r="E3" s="499"/>
      <c r="F3" s="499"/>
      <c r="G3" s="499"/>
      <c r="H3" s="499"/>
      <c r="I3" s="499"/>
      <c r="J3" s="499"/>
      <c r="K3" s="499"/>
      <c r="L3" s="499"/>
      <c r="M3" s="500"/>
      <c r="N3" s="500"/>
      <c r="O3" s="500"/>
      <c r="P3" s="500"/>
      <c r="Q3" s="500"/>
      <c r="R3" s="500"/>
      <c r="S3" s="500"/>
      <c r="T3" s="500"/>
      <c r="U3" s="500"/>
      <c r="V3" s="500"/>
      <c r="W3" s="500"/>
    </row>
    <row r="4" spans="2:45" ht="19.5" customHeight="1" x14ac:dyDescent="0.2">
      <c r="B4" s="499"/>
      <c r="C4" s="499"/>
      <c r="D4" s="499"/>
      <c r="E4" s="499"/>
      <c r="F4" s="499"/>
      <c r="G4" s="499"/>
      <c r="H4" s="499"/>
      <c r="I4" s="499"/>
      <c r="J4" s="499"/>
      <c r="K4" s="499"/>
      <c r="L4" s="499"/>
      <c r="M4" s="500"/>
      <c r="N4" s="500"/>
      <c r="O4" s="500"/>
      <c r="P4" s="500"/>
      <c r="Q4" s="500"/>
      <c r="R4" s="500"/>
      <c r="S4" s="500"/>
      <c r="T4" s="500"/>
      <c r="U4" s="500"/>
      <c r="V4" s="500"/>
      <c r="W4" s="500"/>
    </row>
    <row r="5" spans="2:45" ht="12.75" customHeight="1" x14ac:dyDescent="0.2">
      <c r="B5" s="499"/>
      <c r="C5" s="499"/>
      <c r="D5" s="499"/>
      <c r="E5" s="499"/>
      <c r="F5" s="499"/>
      <c r="G5" s="499"/>
      <c r="H5" s="499"/>
      <c r="I5" s="499"/>
      <c r="J5" s="499"/>
      <c r="K5" s="499"/>
      <c r="L5" s="499"/>
      <c r="M5" s="500"/>
      <c r="N5" s="500"/>
      <c r="O5" s="500"/>
      <c r="P5" s="500"/>
      <c r="Q5" s="500"/>
      <c r="R5" s="500"/>
      <c r="S5" s="500"/>
      <c r="T5" s="500"/>
      <c r="U5" s="500"/>
      <c r="V5" s="500"/>
      <c r="W5" s="500"/>
    </row>
    <row r="6" spans="2:45" ht="15" customHeight="1" x14ac:dyDescent="0.2">
      <c r="B6" s="499"/>
      <c r="C6" s="499"/>
      <c r="D6" s="499"/>
      <c r="E6" s="499"/>
      <c r="F6" s="499"/>
      <c r="G6" s="499"/>
      <c r="H6" s="499"/>
      <c r="I6" s="499"/>
      <c r="J6" s="499"/>
      <c r="K6" s="499"/>
      <c r="L6" s="499"/>
      <c r="M6" s="500"/>
      <c r="N6" s="500"/>
      <c r="O6" s="500"/>
      <c r="P6" s="500"/>
      <c r="Q6" s="500"/>
      <c r="R6" s="500"/>
      <c r="S6" s="500"/>
      <c r="T6" s="500"/>
      <c r="U6" s="500"/>
      <c r="V6" s="500"/>
      <c r="W6" s="500"/>
    </row>
    <row r="7" spans="2:45" ht="22.5" customHeight="1" x14ac:dyDescent="0.2">
      <c r="B7" s="499"/>
      <c r="C7" s="499"/>
      <c r="D7" s="499"/>
      <c r="E7" s="499"/>
      <c r="F7" s="499"/>
      <c r="G7" s="499"/>
      <c r="H7" s="499"/>
      <c r="I7" s="499"/>
      <c r="J7" s="499"/>
      <c r="K7" s="499"/>
      <c r="L7" s="499"/>
      <c r="M7" s="501" t="str">
        <f>'Sem ajuste'!M7:W7</f>
        <v>N° 74</v>
      </c>
      <c r="N7" s="501"/>
      <c r="O7" s="501"/>
      <c r="P7" s="501"/>
      <c r="Q7" s="501"/>
      <c r="R7" s="501"/>
      <c r="S7" s="501"/>
      <c r="T7" s="501"/>
      <c r="U7" s="501"/>
      <c r="V7" s="501"/>
      <c r="W7" s="501"/>
    </row>
    <row r="8" spans="2:45" ht="15" customHeight="1" x14ac:dyDescent="0.2">
      <c r="T8" s="30"/>
      <c r="W8"/>
    </row>
    <row r="9" spans="2:45" ht="15" customHeight="1" x14ac:dyDescent="0.2">
      <c r="F9" s="502" t="s">
        <v>262</v>
      </c>
      <c r="G9" s="502"/>
      <c r="H9" s="502"/>
      <c r="I9" s="502"/>
      <c r="J9" s="502"/>
      <c r="K9" s="502"/>
      <c r="L9" s="502"/>
      <c r="M9" s="74"/>
      <c r="N9" s="74"/>
      <c r="O9" s="37"/>
      <c r="S9" s="37"/>
      <c r="T9" s="37"/>
      <c r="U9" s="37"/>
      <c r="W9" s="37"/>
      <c r="Z9" s="37"/>
      <c r="AA9" s="37"/>
      <c r="AB9" s="37"/>
      <c r="AC9" s="37"/>
      <c r="AD9" s="37"/>
      <c r="AE9" s="37"/>
      <c r="AF9" s="37"/>
      <c r="AG9" s="37"/>
      <c r="AH9" s="37"/>
      <c r="AI9" s="37"/>
      <c r="AJ9" s="37"/>
      <c r="AK9" s="37"/>
      <c r="AL9" s="37"/>
      <c r="AM9" s="37"/>
      <c r="AN9" s="37"/>
      <c r="AO9" s="37"/>
      <c r="AP9" s="37"/>
      <c r="AQ9" s="37"/>
      <c r="AR9" s="37"/>
      <c r="AS9" s="37"/>
    </row>
    <row r="10" spans="2:45" ht="6.95" customHeight="1" x14ac:dyDescent="0.2">
      <c r="B10" s="3"/>
      <c r="F10" s="3"/>
      <c r="G10" s="3"/>
      <c r="H10" s="3"/>
      <c r="I10" s="3"/>
      <c r="J10" s="3"/>
      <c r="K10" s="3"/>
      <c r="L10" s="3"/>
      <c r="M10" s="3"/>
      <c r="N10" s="3"/>
      <c r="O10" s="3"/>
      <c r="P10" s="3"/>
      <c r="W10"/>
    </row>
    <row r="11" spans="2:45" ht="12" customHeight="1" x14ac:dyDescent="0.2">
      <c r="F11" s="556" t="str">
        <f>IF('Entrada de Dados'!D23="micrograma (µg)","Carga (µg):",IF('Entrada de Dados'!D23="miligrama (mg)","Carga (mg):",IF('Entrada de Dados'!D23="grama (g)","Carga (g):",IF('Entrada de Dados'!D23="Quilograma (kg)","Carga (kg):",IF('Entrada de Dados'!D23="tonelada (t)","Carga (t):","Carga")))))</f>
        <v>Carga (kg):</v>
      </c>
      <c r="G11" s="557"/>
      <c r="H11" s="558"/>
      <c r="I11" s="670" t="s">
        <v>231</v>
      </c>
      <c r="J11" s="671"/>
      <c r="K11" s="672"/>
      <c r="L11" s="556" t="s">
        <v>25</v>
      </c>
      <c r="M11" s="557"/>
      <c r="N11" s="557"/>
      <c r="O11" s="557"/>
      <c r="P11" s="557"/>
      <c r="Q11" s="557"/>
      <c r="R11" s="558"/>
      <c r="S11" s="38"/>
      <c r="T11" s="38"/>
      <c r="U11" s="38"/>
      <c r="W11" s="38"/>
    </row>
    <row r="12" spans="2:45" ht="12" customHeight="1" x14ac:dyDescent="0.2">
      <c r="F12" s="664">
        <f ca="1">IF('Entrada de Dados'!E40="","-",MROUND('Entrada de Dados'!E40,Cálculo!$CT$259))</f>
        <v>22000</v>
      </c>
      <c r="G12" s="665"/>
      <c r="H12" s="666"/>
      <c r="I12" s="667" t="s">
        <v>1</v>
      </c>
      <c r="J12" s="668"/>
      <c r="K12" s="669"/>
      <c r="L12" s="542"/>
      <c r="M12" s="543"/>
      <c r="N12" s="543"/>
      <c r="O12" s="543"/>
      <c r="P12" s="543"/>
      <c r="Q12" s="543"/>
      <c r="R12" s="544"/>
      <c r="S12" s="38"/>
      <c r="T12" s="38"/>
      <c r="U12" s="38"/>
      <c r="W12" s="38"/>
    </row>
    <row r="13" spans="2:45" ht="12" customHeight="1" x14ac:dyDescent="0.2">
      <c r="F13" s="673" t="s">
        <v>168</v>
      </c>
      <c r="G13" s="674"/>
      <c r="H13" s="675"/>
      <c r="I13" s="679" t="str">
        <f>IF('Entrada de Dados'!D23="micrograma (µg)","(µg)",IF('Entrada de Dados'!D23="miligrama (mg)","(mg)",IF('Entrada de Dados'!D23="grama (g)","(g)",IF('Entrada de Dados'!D23="Quilograma (kg)","(kg)",IF('Entrada de Dados'!D23="tonelada (t)","(t)","-")))))</f>
        <v>(kg)</v>
      </c>
      <c r="J13" s="680"/>
      <c r="K13" s="681"/>
      <c r="L13" s="545"/>
      <c r="M13" s="546"/>
      <c r="N13" s="546"/>
      <c r="O13" s="546"/>
      <c r="P13" s="546"/>
      <c r="Q13" s="546"/>
      <c r="R13" s="547"/>
      <c r="S13" s="38"/>
      <c r="T13" s="38"/>
      <c r="U13" s="38"/>
      <c r="W13" s="38"/>
    </row>
    <row r="14" spans="2:45" ht="15" customHeight="1" x14ac:dyDescent="0.2">
      <c r="F14" s="702" t="s">
        <v>270</v>
      </c>
      <c r="G14" s="703"/>
      <c r="H14" s="703"/>
      <c r="I14" s="696" t="str">
        <f ca="1">IF(OR($F$12="-",$F$12="",'Entrada de Dados'!E43="-"),"-",FIXED(('Entrada de Dados'!E42-'Entrada de Dados'!$E$44),IF('Entrada de Dados'!$R$9&lt;1,LEN('Entrada de Dados'!$R$9)-SEARCH(",",'Entrada de Dados'!$R$9),LEN('Entrada de Dados'!$R$9))))</f>
        <v>0,00</v>
      </c>
      <c r="J14" s="696"/>
      <c r="K14" s="697"/>
      <c r="L14" s="687" t="str">
        <f>IF('Entrada de Dados'!H45&lt;&gt;"","Retângular",IF('Entrada de Dados'!H41&lt;&gt;"","Circular","-"))</f>
        <v>Retângular</v>
      </c>
      <c r="M14" s="688"/>
      <c r="N14" s="688"/>
      <c r="O14" s="688"/>
      <c r="P14" s="688"/>
      <c r="Q14" s="688"/>
      <c r="R14" s="689"/>
      <c r="S14" s="38"/>
      <c r="T14" s="38"/>
      <c r="U14" s="38"/>
      <c r="W14" s="38"/>
    </row>
    <row r="15" spans="2:45" ht="15" customHeight="1" x14ac:dyDescent="0.2">
      <c r="F15" s="700" t="s">
        <v>271</v>
      </c>
      <c r="G15" s="701"/>
      <c r="H15" s="701"/>
      <c r="I15" s="683" t="str">
        <f ca="1">IF(OR($F$12="-",$F$12="",'Entrada de Dados'!E44="-"),"-",FIXED(('Entrada de Dados'!E43-'Entrada de Dados'!$E$44),IF('Entrada de Dados'!$R$9&lt;1,LEN('Entrada de Dados'!$R$9)-SEARCH(",",'Entrada de Dados'!$R$9),LEN('Entrada de Dados'!$R$9))))</f>
        <v>0,00</v>
      </c>
      <c r="J15" s="683"/>
      <c r="K15" s="684"/>
      <c r="L15" s="690"/>
      <c r="M15" s="691"/>
      <c r="N15" s="691"/>
      <c r="O15" s="691"/>
      <c r="P15" s="691"/>
      <c r="Q15" s="691"/>
      <c r="R15" s="692"/>
      <c r="S15" s="38"/>
      <c r="T15" s="38"/>
      <c r="U15" s="38"/>
      <c r="W15" s="38"/>
    </row>
    <row r="16" spans="2:45" ht="15" customHeight="1" x14ac:dyDescent="0.2">
      <c r="F16" s="700" t="s">
        <v>272</v>
      </c>
      <c r="G16" s="701"/>
      <c r="H16" s="701"/>
      <c r="I16" s="683" t="str">
        <f ca="1">IF(OR($F$12="-",$F$12="",'Entrada de Dados'!E45="-"),"-",FIXED(('Entrada de Dados'!E45-'Entrada de Dados'!$E$44),IF('Entrada de Dados'!$R$9&lt;1,LEN('Entrada de Dados'!$R$9)-SEARCH(",",'Entrada de Dados'!$R$9),LEN('Entrada de Dados'!$R$9))))</f>
        <v>0,00</v>
      </c>
      <c r="J16" s="683"/>
      <c r="K16" s="684"/>
      <c r="L16" s="690"/>
      <c r="M16" s="691"/>
      <c r="N16" s="691"/>
      <c r="O16" s="691"/>
      <c r="P16" s="691"/>
      <c r="Q16" s="691"/>
      <c r="R16" s="692"/>
      <c r="S16" s="38"/>
      <c r="T16" s="38"/>
      <c r="U16" s="38"/>
      <c r="W16" s="38"/>
    </row>
    <row r="17" spans="2:23" ht="15" customHeight="1" x14ac:dyDescent="0.2">
      <c r="F17" s="698" t="s">
        <v>273</v>
      </c>
      <c r="G17" s="699"/>
      <c r="H17" s="699"/>
      <c r="I17" s="685" t="str">
        <f ca="1">IF(OR($F$12="-",$F$12="",'Entrada de Dados'!E46="-"),"-",FIXED(('Entrada de Dados'!E46-'Entrada de Dados'!$E$44),IF('Entrada de Dados'!$R$9&lt;1,LEN('Entrada de Dados'!$R$9)-SEARCH(",",'Entrada de Dados'!$R$9),LEN('Entrada de Dados'!$R$9))))</f>
        <v>0,00</v>
      </c>
      <c r="J17" s="685"/>
      <c r="K17" s="686"/>
      <c r="L17" s="693"/>
      <c r="M17" s="694"/>
      <c r="N17" s="694"/>
      <c r="O17" s="694"/>
      <c r="P17" s="694"/>
      <c r="Q17" s="694"/>
      <c r="R17" s="695"/>
      <c r="S17" s="37"/>
      <c r="T17" s="37"/>
      <c r="U17" s="37"/>
      <c r="W17" s="37"/>
    </row>
    <row r="18" spans="2:23" ht="15" customHeight="1" x14ac:dyDescent="0.2">
      <c r="F18" s="676" t="s">
        <v>269</v>
      </c>
      <c r="G18" s="677"/>
      <c r="H18" s="677"/>
      <c r="I18" s="677"/>
      <c r="J18" s="677"/>
      <c r="K18" s="677"/>
      <c r="L18" s="677"/>
      <c r="M18" s="677"/>
      <c r="N18" s="677"/>
      <c r="O18" s="677"/>
      <c r="P18" s="677"/>
      <c r="Q18" s="677"/>
      <c r="R18" s="678"/>
      <c r="W18"/>
    </row>
    <row r="19" spans="2:23" s="100" customFormat="1" ht="18.75" customHeight="1" x14ac:dyDescent="0.2">
      <c r="B19"/>
      <c r="C19" s="29"/>
      <c r="D19" s="29"/>
      <c r="E19" s="29"/>
      <c r="F19" s="704" t="s">
        <v>274</v>
      </c>
      <c r="G19" s="704"/>
      <c r="H19" s="704"/>
      <c r="I19" s="704"/>
      <c r="J19" s="704"/>
      <c r="K19" s="704"/>
      <c r="L19" s="704"/>
      <c r="M19" s="704"/>
      <c r="N19" s="704"/>
      <c r="O19" s="704"/>
      <c r="P19" s="704"/>
      <c r="Q19" s="704"/>
      <c r="R19" s="704"/>
      <c r="S19" s="99"/>
      <c r="T19" s="144"/>
      <c r="U19" s="144"/>
      <c r="V19"/>
      <c r="W19" s="144"/>
    </row>
    <row r="20" spans="2:23" s="100" customFormat="1" x14ac:dyDescent="0.2">
      <c r="C20" s="110"/>
      <c r="D20" s="110"/>
      <c r="E20" s="110"/>
      <c r="F20" s="140"/>
      <c r="G20" s="140"/>
      <c r="H20" s="140"/>
      <c r="I20" s="140"/>
      <c r="J20" s="141"/>
      <c r="K20" s="141"/>
      <c r="L20" s="141"/>
      <c r="M20" s="141"/>
      <c r="N20" s="140"/>
      <c r="O20" s="140"/>
      <c r="P20" s="138"/>
      <c r="Q20" s="142"/>
      <c r="R20" s="142"/>
      <c r="S20" s="139"/>
      <c r="T20" s="143"/>
      <c r="U20" s="143"/>
      <c r="V20" s="143"/>
    </row>
    <row r="21" spans="2:23" s="100" customFormat="1" x14ac:dyDescent="0.2"/>
    <row r="22" spans="2:23" s="100" customFormat="1" x14ac:dyDescent="0.2"/>
    <row r="23" spans="2:23" s="100" customFormat="1" x14ac:dyDescent="0.2"/>
    <row r="24" spans="2:23" s="100" customFormat="1" x14ac:dyDescent="0.2"/>
    <row r="25" spans="2:23" s="100" customFormat="1" x14ac:dyDescent="0.2"/>
    <row r="26" spans="2:23" s="100" customFormat="1" x14ac:dyDescent="0.2"/>
    <row r="27" spans="2:23" s="100" customFormat="1" x14ac:dyDescent="0.2"/>
    <row r="28" spans="2:23" s="100" customFormat="1" x14ac:dyDescent="0.2"/>
    <row r="29" spans="2:23" s="100" customFormat="1" x14ac:dyDescent="0.2"/>
    <row r="30" spans="2:23" s="100" customFormat="1" x14ac:dyDescent="0.2"/>
    <row r="31" spans="2:23" s="100" customFormat="1" x14ac:dyDescent="0.2"/>
    <row r="32" spans="2:23" s="100" customFormat="1" x14ac:dyDescent="0.2"/>
    <row r="33" s="100" customFormat="1" x14ac:dyDescent="0.2"/>
    <row r="34" s="100" customFormat="1" x14ac:dyDescent="0.2"/>
    <row r="35" s="100" customFormat="1" x14ac:dyDescent="0.2"/>
    <row r="36" s="100" customFormat="1" x14ac:dyDescent="0.2"/>
    <row r="37" s="100" customFormat="1" x14ac:dyDescent="0.2"/>
    <row r="38" s="100" customFormat="1" x14ac:dyDescent="0.2"/>
    <row r="39" s="100" customFormat="1" x14ac:dyDescent="0.2"/>
    <row r="40" s="100" customFormat="1" x14ac:dyDescent="0.2"/>
    <row r="41" s="100" customFormat="1" x14ac:dyDescent="0.2"/>
    <row r="42" s="100" customFormat="1" x14ac:dyDescent="0.2"/>
    <row r="43" s="100" customFormat="1" x14ac:dyDescent="0.2"/>
    <row r="44" s="100" customFormat="1" x14ac:dyDescent="0.2"/>
    <row r="45" s="100" customFormat="1" x14ac:dyDescent="0.2"/>
    <row r="46" s="100" customFormat="1" x14ac:dyDescent="0.2"/>
    <row r="47" s="100" customFormat="1" x14ac:dyDescent="0.2"/>
    <row r="48" s="100" customFormat="1" x14ac:dyDescent="0.2"/>
    <row r="49" s="100" customFormat="1" x14ac:dyDescent="0.2"/>
    <row r="50" s="100" customFormat="1" x14ac:dyDescent="0.2"/>
    <row r="51" s="100" customFormat="1" x14ac:dyDescent="0.2"/>
    <row r="52" s="100" customFormat="1" x14ac:dyDescent="0.2"/>
    <row r="53" s="100" customFormat="1" x14ac:dyDescent="0.2"/>
    <row r="54" s="100" customFormat="1" x14ac:dyDescent="0.2"/>
    <row r="55" s="100" customFormat="1" x14ac:dyDescent="0.2"/>
    <row r="56" s="100" customFormat="1" x14ac:dyDescent="0.2"/>
    <row r="57" s="100" customFormat="1" x14ac:dyDescent="0.2"/>
    <row r="58" s="100" customFormat="1" x14ac:dyDescent="0.2"/>
    <row r="59" s="100" customFormat="1" x14ac:dyDescent="0.2"/>
    <row r="60" s="100" customFormat="1" x14ac:dyDescent="0.2"/>
    <row r="61" s="100" customFormat="1" x14ac:dyDescent="0.2"/>
    <row r="62" s="100" customFormat="1" x14ac:dyDescent="0.2"/>
    <row r="63" s="100" customFormat="1" x14ac:dyDescent="0.2"/>
    <row r="64" s="100" customFormat="1" x14ac:dyDescent="0.2"/>
    <row r="65" s="100" customFormat="1" x14ac:dyDescent="0.2"/>
    <row r="66" s="100" customFormat="1" x14ac:dyDescent="0.2"/>
    <row r="67" s="100" customFormat="1" x14ac:dyDescent="0.2"/>
    <row r="68" s="100" customFormat="1" x14ac:dyDescent="0.2"/>
    <row r="69" s="100" customFormat="1" x14ac:dyDescent="0.2"/>
    <row r="70" s="100" customFormat="1" x14ac:dyDescent="0.2"/>
    <row r="71" s="100" customFormat="1" x14ac:dyDescent="0.2"/>
    <row r="72" s="100" customFormat="1" x14ac:dyDescent="0.2"/>
    <row r="73" s="100" customFormat="1" x14ac:dyDescent="0.2"/>
    <row r="74" s="100" customFormat="1" x14ac:dyDescent="0.2"/>
    <row r="75" s="100" customFormat="1" x14ac:dyDescent="0.2"/>
    <row r="76" s="100" customFormat="1" x14ac:dyDescent="0.2"/>
    <row r="77" s="100" customFormat="1" x14ac:dyDescent="0.2"/>
    <row r="78" s="100" customFormat="1" x14ac:dyDescent="0.2"/>
    <row r="79" s="100" customFormat="1" x14ac:dyDescent="0.2"/>
    <row r="80" s="100" customFormat="1" x14ac:dyDescent="0.2"/>
    <row r="81" s="100" customFormat="1" x14ac:dyDescent="0.2"/>
    <row r="82" s="100" customFormat="1" x14ac:dyDescent="0.2"/>
    <row r="83" s="100" customFormat="1" x14ac:dyDescent="0.2"/>
    <row r="84" s="100" customFormat="1" x14ac:dyDescent="0.2"/>
    <row r="85" s="100" customFormat="1" x14ac:dyDescent="0.2"/>
    <row r="86" s="100" customFormat="1" x14ac:dyDescent="0.2"/>
    <row r="87" s="100" customFormat="1" x14ac:dyDescent="0.2"/>
    <row r="88" s="100" customFormat="1" x14ac:dyDescent="0.2"/>
    <row r="89" s="100" customFormat="1" x14ac:dyDescent="0.2"/>
    <row r="90" s="100" customFormat="1" x14ac:dyDescent="0.2"/>
    <row r="91" s="100" customFormat="1" x14ac:dyDescent="0.2"/>
    <row r="92" s="100" customFormat="1" x14ac:dyDescent="0.2"/>
    <row r="93" s="100" customFormat="1" x14ac:dyDescent="0.2"/>
    <row r="94" s="100" customFormat="1" x14ac:dyDescent="0.2"/>
    <row r="95" s="100" customFormat="1" x14ac:dyDescent="0.2"/>
    <row r="96" s="100" customFormat="1" x14ac:dyDescent="0.2"/>
    <row r="97" s="100" customFormat="1" x14ac:dyDescent="0.2"/>
    <row r="98" s="100" customFormat="1" x14ac:dyDescent="0.2"/>
    <row r="99" s="100" customFormat="1" x14ac:dyDescent="0.2"/>
    <row r="100" s="100" customFormat="1" x14ac:dyDescent="0.2"/>
    <row r="101" s="100" customFormat="1" x14ac:dyDescent="0.2"/>
    <row r="102" s="100" customFormat="1" x14ac:dyDescent="0.2"/>
    <row r="103" s="100" customFormat="1" x14ac:dyDescent="0.2"/>
    <row r="104" s="100" customFormat="1" x14ac:dyDescent="0.2"/>
    <row r="105" s="100" customFormat="1" x14ac:dyDescent="0.2"/>
    <row r="106" s="100" customFormat="1" x14ac:dyDescent="0.2"/>
    <row r="107" s="100" customFormat="1" x14ac:dyDescent="0.2"/>
    <row r="108" s="100" customFormat="1" x14ac:dyDescent="0.2"/>
    <row r="109" s="100" customFormat="1" x14ac:dyDescent="0.2"/>
    <row r="110" s="100" customFormat="1" x14ac:dyDescent="0.2"/>
    <row r="111" s="100" customFormat="1" x14ac:dyDescent="0.2"/>
    <row r="112" s="100" customFormat="1" x14ac:dyDescent="0.2"/>
    <row r="113" s="100" customFormat="1" x14ac:dyDescent="0.2"/>
    <row r="114" s="100" customFormat="1" x14ac:dyDescent="0.2"/>
    <row r="115" s="100" customFormat="1" x14ac:dyDescent="0.2"/>
    <row r="116" s="100" customFormat="1" x14ac:dyDescent="0.2"/>
    <row r="117" s="100" customFormat="1" x14ac:dyDescent="0.2"/>
    <row r="118" s="100" customFormat="1" x14ac:dyDescent="0.2"/>
    <row r="119" s="100" customFormat="1" x14ac:dyDescent="0.2"/>
    <row r="120" s="100" customFormat="1" x14ac:dyDescent="0.2"/>
    <row r="121" s="100" customFormat="1" x14ac:dyDescent="0.2"/>
    <row r="122" s="100" customFormat="1" x14ac:dyDescent="0.2"/>
    <row r="123" s="100" customFormat="1" x14ac:dyDescent="0.2"/>
    <row r="124" s="100" customFormat="1" x14ac:dyDescent="0.2"/>
    <row r="125" s="100" customFormat="1" x14ac:dyDescent="0.2"/>
    <row r="126" s="100" customFormat="1" x14ac:dyDescent="0.2"/>
    <row r="127" s="100" customFormat="1" x14ac:dyDescent="0.2"/>
    <row r="128" s="100" customFormat="1" x14ac:dyDescent="0.2"/>
    <row r="129" s="100" customFormat="1" x14ac:dyDescent="0.2"/>
    <row r="130" s="100" customFormat="1" x14ac:dyDescent="0.2"/>
    <row r="131" s="100" customFormat="1" x14ac:dyDescent="0.2"/>
    <row r="132" s="100" customFormat="1" x14ac:dyDescent="0.2"/>
    <row r="133" s="100" customFormat="1" x14ac:dyDescent="0.2"/>
    <row r="134" s="100" customFormat="1" x14ac:dyDescent="0.2"/>
    <row r="135" s="100" customFormat="1" x14ac:dyDescent="0.2"/>
    <row r="136" s="100" customFormat="1" x14ac:dyDescent="0.2"/>
    <row r="137" s="100" customFormat="1" x14ac:dyDescent="0.2"/>
    <row r="138" s="100" customFormat="1" x14ac:dyDescent="0.2"/>
    <row r="139" s="100" customFormat="1" x14ac:dyDescent="0.2"/>
    <row r="140" s="100" customFormat="1" x14ac:dyDescent="0.2"/>
    <row r="141" s="100" customFormat="1" x14ac:dyDescent="0.2"/>
    <row r="142" s="100" customFormat="1" x14ac:dyDescent="0.2"/>
    <row r="143" s="100" customFormat="1" x14ac:dyDescent="0.2"/>
    <row r="144" s="100" customFormat="1" x14ac:dyDescent="0.2"/>
    <row r="145" s="100" customFormat="1" x14ac:dyDescent="0.2"/>
    <row r="146" s="100" customFormat="1" x14ac:dyDescent="0.2"/>
    <row r="147" s="100" customFormat="1" x14ac:dyDescent="0.2"/>
    <row r="148" s="100" customFormat="1" x14ac:dyDescent="0.2"/>
    <row r="149" s="100" customFormat="1" x14ac:dyDescent="0.2"/>
    <row r="150" s="100" customFormat="1" x14ac:dyDescent="0.2"/>
    <row r="151" s="100" customFormat="1" x14ac:dyDescent="0.2"/>
    <row r="152" s="100" customFormat="1" x14ac:dyDescent="0.2"/>
    <row r="153" s="100" customFormat="1" x14ac:dyDescent="0.2"/>
    <row r="154" s="100" customFormat="1" x14ac:dyDescent="0.2"/>
    <row r="155" s="100" customFormat="1" x14ac:dyDescent="0.2"/>
    <row r="156" s="100" customFormat="1" x14ac:dyDescent="0.2"/>
    <row r="157" s="100" customFormat="1" x14ac:dyDescent="0.2"/>
    <row r="158" s="100" customFormat="1" x14ac:dyDescent="0.2"/>
    <row r="159" s="100" customFormat="1" x14ac:dyDescent="0.2"/>
    <row r="160" s="100" customFormat="1" x14ac:dyDescent="0.2"/>
    <row r="161" s="100" customFormat="1" x14ac:dyDescent="0.2"/>
    <row r="162" s="100" customFormat="1" x14ac:dyDescent="0.2"/>
    <row r="163" s="100" customFormat="1" x14ac:dyDescent="0.2"/>
    <row r="164" s="100" customFormat="1" x14ac:dyDescent="0.2"/>
    <row r="165" s="100" customFormat="1" x14ac:dyDescent="0.2"/>
    <row r="166" s="100" customFormat="1" x14ac:dyDescent="0.2"/>
    <row r="167" s="100" customFormat="1" x14ac:dyDescent="0.2"/>
    <row r="168" s="100" customFormat="1" x14ac:dyDescent="0.2"/>
    <row r="169" s="100" customFormat="1" x14ac:dyDescent="0.2"/>
    <row r="170" s="100" customFormat="1" x14ac:dyDescent="0.2"/>
    <row r="171" s="100" customFormat="1" x14ac:dyDescent="0.2"/>
  </sheetData>
  <sheetProtection formatCells="0" selectLockedCells="1"/>
  <dataConsolidate/>
  <mergeCells count="22">
    <mergeCell ref="F18:R18"/>
    <mergeCell ref="F19:R19"/>
    <mergeCell ref="I13:K13"/>
    <mergeCell ref="F14:H14"/>
    <mergeCell ref="I14:K14"/>
    <mergeCell ref="L14:R17"/>
    <mergeCell ref="F15:H15"/>
    <mergeCell ref="I15:K15"/>
    <mergeCell ref="F16:H16"/>
    <mergeCell ref="I16:K16"/>
    <mergeCell ref="F17:H17"/>
    <mergeCell ref="I17:K17"/>
    <mergeCell ref="B2:L7"/>
    <mergeCell ref="M2:W6"/>
    <mergeCell ref="M7:W7"/>
    <mergeCell ref="F9:L9"/>
    <mergeCell ref="F11:H11"/>
    <mergeCell ref="I11:K11"/>
    <mergeCell ref="L11:R13"/>
    <mergeCell ref="F12:H12"/>
    <mergeCell ref="I12:K12"/>
    <mergeCell ref="F13:H13"/>
  </mergeCells>
  <printOptions horizontalCentered="1"/>
  <pageMargins left="0.19685039370078741" right="0.15748031496062992" top="0.51181102362204722" bottom="0.43307086614173229" header="0.31496062992125984" footer="0.31496062992125984"/>
  <pageSetup paperSize="9" scale="95"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58049" r:id="rId5" name="Check Box 1">
              <controlPr defaultSize="0" autoFill="0" autoLine="0" autoPict="0">
                <anchor moveWithCells="1">
                  <from>
                    <xdr:col>18</xdr:col>
                    <xdr:colOff>0</xdr:colOff>
                    <xdr:row>16</xdr:row>
                    <xdr:rowOff>0</xdr:rowOff>
                  </from>
                  <to>
                    <xdr:col>18</xdr:col>
                    <xdr:colOff>0</xdr:colOff>
                    <xdr:row>18</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4">
    <tabColor theme="4" tint="-0.499984740745262"/>
    <pageSetUpPr fitToPage="1"/>
  </sheetPr>
  <dimension ref="A1:FX320"/>
  <sheetViews>
    <sheetView showGridLines="0" showRowColHeaders="0" zoomScale="82" zoomScaleNormal="82" workbookViewId="0">
      <pane ySplit="4" topLeftCell="A5" activePane="bottomLeft" state="frozen"/>
      <selection pane="bottomLeft" activeCell="EW5" sqref="EW5:EX26"/>
    </sheetView>
  </sheetViews>
  <sheetFormatPr defaultColWidth="2.7109375" defaultRowHeight="12.75" outlineLevelCol="1" x14ac:dyDescent="0.2"/>
  <cols>
    <col min="1" max="2" width="2.7109375" style="1"/>
    <col min="3" max="7" width="4" style="1" customWidth="1"/>
    <col min="8" max="11" width="4.7109375" style="1" hidden="1" customWidth="1" outlineLevel="1"/>
    <col min="12" max="15" width="3.85546875" style="1" hidden="1" customWidth="1" outlineLevel="1"/>
    <col min="16" max="16" width="2.7109375" style="1" customWidth="1" collapsed="1"/>
    <col min="17" max="18" width="2.7109375" style="1"/>
    <col min="19" max="19" width="8.5703125" style="1" customWidth="1"/>
    <col min="20" max="26" width="2.7109375" style="1"/>
    <col min="27" max="27" width="2.7109375" style="1" customWidth="1"/>
    <col min="28" max="38" width="1.5703125" style="1" hidden="1" customWidth="1" outlineLevel="1"/>
    <col min="39" max="41" width="2.7109375" style="1" hidden="1" customWidth="1" outlineLevel="1"/>
    <col min="42" max="42" width="5.140625" style="1" hidden="1" customWidth="1" outlineLevel="1"/>
    <col min="43" max="46" width="2.7109375" style="1" hidden="1" customWidth="1" outlineLevel="1"/>
    <col min="47" max="47" width="3.28515625" style="1" hidden="1" customWidth="1" outlineLevel="1"/>
    <col min="48" max="48" width="8.42578125" style="1" hidden="1" customWidth="1" outlineLevel="1"/>
    <col min="49" max="57" width="2.7109375" style="1" hidden="1" customWidth="1" outlineLevel="1"/>
    <col min="58" max="58" width="3.42578125" style="1" hidden="1" customWidth="1" outlineLevel="1"/>
    <col min="59" max="59" width="6.28515625" style="1" hidden="1" customWidth="1" outlineLevel="1"/>
    <col min="60" max="62" width="2.7109375" style="1" hidden="1" customWidth="1" outlineLevel="1"/>
    <col min="63" max="63" width="6.140625" style="1" hidden="1" customWidth="1" outlineLevel="1"/>
    <col min="64" max="64" width="4.85546875" style="1" hidden="1" customWidth="1" outlineLevel="1"/>
    <col min="65" max="65" width="2.7109375" style="1" collapsed="1"/>
    <col min="66" max="66" width="2.7109375" style="1"/>
    <col min="67" max="67" width="5.5703125" style="1" customWidth="1"/>
    <col min="68" max="68" width="5" style="1" customWidth="1"/>
    <col min="69" max="71" width="5.42578125" style="1" customWidth="1"/>
    <col min="72" max="73" width="3.5703125" style="1" customWidth="1"/>
    <col min="74" max="75" width="5" style="1" customWidth="1"/>
    <col min="76" max="93" width="3.5703125" style="1" customWidth="1"/>
    <col min="94" max="97" width="4.28515625" style="1" customWidth="1"/>
    <col min="98" max="98" width="8.28515625" style="1" customWidth="1"/>
    <col min="99" max="100" width="3.5703125" style="1" customWidth="1"/>
    <col min="101" max="102" width="4.85546875" style="1" customWidth="1"/>
    <col min="103" max="108" width="3.5703125" style="1" customWidth="1"/>
    <col min="109" max="112" width="3.5703125" style="159" customWidth="1"/>
    <col min="113" max="120" width="3.5703125" style="1" customWidth="1"/>
    <col min="121" max="124" width="4.28515625" style="1" customWidth="1"/>
    <col min="125" max="125" width="10.85546875" style="1" customWidth="1"/>
    <col min="126" max="127" width="3.5703125" style="1" customWidth="1"/>
    <col min="128" max="129" width="4.85546875" style="1" customWidth="1"/>
    <col min="130" max="135" width="3.5703125" style="1" customWidth="1"/>
    <col min="136" max="139" width="3.5703125" style="159" customWidth="1"/>
    <col min="140" max="147" width="3.5703125" style="1" customWidth="1"/>
    <col min="148" max="151" width="4.42578125" style="1" customWidth="1"/>
    <col min="152" max="152" width="9" style="1" customWidth="1"/>
    <col min="153" max="153" width="3.85546875" style="1" customWidth="1"/>
    <col min="154" max="154" width="3.28515625" style="1" customWidth="1"/>
    <col min="155" max="156" width="4.42578125" style="1" customWidth="1"/>
    <col min="157" max="162" width="3.28515625" style="1" customWidth="1"/>
    <col min="163" max="166" width="3.28515625" style="159" customWidth="1"/>
    <col min="167" max="174" width="3.28515625" style="1" customWidth="1"/>
    <col min="175" max="178" width="4.7109375" style="1" customWidth="1"/>
    <col min="179" max="179" width="8.42578125" style="1" customWidth="1"/>
    <col min="180" max="181" width="2.7109375" style="1"/>
    <col min="182" max="182" width="3.140625" style="1" bestFit="1" customWidth="1"/>
    <col min="183" max="16384" width="2.7109375" style="1"/>
  </cols>
  <sheetData>
    <row r="1" spans="1:180" x14ac:dyDescent="0.2">
      <c r="A1" s="1024" t="s">
        <v>15</v>
      </c>
      <c r="B1" s="1025"/>
      <c r="C1" s="1025"/>
      <c r="D1" s="1025"/>
      <c r="E1" s="1025"/>
      <c r="F1" s="1025"/>
      <c r="G1" s="1025"/>
      <c r="H1" s="1025"/>
      <c r="I1" s="1025"/>
      <c r="J1" s="1025"/>
      <c r="K1" s="1025"/>
      <c r="L1" s="1025"/>
      <c r="M1" s="1025"/>
      <c r="N1" s="1025"/>
      <c r="O1" s="1025"/>
      <c r="P1" s="1025"/>
      <c r="Q1" s="1025"/>
      <c r="R1" s="1025"/>
      <c r="S1" s="1025"/>
      <c r="T1" s="1025"/>
      <c r="U1" s="1025"/>
      <c r="V1" s="1025"/>
      <c r="W1" s="1025"/>
      <c r="X1" s="1025"/>
      <c r="Y1" s="1025"/>
      <c r="Z1" s="1025"/>
      <c r="AA1" s="1025"/>
      <c r="AB1" s="1025"/>
      <c r="AC1" s="1025"/>
      <c r="AD1" s="1025"/>
      <c r="AE1" s="1025"/>
      <c r="AF1" s="1025"/>
      <c r="AG1" s="1025"/>
      <c r="AH1" s="1025"/>
      <c r="AI1" s="1025"/>
      <c r="AJ1" s="1025"/>
      <c r="AK1" s="1025"/>
      <c r="AL1" s="1025"/>
      <c r="AM1" s="1025"/>
      <c r="AN1" s="1025"/>
      <c r="AO1" s="1025"/>
      <c r="AP1" s="1025"/>
      <c r="AQ1" s="1025"/>
      <c r="AR1" s="1025"/>
      <c r="AS1" s="1025"/>
      <c r="AT1" s="1025"/>
      <c r="AU1" s="1025"/>
      <c r="AV1" s="1025"/>
      <c r="AW1" s="1025"/>
      <c r="AX1" s="1025"/>
      <c r="AY1" s="1025"/>
      <c r="AZ1" s="1025"/>
      <c r="BA1" s="1025"/>
      <c r="BB1" s="1025"/>
      <c r="BC1" s="1025"/>
      <c r="BD1" s="1025"/>
      <c r="BE1" s="1025"/>
      <c r="BF1" s="1025"/>
      <c r="BG1" s="1025"/>
      <c r="BH1" s="1025"/>
      <c r="BI1" s="1025"/>
      <c r="BJ1" s="1025"/>
      <c r="BK1" s="1025"/>
      <c r="BL1" s="1026"/>
      <c r="BN1" s="1016" t="s">
        <v>23</v>
      </c>
      <c r="BO1" s="1017"/>
      <c r="BP1" s="1018"/>
      <c r="BQ1" s="1122">
        <f ca="1">TODAY()</f>
        <v>45321</v>
      </c>
      <c r="BR1" s="1123"/>
      <c r="BS1" s="1124"/>
      <c r="BT1" s="862" t="s">
        <v>27</v>
      </c>
      <c r="BU1" s="863"/>
      <c r="BV1" s="863"/>
      <c r="BW1" s="863"/>
      <c r="BX1" s="863"/>
      <c r="BY1" s="863"/>
      <c r="BZ1" s="863"/>
      <c r="CA1" s="863"/>
      <c r="CB1" s="863"/>
      <c r="CC1" s="863"/>
      <c r="CD1" s="863"/>
      <c r="CE1" s="863"/>
      <c r="CF1" s="863"/>
      <c r="CG1" s="863"/>
      <c r="CH1" s="863"/>
      <c r="CI1" s="863"/>
      <c r="CJ1" s="863"/>
      <c r="CK1" s="863"/>
      <c r="CL1" s="863"/>
      <c r="CM1" s="863"/>
      <c r="CN1" s="863"/>
      <c r="CO1" s="863"/>
      <c r="CP1" s="863"/>
      <c r="CQ1" s="863"/>
      <c r="CR1" s="863"/>
      <c r="CS1" s="864"/>
      <c r="CT1" s="3"/>
      <c r="CU1" s="862" t="s">
        <v>30</v>
      </c>
      <c r="CV1" s="863"/>
      <c r="CW1" s="863"/>
      <c r="CX1" s="863"/>
      <c r="CY1" s="863"/>
      <c r="CZ1" s="863"/>
      <c r="DA1" s="863"/>
      <c r="DB1" s="863"/>
      <c r="DC1" s="863"/>
      <c r="DD1" s="863"/>
      <c r="DE1" s="863"/>
      <c r="DF1" s="863"/>
      <c r="DG1" s="863"/>
      <c r="DH1" s="863"/>
      <c r="DI1" s="863"/>
      <c r="DJ1" s="863"/>
      <c r="DK1" s="863"/>
      <c r="DL1" s="863"/>
      <c r="DM1" s="863"/>
      <c r="DN1" s="863"/>
      <c r="DO1" s="863"/>
      <c r="DP1" s="863"/>
      <c r="DQ1" s="863"/>
      <c r="DR1" s="863"/>
      <c r="DS1" s="863"/>
      <c r="DT1" s="864"/>
      <c r="DU1" s="3"/>
      <c r="DV1" s="925" t="s">
        <v>31</v>
      </c>
      <c r="DW1" s="926"/>
      <c r="DX1" s="926"/>
      <c r="DY1" s="926"/>
      <c r="DZ1" s="926"/>
      <c r="EA1" s="926"/>
      <c r="EB1" s="926"/>
      <c r="EC1" s="926"/>
      <c r="ED1" s="926"/>
      <c r="EE1" s="926"/>
      <c r="EF1" s="926"/>
      <c r="EG1" s="926"/>
      <c r="EH1" s="926"/>
      <c r="EI1" s="926"/>
      <c r="EJ1" s="926"/>
      <c r="EK1" s="926"/>
      <c r="EL1" s="926"/>
      <c r="EM1" s="926"/>
      <c r="EN1" s="926"/>
      <c r="EO1" s="926"/>
      <c r="EP1" s="926"/>
      <c r="EQ1" s="926"/>
      <c r="ER1" s="926"/>
      <c r="ES1" s="926"/>
      <c r="ET1" s="927"/>
      <c r="EU1" s="928"/>
      <c r="EV1" s="3"/>
      <c r="EW1" s="925" t="s">
        <v>32</v>
      </c>
      <c r="EX1" s="926"/>
      <c r="EY1" s="926"/>
      <c r="EZ1" s="926"/>
      <c r="FA1" s="926"/>
      <c r="FB1" s="926"/>
      <c r="FC1" s="926"/>
      <c r="FD1" s="926"/>
      <c r="FE1" s="926"/>
      <c r="FF1" s="926"/>
      <c r="FG1" s="926"/>
      <c r="FH1" s="926"/>
      <c r="FI1" s="926"/>
      <c r="FJ1" s="926"/>
      <c r="FK1" s="926"/>
      <c r="FL1" s="926"/>
      <c r="FM1" s="926"/>
      <c r="FN1" s="926"/>
      <c r="FO1" s="926"/>
      <c r="FP1" s="926"/>
      <c r="FQ1" s="926"/>
      <c r="FR1" s="926"/>
      <c r="FS1" s="926"/>
      <c r="FT1" s="926"/>
      <c r="FU1" s="927"/>
      <c r="FV1" s="928"/>
      <c r="FW1" s="3"/>
    </row>
    <row r="2" spans="1:180" ht="18.75" customHeight="1" x14ac:dyDescent="0.2">
      <c r="A2" s="969" t="s">
        <v>3</v>
      </c>
      <c r="B2" s="970"/>
      <c r="C2" s="964" t="s">
        <v>12</v>
      </c>
      <c r="D2" s="964"/>
      <c r="E2" s="964"/>
      <c r="F2" s="964"/>
      <c r="G2" s="964"/>
      <c r="H2" s="962" t="s">
        <v>4</v>
      </c>
      <c r="I2" s="962"/>
      <c r="J2" s="962"/>
      <c r="K2" s="962"/>
      <c r="L2" s="836" t="s">
        <v>110</v>
      </c>
      <c r="M2" s="837"/>
      <c r="N2" s="837"/>
      <c r="O2" s="838"/>
      <c r="P2" s="962" t="s">
        <v>5</v>
      </c>
      <c r="Q2" s="962"/>
      <c r="R2" s="962"/>
      <c r="S2" s="962"/>
      <c r="T2" s="962"/>
      <c r="U2" s="836" t="s">
        <v>155</v>
      </c>
      <c r="V2" s="837"/>
      <c r="W2" s="837"/>
      <c r="X2" s="837"/>
      <c r="Y2" s="837"/>
      <c r="Z2" s="837"/>
      <c r="AA2" s="838"/>
      <c r="AB2" s="842" t="s">
        <v>276</v>
      </c>
      <c r="AC2" s="843"/>
      <c r="AD2" s="843"/>
      <c r="AE2" s="843"/>
      <c r="AF2" s="843"/>
      <c r="AG2" s="843"/>
      <c r="AH2" s="843"/>
      <c r="AI2" s="843"/>
      <c r="AJ2" s="843"/>
      <c r="AK2" s="843"/>
      <c r="AL2" s="844"/>
      <c r="AM2" s="833" t="s">
        <v>156</v>
      </c>
      <c r="AN2" s="834"/>
      <c r="AO2" s="834"/>
      <c r="AP2" s="834"/>
      <c r="AQ2" s="834"/>
      <c r="AR2" s="834"/>
      <c r="AS2" s="834"/>
      <c r="AT2" s="834"/>
      <c r="AU2" s="834"/>
      <c r="AV2" s="834"/>
      <c r="AW2" s="834"/>
      <c r="AX2" s="834"/>
      <c r="AY2" s="834"/>
      <c r="AZ2" s="834"/>
      <c r="BA2" s="834"/>
      <c r="BB2" s="834"/>
      <c r="BC2" s="834"/>
      <c r="BD2" s="834"/>
      <c r="BE2" s="834"/>
      <c r="BF2" s="834"/>
      <c r="BG2" s="834"/>
      <c r="BH2" s="834"/>
      <c r="BI2" s="834"/>
      <c r="BJ2" s="834"/>
      <c r="BK2" s="834"/>
      <c r="BL2" s="835"/>
      <c r="BN2" s="1019"/>
      <c r="BO2" s="964"/>
      <c r="BP2" s="1020"/>
      <c r="BQ2" s="1125"/>
      <c r="BR2" s="1123"/>
      <c r="BS2" s="1124"/>
      <c r="BT2" s="872" t="s">
        <v>107</v>
      </c>
      <c r="BU2" s="873"/>
      <c r="BV2" s="873"/>
      <c r="BW2" s="873"/>
      <c r="BX2" s="873"/>
      <c r="BY2" s="873"/>
      <c r="BZ2" s="873"/>
      <c r="CA2" s="873"/>
      <c r="CB2" s="873"/>
      <c r="CC2" s="873"/>
      <c r="CD2" s="873"/>
      <c r="CE2" s="873"/>
      <c r="CF2" s="873"/>
      <c r="CG2" s="873"/>
      <c r="CH2" s="873"/>
      <c r="CI2" s="873"/>
      <c r="CJ2" s="873"/>
      <c r="CK2" s="873"/>
      <c r="CL2" s="873"/>
      <c r="CM2" s="873"/>
      <c r="CN2" s="873"/>
      <c r="CO2" s="873"/>
      <c r="CP2" s="874">
        <f ca="1">CP258</f>
        <v>400.0001045360745</v>
      </c>
      <c r="CQ2" s="875"/>
      <c r="CR2" s="875"/>
      <c r="CS2" s="876"/>
      <c r="CT2" s="3"/>
      <c r="CU2" s="872" t="s">
        <v>26</v>
      </c>
      <c r="CV2" s="873"/>
      <c r="CW2" s="873"/>
      <c r="CX2" s="873"/>
      <c r="CY2" s="873"/>
      <c r="CZ2" s="873"/>
      <c r="DA2" s="873"/>
      <c r="DB2" s="873"/>
      <c r="DC2" s="873"/>
      <c r="DD2" s="873"/>
      <c r="DE2" s="873"/>
      <c r="DF2" s="873"/>
      <c r="DG2" s="873"/>
      <c r="DH2" s="873"/>
      <c r="DI2" s="873"/>
      <c r="DJ2" s="873"/>
      <c r="DK2" s="873"/>
      <c r="DL2" s="873"/>
      <c r="DM2" s="873"/>
      <c r="DN2" s="873"/>
      <c r="DO2" s="873"/>
      <c r="DP2" s="873"/>
      <c r="DQ2" s="874">
        <f ca="1">DQ258</f>
        <v>4999.9963066996279</v>
      </c>
      <c r="DR2" s="875"/>
      <c r="DS2" s="875"/>
      <c r="DT2" s="876"/>
      <c r="DU2" s="3"/>
      <c r="DV2" s="872" t="s">
        <v>26</v>
      </c>
      <c r="DW2" s="873"/>
      <c r="DX2" s="873"/>
      <c r="DY2" s="873"/>
      <c r="DZ2" s="873"/>
      <c r="EA2" s="873"/>
      <c r="EB2" s="873"/>
      <c r="EC2" s="873"/>
      <c r="ED2" s="873"/>
      <c r="EE2" s="873"/>
      <c r="EF2" s="873"/>
      <c r="EG2" s="873"/>
      <c r="EH2" s="873"/>
      <c r="EI2" s="873"/>
      <c r="EJ2" s="873"/>
      <c r="EK2" s="873"/>
      <c r="EL2" s="873"/>
      <c r="EM2" s="873"/>
      <c r="EN2" s="873"/>
      <c r="EO2" s="873"/>
      <c r="EP2" s="873"/>
      <c r="EQ2" s="873"/>
      <c r="ER2" s="874">
        <f ca="1">ER258</f>
        <v>9999.9976134005647</v>
      </c>
      <c r="ES2" s="875"/>
      <c r="ET2" s="875"/>
      <c r="EU2" s="876"/>
      <c r="EV2" s="3"/>
      <c r="EW2" s="872" t="s">
        <v>26</v>
      </c>
      <c r="EX2" s="873"/>
      <c r="EY2" s="873"/>
      <c r="EZ2" s="873"/>
      <c r="FA2" s="873"/>
      <c r="FB2" s="873"/>
      <c r="FC2" s="873"/>
      <c r="FD2" s="873"/>
      <c r="FE2" s="873"/>
      <c r="FF2" s="873"/>
      <c r="FG2" s="873"/>
      <c r="FH2" s="873"/>
      <c r="FI2" s="873"/>
      <c r="FJ2" s="873"/>
      <c r="FK2" s="873"/>
      <c r="FL2" s="873"/>
      <c r="FM2" s="873"/>
      <c r="FN2" s="873"/>
      <c r="FO2" s="873"/>
      <c r="FP2" s="873"/>
      <c r="FQ2" s="873"/>
      <c r="FR2" s="873"/>
      <c r="FS2" s="874">
        <f ca="1">FS258</f>
        <v>10999.997874740751</v>
      </c>
      <c r="FT2" s="875"/>
      <c r="FU2" s="875"/>
      <c r="FV2" s="876"/>
      <c r="FW2" s="3"/>
    </row>
    <row r="3" spans="1:180" ht="12.75" customHeight="1" x14ac:dyDescent="0.2">
      <c r="A3" s="969"/>
      <c r="B3" s="970"/>
      <c r="C3" s="964"/>
      <c r="D3" s="964"/>
      <c r="E3" s="964"/>
      <c r="F3" s="964"/>
      <c r="G3" s="964"/>
      <c r="H3" s="962"/>
      <c r="I3" s="962"/>
      <c r="J3" s="962"/>
      <c r="K3" s="962"/>
      <c r="L3" s="885"/>
      <c r="M3" s="886"/>
      <c r="N3" s="886"/>
      <c r="O3" s="887"/>
      <c r="P3" s="962"/>
      <c r="Q3" s="962"/>
      <c r="R3" s="962"/>
      <c r="S3" s="962"/>
      <c r="T3" s="962"/>
      <c r="U3" s="885"/>
      <c r="V3" s="886"/>
      <c r="W3" s="886"/>
      <c r="X3" s="886"/>
      <c r="Y3" s="886"/>
      <c r="Z3" s="886"/>
      <c r="AA3" s="887"/>
      <c r="AB3" s="1112"/>
      <c r="AC3" s="1113"/>
      <c r="AD3" s="1113"/>
      <c r="AE3" s="1113"/>
      <c r="AF3" s="1113"/>
      <c r="AG3" s="1113"/>
      <c r="AH3" s="1113"/>
      <c r="AI3" s="1113"/>
      <c r="AJ3" s="1113"/>
      <c r="AK3" s="1113"/>
      <c r="AL3" s="1114"/>
      <c r="AM3" s="964" t="s">
        <v>7</v>
      </c>
      <c r="AN3" s="964"/>
      <c r="AO3" s="964"/>
      <c r="AP3" s="964"/>
      <c r="AQ3" s="964"/>
      <c r="AR3" s="964"/>
      <c r="AS3" s="964"/>
      <c r="AT3" s="964" t="s">
        <v>10</v>
      </c>
      <c r="AU3" s="964"/>
      <c r="AV3" s="964"/>
      <c r="AW3" s="964"/>
      <c r="AX3" s="836" t="s">
        <v>6</v>
      </c>
      <c r="AY3" s="837"/>
      <c r="AZ3" s="837"/>
      <c r="BA3" s="837"/>
      <c r="BB3" s="837"/>
      <c r="BC3" s="838"/>
      <c r="BD3" s="842" t="s">
        <v>8</v>
      </c>
      <c r="BE3" s="843"/>
      <c r="BF3" s="843"/>
      <c r="BG3" s="844"/>
      <c r="BH3" s="842" t="s">
        <v>24</v>
      </c>
      <c r="BI3" s="843"/>
      <c r="BJ3" s="843"/>
      <c r="BK3" s="843"/>
      <c r="BL3" s="848"/>
      <c r="BN3" s="1019"/>
      <c r="BO3" s="964"/>
      <c r="BP3" s="1020"/>
      <c r="BQ3" s="1125"/>
      <c r="BR3" s="1123"/>
      <c r="BS3" s="1124"/>
      <c r="BT3" s="929" t="s">
        <v>28</v>
      </c>
      <c r="BU3" s="798"/>
      <c r="BV3" s="797" t="s">
        <v>192</v>
      </c>
      <c r="BW3" s="729"/>
      <c r="BX3" s="729"/>
      <c r="BY3" s="729"/>
      <c r="BZ3" s="797" t="s">
        <v>193</v>
      </c>
      <c r="CA3" s="729"/>
      <c r="CB3" s="729"/>
      <c r="CC3" s="798"/>
      <c r="CD3" s="799" t="s">
        <v>194</v>
      </c>
      <c r="CE3" s="800"/>
      <c r="CF3" s="800"/>
      <c r="CG3" s="801"/>
      <c r="CH3" s="805" t="s">
        <v>195</v>
      </c>
      <c r="CI3" s="729"/>
      <c r="CJ3" s="729"/>
      <c r="CK3" s="798"/>
      <c r="CL3" s="799" t="s">
        <v>196</v>
      </c>
      <c r="CM3" s="800"/>
      <c r="CN3" s="800"/>
      <c r="CO3" s="801"/>
      <c r="CP3" s="797" t="s">
        <v>191</v>
      </c>
      <c r="CQ3" s="865"/>
      <c r="CR3" s="865"/>
      <c r="CS3" s="866"/>
      <c r="CU3" s="929" t="s">
        <v>28</v>
      </c>
      <c r="CV3" s="798"/>
      <c r="CW3" s="797" t="s">
        <v>192</v>
      </c>
      <c r="CX3" s="729"/>
      <c r="CY3" s="729"/>
      <c r="CZ3" s="729"/>
      <c r="DA3" s="797" t="s">
        <v>193</v>
      </c>
      <c r="DB3" s="729"/>
      <c r="DC3" s="729"/>
      <c r="DD3" s="798"/>
      <c r="DE3" s="799" t="s">
        <v>194</v>
      </c>
      <c r="DF3" s="800"/>
      <c r="DG3" s="800"/>
      <c r="DH3" s="801"/>
      <c r="DI3" s="805" t="s">
        <v>195</v>
      </c>
      <c r="DJ3" s="729"/>
      <c r="DK3" s="729"/>
      <c r="DL3" s="798"/>
      <c r="DM3" s="799" t="s">
        <v>196</v>
      </c>
      <c r="DN3" s="800"/>
      <c r="DO3" s="800"/>
      <c r="DP3" s="801"/>
      <c r="DQ3" s="797" t="s">
        <v>191</v>
      </c>
      <c r="DR3" s="865"/>
      <c r="DS3" s="865"/>
      <c r="DT3" s="866"/>
      <c r="DU3" s="4"/>
      <c r="DV3" s="929" t="s">
        <v>28</v>
      </c>
      <c r="DW3" s="798"/>
      <c r="DX3" s="797" t="s">
        <v>192</v>
      </c>
      <c r="DY3" s="729"/>
      <c r="DZ3" s="729"/>
      <c r="EA3" s="729"/>
      <c r="EB3" s="797" t="s">
        <v>193</v>
      </c>
      <c r="EC3" s="729"/>
      <c r="ED3" s="729"/>
      <c r="EE3" s="798"/>
      <c r="EF3" s="799" t="s">
        <v>194</v>
      </c>
      <c r="EG3" s="800"/>
      <c r="EH3" s="800"/>
      <c r="EI3" s="801"/>
      <c r="EJ3" s="805" t="s">
        <v>195</v>
      </c>
      <c r="EK3" s="729"/>
      <c r="EL3" s="729"/>
      <c r="EM3" s="798"/>
      <c r="EN3" s="799" t="s">
        <v>196</v>
      </c>
      <c r="EO3" s="800"/>
      <c r="EP3" s="800"/>
      <c r="EQ3" s="801"/>
      <c r="ER3" s="797" t="s">
        <v>191</v>
      </c>
      <c r="ES3" s="865"/>
      <c r="ET3" s="865"/>
      <c r="EU3" s="866"/>
      <c r="EV3" s="4"/>
      <c r="EW3" s="929" t="s">
        <v>28</v>
      </c>
      <c r="EX3" s="798"/>
      <c r="EY3" s="797" t="s">
        <v>192</v>
      </c>
      <c r="EZ3" s="729"/>
      <c r="FA3" s="729"/>
      <c r="FB3" s="729"/>
      <c r="FC3" s="797" t="s">
        <v>193</v>
      </c>
      <c r="FD3" s="729"/>
      <c r="FE3" s="729"/>
      <c r="FF3" s="798"/>
      <c r="FG3" s="799" t="s">
        <v>194</v>
      </c>
      <c r="FH3" s="800"/>
      <c r="FI3" s="800"/>
      <c r="FJ3" s="801"/>
      <c r="FK3" s="805" t="s">
        <v>195</v>
      </c>
      <c r="FL3" s="729"/>
      <c r="FM3" s="729"/>
      <c r="FN3" s="798"/>
      <c r="FO3" s="799" t="s">
        <v>196</v>
      </c>
      <c r="FP3" s="800"/>
      <c r="FQ3" s="800"/>
      <c r="FR3" s="801"/>
      <c r="FS3" s="797" t="s">
        <v>191</v>
      </c>
      <c r="FT3" s="865"/>
      <c r="FU3" s="865"/>
      <c r="FV3" s="866"/>
      <c r="FW3" s="4"/>
    </row>
    <row r="4" spans="1:180" ht="28.5" customHeight="1" thickBot="1" x14ac:dyDescent="0.25">
      <c r="A4" s="971"/>
      <c r="B4" s="972"/>
      <c r="C4" s="965"/>
      <c r="D4" s="965"/>
      <c r="E4" s="965"/>
      <c r="F4" s="965"/>
      <c r="G4" s="965"/>
      <c r="H4" s="963"/>
      <c r="I4" s="963"/>
      <c r="J4" s="963"/>
      <c r="K4" s="963"/>
      <c r="L4" s="839"/>
      <c r="M4" s="840"/>
      <c r="N4" s="840"/>
      <c r="O4" s="841"/>
      <c r="P4" s="963"/>
      <c r="Q4" s="963"/>
      <c r="R4" s="963"/>
      <c r="S4" s="963"/>
      <c r="T4" s="963"/>
      <c r="U4" s="839"/>
      <c r="V4" s="840"/>
      <c r="W4" s="840"/>
      <c r="X4" s="840"/>
      <c r="Y4" s="840"/>
      <c r="Z4" s="840"/>
      <c r="AA4" s="841"/>
      <c r="AB4" s="845"/>
      <c r="AC4" s="846"/>
      <c r="AD4" s="846"/>
      <c r="AE4" s="846"/>
      <c r="AF4" s="846"/>
      <c r="AG4" s="846"/>
      <c r="AH4" s="846"/>
      <c r="AI4" s="846"/>
      <c r="AJ4" s="846"/>
      <c r="AK4" s="846"/>
      <c r="AL4" s="847"/>
      <c r="AM4" s="965"/>
      <c r="AN4" s="965"/>
      <c r="AO4" s="965"/>
      <c r="AP4" s="965"/>
      <c r="AQ4" s="965"/>
      <c r="AR4" s="965"/>
      <c r="AS4" s="965"/>
      <c r="AT4" s="965"/>
      <c r="AU4" s="965"/>
      <c r="AV4" s="965"/>
      <c r="AW4" s="965"/>
      <c r="AX4" s="839"/>
      <c r="AY4" s="840"/>
      <c r="AZ4" s="840"/>
      <c r="BA4" s="840"/>
      <c r="BB4" s="840"/>
      <c r="BC4" s="841"/>
      <c r="BD4" s="845"/>
      <c r="BE4" s="846"/>
      <c r="BF4" s="846"/>
      <c r="BG4" s="847"/>
      <c r="BH4" s="845"/>
      <c r="BI4" s="846"/>
      <c r="BJ4" s="846"/>
      <c r="BK4" s="846"/>
      <c r="BL4" s="849"/>
      <c r="BN4" s="1021"/>
      <c r="BO4" s="965"/>
      <c r="BP4" s="1022"/>
      <c r="BQ4" s="1125"/>
      <c r="BR4" s="1123"/>
      <c r="BS4" s="1124"/>
      <c r="BT4" s="930"/>
      <c r="BU4" s="767"/>
      <c r="BV4" s="765"/>
      <c r="BW4" s="766"/>
      <c r="BX4" s="766"/>
      <c r="BY4" s="766"/>
      <c r="BZ4" s="765"/>
      <c r="CA4" s="766"/>
      <c r="CB4" s="766"/>
      <c r="CC4" s="767"/>
      <c r="CD4" s="802"/>
      <c r="CE4" s="803"/>
      <c r="CF4" s="803"/>
      <c r="CG4" s="804"/>
      <c r="CH4" s="766"/>
      <c r="CI4" s="766"/>
      <c r="CJ4" s="766"/>
      <c r="CK4" s="767"/>
      <c r="CL4" s="802"/>
      <c r="CM4" s="803"/>
      <c r="CN4" s="803"/>
      <c r="CO4" s="804"/>
      <c r="CP4" s="867"/>
      <c r="CQ4" s="868"/>
      <c r="CR4" s="868"/>
      <c r="CS4" s="869"/>
      <c r="CU4" s="930"/>
      <c r="CV4" s="767"/>
      <c r="CW4" s="765"/>
      <c r="CX4" s="766"/>
      <c r="CY4" s="766"/>
      <c r="CZ4" s="766"/>
      <c r="DA4" s="765"/>
      <c r="DB4" s="766"/>
      <c r="DC4" s="766"/>
      <c r="DD4" s="767"/>
      <c r="DE4" s="802"/>
      <c r="DF4" s="803"/>
      <c r="DG4" s="803"/>
      <c r="DH4" s="804"/>
      <c r="DI4" s="766"/>
      <c r="DJ4" s="766"/>
      <c r="DK4" s="766"/>
      <c r="DL4" s="767"/>
      <c r="DM4" s="802"/>
      <c r="DN4" s="803"/>
      <c r="DO4" s="803"/>
      <c r="DP4" s="804"/>
      <c r="DQ4" s="867"/>
      <c r="DR4" s="868"/>
      <c r="DS4" s="868"/>
      <c r="DT4" s="869"/>
      <c r="DU4" s="4"/>
      <c r="DV4" s="930"/>
      <c r="DW4" s="767"/>
      <c r="DX4" s="765"/>
      <c r="DY4" s="766"/>
      <c r="DZ4" s="766"/>
      <c r="EA4" s="766"/>
      <c r="EB4" s="765"/>
      <c r="EC4" s="766"/>
      <c r="ED4" s="766"/>
      <c r="EE4" s="767"/>
      <c r="EF4" s="802"/>
      <c r="EG4" s="803"/>
      <c r="EH4" s="803"/>
      <c r="EI4" s="804"/>
      <c r="EJ4" s="766"/>
      <c r="EK4" s="766"/>
      <c r="EL4" s="766"/>
      <c r="EM4" s="767"/>
      <c r="EN4" s="802"/>
      <c r="EO4" s="803"/>
      <c r="EP4" s="803"/>
      <c r="EQ4" s="804"/>
      <c r="ER4" s="867"/>
      <c r="ES4" s="868"/>
      <c r="ET4" s="868"/>
      <c r="EU4" s="869"/>
      <c r="EV4" s="4"/>
      <c r="EW4" s="930"/>
      <c r="EX4" s="767"/>
      <c r="EY4" s="765"/>
      <c r="EZ4" s="766"/>
      <c r="FA4" s="766"/>
      <c r="FB4" s="766"/>
      <c r="FC4" s="765"/>
      <c r="FD4" s="766"/>
      <c r="FE4" s="766"/>
      <c r="FF4" s="767"/>
      <c r="FG4" s="802"/>
      <c r="FH4" s="803"/>
      <c r="FI4" s="803"/>
      <c r="FJ4" s="804"/>
      <c r="FK4" s="766"/>
      <c r="FL4" s="766"/>
      <c r="FM4" s="766"/>
      <c r="FN4" s="767"/>
      <c r="FO4" s="802"/>
      <c r="FP4" s="803"/>
      <c r="FQ4" s="803"/>
      <c r="FR4" s="804"/>
      <c r="FS4" s="867"/>
      <c r="FT4" s="868"/>
      <c r="FU4" s="868"/>
      <c r="FV4" s="869"/>
      <c r="FW4" s="4"/>
    </row>
    <row r="5" spans="1:180" s="152" customFormat="1" x14ac:dyDescent="0.2">
      <c r="A5" s="1038">
        <v>1</v>
      </c>
      <c r="B5" s="1031"/>
      <c r="C5" s="1052">
        <v>1E-3</v>
      </c>
      <c r="D5" s="1053"/>
      <c r="E5" s="1053"/>
      <c r="F5" s="1053"/>
      <c r="G5" s="1054"/>
      <c r="H5" s="1029" t="s">
        <v>11</v>
      </c>
      <c r="I5" s="1030"/>
      <c r="J5" s="1030"/>
      <c r="K5" s="1031"/>
      <c r="L5" s="899" t="s">
        <v>111</v>
      </c>
      <c r="M5" s="900"/>
      <c r="N5" s="900"/>
      <c r="O5" s="901"/>
      <c r="P5" s="1055" t="s">
        <v>308</v>
      </c>
      <c r="Q5" s="1056"/>
      <c r="R5" s="1056"/>
      <c r="S5" s="1056"/>
      <c r="T5" s="1057"/>
      <c r="U5" s="888" t="s">
        <v>299</v>
      </c>
      <c r="V5" s="889"/>
      <c r="W5" s="889"/>
      <c r="X5" s="889"/>
      <c r="Y5" s="889"/>
      <c r="Z5" s="889"/>
      <c r="AA5" s="890"/>
      <c r="AB5" s="1115"/>
      <c r="AC5" s="1116"/>
      <c r="AD5" s="1116"/>
      <c r="AE5" s="1116"/>
      <c r="AF5" s="1116"/>
      <c r="AG5" s="1116"/>
      <c r="AH5" s="1116"/>
      <c r="AI5" s="1116"/>
      <c r="AJ5" s="1116"/>
      <c r="AK5" s="1116"/>
      <c r="AL5" s="1117"/>
      <c r="AM5" s="1058">
        <v>0.99</v>
      </c>
      <c r="AN5" s="1059"/>
      <c r="AO5" s="1059"/>
      <c r="AP5" s="1059"/>
      <c r="AQ5" s="1059"/>
      <c r="AR5" s="1059"/>
      <c r="AS5" s="1060"/>
      <c r="AT5" s="1061">
        <f t="shared" ref="AT5:AT38" si="0">AM5-C5*1000</f>
        <v>-1.0000000000000009E-2</v>
      </c>
      <c r="AU5" s="1062"/>
      <c r="AV5" s="1062"/>
      <c r="AW5" s="1063"/>
      <c r="AX5" s="1064" t="s">
        <v>9</v>
      </c>
      <c r="AY5" s="889"/>
      <c r="AZ5" s="889"/>
      <c r="BA5" s="889"/>
      <c r="BB5" s="889"/>
      <c r="BC5" s="890"/>
      <c r="BD5" s="1065">
        <v>0.01</v>
      </c>
      <c r="BE5" s="1066"/>
      <c r="BF5" s="1066"/>
      <c r="BG5" s="1067"/>
      <c r="BH5" s="1064">
        <v>2.2799999999999998</v>
      </c>
      <c r="BI5" s="889"/>
      <c r="BJ5" s="889"/>
      <c r="BK5" s="889"/>
      <c r="BL5" s="1118"/>
      <c r="BM5" s="1"/>
      <c r="BN5" s="1013">
        <v>1</v>
      </c>
      <c r="BO5" s="1014"/>
      <c r="BP5" s="1015"/>
      <c r="BQ5" s="259"/>
      <c r="BT5" s="870">
        <v>35</v>
      </c>
      <c r="BU5" s="871"/>
      <c r="BV5" s="806">
        <f>IF(BT5="","-",(IF(INDEX($A$5:$BP$257,MATCH(BT5,$BN$5:$BN$257,0),50)="Aço Inoxidável",('Densidade do AR'!$S$8*1000000),IF(INDEX($A$5:$BP$257,MATCH(BT5,$BN$5:$BN$257,0),50)="Ferro Fundido",('Densidade do AR'!$S$12*1000000),IF(INDEX($A$5:$BP$257,MATCH(BT5,$BN$5:$BN$257,0),50)="Latão",('Densidade do AR'!$S$10*1000000),IF(INDEX($A$5:$BP$257,MATCH(BT5,$BN$5:$BN$257,0),50)="Alumínio",('Densidade do AR'!$S$4*1000000)))))))</f>
        <v>7700000000</v>
      </c>
      <c r="BW5" s="807"/>
      <c r="BX5" s="807"/>
      <c r="BY5" s="808"/>
      <c r="BZ5" s="809">
        <f>IF(BT5="","-",IFERROR(INDEX($A$287:$I$320,MATCH(INDEX($A$5:$BP$257,MATCH(BT5,$BN$5:$BN$257,0),60),$A$287:$A$320,0),6),IFERROR(INDEX($A$287:$I$320,MATCH(INDEX($A$5:$BP$257,MATCH(BT5,$BN$5:$BN$257,0),60),$A$287:$A$320,1),6),INDEX($A$287:$I$320,MATCH(INDEX($A$5:$BP$257,MATCH(BT5,$BN$5:$BN$257,0),60),$A$287:$A$320,-1),6))))</f>
        <v>1E+30</v>
      </c>
      <c r="CA5" s="810"/>
      <c r="CB5" s="810"/>
      <c r="CC5" s="811"/>
      <c r="CD5" s="809">
        <f t="shared" ref="CD5:CD68" si="1">IF(BT5="","-",IF($BT$259="micrograma (µg)",(((1000*INDEX($A$5:$BP$257,MATCH(BT5,$BN$5:$BN$257,0),56)/INDEX($A$5:$BP$257,MATCH(BT5,$BN$5:$BN$257,0),60))^4)/BZ5),IF($BT$259="miligrama (mg)",(((INDEX($A$5:$BP$257,MATCH(BT5,$BN$5:$BN$257,0),56)/INDEX($A$5:$BP$257,MATCH(BT5,$BN$5:$BN$257,0),60))^4)/BZ5),IF($BT$259="grama (g)",(((INDEX($A$5:$BP$257,MATCH(BT5,$BN$5:$BN$257,0),56)/(1000*INDEX($A$5:$BP$257,MATCH(BT5,$BN$5:$BN$257,0),60)))^4)/BZ5),IF($BT$259="quilograma (kg)",(((INDEX($A$5:$BP$257,MATCH(BT5,$BN$5:$BN$257,0),56)/(1000000*INDEX($A$5:$BP$257,MATCH(BT5,$BN$5:$BN$257,0),60)))^4)/BZ5),IF($BT$259="tonelada (t)",(((INDEX($A$5:$BP$257,MATCH(BT5,$BN$5:$BN$257,0),56)/(1000000000*INDEX($A$5:$BP$257,MATCH(BT5,$BN$5:$BN$257,0),60)))^4)/BZ5)))))))</f>
        <v>1E-46</v>
      </c>
      <c r="CE5" s="810"/>
      <c r="CF5" s="810"/>
      <c r="CG5" s="811"/>
      <c r="CH5" s="812">
        <f>IF(BT5="","-",INDEX($A$5:$BP$257,MATCH(BT5,$BN$5:$BN$257,0),28))</f>
        <v>0</v>
      </c>
      <c r="CI5" s="813"/>
      <c r="CJ5" s="813"/>
      <c r="CK5" s="814"/>
      <c r="CL5" s="931">
        <f t="shared" ref="CL5:CL68" si="2">IF(BT5="","-",INDEX($A$5:$BP$257,MATCH(BT5,$BN$5:$BN$257,0),56)/INDEX($A$5:$BP$257,MATCH(BT5,$BN$5:$BN$257,0),60))</f>
        <v>100</v>
      </c>
      <c r="CM5" s="763"/>
      <c r="CN5" s="763"/>
      <c r="CO5" s="764"/>
      <c r="CP5" s="806">
        <f ca="1">IF(BT5="","-",INDEX($A$5:$BP$257,MATCH(BT5,$BN$5:$BN$257,0),39)*(IF(BT5="","-",(1+(((-('Densidade do AR'!$M$4))+('Densidade do AR'!$T$15*1000000))/(IF(INDEX($A$5:$BP$257,MATCH(BT5,$BN$5:$BN$257,0),50)="Aço Inoxidável",('Densidade do AR'!$S$8*1000000),IF(INDEX($A$5:$BP$257,MATCH(BT5,$BN$5:$BN$257,0),50)="Ferro Fundido",('Densidade do AR'!$S$12*1000000),IF(INDEX($A$5:$BP$257,MATCH(BT5,$BN$5:$BN$257,0),50)="Latão",('Densidade do AR'!$S$10*1000000),IF(INDEX($A$5:$BP$257,MATCH(BT5,$BN$5:$BN$257,0),50)="Alumínio",('Densidade do AR'!$S$4*1000000)))))))-(((-('Densidade do AR'!$M$4))+('Densidade do AR'!$T$15*1000000))/('Densidade do AR'!$S$14*1000000))))))</f>
        <v>20000005.226803735</v>
      </c>
      <c r="CQ5" s="807"/>
      <c r="CR5" s="807"/>
      <c r="CS5" s="877"/>
      <c r="CT5" s="90">
        <f>IF(BT5="","-",INDEX($A$5:$BP$257,MATCH(BT5,$BN$5:$BN$257,0),16))</f>
        <v>1</v>
      </c>
      <c r="CU5" s="870">
        <v>60</v>
      </c>
      <c r="CV5" s="871"/>
      <c r="CW5" s="806">
        <f>IF(CU5="","-",(IF(INDEX($A$5:$BP$257,MATCH(CU5,$BN$5:$BN$257,0),50)="Aço Inoxidável",('Densidade do AR'!$S$8*1000000),IF(INDEX($A$5:$BP$257,MATCH(CU5,$BN$5:$BN$257,0),50)="Ferro Fundido",('Densidade do AR'!$S$12*1000000),IF(INDEX($A$5:$BP$257,MATCH(CU5,$BN$5:$BN$257,0),50)="Latão",('Densidade do AR'!$S$10*1000000),IF(INDEX($A$5:$BP$257,MATCH(CU5,$BN$5:$BN$257,0),50)="Alumínio",('Densidade do AR'!$S$4*1000000)))))))</f>
        <v>7700000000</v>
      </c>
      <c r="CX5" s="807"/>
      <c r="CY5" s="807"/>
      <c r="CZ5" s="808"/>
      <c r="DA5" s="809">
        <f>IF(CU5="","-",IFERROR(INDEX($A$287:$I$320,MATCH(INDEX($A$5:$BP$257,MATCH(CU5,$BN$5:$BN$257,0),60),$A$287:$A$320,0),6),IFERROR(INDEX($A$287:$I$320,MATCH(INDEX($A$5:$BP$257,MATCH(CU5,$BN$5:$BN$257,0),60),$A$287:$A$320,1),6),INDEX($A$287:$I$320,MATCH(INDEX($A$5:$BP$257,MATCH(CU5,$BN$5:$BN$257,0),60),$A$287:$A$320,-1),6))))</f>
        <v>1E+30</v>
      </c>
      <c r="DB5" s="810"/>
      <c r="DC5" s="810"/>
      <c r="DD5" s="811"/>
      <c r="DE5" s="809">
        <f t="shared" ref="DE5:DE68" si="3">IF(CU5="","-",IF($BT$259="micrograma (µg)",(((1000*INDEX($A$5:$BP$257,MATCH(CU5,$BN$5:$BN$257,0),56)/INDEX($A$5:$BP$257,MATCH(CU5,$BN$5:$BN$257,0),60))^4)/DA5),IF($BT$259="miligrama (mg)",(((INDEX($A$5:$BP$257,MATCH(CU5,$BN$5:$BN$257,0),56)/INDEX($A$5:$BP$257,MATCH(CU5,$BN$5:$BN$257,0),60))^4)/DA5),IF($BT$259="grama (g)",(((INDEX($A$5:$BP$257,MATCH(CU5,$BN$5:$BN$257,0),56)/(1000*INDEX($A$5:$BP$257,MATCH(CU5,$BN$5:$BN$257,0),60)))^4)/DA5),IF($BT$259="quilograma (kg)",(((INDEX($A$5:$BP$257,MATCH(CU5,$BN$5:$BN$257,0),56)/(1000000*INDEX($A$5:$BP$257,MATCH(CU5,$BN$5:$BN$257,0),60)))^4)/DA5),IF($BT$259="tonelada (t)",(((INDEX($A$5:$BP$257,MATCH(CU5,$BN$5:$BN$257,0),56)/(1000000000*INDEX($A$5:$BP$257,MATCH(CU5,$BN$5:$BN$257,0),60)))^4)/DA5)))))))</f>
        <v>2.4414062500000009E-38</v>
      </c>
      <c r="DF5" s="810"/>
      <c r="DG5" s="810"/>
      <c r="DH5" s="811"/>
      <c r="DI5" s="812">
        <f>IF(CU5="","-",INDEX($A$5:$BP$257,MATCH(CU5,$BN$5:$BN$257,0),28))</f>
        <v>0</v>
      </c>
      <c r="DJ5" s="813"/>
      <c r="DK5" s="813"/>
      <c r="DL5" s="814"/>
      <c r="DM5" s="931">
        <f t="shared" ref="DM5:DM68" si="4">IF(CU5="","-",INDEX($A$5:$BP$257,MATCH(CU5,$BN$5:$BN$257,0),56)/INDEX($A$5:$BP$257,MATCH(CU5,$BN$5:$BN$257,0),60))</f>
        <v>12500</v>
      </c>
      <c r="DN5" s="763"/>
      <c r="DO5" s="763"/>
      <c r="DP5" s="764"/>
      <c r="DQ5" s="931">
        <f ca="1">IF(CU5="","-",INDEX($A$5:$BP$257,MATCH(CU5,$BN$5:$BN$257,0),39)*(IF(CU5="","-",(1+(((-('Densidade do AR'!$M$4))+('Densidade do AR'!$T$15*1000000))/(IF(INDEX($A$5:$BP$257,MATCH(CU5,$BN$5:$BN$257,0),50)="Aço Inoxidável",('Densidade do AR'!$S$8*1000000),IF(INDEX($A$5:$BP$257,MATCH(CU5,$BN$5:$BN$257,0),50)="Ferro Fundido",('Densidade do AR'!$S$12*1000000),IF(INDEX($A$5:$BP$257,MATCH(CU5,$BN$5:$BN$257,0),50)="Latão",('Densidade do AR'!$S$10*1000000),IF(INDEX($A$5:$BP$257,MATCH(CU5,$BN$5:$BN$257,0),50)="Alumínio",('Densidade do AR'!$S$4*1000000)))))))-(((-('Densidade do AR'!$M$4))+('Densidade do AR'!$T$15*1000000))/('Densidade do AR'!$S$14*1000000))))))</f>
        <v>500000130.67009342</v>
      </c>
      <c r="DR5" s="763"/>
      <c r="DS5" s="763"/>
      <c r="DT5" s="932"/>
      <c r="DU5" s="90" t="str">
        <f>IF(CU5="","-",INDEX($A$5:$BP$257,MATCH(CU5,$BN$5:$BN$257,0),16))</f>
        <v>a1</v>
      </c>
      <c r="DV5" s="870">
        <v>60</v>
      </c>
      <c r="DW5" s="871"/>
      <c r="DX5" s="806">
        <f>IF(DV5="","-",(IF(INDEX($A$5:$BP$257,MATCH(DV5,$BN$5:$BN$257,0),50)="Aço Inoxidável",('Densidade do AR'!$S$8*1000000),IF(INDEX($A$5:$BP$257,MATCH(DV5,$BN$5:$BN$257,0),50)="Ferro Fundido",('Densidade do AR'!$S$12*1000000),IF(INDEX($A$5:$BP$257,MATCH(DV5,$BN$5:$BN$257,0),50)="Latão",('Densidade do AR'!$S$10*1000000),IF(INDEX($A$5:$BP$257,MATCH(DV5,$BN$5:$BN$257,0),50)="Alumínio",('Densidade do AR'!$S$4*1000000)))))))</f>
        <v>7700000000</v>
      </c>
      <c r="DY5" s="807"/>
      <c r="DZ5" s="807"/>
      <c r="EA5" s="808"/>
      <c r="EB5" s="809">
        <f>IF(DV5="","-",IFERROR(INDEX($A$287:$I$320,MATCH(INDEX($A$5:$BP$257,MATCH(DV5,$BN$5:$BN$257,0),60),$A$287:$A$320,0),6),IFERROR(INDEX($A$287:$I$320,MATCH(INDEX($A$5:$BP$257,MATCH(DV5,$BN$5:$BN$257,0),60),$A$287:$A$320,1),6),INDEX($A$287:$I$320,MATCH(INDEX($A$5:$BP$257,MATCH(DV5,$BN$5:$BN$257,0),60),$A$287:$A$320,-1),6))))</f>
        <v>1E+30</v>
      </c>
      <c r="EC5" s="810"/>
      <c r="ED5" s="810"/>
      <c r="EE5" s="811"/>
      <c r="EF5" s="809">
        <f t="shared" ref="EF5:EF68" si="5">IF(DV5="","-",IF($BT$259="micrograma (µg)",(((1000*INDEX($A$5:$BP$257,MATCH(DV5,$BN$5:$BN$257,0),56)/INDEX($A$5:$BP$257,MATCH(DV5,$BN$5:$BN$257,0),60))^4)/EB5),IF($BT$259="miligrama (mg)",(((INDEX($A$5:$BP$257,MATCH(DV5,$BN$5:$BN$257,0),56)/INDEX($A$5:$BP$257,MATCH(DV5,$BN$5:$BN$257,0),60))^4)/EB5),IF($BT$259="grama (g)",(((INDEX($A$5:$BP$257,MATCH(DV5,$BN$5:$BN$257,0),56)/(1000*INDEX($A$5:$BP$257,MATCH(DV5,$BN$5:$BN$257,0),60)))^4)/EB5),IF($BT$259="quilograma (kg)",(((INDEX($A$5:$BP$257,MATCH(DV5,$BN$5:$BN$257,0),56)/(1000000*INDEX($A$5:$BP$257,MATCH(DV5,$BN$5:$BN$257,0),60)))^4)/EB5),IF($BT$259="tonelada (t)",(((INDEX($A$5:$BP$257,MATCH(DV5,$BN$5:$BN$257,0),56)/(1000000000*INDEX($A$5:$BP$257,MATCH(DV5,$BN$5:$BN$257,0),60)))^4)/EB5)))))))</f>
        <v>2.4414062500000009E-38</v>
      </c>
      <c r="EG5" s="810"/>
      <c r="EH5" s="810"/>
      <c r="EI5" s="811"/>
      <c r="EJ5" s="812">
        <f>IF(DV5="","-",INDEX($A$5:$BP$257,MATCH(DV5,$BN$5:$BN$257,0),28))</f>
        <v>0</v>
      </c>
      <c r="EK5" s="813"/>
      <c r="EL5" s="813"/>
      <c r="EM5" s="814"/>
      <c r="EN5" s="931">
        <f t="shared" ref="EN5:EN68" si="6">IF(DV5="","-",INDEX($A$5:$BP$257,MATCH(DV5,$BN$5:$BN$257,0),56)/INDEX($A$5:$BP$257,MATCH(DV5,$BN$5:$BN$257,0),60))</f>
        <v>12500</v>
      </c>
      <c r="EO5" s="763"/>
      <c r="EP5" s="763"/>
      <c r="EQ5" s="764"/>
      <c r="ER5" s="931">
        <f ca="1">IF(DV5="","-",INDEX($A$5:$BP$257,MATCH(DV5,$BN$5:$BN$257,0),39)*(IF(DV5="","-",(1+(((-('Densidade do AR'!$M$4))+('Densidade do AR'!$T$15*1000000))/(IF(INDEX($A$5:$BP$257,MATCH(DV5,$BN$5:$BN$257,0),50)="Aço Inoxidável",('Densidade do AR'!$S$8*1000000),IF(INDEX($A$5:$BP$257,MATCH(DV5,$BN$5:$BN$257,0),50)="Ferro Fundido",('Densidade do AR'!$S$12*1000000),IF(INDEX($A$5:$BP$257,MATCH(DV5,$BN$5:$BN$257,0),50)="Latão",('Densidade do AR'!$S$10*1000000),IF(INDEX($A$5:$BP$257,MATCH(DV5,$BN$5:$BN$257,0),50)="Alumínio",('Densidade do AR'!$S$4*1000000)))))))-(((-('Densidade do AR'!$M$4))+('Densidade do AR'!$T$15*1000000))/('Densidade do AR'!$S$14*1000000))))))</f>
        <v>500000130.67009342</v>
      </c>
      <c r="ES5" s="763"/>
      <c r="ET5" s="763"/>
      <c r="EU5" s="932"/>
      <c r="EV5" s="90" t="str">
        <f>IF(DV5="","-",INDEX($A$5:$BP$257,MATCH(DV5,$BN$5:$BN$257,0),16))</f>
        <v>a1</v>
      </c>
      <c r="EW5" s="870">
        <v>60</v>
      </c>
      <c r="EX5" s="871"/>
      <c r="EY5" s="806">
        <f>IF(EW5="","-",(IF(INDEX($A$5:$BP$257,MATCH(EW5,$BN$5:$BN$257,0),50)="Aço Inoxidável",('Densidade do AR'!$S$8*1000000),IF(INDEX($A$5:$BP$257,MATCH(EW5,$BN$5:$BN$257,0),50)="Ferro Fundido",('Densidade do AR'!$S$12*1000000),IF(INDEX($A$5:$BP$257,MATCH(EW5,$BN$5:$BN$257,0),50)="Latão",('Densidade do AR'!$S$10*1000000),IF(INDEX($A$5:$BP$257,MATCH(EW5,$BN$5:$BN$257,0),50)="Alumínio",('Densidade do AR'!$S$4*1000000)))))))</f>
        <v>7700000000</v>
      </c>
      <c r="EZ5" s="807"/>
      <c r="FA5" s="807"/>
      <c r="FB5" s="808"/>
      <c r="FC5" s="809">
        <f>IF(EW5="","-",IFERROR(INDEX($A$287:$I$320,MATCH(INDEX($A$5:$BP$257,MATCH(EW5,$BN$5:$BN$257,0),60),$A$287:$A$320,0),6),IFERROR(INDEX($A$287:$I$320,MATCH(INDEX($A$5:$BP$257,MATCH(EW5,$BN$5:$BN$257,0),60),$A$287:$A$320,1),6),INDEX($A$287:$I$320,MATCH(INDEX($A$5:$BP$257,MATCH(EW5,$BN$5:$BN$257,0),60),$A$287:$A$320,-1),6))))</f>
        <v>1E+30</v>
      </c>
      <c r="FD5" s="810"/>
      <c r="FE5" s="810"/>
      <c r="FF5" s="811"/>
      <c r="FG5" s="809">
        <f t="shared" ref="FG5:FG68" si="7">IF(EW5="","-",IF($BT$259="micrograma (µg)",(((1000*INDEX($A$5:$BP$257,MATCH(EW5,$BN$5:$BN$257,0),56)/INDEX($A$5:$BP$257,MATCH(EW5,$BN$5:$BN$257,0),60))^4)/FC5),IF($BT$259="miligrama (mg)",(((INDEX($A$5:$BP$257,MATCH(EW5,$BN$5:$BN$257,0),56)/INDEX($A$5:$BP$257,MATCH(EW5,$BN$5:$BN$257,0),60))^4)/FC5),IF($BT$259="grama (g)",(((INDEX($A$5:$BP$257,MATCH(EW5,$BN$5:$BN$257,0),56)/(1000*INDEX($A$5:$BP$257,MATCH(EW5,$BN$5:$BN$257,0),60)))^4)/FC5),IF($BT$259="quilograma (kg)",(((INDEX($A$5:$BP$257,MATCH(EW5,$BN$5:$BN$257,0),56)/(1000000*INDEX($A$5:$BP$257,MATCH(EW5,$BN$5:$BN$257,0),60)))^4)/FC5),IF($BT$259="tonelada (t)",(((INDEX($A$5:$BP$257,MATCH(EW5,$BN$5:$BN$257,0),56)/(1000000000*INDEX($A$5:$BP$257,MATCH(EW5,$BN$5:$BN$257,0),60)))^4)/FC5)))))))</f>
        <v>2.4414062500000009E-38</v>
      </c>
      <c r="FH5" s="810"/>
      <c r="FI5" s="810"/>
      <c r="FJ5" s="811"/>
      <c r="FK5" s="812">
        <f>IF(EW5="","-",INDEX($A$5:$BP$257,MATCH(EW5,$BN$5:$BN$257,0),28))</f>
        <v>0</v>
      </c>
      <c r="FL5" s="813"/>
      <c r="FM5" s="813"/>
      <c r="FN5" s="814"/>
      <c r="FO5" s="931">
        <f t="shared" ref="FO5:FO68" si="8">IF(EW5="","-",INDEX($A$5:$BP$257,MATCH(EW5,$BN$5:$BN$257,0),56)/INDEX($A$5:$BP$257,MATCH(EW5,$BN$5:$BN$257,0),60))</f>
        <v>12500</v>
      </c>
      <c r="FP5" s="763"/>
      <c r="FQ5" s="763"/>
      <c r="FR5" s="764"/>
      <c r="FS5" s="931">
        <f ca="1">IF(EW5="","-",INDEX($A$5:$BP$257,MATCH(EW5,$BN$5:$BN$257,0),39)*(IF(EW5="","-",(1+(((-('Densidade do AR'!$M$4))+('Densidade do AR'!$T$15*1000000))/(IF(INDEX($A$5:$BP$257,MATCH(EW5,$BN$5:$BN$257,0),50)="Aço Inoxidável",('Densidade do AR'!$S$8*1000000),IF(INDEX($A$5:$BP$257,MATCH(EW5,$BN$5:$BN$257,0),50)="Ferro Fundido",('Densidade do AR'!$S$12*1000000),IF(INDEX($A$5:$BP$257,MATCH(EW5,$BN$5:$BN$257,0),50)="Latão",('Densidade do AR'!$S$10*1000000),IF(INDEX($A$5:$BP$257,MATCH(EW5,$BN$5:$BN$257,0),50)="Alumínio",('Densidade do AR'!$S$4*1000000)))))))-(((-('Densidade do AR'!$M$4))+('Densidade do AR'!$T$15*1000000))/('Densidade do AR'!$S$14*1000000))))))</f>
        <v>500000130.67009342</v>
      </c>
      <c r="FT5" s="763"/>
      <c r="FU5" s="763"/>
      <c r="FV5" s="932"/>
      <c r="FW5" s="90" t="str">
        <f>IF(EW5="","-",INDEX($A$5:$BP$257,MATCH(EW5,$BN$5:$BN$257,0),16))</f>
        <v>a1</v>
      </c>
      <c r="FX5" s="258"/>
    </row>
    <row r="6" spans="1:180" ht="12.75" customHeight="1" x14ac:dyDescent="0.2">
      <c r="A6" s="1002">
        <v>2</v>
      </c>
      <c r="B6" s="904"/>
      <c r="C6" s="1039">
        <v>2E-3</v>
      </c>
      <c r="D6" s="1040"/>
      <c r="E6" s="1040"/>
      <c r="F6" s="1040"/>
      <c r="G6" s="1041"/>
      <c r="H6" s="902" t="s">
        <v>11</v>
      </c>
      <c r="I6" s="903"/>
      <c r="J6" s="903"/>
      <c r="K6" s="904"/>
      <c r="L6" s="902" t="s">
        <v>111</v>
      </c>
      <c r="M6" s="903"/>
      <c r="N6" s="903"/>
      <c r="O6" s="904"/>
      <c r="P6" s="891" t="s">
        <v>308</v>
      </c>
      <c r="Q6" s="967"/>
      <c r="R6" s="967"/>
      <c r="S6" s="967"/>
      <c r="T6" s="968"/>
      <c r="U6" s="891" t="s">
        <v>299</v>
      </c>
      <c r="V6" s="892"/>
      <c r="W6" s="892"/>
      <c r="X6" s="892"/>
      <c r="Y6" s="892"/>
      <c r="Z6" s="892"/>
      <c r="AA6" s="893"/>
      <c r="AB6" s="853"/>
      <c r="AC6" s="854"/>
      <c r="AD6" s="854"/>
      <c r="AE6" s="854"/>
      <c r="AF6" s="854"/>
      <c r="AG6" s="854"/>
      <c r="AH6" s="854"/>
      <c r="AI6" s="854"/>
      <c r="AJ6" s="854"/>
      <c r="AK6" s="854"/>
      <c r="AL6" s="855"/>
      <c r="AM6" s="1004">
        <v>1.99</v>
      </c>
      <c r="AN6" s="1005"/>
      <c r="AO6" s="1005"/>
      <c r="AP6" s="1005"/>
      <c r="AQ6" s="1005"/>
      <c r="AR6" s="1005"/>
      <c r="AS6" s="1006"/>
      <c r="AT6" s="1004">
        <f t="shared" si="0"/>
        <v>-1.0000000000000009E-2</v>
      </c>
      <c r="AU6" s="1005"/>
      <c r="AV6" s="1005"/>
      <c r="AW6" s="1006"/>
      <c r="AX6" s="1007" t="s">
        <v>9</v>
      </c>
      <c r="AY6" s="953"/>
      <c r="AZ6" s="953"/>
      <c r="BA6" s="953"/>
      <c r="BB6" s="953"/>
      <c r="BC6" s="954"/>
      <c r="BD6" s="946">
        <v>0.01</v>
      </c>
      <c r="BE6" s="947"/>
      <c r="BF6" s="947"/>
      <c r="BG6" s="948"/>
      <c r="BH6" s="1007">
        <v>2.2799999999999998</v>
      </c>
      <c r="BI6" s="953"/>
      <c r="BJ6" s="953"/>
      <c r="BK6" s="953"/>
      <c r="BL6" s="1008"/>
      <c r="BN6" s="1009">
        <v>2</v>
      </c>
      <c r="BO6" s="1010"/>
      <c r="BP6" s="1011"/>
      <c r="BQ6" s="2"/>
      <c r="BR6" s="2"/>
      <c r="BT6" s="736">
        <v>36</v>
      </c>
      <c r="BU6" s="737"/>
      <c r="BV6" s="738">
        <f>IF(BT6="","-",(IF(INDEX($A$5:$BP$257,MATCH(BT6,$BN$5:$BN$257,0),50)="Aço Inoxidável",('Densidade do AR'!$S$8*1000000),IF(INDEX($A$5:$BP$257,MATCH(BT6,$BN$5:$BN$257,0),50)="Ferro Fundido",('Densidade do AR'!$S$12*1000000),IF(INDEX($A$5:$BP$257,MATCH(BT6,$BN$5:$BN$257,0),50)="Latão",('Densidade do AR'!$S$10*1000000),IF(INDEX($A$5:$BP$257,MATCH(BT6,$BN$5:$BN$257,0),50)="Alumínio",('Densidade do AR'!$S$4*1000000)))))))</f>
        <v>7700000000</v>
      </c>
      <c r="BW6" s="739"/>
      <c r="BX6" s="739"/>
      <c r="BY6" s="740"/>
      <c r="BZ6" s="741">
        <f t="shared" ref="BZ6:BZ69" si="9">IF(BT6="","-",IFERROR(INDEX($A$287:$I$320,MATCH(INDEX($A$5:$BP$257,MATCH(BT6,$BN$5:$BN$257,0),60),$A$287:$A$320,0),6),IFERROR(INDEX($A$287:$I$320,MATCH(INDEX($A$5:$BP$257,MATCH(BT6,$BN$5:$BN$257,0),60),$A$287:$A$320,1),6),INDEX($A$287:$I$320,MATCH(INDEX($A$5:$BP$257,MATCH(BT6,$BN$5:$BN$257,0),60),$A$287:$A$320,-1),6))))</f>
        <v>8</v>
      </c>
      <c r="CA6" s="742"/>
      <c r="CB6" s="742"/>
      <c r="CC6" s="743"/>
      <c r="CD6" s="741">
        <f t="shared" si="1"/>
        <v>2.0057724655309451E-18</v>
      </c>
      <c r="CE6" s="742"/>
      <c r="CF6" s="742"/>
      <c r="CG6" s="743"/>
      <c r="CH6" s="744">
        <f t="shared" ref="CH6:CH69" si="10">IF(BT6="","-",INDEX($A$5:$BP$257,MATCH(BT6,$BN$5:$BN$257,0),28))</f>
        <v>0</v>
      </c>
      <c r="CI6" s="739"/>
      <c r="CJ6" s="739"/>
      <c r="CK6" s="740"/>
      <c r="CL6" s="744">
        <f t="shared" si="2"/>
        <v>63.291139240506325</v>
      </c>
      <c r="CM6" s="739"/>
      <c r="CN6" s="739"/>
      <c r="CO6" s="740"/>
      <c r="CP6" s="744">
        <f ca="1">IF(BT6="","-",INDEX($A$5:$BP$257,MATCH(BT6,$BN$5:$BN$257,0),39)*(IF(BT6="","-",(1+(((-('Densidade do AR'!$M$4))+('Densidade do AR'!$T$15*1000000))/(IF(INDEX($A$5:$BP$257,MATCH(BT6,$BN$5:$BN$257,0),50)="Aço Inoxidável",('Densidade do AR'!$S$8*1000000),IF(INDEX($A$5:$BP$257,MATCH(BT6,$BN$5:$BN$257,0),50)="Ferro Fundido",('Densidade do AR'!$S$12*1000000),IF(INDEX($A$5:$BP$257,MATCH(BT6,$BN$5:$BN$257,0),50)="Latão",('Densidade do AR'!$S$10*1000000),IF(INDEX($A$5:$BP$257,MATCH(BT6,$BN$5:$BN$257,0),50)="Alumínio",('Densidade do AR'!$S$4*1000000)))))))-(((-('Densidade do AR'!$M$4))+('Densidade do AR'!$T$15*1000000))/('Densidade do AR'!$S$14*1000000))))))</f>
        <v>20000005.226803735</v>
      </c>
      <c r="CQ6" s="739"/>
      <c r="CR6" s="739"/>
      <c r="CS6" s="745"/>
      <c r="CT6" s="91">
        <f t="shared" ref="CT6:CT69" si="11">IF(BT6="","-",INDEX($A$5:$BP$257,MATCH(BT6,$BN$5:$BN$257,0),16))</f>
        <v>2</v>
      </c>
      <c r="CU6" s="736">
        <v>61</v>
      </c>
      <c r="CV6" s="737"/>
      <c r="CW6" s="738">
        <f>IF(CU6="","-",(IF(INDEX($A$5:$BP$257,MATCH(CU6,$BN$5:$BN$257,0),50)="Aço Inoxidável",('Densidade do AR'!$S$8*1000000),IF(INDEX($A$5:$BP$257,MATCH(CU6,$BN$5:$BN$257,0),50)="Ferro Fundido",('Densidade do AR'!$S$12*1000000),IF(INDEX($A$5:$BP$257,MATCH(CU6,$BN$5:$BN$257,0),50)="Latão",('Densidade do AR'!$S$10*1000000),IF(INDEX($A$5:$BP$257,MATCH(CU6,$BN$5:$BN$257,0),50)="Alumínio",('Densidade do AR'!$S$4*1000000)))))))</f>
        <v>7700000000</v>
      </c>
      <c r="CX6" s="739"/>
      <c r="CY6" s="739"/>
      <c r="CZ6" s="740"/>
      <c r="DA6" s="741">
        <f t="shared" ref="DA6:DA69" si="12">IF(CU6="","-",IFERROR(INDEX($A$287:$I$320,MATCH(INDEX($A$5:$BP$257,MATCH(CU6,$BN$5:$BN$257,0),60),$A$287:$A$320,0),6),IFERROR(INDEX($A$287:$I$320,MATCH(INDEX($A$5:$BP$257,MATCH(CU6,$BN$5:$BN$257,0),60),$A$287:$A$320,1),6),INDEX($A$287:$I$320,MATCH(INDEX($A$5:$BP$257,MATCH(CU6,$BN$5:$BN$257,0),60),$A$287:$A$320,-1),6))))</f>
        <v>1E+30</v>
      </c>
      <c r="DB6" s="742"/>
      <c r="DC6" s="742"/>
      <c r="DD6" s="743"/>
      <c r="DE6" s="741">
        <f t="shared" si="3"/>
        <v>2.4414062500000009E-38</v>
      </c>
      <c r="DF6" s="742"/>
      <c r="DG6" s="742"/>
      <c r="DH6" s="743"/>
      <c r="DI6" s="744">
        <f t="shared" ref="DI6:DI69" si="13">IF(CU6="","-",INDEX($A$5:$BP$257,MATCH(CU6,$BN$5:$BN$257,0),28))</f>
        <v>0</v>
      </c>
      <c r="DJ6" s="739"/>
      <c r="DK6" s="739"/>
      <c r="DL6" s="740"/>
      <c r="DM6" s="744">
        <f t="shared" si="4"/>
        <v>12500</v>
      </c>
      <c r="DN6" s="739"/>
      <c r="DO6" s="739"/>
      <c r="DP6" s="740"/>
      <c r="DQ6" s="744">
        <f ca="1">IF(CU6="","-",INDEX($A$5:$BP$257,MATCH(CU6,$BN$5:$BN$257,0),39)*(IF(CU6="","-",(1+(((-('Densidade do AR'!$M$4))+('Densidade do AR'!$T$15*1000000))/(IF(INDEX($A$5:$BP$257,MATCH(CU6,$BN$5:$BN$257,0),50)="Aço Inoxidável",('Densidade do AR'!$S$8*1000000),IF(INDEX($A$5:$BP$257,MATCH(CU6,$BN$5:$BN$257,0),50)="Ferro Fundido",('Densidade do AR'!$S$12*1000000),IF(INDEX($A$5:$BP$257,MATCH(CU6,$BN$5:$BN$257,0),50)="Latão",('Densidade do AR'!$S$10*1000000),IF(INDEX($A$5:$BP$257,MATCH(CU6,$BN$5:$BN$257,0),50)="Alumínio",('Densidade do AR'!$S$4*1000000)))))))-(((-('Densidade do AR'!$M$4))+('Densidade do AR'!$T$15*1000000))/('Densidade do AR'!$S$14*1000000))))))</f>
        <v>500005130.67140013</v>
      </c>
      <c r="DR6" s="739"/>
      <c r="DS6" s="739"/>
      <c r="DT6" s="745"/>
      <c r="DU6" s="91" t="str">
        <f t="shared" ref="DU6:DU69" si="14">IF(CU6="","-",INDEX($A$5:$BP$257,MATCH(CU6,$BN$5:$BN$257,0),16))</f>
        <v>a2</v>
      </c>
      <c r="DV6" s="736">
        <v>61</v>
      </c>
      <c r="DW6" s="737"/>
      <c r="DX6" s="738">
        <f>IF(DV6="","-",(IF(INDEX($A$5:$BP$257,MATCH(DV6,$BN$5:$BN$257,0),50)="Aço Inoxidável",('Densidade do AR'!$S$8*1000000),IF(INDEX($A$5:$BP$257,MATCH(DV6,$BN$5:$BN$257,0),50)="Ferro Fundido",('Densidade do AR'!$S$12*1000000),IF(INDEX($A$5:$BP$257,MATCH(DV6,$BN$5:$BN$257,0),50)="Latão",('Densidade do AR'!$S$10*1000000),IF(INDEX($A$5:$BP$257,MATCH(DV6,$BN$5:$BN$257,0),50)="Alumínio",('Densidade do AR'!$S$4*1000000)))))))</f>
        <v>7700000000</v>
      </c>
      <c r="DY6" s="739"/>
      <c r="DZ6" s="739"/>
      <c r="EA6" s="740"/>
      <c r="EB6" s="741">
        <f t="shared" ref="EB6:EB69" si="15">IF(DV6="","-",IFERROR(INDEX($A$287:$I$320,MATCH(INDEX($A$5:$BP$257,MATCH(DV6,$BN$5:$BN$257,0),60),$A$287:$A$320,0),6),IFERROR(INDEX($A$287:$I$320,MATCH(INDEX($A$5:$BP$257,MATCH(DV6,$BN$5:$BN$257,0),60),$A$287:$A$320,1),6),INDEX($A$287:$I$320,MATCH(INDEX($A$5:$BP$257,MATCH(DV6,$BN$5:$BN$257,0),60),$A$287:$A$320,-1),6))))</f>
        <v>1E+30</v>
      </c>
      <c r="EC6" s="742"/>
      <c r="ED6" s="742"/>
      <c r="EE6" s="743"/>
      <c r="EF6" s="741">
        <f t="shared" si="5"/>
        <v>2.4414062500000009E-38</v>
      </c>
      <c r="EG6" s="742"/>
      <c r="EH6" s="742"/>
      <c r="EI6" s="743"/>
      <c r="EJ6" s="744">
        <f t="shared" ref="EJ6:EJ69" si="16">IF(DV6="","-",INDEX($A$5:$BP$257,MATCH(DV6,$BN$5:$BN$257,0),28))</f>
        <v>0</v>
      </c>
      <c r="EK6" s="739"/>
      <c r="EL6" s="739"/>
      <c r="EM6" s="740"/>
      <c r="EN6" s="744">
        <f t="shared" si="6"/>
        <v>12500</v>
      </c>
      <c r="EO6" s="739"/>
      <c r="EP6" s="739"/>
      <c r="EQ6" s="740"/>
      <c r="ER6" s="744">
        <f ca="1">IF(DV6="","-",INDEX($A$5:$BP$257,MATCH(DV6,$BN$5:$BN$257,0),39)*(IF(DV6="","-",(1+(((-('Densidade do AR'!$M$4))+('Densidade do AR'!$T$15*1000000))/(IF(INDEX($A$5:$BP$257,MATCH(DV6,$BN$5:$BN$257,0),50)="Aço Inoxidável",('Densidade do AR'!$S$8*1000000),IF(INDEX($A$5:$BP$257,MATCH(DV6,$BN$5:$BN$257,0),50)="Ferro Fundido",('Densidade do AR'!$S$12*1000000),IF(INDEX($A$5:$BP$257,MATCH(DV6,$BN$5:$BN$257,0),50)="Latão",('Densidade do AR'!$S$10*1000000),IF(INDEX($A$5:$BP$257,MATCH(DV6,$BN$5:$BN$257,0),50)="Alumínio",('Densidade do AR'!$S$4*1000000)))))))-(((-('Densidade do AR'!$M$4))+('Densidade do AR'!$T$15*1000000))/('Densidade do AR'!$S$14*1000000))))))</f>
        <v>500005130.67140013</v>
      </c>
      <c r="ES6" s="739"/>
      <c r="ET6" s="739"/>
      <c r="EU6" s="745"/>
      <c r="EV6" s="91" t="str">
        <f t="shared" ref="EV6:EV69" si="17">IF(DV6="","-",INDEX($A$5:$BP$257,MATCH(DV6,$BN$5:$BN$257,0),16))</f>
        <v>a2</v>
      </c>
      <c r="EW6" s="736">
        <v>61</v>
      </c>
      <c r="EX6" s="737"/>
      <c r="EY6" s="738">
        <f>IF(EW6="","-",(IF(INDEX($A$5:$BP$257,MATCH(EW6,$BN$5:$BN$257,0),50)="Aço Inoxidável",('Densidade do AR'!$S$8*1000000),IF(INDEX($A$5:$BP$257,MATCH(EW6,$BN$5:$BN$257,0),50)="Ferro Fundido",('Densidade do AR'!$S$12*1000000),IF(INDEX($A$5:$BP$257,MATCH(EW6,$BN$5:$BN$257,0),50)="Latão",('Densidade do AR'!$S$10*1000000),IF(INDEX($A$5:$BP$257,MATCH(EW6,$BN$5:$BN$257,0),50)="Alumínio",('Densidade do AR'!$S$4*1000000)))))))</f>
        <v>7700000000</v>
      </c>
      <c r="EZ6" s="739"/>
      <c r="FA6" s="739"/>
      <c r="FB6" s="740"/>
      <c r="FC6" s="741">
        <f t="shared" ref="FC6:FC69" si="18">IF(EW6="","-",IFERROR(INDEX($A$287:$I$320,MATCH(INDEX($A$5:$BP$257,MATCH(EW6,$BN$5:$BN$257,0),60),$A$287:$A$320,0),6),IFERROR(INDEX($A$287:$I$320,MATCH(INDEX($A$5:$BP$257,MATCH(EW6,$BN$5:$BN$257,0),60),$A$287:$A$320,1),6),INDEX($A$287:$I$320,MATCH(INDEX($A$5:$BP$257,MATCH(EW6,$BN$5:$BN$257,0),60),$A$287:$A$320,-1),6))))</f>
        <v>1E+30</v>
      </c>
      <c r="FD6" s="742"/>
      <c r="FE6" s="742"/>
      <c r="FF6" s="743"/>
      <c r="FG6" s="741">
        <f t="shared" si="7"/>
        <v>2.4414062500000009E-38</v>
      </c>
      <c r="FH6" s="742"/>
      <c r="FI6" s="742"/>
      <c r="FJ6" s="743"/>
      <c r="FK6" s="744">
        <f t="shared" ref="FK6:FK69" si="19">IF(EW6="","-",INDEX($A$5:$BP$257,MATCH(EW6,$BN$5:$BN$257,0),28))</f>
        <v>0</v>
      </c>
      <c r="FL6" s="739"/>
      <c r="FM6" s="739"/>
      <c r="FN6" s="740"/>
      <c r="FO6" s="744">
        <f t="shared" si="8"/>
        <v>12500</v>
      </c>
      <c r="FP6" s="739"/>
      <c r="FQ6" s="739"/>
      <c r="FR6" s="740"/>
      <c r="FS6" s="744">
        <f ca="1">IF(EW6="","-",INDEX($A$5:$BP$257,MATCH(EW6,$BN$5:$BN$257,0),39)*(IF(EW6="","-",(1+(((-('Densidade do AR'!$M$4))+('Densidade do AR'!$T$15*1000000))/(IF(INDEX($A$5:$BP$257,MATCH(EW6,$BN$5:$BN$257,0),50)="Aço Inoxidável",('Densidade do AR'!$S$8*1000000),IF(INDEX($A$5:$BP$257,MATCH(EW6,$BN$5:$BN$257,0),50)="Ferro Fundido",('Densidade do AR'!$S$12*1000000),IF(INDEX($A$5:$BP$257,MATCH(EW6,$BN$5:$BN$257,0),50)="Latão",('Densidade do AR'!$S$10*1000000),IF(INDEX($A$5:$BP$257,MATCH(EW6,$BN$5:$BN$257,0),50)="Alumínio",('Densidade do AR'!$S$4*1000000)))))))-(((-('Densidade do AR'!$M$4))+('Densidade do AR'!$T$15*1000000))/('Densidade do AR'!$S$14*1000000))))))</f>
        <v>500005130.67140013</v>
      </c>
      <c r="FT6" s="739"/>
      <c r="FU6" s="739"/>
      <c r="FV6" s="745"/>
      <c r="FW6" s="91" t="str">
        <f t="shared" ref="FW6:FW69" si="20">IF(EW6="","-",INDEX($A$5:$BP$257,MATCH(EW6,$BN$5:$BN$257,0),16))</f>
        <v>a2</v>
      </c>
      <c r="FX6" s="135"/>
    </row>
    <row r="7" spans="1:180" ht="12.75" customHeight="1" x14ac:dyDescent="0.2">
      <c r="A7" s="1001">
        <v>3</v>
      </c>
      <c r="B7" s="907"/>
      <c r="C7" s="1049">
        <v>2E-3</v>
      </c>
      <c r="D7" s="1050"/>
      <c r="E7" s="1050"/>
      <c r="F7" s="1050"/>
      <c r="G7" s="1051"/>
      <c r="H7" s="984" t="s">
        <v>309</v>
      </c>
      <c r="I7" s="906"/>
      <c r="J7" s="906"/>
      <c r="K7" s="907"/>
      <c r="L7" s="905" t="s">
        <v>111</v>
      </c>
      <c r="M7" s="906"/>
      <c r="N7" s="906"/>
      <c r="O7" s="907"/>
      <c r="P7" s="894" t="s">
        <v>308</v>
      </c>
      <c r="Q7" s="955"/>
      <c r="R7" s="955"/>
      <c r="S7" s="955"/>
      <c r="T7" s="956"/>
      <c r="U7" s="894" t="s">
        <v>299</v>
      </c>
      <c r="V7" s="895"/>
      <c r="W7" s="895"/>
      <c r="X7" s="895"/>
      <c r="Y7" s="895"/>
      <c r="Z7" s="895"/>
      <c r="AA7" s="896"/>
      <c r="AB7" s="850"/>
      <c r="AC7" s="851"/>
      <c r="AD7" s="851"/>
      <c r="AE7" s="851"/>
      <c r="AF7" s="851"/>
      <c r="AG7" s="851"/>
      <c r="AH7" s="851"/>
      <c r="AI7" s="851"/>
      <c r="AJ7" s="851"/>
      <c r="AK7" s="851"/>
      <c r="AL7" s="852"/>
      <c r="AM7" s="988">
        <v>2</v>
      </c>
      <c r="AN7" s="989"/>
      <c r="AO7" s="989"/>
      <c r="AP7" s="989"/>
      <c r="AQ7" s="989"/>
      <c r="AR7" s="989"/>
      <c r="AS7" s="990"/>
      <c r="AT7" s="988">
        <f>AM7-C7*1000</f>
        <v>0</v>
      </c>
      <c r="AU7" s="989"/>
      <c r="AV7" s="989"/>
      <c r="AW7" s="990"/>
      <c r="AX7" s="1003" t="s">
        <v>9</v>
      </c>
      <c r="AY7" s="950"/>
      <c r="AZ7" s="950"/>
      <c r="BA7" s="950"/>
      <c r="BB7" s="950"/>
      <c r="BC7" s="951"/>
      <c r="BD7" s="998">
        <v>0.01</v>
      </c>
      <c r="BE7" s="999"/>
      <c r="BF7" s="999"/>
      <c r="BG7" s="1000"/>
      <c r="BH7" s="1003">
        <v>2.2799999999999998</v>
      </c>
      <c r="BI7" s="950"/>
      <c r="BJ7" s="950"/>
      <c r="BK7" s="950"/>
      <c r="BL7" s="1042"/>
      <c r="BN7" s="1012">
        <v>3</v>
      </c>
      <c r="BO7" s="1010"/>
      <c r="BP7" s="1011"/>
      <c r="BT7" s="736">
        <v>37</v>
      </c>
      <c r="BU7" s="737"/>
      <c r="BV7" s="784">
        <f>IF(BT7="","-",(IF(INDEX($A$5:$BP$257,MATCH(BT7,$BN$5:$BN$257,0),50)="Aço Inoxidável",('Densidade do AR'!$S$8*1000000),IF(INDEX($A$5:$BP$257,MATCH(BT7,$BN$5:$BN$257,0),50)="Ferro Fundido",('Densidade do AR'!$S$12*1000000),IF(INDEX($A$5:$BP$257,MATCH(BT7,$BN$5:$BN$257,0),50)="Latão",('Densidade do AR'!$S$10*1000000),IF(INDEX($A$5:$BP$257,MATCH(BT7,$BN$5:$BN$257,0),50)="Alumínio",('Densidade do AR'!$S$4*1000000)))))))</f>
        <v>7700000000</v>
      </c>
      <c r="BW7" s="785"/>
      <c r="BX7" s="785"/>
      <c r="BY7" s="786"/>
      <c r="BZ7" s="787">
        <f t="shared" si="9"/>
        <v>1E+30</v>
      </c>
      <c r="CA7" s="788"/>
      <c r="CB7" s="788"/>
      <c r="CC7" s="789"/>
      <c r="CD7" s="787">
        <f t="shared" si="1"/>
        <v>5.062499999999998E-46</v>
      </c>
      <c r="CE7" s="788"/>
      <c r="CF7" s="788"/>
      <c r="CG7" s="789"/>
      <c r="CH7" s="790">
        <f t="shared" si="10"/>
        <v>0</v>
      </c>
      <c r="CI7" s="785"/>
      <c r="CJ7" s="785"/>
      <c r="CK7" s="786"/>
      <c r="CL7" s="790">
        <f t="shared" si="2"/>
        <v>150</v>
      </c>
      <c r="CM7" s="785"/>
      <c r="CN7" s="785"/>
      <c r="CO7" s="786"/>
      <c r="CP7" s="790">
        <f ca="1">IF(BT7="","-",INDEX($A$5:$BP$257,MATCH(BT7,$BN$5:$BN$257,0),39)*(IF(BT7="","-",(1+(((-('Densidade do AR'!$M$4))+('Densidade do AR'!$T$15*1000000))/(IF(INDEX($A$5:$BP$257,MATCH(BT7,$BN$5:$BN$257,0),50)="Aço Inoxidável",('Densidade do AR'!$S$8*1000000),IF(INDEX($A$5:$BP$257,MATCH(BT7,$BN$5:$BN$257,0),50)="Ferro Fundido",('Densidade do AR'!$S$12*1000000),IF(INDEX($A$5:$BP$257,MATCH(BT7,$BN$5:$BN$257,0),50)="Latão",('Densidade do AR'!$S$10*1000000),IF(INDEX($A$5:$BP$257,MATCH(BT7,$BN$5:$BN$257,0),50)="Alumínio",('Densidade do AR'!$S$4*1000000)))))))-(((-('Densidade do AR'!$M$4))+('Densidade do AR'!$T$15*1000000))/('Densidade do AR'!$S$14*1000000))))))</f>
        <v>20000005.226803735</v>
      </c>
      <c r="CQ7" s="785"/>
      <c r="CR7" s="785"/>
      <c r="CS7" s="791"/>
      <c r="CT7" s="91">
        <f t="shared" si="11"/>
        <v>3</v>
      </c>
      <c r="CU7" s="870">
        <v>62</v>
      </c>
      <c r="CV7" s="871"/>
      <c r="CW7" s="784">
        <f>IF(CU7="","-",(IF(INDEX($A$5:$BP$257,MATCH(CU7,$BN$5:$BN$257,0),50)="Aço Inoxidável",('Densidade do AR'!$S$8*1000000),IF(INDEX($A$5:$BP$257,MATCH(CU7,$BN$5:$BN$257,0),50)="Ferro Fundido",('Densidade do AR'!$S$12*1000000),IF(INDEX($A$5:$BP$257,MATCH(CU7,$BN$5:$BN$257,0),50)="Latão",('Densidade do AR'!$S$10*1000000),IF(INDEX($A$5:$BP$257,MATCH(CU7,$BN$5:$BN$257,0),50)="Alumínio",('Densidade do AR'!$S$4*1000000)))))))</f>
        <v>7700000000</v>
      </c>
      <c r="CX7" s="785"/>
      <c r="CY7" s="785"/>
      <c r="CZ7" s="786"/>
      <c r="DA7" s="787">
        <f t="shared" si="12"/>
        <v>1E+30</v>
      </c>
      <c r="DB7" s="788"/>
      <c r="DC7" s="788"/>
      <c r="DD7" s="789"/>
      <c r="DE7" s="787">
        <f t="shared" si="3"/>
        <v>2.4414062500000009E-38</v>
      </c>
      <c r="DF7" s="788"/>
      <c r="DG7" s="788"/>
      <c r="DH7" s="789"/>
      <c r="DI7" s="790">
        <f t="shared" si="13"/>
        <v>0</v>
      </c>
      <c r="DJ7" s="785"/>
      <c r="DK7" s="785"/>
      <c r="DL7" s="786"/>
      <c r="DM7" s="790">
        <f t="shared" si="4"/>
        <v>12500</v>
      </c>
      <c r="DN7" s="785"/>
      <c r="DO7" s="785"/>
      <c r="DP7" s="786"/>
      <c r="DQ7" s="790">
        <f ca="1">IF(CU7="","-",INDEX($A$5:$BP$257,MATCH(CU7,$BN$5:$BN$257,0),39)*(IF(CU7="","-",(1+(((-('Densidade do AR'!$M$4))+('Densidade do AR'!$T$15*1000000))/(IF(INDEX($A$5:$BP$257,MATCH(CU7,$BN$5:$BN$257,0),50)="Aço Inoxidável",('Densidade do AR'!$S$8*1000000),IF(INDEX($A$5:$BP$257,MATCH(CU7,$BN$5:$BN$257,0),50)="Ferro Fundido",('Densidade do AR'!$S$12*1000000),IF(INDEX($A$5:$BP$257,MATCH(CU7,$BN$5:$BN$257,0),50)="Latão",('Densidade do AR'!$S$10*1000000),IF(INDEX($A$5:$BP$257,MATCH(CU7,$BN$5:$BN$257,0),50)="Alumínio",('Densidade do AR'!$S$4*1000000)))))))-(((-('Densidade do AR'!$M$4))+('Densidade do AR'!$T$15*1000000))/('Densidade do AR'!$S$14*1000000))))))</f>
        <v>500000130.67009342</v>
      </c>
      <c r="DR7" s="785"/>
      <c r="DS7" s="785"/>
      <c r="DT7" s="791"/>
      <c r="DU7" s="91" t="str">
        <f t="shared" si="14"/>
        <v>a3</v>
      </c>
      <c r="DV7" s="870">
        <v>62</v>
      </c>
      <c r="DW7" s="871"/>
      <c r="DX7" s="784">
        <f>IF(DV7="","-",(IF(INDEX($A$5:$BP$257,MATCH(DV7,$BN$5:$BN$257,0),50)="Aço Inoxidável",('Densidade do AR'!$S$8*1000000),IF(INDEX($A$5:$BP$257,MATCH(DV7,$BN$5:$BN$257,0),50)="Ferro Fundido",('Densidade do AR'!$S$12*1000000),IF(INDEX($A$5:$BP$257,MATCH(DV7,$BN$5:$BN$257,0),50)="Latão",('Densidade do AR'!$S$10*1000000),IF(INDEX($A$5:$BP$257,MATCH(DV7,$BN$5:$BN$257,0),50)="Alumínio",('Densidade do AR'!$S$4*1000000)))))))</f>
        <v>7700000000</v>
      </c>
      <c r="DY7" s="785"/>
      <c r="DZ7" s="785"/>
      <c r="EA7" s="786"/>
      <c r="EB7" s="787">
        <f t="shared" si="15"/>
        <v>1E+30</v>
      </c>
      <c r="EC7" s="788"/>
      <c r="ED7" s="788"/>
      <c r="EE7" s="789"/>
      <c r="EF7" s="787">
        <f t="shared" si="5"/>
        <v>2.4414062500000009E-38</v>
      </c>
      <c r="EG7" s="788"/>
      <c r="EH7" s="788"/>
      <c r="EI7" s="789"/>
      <c r="EJ7" s="790">
        <f t="shared" si="16"/>
        <v>0</v>
      </c>
      <c r="EK7" s="785"/>
      <c r="EL7" s="785"/>
      <c r="EM7" s="786"/>
      <c r="EN7" s="790">
        <f t="shared" si="6"/>
        <v>12500</v>
      </c>
      <c r="EO7" s="785"/>
      <c r="EP7" s="785"/>
      <c r="EQ7" s="786"/>
      <c r="ER7" s="790">
        <f ca="1">IF(DV7="","-",INDEX($A$5:$BP$257,MATCH(DV7,$BN$5:$BN$257,0),39)*(IF(DV7="","-",(1+(((-('Densidade do AR'!$M$4))+('Densidade do AR'!$T$15*1000000))/(IF(INDEX($A$5:$BP$257,MATCH(DV7,$BN$5:$BN$257,0),50)="Aço Inoxidável",('Densidade do AR'!$S$8*1000000),IF(INDEX($A$5:$BP$257,MATCH(DV7,$BN$5:$BN$257,0),50)="Ferro Fundido",('Densidade do AR'!$S$12*1000000),IF(INDEX($A$5:$BP$257,MATCH(DV7,$BN$5:$BN$257,0),50)="Latão",('Densidade do AR'!$S$10*1000000),IF(INDEX($A$5:$BP$257,MATCH(DV7,$BN$5:$BN$257,0),50)="Alumínio",('Densidade do AR'!$S$4*1000000)))))))-(((-('Densidade do AR'!$M$4))+('Densidade do AR'!$T$15*1000000))/('Densidade do AR'!$S$14*1000000))))))</f>
        <v>500000130.67009342</v>
      </c>
      <c r="ES7" s="785"/>
      <c r="ET7" s="785"/>
      <c r="EU7" s="791"/>
      <c r="EV7" s="91" t="str">
        <f t="shared" si="17"/>
        <v>a3</v>
      </c>
      <c r="EW7" s="870">
        <v>62</v>
      </c>
      <c r="EX7" s="871"/>
      <c r="EY7" s="784">
        <f>IF(EW7="","-",(IF(INDEX($A$5:$BP$257,MATCH(EW7,$BN$5:$BN$257,0),50)="Aço Inoxidável",('Densidade do AR'!$S$8*1000000),IF(INDEX($A$5:$BP$257,MATCH(EW7,$BN$5:$BN$257,0),50)="Ferro Fundido",('Densidade do AR'!$S$12*1000000),IF(INDEX($A$5:$BP$257,MATCH(EW7,$BN$5:$BN$257,0),50)="Latão",('Densidade do AR'!$S$10*1000000),IF(INDEX($A$5:$BP$257,MATCH(EW7,$BN$5:$BN$257,0),50)="Alumínio",('Densidade do AR'!$S$4*1000000)))))))</f>
        <v>7700000000</v>
      </c>
      <c r="EZ7" s="785"/>
      <c r="FA7" s="785"/>
      <c r="FB7" s="786"/>
      <c r="FC7" s="787">
        <f t="shared" si="18"/>
        <v>1E+30</v>
      </c>
      <c r="FD7" s="788"/>
      <c r="FE7" s="788"/>
      <c r="FF7" s="789"/>
      <c r="FG7" s="787">
        <f t="shared" si="7"/>
        <v>2.4414062500000009E-38</v>
      </c>
      <c r="FH7" s="788"/>
      <c r="FI7" s="788"/>
      <c r="FJ7" s="789"/>
      <c r="FK7" s="790">
        <f t="shared" si="19"/>
        <v>0</v>
      </c>
      <c r="FL7" s="785"/>
      <c r="FM7" s="785"/>
      <c r="FN7" s="786"/>
      <c r="FO7" s="790">
        <f t="shared" si="8"/>
        <v>12500</v>
      </c>
      <c r="FP7" s="785"/>
      <c r="FQ7" s="785"/>
      <c r="FR7" s="786"/>
      <c r="FS7" s="790">
        <f ca="1">IF(EW7="","-",INDEX($A$5:$BP$257,MATCH(EW7,$BN$5:$BN$257,0),39)*(IF(EW7="","-",(1+(((-('Densidade do AR'!$M$4))+('Densidade do AR'!$T$15*1000000))/(IF(INDEX($A$5:$BP$257,MATCH(EW7,$BN$5:$BN$257,0),50)="Aço Inoxidável",('Densidade do AR'!$S$8*1000000),IF(INDEX($A$5:$BP$257,MATCH(EW7,$BN$5:$BN$257,0),50)="Ferro Fundido",('Densidade do AR'!$S$12*1000000),IF(INDEX($A$5:$BP$257,MATCH(EW7,$BN$5:$BN$257,0),50)="Latão",('Densidade do AR'!$S$10*1000000),IF(INDEX($A$5:$BP$257,MATCH(EW7,$BN$5:$BN$257,0),50)="Alumínio",('Densidade do AR'!$S$4*1000000)))))))-(((-('Densidade do AR'!$M$4))+('Densidade do AR'!$T$15*1000000))/('Densidade do AR'!$S$14*1000000))))))</f>
        <v>500000130.67009342</v>
      </c>
      <c r="FT7" s="785"/>
      <c r="FU7" s="785"/>
      <c r="FV7" s="791"/>
      <c r="FW7" s="91" t="str">
        <f t="shared" si="20"/>
        <v>a3</v>
      </c>
      <c r="FX7" s="135"/>
    </row>
    <row r="8" spans="1:180" ht="12.75" customHeight="1" x14ac:dyDescent="0.2">
      <c r="A8" s="1002">
        <v>4</v>
      </c>
      <c r="B8" s="904"/>
      <c r="C8" s="1039">
        <v>5.0000000000000001E-3</v>
      </c>
      <c r="D8" s="1040"/>
      <c r="E8" s="1040"/>
      <c r="F8" s="1040"/>
      <c r="G8" s="1041"/>
      <c r="H8" s="902" t="s">
        <v>11</v>
      </c>
      <c r="I8" s="903"/>
      <c r="J8" s="903"/>
      <c r="K8" s="904"/>
      <c r="L8" s="902" t="s">
        <v>111</v>
      </c>
      <c r="M8" s="903"/>
      <c r="N8" s="903"/>
      <c r="O8" s="904"/>
      <c r="P8" s="891" t="s">
        <v>308</v>
      </c>
      <c r="Q8" s="967"/>
      <c r="R8" s="967"/>
      <c r="S8" s="967"/>
      <c r="T8" s="968"/>
      <c r="U8" s="897" t="s">
        <v>299</v>
      </c>
      <c r="V8" s="722"/>
      <c r="W8" s="722"/>
      <c r="X8" s="722"/>
      <c r="Y8" s="722"/>
      <c r="Z8" s="722"/>
      <c r="AA8" s="723"/>
      <c r="AB8" s="853"/>
      <c r="AC8" s="854"/>
      <c r="AD8" s="854"/>
      <c r="AE8" s="854"/>
      <c r="AF8" s="854"/>
      <c r="AG8" s="854"/>
      <c r="AH8" s="854"/>
      <c r="AI8" s="854"/>
      <c r="AJ8" s="854"/>
      <c r="AK8" s="854"/>
      <c r="AL8" s="855"/>
      <c r="AM8" s="1004">
        <v>4.99</v>
      </c>
      <c r="AN8" s="1005"/>
      <c r="AO8" s="1005"/>
      <c r="AP8" s="1005"/>
      <c r="AQ8" s="1005"/>
      <c r="AR8" s="1005"/>
      <c r="AS8" s="1006"/>
      <c r="AT8" s="1004">
        <f t="shared" si="0"/>
        <v>-9.9999999999997868E-3</v>
      </c>
      <c r="AU8" s="1005"/>
      <c r="AV8" s="1005"/>
      <c r="AW8" s="1006"/>
      <c r="AX8" s="1007" t="s">
        <v>9</v>
      </c>
      <c r="AY8" s="953"/>
      <c r="AZ8" s="953"/>
      <c r="BA8" s="953"/>
      <c r="BB8" s="953"/>
      <c r="BC8" s="954"/>
      <c r="BD8" s="946">
        <v>0.01</v>
      </c>
      <c r="BE8" s="947"/>
      <c r="BF8" s="947"/>
      <c r="BG8" s="948"/>
      <c r="BH8" s="1007">
        <v>2.2799999999999998</v>
      </c>
      <c r="BI8" s="953"/>
      <c r="BJ8" s="953"/>
      <c r="BK8" s="953"/>
      <c r="BL8" s="1008"/>
      <c r="BN8" s="1009">
        <v>4</v>
      </c>
      <c r="BO8" s="1010"/>
      <c r="BP8" s="1011"/>
      <c r="BT8" s="736">
        <v>38</v>
      </c>
      <c r="BU8" s="737"/>
      <c r="BV8" s="738">
        <f>IF(BT8="","-",(IF(INDEX($A$5:$BP$257,MATCH(BT8,$BN$5:$BN$257,0),50)="Aço Inoxidável",('Densidade do AR'!$S$8*1000000),IF(INDEX($A$5:$BP$257,MATCH(BT8,$BN$5:$BN$257,0),50)="Ferro Fundido",('Densidade do AR'!$S$12*1000000),IF(INDEX($A$5:$BP$257,MATCH(BT8,$BN$5:$BN$257,0),50)="Latão",('Densidade do AR'!$S$10*1000000),IF(INDEX($A$5:$BP$257,MATCH(BT8,$BN$5:$BN$257,0),50)="Alumínio",('Densidade do AR'!$S$4*1000000)))))))</f>
        <v>7700000000</v>
      </c>
      <c r="BW8" s="739"/>
      <c r="BX8" s="739"/>
      <c r="BY8" s="740"/>
      <c r="BZ8" s="741">
        <f t="shared" si="9"/>
        <v>1E+30</v>
      </c>
      <c r="CA8" s="742"/>
      <c r="CB8" s="742"/>
      <c r="CC8" s="743"/>
      <c r="CD8" s="741">
        <f t="shared" si="1"/>
        <v>5.062499999999998E-46</v>
      </c>
      <c r="CE8" s="742"/>
      <c r="CF8" s="742"/>
      <c r="CG8" s="743"/>
      <c r="CH8" s="744">
        <f t="shared" si="10"/>
        <v>0</v>
      </c>
      <c r="CI8" s="739"/>
      <c r="CJ8" s="739"/>
      <c r="CK8" s="740"/>
      <c r="CL8" s="744">
        <f t="shared" si="2"/>
        <v>150</v>
      </c>
      <c r="CM8" s="739"/>
      <c r="CN8" s="739"/>
      <c r="CO8" s="740"/>
      <c r="CP8" s="744">
        <f ca="1">IF(BT8="","-",INDEX($A$5:$BP$257,MATCH(BT8,$BN$5:$BN$257,0),39)*(IF(BT8="","-",(1+(((-('Densidade do AR'!$M$4))+('Densidade do AR'!$T$15*1000000))/(IF(INDEX($A$5:$BP$257,MATCH(BT8,$BN$5:$BN$257,0),50)="Aço Inoxidável",('Densidade do AR'!$S$8*1000000),IF(INDEX($A$5:$BP$257,MATCH(BT8,$BN$5:$BN$257,0),50)="Ferro Fundido",('Densidade do AR'!$S$12*1000000),IF(INDEX($A$5:$BP$257,MATCH(BT8,$BN$5:$BN$257,0),50)="Latão",('Densidade do AR'!$S$10*1000000),IF(INDEX($A$5:$BP$257,MATCH(BT8,$BN$5:$BN$257,0),50)="Alumínio",('Densidade do AR'!$S$4*1000000)))))))-(((-('Densidade do AR'!$M$4))+('Densidade do AR'!$T$15*1000000))/('Densidade do AR'!$S$14*1000000))))))</f>
        <v>20000005.226803735</v>
      </c>
      <c r="CQ8" s="739"/>
      <c r="CR8" s="739"/>
      <c r="CS8" s="745"/>
      <c r="CT8" s="91">
        <f t="shared" si="11"/>
        <v>4</v>
      </c>
      <c r="CU8" s="736">
        <v>63</v>
      </c>
      <c r="CV8" s="737"/>
      <c r="CW8" s="738">
        <f>IF(CU8="","-",(IF(INDEX($A$5:$BP$257,MATCH(CU8,$BN$5:$BN$257,0),50)="Aço Inoxidável",('Densidade do AR'!$S$8*1000000),IF(INDEX($A$5:$BP$257,MATCH(CU8,$BN$5:$BN$257,0),50)="Ferro Fundido",('Densidade do AR'!$S$12*1000000),IF(INDEX($A$5:$BP$257,MATCH(CU8,$BN$5:$BN$257,0),50)="Latão",('Densidade do AR'!$S$10*1000000),IF(INDEX($A$5:$BP$257,MATCH(CU8,$BN$5:$BN$257,0),50)="Alumínio",('Densidade do AR'!$S$4*1000000)))))))</f>
        <v>7700000000</v>
      </c>
      <c r="CX8" s="739"/>
      <c r="CY8" s="739"/>
      <c r="CZ8" s="740"/>
      <c r="DA8" s="741">
        <f t="shared" si="12"/>
        <v>1E+30</v>
      </c>
      <c r="DB8" s="742"/>
      <c r="DC8" s="742"/>
      <c r="DD8" s="743"/>
      <c r="DE8" s="741">
        <f t="shared" si="3"/>
        <v>2.4414062500000009E-38</v>
      </c>
      <c r="DF8" s="742"/>
      <c r="DG8" s="742"/>
      <c r="DH8" s="743"/>
      <c r="DI8" s="744">
        <f t="shared" si="13"/>
        <v>0</v>
      </c>
      <c r="DJ8" s="739"/>
      <c r="DK8" s="739"/>
      <c r="DL8" s="740"/>
      <c r="DM8" s="744">
        <f t="shared" si="4"/>
        <v>12500</v>
      </c>
      <c r="DN8" s="739"/>
      <c r="DO8" s="739"/>
      <c r="DP8" s="740"/>
      <c r="DQ8" s="744">
        <f ca="1">IF(CU8="","-",INDEX($A$5:$BP$257,MATCH(CU8,$BN$5:$BN$257,0),39)*(IF(CU8="","-",(1+(((-('Densidade do AR'!$M$4))+('Densidade do AR'!$T$15*1000000))/(IF(INDEX($A$5:$BP$257,MATCH(CU8,$BN$5:$BN$257,0),50)="Aço Inoxidável",('Densidade do AR'!$S$8*1000000),IF(INDEX($A$5:$BP$257,MATCH(CU8,$BN$5:$BN$257,0),50)="Ferro Fundido",('Densidade do AR'!$S$12*1000000),IF(INDEX($A$5:$BP$257,MATCH(CU8,$BN$5:$BN$257,0),50)="Latão",('Densidade do AR'!$S$10*1000000),IF(INDEX($A$5:$BP$257,MATCH(CU8,$BN$5:$BN$257,0),50)="Alumínio",('Densidade do AR'!$S$4*1000000)))))))-(((-('Densidade do AR'!$M$4))+('Densidade do AR'!$T$15*1000000))/('Densidade do AR'!$S$14*1000000))))))</f>
        <v>500000130.67009342</v>
      </c>
      <c r="DR8" s="739"/>
      <c r="DS8" s="739"/>
      <c r="DT8" s="745"/>
      <c r="DU8" s="91" t="str">
        <f t="shared" si="14"/>
        <v>a4</v>
      </c>
      <c r="DV8" s="736">
        <v>63</v>
      </c>
      <c r="DW8" s="737"/>
      <c r="DX8" s="738">
        <f>IF(DV8="","-",(IF(INDEX($A$5:$BP$257,MATCH(DV8,$BN$5:$BN$257,0),50)="Aço Inoxidável",('Densidade do AR'!$S$8*1000000),IF(INDEX($A$5:$BP$257,MATCH(DV8,$BN$5:$BN$257,0),50)="Ferro Fundido",('Densidade do AR'!$S$12*1000000),IF(INDEX($A$5:$BP$257,MATCH(DV8,$BN$5:$BN$257,0),50)="Latão",('Densidade do AR'!$S$10*1000000),IF(INDEX($A$5:$BP$257,MATCH(DV8,$BN$5:$BN$257,0),50)="Alumínio",('Densidade do AR'!$S$4*1000000)))))))</f>
        <v>7700000000</v>
      </c>
      <c r="DY8" s="739"/>
      <c r="DZ8" s="739"/>
      <c r="EA8" s="740"/>
      <c r="EB8" s="741">
        <f t="shared" si="15"/>
        <v>1E+30</v>
      </c>
      <c r="EC8" s="742"/>
      <c r="ED8" s="742"/>
      <c r="EE8" s="743"/>
      <c r="EF8" s="741">
        <f t="shared" si="5"/>
        <v>2.4414062500000009E-38</v>
      </c>
      <c r="EG8" s="742"/>
      <c r="EH8" s="742"/>
      <c r="EI8" s="743"/>
      <c r="EJ8" s="744">
        <f t="shared" si="16"/>
        <v>0</v>
      </c>
      <c r="EK8" s="739"/>
      <c r="EL8" s="739"/>
      <c r="EM8" s="740"/>
      <c r="EN8" s="744">
        <f t="shared" si="6"/>
        <v>12500</v>
      </c>
      <c r="EO8" s="739"/>
      <c r="EP8" s="739"/>
      <c r="EQ8" s="740"/>
      <c r="ER8" s="744">
        <f ca="1">IF(DV8="","-",INDEX($A$5:$BP$257,MATCH(DV8,$BN$5:$BN$257,0),39)*(IF(DV8="","-",(1+(((-('Densidade do AR'!$M$4))+('Densidade do AR'!$T$15*1000000))/(IF(INDEX($A$5:$BP$257,MATCH(DV8,$BN$5:$BN$257,0),50)="Aço Inoxidável",('Densidade do AR'!$S$8*1000000),IF(INDEX($A$5:$BP$257,MATCH(DV8,$BN$5:$BN$257,0),50)="Ferro Fundido",('Densidade do AR'!$S$12*1000000),IF(INDEX($A$5:$BP$257,MATCH(DV8,$BN$5:$BN$257,0),50)="Latão",('Densidade do AR'!$S$10*1000000),IF(INDEX($A$5:$BP$257,MATCH(DV8,$BN$5:$BN$257,0),50)="Alumínio",('Densidade do AR'!$S$4*1000000)))))))-(((-('Densidade do AR'!$M$4))+('Densidade do AR'!$T$15*1000000))/('Densidade do AR'!$S$14*1000000))))))</f>
        <v>500000130.67009342</v>
      </c>
      <c r="ES8" s="739"/>
      <c r="ET8" s="739"/>
      <c r="EU8" s="745"/>
      <c r="EV8" s="91" t="str">
        <f t="shared" si="17"/>
        <v>a4</v>
      </c>
      <c r="EW8" s="736">
        <v>63</v>
      </c>
      <c r="EX8" s="737"/>
      <c r="EY8" s="738">
        <f>IF(EW8="","-",(IF(INDEX($A$5:$BP$257,MATCH(EW8,$BN$5:$BN$257,0),50)="Aço Inoxidável",('Densidade do AR'!$S$8*1000000),IF(INDEX($A$5:$BP$257,MATCH(EW8,$BN$5:$BN$257,0),50)="Ferro Fundido",('Densidade do AR'!$S$12*1000000),IF(INDEX($A$5:$BP$257,MATCH(EW8,$BN$5:$BN$257,0),50)="Latão",('Densidade do AR'!$S$10*1000000),IF(INDEX($A$5:$BP$257,MATCH(EW8,$BN$5:$BN$257,0),50)="Alumínio",('Densidade do AR'!$S$4*1000000)))))))</f>
        <v>7700000000</v>
      </c>
      <c r="EZ8" s="739"/>
      <c r="FA8" s="739"/>
      <c r="FB8" s="740"/>
      <c r="FC8" s="741">
        <f t="shared" si="18"/>
        <v>1E+30</v>
      </c>
      <c r="FD8" s="742"/>
      <c r="FE8" s="742"/>
      <c r="FF8" s="743"/>
      <c r="FG8" s="741">
        <f t="shared" si="7"/>
        <v>2.4414062500000009E-38</v>
      </c>
      <c r="FH8" s="742"/>
      <c r="FI8" s="742"/>
      <c r="FJ8" s="743"/>
      <c r="FK8" s="744">
        <f t="shared" si="19"/>
        <v>0</v>
      </c>
      <c r="FL8" s="739"/>
      <c r="FM8" s="739"/>
      <c r="FN8" s="740"/>
      <c r="FO8" s="744">
        <f t="shared" si="8"/>
        <v>12500</v>
      </c>
      <c r="FP8" s="739"/>
      <c r="FQ8" s="739"/>
      <c r="FR8" s="740"/>
      <c r="FS8" s="744">
        <f ca="1">IF(EW8="","-",INDEX($A$5:$BP$257,MATCH(EW8,$BN$5:$BN$257,0),39)*(IF(EW8="","-",(1+(((-('Densidade do AR'!$M$4))+('Densidade do AR'!$T$15*1000000))/(IF(INDEX($A$5:$BP$257,MATCH(EW8,$BN$5:$BN$257,0),50)="Aço Inoxidável",('Densidade do AR'!$S$8*1000000),IF(INDEX($A$5:$BP$257,MATCH(EW8,$BN$5:$BN$257,0),50)="Ferro Fundido",('Densidade do AR'!$S$12*1000000),IF(INDEX($A$5:$BP$257,MATCH(EW8,$BN$5:$BN$257,0),50)="Latão",('Densidade do AR'!$S$10*1000000),IF(INDEX($A$5:$BP$257,MATCH(EW8,$BN$5:$BN$257,0),50)="Alumínio",('Densidade do AR'!$S$4*1000000)))))))-(((-('Densidade do AR'!$M$4))+('Densidade do AR'!$T$15*1000000))/('Densidade do AR'!$S$14*1000000))))))</f>
        <v>500000130.67009342</v>
      </c>
      <c r="FT8" s="739"/>
      <c r="FU8" s="739"/>
      <c r="FV8" s="745"/>
      <c r="FW8" s="91" t="str">
        <f t="shared" si="20"/>
        <v>a4</v>
      </c>
      <c r="FX8" s="135"/>
    </row>
    <row r="9" spans="1:180" ht="12.75" customHeight="1" x14ac:dyDescent="0.2">
      <c r="A9" s="1001">
        <v>5</v>
      </c>
      <c r="B9" s="907"/>
      <c r="C9" s="1032">
        <v>0.01</v>
      </c>
      <c r="D9" s="1033"/>
      <c r="E9" s="1033"/>
      <c r="F9" s="1033"/>
      <c r="G9" s="1034"/>
      <c r="H9" s="905" t="s">
        <v>11</v>
      </c>
      <c r="I9" s="906"/>
      <c r="J9" s="906"/>
      <c r="K9" s="907"/>
      <c r="L9" s="905" t="s">
        <v>111</v>
      </c>
      <c r="M9" s="906"/>
      <c r="N9" s="906"/>
      <c r="O9" s="907"/>
      <c r="P9" s="894" t="s">
        <v>308</v>
      </c>
      <c r="Q9" s="955"/>
      <c r="R9" s="955"/>
      <c r="S9" s="955"/>
      <c r="T9" s="956"/>
      <c r="U9" s="898" t="s">
        <v>299</v>
      </c>
      <c r="V9" s="715"/>
      <c r="W9" s="715"/>
      <c r="X9" s="715"/>
      <c r="Y9" s="715"/>
      <c r="Z9" s="715"/>
      <c r="AA9" s="716"/>
      <c r="AB9" s="850"/>
      <c r="AC9" s="851"/>
      <c r="AD9" s="851"/>
      <c r="AE9" s="851"/>
      <c r="AF9" s="851"/>
      <c r="AG9" s="851"/>
      <c r="AH9" s="851"/>
      <c r="AI9" s="851"/>
      <c r="AJ9" s="851"/>
      <c r="AK9" s="851"/>
      <c r="AL9" s="852"/>
      <c r="AM9" s="988">
        <v>10.01</v>
      </c>
      <c r="AN9" s="989"/>
      <c r="AO9" s="989"/>
      <c r="AP9" s="989"/>
      <c r="AQ9" s="989"/>
      <c r="AR9" s="989"/>
      <c r="AS9" s="990"/>
      <c r="AT9" s="988">
        <f t="shared" si="0"/>
        <v>9.9999999999997868E-3</v>
      </c>
      <c r="AU9" s="989"/>
      <c r="AV9" s="989"/>
      <c r="AW9" s="990"/>
      <c r="AX9" s="1003" t="s">
        <v>9</v>
      </c>
      <c r="AY9" s="950"/>
      <c r="AZ9" s="950"/>
      <c r="BA9" s="950"/>
      <c r="BB9" s="950"/>
      <c r="BC9" s="951"/>
      <c r="BD9" s="998">
        <v>0.01</v>
      </c>
      <c r="BE9" s="999"/>
      <c r="BF9" s="999"/>
      <c r="BG9" s="1000"/>
      <c r="BH9" s="1003">
        <v>2.13</v>
      </c>
      <c r="BI9" s="950"/>
      <c r="BJ9" s="950"/>
      <c r="BK9" s="950"/>
      <c r="BL9" s="1042"/>
      <c r="BN9" s="1012">
        <v>5</v>
      </c>
      <c r="BO9" s="1010"/>
      <c r="BP9" s="1011"/>
      <c r="BT9" s="736">
        <v>39</v>
      </c>
      <c r="BU9" s="737"/>
      <c r="BV9" s="784">
        <f>IF(BT9="","-",(IF(INDEX($A$5:$BP$257,MATCH(BT9,$BN$5:$BN$257,0),50)="Aço Inoxidável",('Densidade do AR'!$S$8*1000000),IF(INDEX($A$5:$BP$257,MATCH(BT9,$BN$5:$BN$257,0),50)="Ferro Fundido",('Densidade do AR'!$S$12*1000000),IF(INDEX($A$5:$BP$257,MATCH(BT9,$BN$5:$BN$257,0),50)="Latão",('Densidade do AR'!$S$10*1000000),IF(INDEX($A$5:$BP$257,MATCH(BT9,$BN$5:$BN$257,0),50)="Alumínio",('Densidade do AR'!$S$4*1000000)))))))</f>
        <v>7700000000</v>
      </c>
      <c r="BW9" s="785"/>
      <c r="BX9" s="785"/>
      <c r="BY9" s="786"/>
      <c r="BZ9" s="787">
        <f t="shared" si="9"/>
        <v>1E+30</v>
      </c>
      <c r="CA9" s="788"/>
      <c r="CB9" s="788"/>
      <c r="CC9" s="789"/>
      <c r="CD9" s="787">
        <f t="shared" si="1"/>
        <v>5.062499999999998E-46</v>
      </c>
      <c r="CE9" s="788"/>
      <c r="CF9" s="788"/>
      <c r="CG9" s="789"/>
      <c r="CH9" s="790">
        <f t="shared" si="10"/>
        <v>0</v>
      </c>
      <c r="CI9" s="785"/>
      <c r="CJ9" s="785"/>
      <c r="CK9" s="786"/>
      <c r="CL9" s="790">
        <f t="shared" si="2"/>
        <v>150</v>
      </c>
      <c r="CM9" s="785"/>
      <c r="CN9" s="785"/>
      <c r="CO9" s="786"/>
      <c r="CP9" s="790">
        <f ca="1">IF(BT9="","-",INDEX($A$5:$BP$257,MATCH(BT9,$BN$5:$BN$257,0),39)*(IF(BT9="","-",(1+(((-('Densidade do AR'!$M$4))+('Densidade do AR'!$T$15*1000000))/(IF(INDEX($A$5:$BP$257,MATCH(BT9,$BN$5:$BN$257,0),50)="Aço Inoxidável",('Densidade do AR'!$S$8*1000000),IF(INDEX($A$5:$BP$257,MATCH(BT9,$BN$5:$BN$257,0),50)="Ferro Fundido",('Densidade do AR'!$S$12*1000000),IF(INDEX($A$5:$BP$257,MATCH(BT9,$BN$5:$BN$257,0),50)="Latão",('Densidade do AR'!$S$10*1000000),IF(INDEX($A$5:$BP$257,MATCH(BT9,$BN$5:$BN$257,0),50)="Alumínio",('Densidade do AR'!$S$4*1000000)))))))-(((-('Densidade do AR'!$M$4))+('Densidade do AR'!$T$15*1000000))/('Densidade do AR'!$S$14*1000000))))))</f>
        <v>20000005.226803735</v>
      </c>
      <c r="CQ9" s="785"/>
      <c r="CR9" s="785"/>
      <c r="CS9" s="791"/>
      <c r="CT9" s="91">
        <f t="shared" si="11"/>
        <v>5</v>
      </c>
      <c r="CU9" s="870">
        <v>64</v>
      </c>
      <c r="CV9" s="871"/>
      <c r="CW9" s="784">
        <f>IF(CU9="","-",(IF(INDEX($A$5:$BP$257,MATCH(CU9,$BN$5:$BN$257,0),50)="Aço Inoxidável",('Densidade do AR'!$S$8*1000000),IF(INDEX($A$5:$BP$257,MATCH(CU9,$BN$5:$BN$257,0),50)="Ferro Fundido",('Densidade do AR'!$S$12*1000000),IF(INDEX($A$5:$BP$257,MATCH(CU9,$BN$5:$BN$257,0),50)="Latão",('Densidade do AR'!$S$10*1000000),IF(INDEX($A$5:$BP$257,MATCH(CU9,$BN$5:$BN$257,0),50)="Alumínio",('Densidade do AR'!$S$4*1000000)))))))</f>
        <v>7700000000</v>
      </c>
      <c r="CX9" s="785"/>
      <c r="CY9" s="785"/>
      <c r="CZ9" s="786"/>
      <c r="DA9" s="787">
        <f t="shared" si="12"/>
        <v>1E+30</v>
      </c>
      <c r="DB9" s="788"/>
      <c r="DC9" s="788"/>
      <c r="DD9" s="789"/>
      <c r="DE9" s="787">
        <f t="shared" si="3"/>
        <v>2.4414062500000009E-38</v>
      </c>
      <c r="DF9" s="788"/>
      <c r="DG9" s="788"/>
      <c r="DH9" s="789"/>
      <c r="DI9" s="790">
        <f t="shared" si="13"/>
        <v>0</v>
      </c>
      <c r="DJ9" s="785"/>
      <c r="DK9" s="785"/>
      <c r="DL9" s="786"/>
      <c r="DM9" s="790">
        <f t="shared" si="4"/>
        <v>12500</v>
      </c>
      <c r="DN9" s="785"/>
      <c r="DO9" s="785"/>
      <c r="DP9" s="786"/>
      <c r="DQ9" s="790">
        <f ca="1">IF(CU9="","-",INDEX($A$5:$BP$257,MATCH(CU9,$BN$5:$BN$257,0),39)*(IF(CU9="","-",(1+(((-('Densidade do AR'!$M$4))+('Densidade do AR'!$T$15*1000000))/(IF(INDEX($A$5:$BP$257,MATCH(CU9,$BN$5:$BN$257,0),50)="Aço Inoxidável",('Densidade do AR'!$S$8*1000000),IF(INDEX($A$5:$BP$257,MATCH(CU9,$BN$5:$BN$257,0),50)="Ferro Fundido",('Densidade do AR'!$S$12*1000000),IF(INDEX($A$5:$BP$257,MATCH(CU9,$BN$5:$BN$257,0),50)="Latão",('Densidade do AR'!$S$10*1000000),IF(INDEX($A$5:$BP$257,MATCH(CU9,$BN$5:$BN$257,0),50)="Alumínio",('Densidade do AR'!$S$4*1000000)))))))-(((-('Densidade do AR'!$M$4))+('Densidade do AR'!$T$15*1000000))/('Densidade do AR'!$S$14*1000000))))))</f>
        <v>500000130.67009342</v>
      </c>
      <c r="DR9" s="785"/>
      <c r="DS9" s="785"/>
      <c r="DT9" s="791"/>
      <c r="DU9" s="91" t="str">
        <f t="shared" si="14"/>
        <v>a5</v>
      </c>
      <c r="DV9" s="870">
        <v>64</v>
      </c>
      <c r="DW9" s="871"/>
      <c r="DX9" s="784">
        <f>IF(DV9="","-",(IF(INDEX($A$5:$BP$257,MATCH(DV9,$BN$5:$BN$257,0),50)="Aço Inoxidável",('Densidade do AR'!$S$8*1000000),IF(INDEX($A$5:$BP$257,MATCH(DV9,$BN$5:$BN$257,0),50)="Ferro Fundido",('Densidade do AR'!$S$12*1000000),IF(INDEX($A$5:$BP$257,MATCH(DV9,$BN$5:$BN$257,0),50)="Latão",('Densidade do AR'!$S$10*1000000),IF(INDEX($A$5:$BP$257,MATCH(DV9,$BN$5:$BN$257,0),50)="Alumínio",('Densidade do AR'!$S$4*1000000)))))))</f>
        <v>7700000000</v>
      </c>
      <c r="DY9" s="785"/>
      <c r="DZ9" s="785"/>
      <c r="EA9" s="786"/>
      <c r="EB9" s="787">
        <f t="shared" si="15"/>
        <v>1E+30</v>
      </c>
      <c r="EC9" s="788"/>
      <c r="ED9" s="788"/>
      <c r="EE9" s="789"/>
      <c r="EF9" s="787">
        <f t="shared" si="5"/>
        <v>2.4414062500000009E-38</v>
      </c>
      <c r="EG9" s="788"/>
      <c r="EH9" s="788"/>
      <c r="EI9" s="789"/>
      <c r="EJ9" s="790">
        <f t="shared" si="16"/>
        <v>0</v>
      </c>
      <c r="EK9" s="785"/>
      <c r="EL9" s="785"/>
      <c r="EM9" s="786"/>
      <c r="EN9" s="790">
        <f t="shared" si="6"/>
        <v>12500</v>
      </c>
      <c r="EO9" s="785"/>
      <c r="EP9" s="785"/>
      <c r="EQ9" s="786"/>
      <c r="ER9" s="790">
        <f ca="1">IF(DV9="","-",INDEX($A$5:$BP$257,MATCH(DV9,$BN$5:$BN$257,0),39)*(IF(DV9="","-",(1+(((-('Densidade do AR'!$M$4))+('Densidade do AR'!$T$15*1000000))/(IF(INDEX($A$5:$BP$257,MATCH(DV9,$BN$5:$BN$257,0),50)="Aço Inoxidável",('Densidade do AR'!$S$8*1000000),IF(INDEX($A$5:$BP$257,MATCH(DV9,$BN$5:$BN$257,0),50)="Ferro Fundido",('Densidade do AR'!$S$12*1000000),IF(INDEX($A$5:$BP$257,MATCH(DV9,$BN$5:$BN$257,0),50)="Latão",('Densidade do AR'!$S$10*1000000),IF(INDEX($A$5:$BP$257,MATCH(DV9,$BN$5:$BN$257,0),50)="Alumínio",('Densidade do AR'!$S$4*1000000)))))))-(((-('Densidade do AR'!$M$4))+('Densidade do AR'!$T$15*1000000))/('Densidade do AR'!$S$14*1000000))))))</f>
        <v>500000130.67009342</v>
      </c>
      <c r="ES9" s="785"/>
      <c r="ET9" s="785"/>
      <c r="EU9" s="791"/>
      <c r="EV9" s="91" t="str">
        <f t="shared" si="17"/>
        <v>a5</v>
      </c>
      <c r="EW9" s="870">
        <v>64</v>
      </c>
      <c r="EX9" s="871"/>
      <c r="EY9" s="784">
        <f>IF(EW9="","-",(IF(INDEX($A$5:$BP$257,MATCH(EW9,$BN$5:$BN$257,0),50)="Aço Inoxidável",('Densidade do AR'!$S$8*1000000),IF(INDEX($A$5:$BP$257,MATCH(EW9,$BN$5:$BN$257,0),50)="Ferro Fundido",('Densidade do AR'!$S$12*1000000),IF(INDEX($A$5:$BP$257,MATCH(EW9,$BN$5:$BN$257,0),50)="Latão",('Densidade do AR'!$S$10*1000000),IF(INDEX($A$5:$BP$257,MATCH(EW9,$BN$5:$BN$257,0),50)="Alumínio",('Densidade do AR'!$S$4*1000000)))))))</f>
        <v>7700000000</v>
      </c>
      <c r="EZ9" s="785"/>
      <c r="FA9" s="785"/>
      <c r="FB9" s="786"/>
      <c r="FC9" s="787">
        <f t="shared" si="18"/>
        <v>1E+30</v>
      </c>
      <c r="FD9" s="788"/>
      <c r="FE9" s="788"/>
      <c r="FF9" s="789"/>
      <c r="FG9" s="787">
        <f t="shared" si="7"/>
        <v>2.4414062500000009E-38</v>
      </c>
      <c r="FH9" s="788"/>
      <c r="FI9" s="788"/>
      <c r="FJ9" s="789"/>
      <c r="FK9" s="790">
        <f t="shared" si="19"/>
        <v>0</v>
      </c>
      <c r="FL9" s="785"/>
      <c r="FM9" s="785"/>
      <c r="FN9" s="786"/>
      <c r="FO9" s="790">
        <f t="shared" si="8"/>
        <v>12500</v>
      </c>
      <c r="FP9" s="785"/>
      <c r="FQ9" s="785"/>
      <c r="FR9" s="786"/>
      <c r="FS9" s="790">
        <f ca="1">IF(EW9="","-",INDEX($A$5:$BP$257,MATCH(EW9,$BN$5:$BN$257,0),39)*(IF(EW9="","-",(1+(((-('Densidade do AR'!$M$4))+('Densidade do AR'!$T$15*1000000))/(IF(INDEX($A$5:$BP$257,MATCH(EW9,$BN$5:$BN$257,0),50)="Aço Inoxidável",('Densidade do AR'!$S$8*1000000),IF(INDEX($A$5:$BP$257,MATCH(EW9,$BN$5:$BN$257,0),50)="Ferro Fundido",('Densidade do AR'!$S$12*1000000),IF(INDEX($A$5:$BP$257,MATCH(EW9,$BN$5:$BN$257,0),50)="Latão",('Densidade do AR'!$S$10*1000000),IF(INDEX($A$5:$BP$257,MATCH(EW9,$BN$5:$BN$257,0),50)="Alumínio",('Densidade do AR'!$S$4*1000000)))))))-(((-('Densidade do AR'!$M$4))+('Densidade do AR'!$T$15*1000000))/('Densidade do AR'!$S$14*1000000))))))</f>
        <v>500000130.67009342</v>
      </c>
      <c r="FT9" s="785"/>
      <c r="FU9" s="785"/>
      <c r="FV9" s="791"/>
      <c r="FW9" s="91" t="str">
        <f t="shared" si="20"/>
        <v>a5</v>
      </c>
      <c r="FX9" s="135"/>
    </row>
    <row r="10" spans="1:180" ht="13.5" customHeight="1" x14ac:dyDescent="0.2">
      <c r="A10" s="1002">
        <v>6</v>
      </c>
      <c r="B10" s="904"/>
      <c r="C10" s="1035">
        <v>0.02</v>
      </c>
      <c r="D10" s="1036"/>
      <c r="E10" s="1036"/>
      <c r="F10" s="1036"/>
      <c r="G10" s="1037"/>
      <c r="H10" s="902" t="s">
        <v>11</v>
      </c>
      <c r="I10" s="903"/>
      <c r="J10" s="903"/>
      <c r="K10" s="904"/>
      <c r="L10" s="902" t="s">
        <v>111</v>
      </c>
      <c r="M10" s="903"/>
      <c r="N10" s="903"/>
      <c r="O10" s="904"/>
      <c r="P10" s="891" t="s">
        <v>308</v>
      </c>
      <c r="Q10" s="967"/>
      <c r="R10" s="967"/>
      <c r="S10" s="967"/>
      <c r="T10" s="968"/>
      <c r="U10" s="897" t="s">
        <v>299</v>
      </c>
      <c r="V10" s="722"/>
      <c r="W10" s="722"/>
      <c r="X10" s="722"/>
      <c r="Y10" s="722"/>
      <c r="Z10" s="722"/>
      <c r="AA10" s="723"/>
      <c r="AB10" s="853"/>
      <c r="AC10" s="854"/>
      <c r="AD10" s="854"/>
      <c r="AE10" s="854"/>
      <c r="AF10" s="854"/>
      <c r="AG10" s="854"/>
      <c r="AH10" s="854"/>
      <c r="AI10" s="854"/>
      <c r="AJ10" s="854"/>
      <c r="AK10" s="854"/>
      <c r="AL10" s="855"/>
      <c r="AM10" s="1004">
        <v>20</v>
      </c>
      <c r="AN10" s="1005"/>
      <c r="AO10" s="1005"/>
      <c r="AP10" s="1005"/>
      <c r="AQ10" s="1005"/>
      <c r="AR10" s="1005"/>
      <c r="AS10" s="1006"/>
      <c r="AT10" s="1004">
        <f>AM10-C10*1000</f>
        <v>0</v>
      </c>
      <c r="AU10" s="1005"/>
      <c r="AV10" s="1005"/>
      <c r="AW10" s="1006"/>
      <c r="AX10" s="1007" t="s">
        <v>9</v>
      </c>
      <c r="AY10" s="953"/>
      <c r="AZ10" s="953"/>
      <c r="BA10" s="953"/>
      <c r="BB10" s="953"/>
      <c r="BC10" s="954"/>
      <c r="BD10" s="946">
        <v>0.01</v>
      </c>
      <c r="BE10" s="947"/>
      <c r="BF10" s="947"/>
      <c r="BG10" s="948"/>
      <c r="BH10" s="1007">
        <v>2.23</v>
      </c>
      <c r="BI10" s="953"/>
      <c r="BJ10" s="953"/>
      <c r="BK10" s="953"/>
      <c r="BL10" s="1008"/>
      <c r="BN10" s="1009">
        <v>6</v>
      </c>
      <c r="BO10" s="1010"/>
      <c r="BP10" s="1011"/>
      <c r="BR10" s="160"/>
      <c r="BT10" s="736">
        <v>40</v>
      </c>
      <c r="BU10" s="737"/>
      <c r="BV10" s="738">
        <f>IF(BT10="","-",(IF(INDEX($A$5:$BP$257,MATCH(BT10,$BN$5:$BN$257,0),50)="Aço Inoxidável",('Densidade do AR'!$S$8*1000000),IF(INDEX($A$5:$BP$257,MATCH(BT10,$BN$5:$BN$257,0),50)="Ferro Fundido",('Densidade do AR'!$S$12*1000000),IF(INDEX($A$5:$BP$257,MATCH(BT10,$BN$5:$BN$257,0),50)="Latão",('Densidade do AR'!$S$10*1000000),IF(INDEX($A$5:$BP$257,MATCH(BT10,$BN$5:$BN$257,0),50)="Alumínio",('Densidade do AR'!$S$4*1000000)))))))</f>
        <v>7700000000</v>
      </c>
      <c r="BW10" s="739"/>
      <c r="BX10" s="739"/>
      <c r="BY10" s="740"/>
      <c r="BZ10" s="741">
        <f t="shared" si="9"/>
        <v>1E+30</v>
      </c>
      <c r="CA10" s="742"/>
      <c r="CB10" s="742"/>
      <c r="CC10" s="743"/>
      <c r="CD10" s="741">
        <f t="shared" si="1"/>
        <v>5.062499999999998E-46</v>
      </c>
      <c r="CE10" s="742"/>
      <c r="CF10" s="742"/>
      <c r="CG10" s="743"/>
      <c r="CH10" s="744">
        <f t="shared" si="10"/>
        <v>0</v>
      </c>
      <c r="CI10" s="739"/>
      <c r="CJ10" s="739"/>
      <c r="CK10" s="740"/>
      <c r="CL10" s="744">
        <f t="shared" si="2"/>
        <v>150</v>
      </c>
      <c r="CM10" s="739"/>
      <c r="CN10" s="739"/>
      <c r="CO10" s="740"/>
      <c r="CP10" s="744">
        <f ca="1">IF(BT10="","-",INDEX($A$5:$BP$257,MATCH(BT10,$BN$5:$BN$257,0),39)*(IF(BT10="","-",(1+(((-('Densidade do AR'!$M$4))+('Densidade do AR'!$T$15*1000000))/(IF(INDEX($A$5:$BP$257,MATCH(BT10,$BN$5:$BN$257,0),50)="Aço Inoxidável",('Densidade do AR'!$S$8*1000000),IF(INDEX($A$5:$BP$257,MATCH(BT10,$BN$5:$BN$257,0),50)="Ferro Fundido",('Densidade do AR'!$S$12*1000000),IF(INDEX($A$5:$BP$257,MATCH(BT10,$BN$5:$BN$257,0),50)="Latão",('Densidade do AR'!$S$10*1000000),IF(INDEX($A$5:$BP$257,MATCH(BT10,$BN$5:$BN$257,0),50)="Alumínio",('Densidade do AR'!$S$4*1000000)))))))-(((-('Densidade do AR'!$M$4))+('Densidade do AR'!$T$15*1000000))/('Densidade do AR'!$S$14*1000000))))))</f>
        <v>20000005.226803735</v>
      </c>
      <c r="CQ10" s="739"/>
      <c r="CR10" s="739"/>
      <c r="CS10" s="745"/>
      <c r="CT10" s="91">
        <f t="shared" si="11"/>
        <v>6</v>
      </c>
      <c r="CU10" s="736">
        <v>65</v>
      </c>
      <c r="CV10" s="737"/>
      <c r="CW10" s="738">
        <f>IF(CU10="","-",(IF(INDEX($A$5:$BP$257,MATCH(CU10,$BN$5:$BN$257,0),50)="Aço Inoxidável",('Densidade do AR'!$S$8*1000000),IF(INDEX($A$5:$BP$257,MATCH(CU10,$BN$5:$BN$257,0),50)="Ferro Fundido",('Densidade do AR'!$S$12*1000000),IF(INDEX($A$5:$BP$257,MATCH(CU10,$BN$5:$BN$257,0),50)="Latão",('Densidade do AR'!$S$10*1000000),IF(INDEX($A$5:$BP$257,MATCH(CU10,$BN$5:$BN$257,0),50)="Alumínio",('Densidade do AR'!$S$4*1000000)))))))</f>
        <v>7700000000</v>
      </c>
      <c r="CX10" s="739"/>
      <c r="CY10" s="739"/>
      <c r="CZ10" s="740"/>
      <c r="DA10" s="741">
        <f t="shared" si="12"/>
        <v>1E+30</v>
      </c>
      <c r="DB10" s="742"/>
      <c r="DC10" s="742"/>
      <c r="DD10" s="743"/>
      <c r="DE10" s="741">
        <f t="shared" si="3"/>
        <v>2.4414062500000009E-38</v>
      </c>
      <c r="DF10" s="742"/>
      <c r="DG10" s="742"/>
      <c r="DH10" s="743"/>
      <c r="DI10" s="744">
        <f t="shared" si="13"/>
        <v>0</v>
      </c>
      <c r="DJ10" s="739"/>
      <c r="DK10" s="739"/>
      <c r="DL10" s="740"/>
      <c r="DM10" s="744">
        <f t="shared" si="4"/>
        <v>12500</v>
      </c>
      <c r="DN10" s="739"/>
      <c r="DO10" s="739"/>
      <c r="DP10" s="740"/>
      <c r="DQ10" s="744">
        <f ca="1">IF(CU10="","-",INDEX($A$5:$BP$257,MATCH(CU10,$BN$5:$BN$257,0),39)*(IF(CU10="","-",(1+(((-('Densidade do AR'!$M$4))+('Densidade do AR'!$T$15*1000000))/(IF(INDEX($A$5:$BP$257,MATCH(CU10,$BN$5:$BN$257,0),50)="Aço Inoxidável",('Densidade do AR'!$S$8*1000000),IF(INDEX($A$5:$BP$257,MATCH(CU10,$BN$5:$BN$257,0),50)="Ferro Fundido",('Densidade do AR'!$S$12*1000000),IF(INDEX($A$5:$BP$257,MATCH(CU10,$BN$5:$BN$257,0),50)="Latão",('Densidade do AR'!$S$10*1000000),IF(INDEX($A$5:$BP$257,MATCH(CU10,$BN$5:$BN$257,0),50)="Alumínio",('Densidade do AR'!$S$4*1000000)))))))-(((-('Densidade do AR'!$M$4))+('Densidade do AR'!$T$15*1000000))/('Densidade do AR'!$S$14*1000000))))))</f>
        <v>499995130.6687867</v>
      </c>
      <c r="DR10" s="739"/>
      <c r="DS10" s="739"/>
      <c r="DT10" s="745"/>
      <c r="DU10" s="91" t="str">
        <f t="shared" si="14"/>
        <v>a8</v>
      </c>
      <c r="DV10" s="736">
        <v>65</v>
      </c>
      <c r="DW10" s="737"/>
      <c r="DX10" s="738">
        <f>IF(DV10="","-",(IF(INDEX($A$5:$BP$257,MATCH(DV10,$BN$5:$BN$257,0),50)="Aço Inoxidável",('Densidade do AR'!$S$8*1000000),IF(INDEX($A$5:$BP$257,MATCH(DV10,$BN$5:$BN$257,0),50)="Ferro Fundido",('Densidade do AR'!$S$12*1000000),IF(INDEX($A$5:$BP$257,MATCH(DV10,$BN$5:$BN$257,0),50)="Latão",('Densidade do AR'!$S$10*1000000),IF(INDEX($A$5:$BP$257,MATCH(DV10,$BN$5:$BN$257,0),50)="Alumínio",('Densidade do AR'!$S$4*1000000)))))))</f>
        <v>7700000000</v>
      </c>
      <c r="DY10" s="739"/>
      <c r="DZ10" s="739"/>
      <c r="EA10" s="740"/>
      <c r="EB10" s="741">
        <f t="shared" si="15"/>
        <v>1E+30</v>
      </c>
      <c r="EC10" s="742"/>
      <c r="ED10" s="742"/>
      <c r="EE10" s="743"/>
      <c r="EF10" s="741">
        <f t="shared" si="5"/>
        <v>2.4414062500000009E-38</v>
      </c>
      <c r="EG10" s="742"/>
      <c r="EH10" s="742"/>
      <c r="EI10" s="743"/>
      <c r="EJ10" s="744">
        <f t="shared" si="16"/>
        <v>0</v>
      </c>
      <c r="EK10" s="739"/>
      <c r="EL10" s="739"/>
      <c r="EM10" s="740"/>
      <c r="EN10" s="744">
        <f t="shared" si="6"/>
        <v>12500</v>
      </c>
      <c r="EO10" s="739"/>
      <c r="EP10" s="739"/>
      <c r="EQ10" s="740"/>
      <c r="ER10" s="744">
        <f ca="1">IF(DV10="","-",INDEX($A$5:$BP$257,MATCH(DV10,$BN$5:$BN$257,0),39)*(IF(DV10="","-",(1+(((-('Densidade do AR'!$M$4))+('Densidade do AR'!$T$15*1000000))/(IF(INDEX($A$5:$BP$257,MATCH(DV10,$BN$5:$BN$257,0),50)="Aço Inoxidável",('Densidade do AR'!$S$8*1000000),IF(INDEX($A$5:$BP$257,MATCH(DV10,$BN$5:$BN$257,0),50)="Ferro Fundido",('Densidade do AR'!$S$12*1000000),IF(INDEX($A$5:$BP$257,MATCH(DV10,$BN$5:$BN$257,0),50)="Latão",('Densidade do AR'!$S$10*1000000),IF(INDEX($A$5:$BP$257,MATCH(DV10,$BN$5:$BN$257,0),50)="Alumínio",('Densidade do AR'!$S$4*1000000)))))))-(((-('Densidade do AR'!$M$4))+('Densidade do AR'!$T$15*1000000))/('Densidade do AR'!$S$14*1000000))))))</f>
        <v>499995130.6687867</v>
      </c>
      <c r="ES10" s="739"/>
      <c r="ET10" s="739"/>
      <c r="EU10" s="745"/>
      <c r="EV10" s="91" t="str">
        <f t="shared" si="17"/>
        <v>a8</v>
      </c>
      <c r="EW10" s="736">
        <v>65</v>
      </c>
      <c r="EX10" s="737"/>
      <c r="EY10" s="738">
        <f>IF(EW10="","-",(IF(INDEX($A$5:$BP$257,MATCH(EW10,$BN$5:$BN$257,0),50)="Aço Inoxidável",('Densidade do AR'!$S$8*1000000),IF(INDEX($A$5:$BP$257,MATCH(EW10,$BN$5:$BN$257,0),50)="Ferro Fundido",('Densidade do AR'!$S$12*1000000),IF(INDEX($A$5:$BP$257,MATCH(EW10,$BN$5:$BN$257,0),50)="Latão",('Densidade do AR'!$S$10*1000000),IF(INDEX($A$5:$BP$257,MATCH(EW10,$BN$5:$BN$257,0),50)="Alumínio",('Densidade do AR'!$S$4*1000000)))))))</f>
        <v>7700000000</v>
      </c>
      <c r="EZ10" s="739"/>
      <c r="FA10" s="739"/>
      <c r="FB10" s="740"/>
      <c r="FC10" s="741">
        <f t="shared" si="18"/>
        <v>1E+30</v>
      </c>
      <c r="FD10" s="742"/>
      <c r="FE10" s="742"/>
      <c r="FF10" s="743"/>
      <c r="FG10" s="741">
        <f t="shared" si="7"/>
        <v>2.4414062500000009E-38</v>
      </c>
      <c r="FH10" s="742"/>
      <c r="FI10" s="742"/>
      <c r="FJ10" s="743"/>
      <c r="FK10" s="744">
        <f t="shared" si="19"/>
        <v>0</v>
      </c>
      <c r="FL10" s="739"/>
      <c r="FM10" s="739"/>
      <c r="FN10" s="740"/>
      <c r="FO10" s="744">
        <f t="shared" si="8"/>
        <v>12500</v>
      </c>
      <c r="FP10" s="739"/>
      <c r="FQ10" s="739"/>
      <c r="FR10" s="740"/>
      <c r="FS10" s="744">
        <f ca="1">IF(EW10="","-",INDEX($A$5:$BP$257,MATCH(EW10,$BN$5:$BN$257,0),39)*(IF(EW10="","-",(1+(((-('Densidade do AR'!$M$4))+('Densidade do AR'!$T$15*1000000))/(IF(INDEX($A$5:$BP$257,MATCH(EW10,$BN$5:$BN$257,0),50)="Aço Inoxidável",('Densidade do AR'!$S$8*1000000),IF(INDEX($A$5:$BP$257,MATCH(EW10,$BN$5:$BN$257,0),50)="Ferro Fundido",('Densidade do AR'!$S$12*1000000),IF(INDEX($A$5:$BP$257,MATCH(EW10,$BN$5:$BN$257,0),50)="Latão",('Densidade do AR'!$S$10*1000000),IF(INDEX($A$5:$BP$257,MATCH(EW10,$BN$5:$BN$257,0),50)="Alumínio",('Densidade do AR'!$S$4*1000000)))))))-(((-('Densidade do AR'!$M$4))+('Densidade do AR'!$T$15*1000000))/('Densidade do AR'!$S$14*1000000))))))</f>
        <v>499995130.6687867</v>
      </c>
      <c r="FT10" s="739"/>
      <c r="FU10" s="739"/>
      <c r="FV10" s="745"/>
      <c r="FW10" s="91" t="str">
        <f t="shared" si="20"/>
        <v>a8</v>
      </c>
      <c r="FX10" s="135"/>
    </row>
    <row r="11" spans="1:180" x14ac:dyDescent="0.2">
      <c r="A11" s="1001">
        <v>7</v>
      </c>
      <c r="B11" s="907"/>
      <c r="C11" s="1032">
        <v>0.02</v>
      </c>
      <c r="D11" s="1033"/>
      <c r="E11" s="1033"/>
      <c r="F11" s="1033"/>
      <c r="G11" s="1034"/>
      <c r="H11" s="984" t="s">
        <v>309</v>
      </c>
      <c r="I11" s="906"/>
      <c r="J11" s="906"/>
      <c r="K11" s="907"/>
      <c r="L11" s="905" t="s">
        <v>111</v>
      </c>
      <c r="M11" s="906"/>
      <c r="N11" s="906"/>
      <c r="O11" s="907"/>
      <c r="P11" s="894" t="s">
        <v>308</v>
      </c>
      <c r="Q11" s="955"/>
      <c r="R11" s="955"/>
      <c r="S11" s="955"/>
      <c r="T11" s="956"/>
      <c r="U11" s="898" t="s">
        <v>299</v>
      </c>
      <c r="V11" s="715"/>
      <c r="W11" s="715"/>
      <c r="X11" s="715"/>
      <c r="Y11" s="715"/>
      <c r="Z11" s="715"/>
      <c r="AA11" s="716"/>
      <c r="AB11" s="850"/>
      <c r="AC11" s="851"/>
      <c r="AD11" s="851"/>
      <c r="AE11" s="851"/>
      <c r="AF11" s="851"/>
      <c r="AG11" s="851"/>
      <c r="AH11" s="851"/>
      <c r="AI11" s="851"/>
      <c r="AJ11" s="851"/>
      <c r="AK11" s="851"/>
      <c r="AL11" s="852"/>
      <c r="AM11" s="988">
        <v>20.010000000000005</v>
      </c>
      <c r="AN11" s="989"/>
      <c r="AO11" s="989"/>
      <c r="AP11" s="989"/>
      <c r="AQ11" s="989"/>
      <c r="AR11" s="989"/>
      <c r="AS11" s="990"/>
      <c r="AT11" s="988">
        <f t="shared" si="0"/>
        <v>1.0000000000005116E-2</v>
      </c>
      <c r="AU11" s="989"/>
      <c r="AV11" s="989"/>
      <c r="AW11" s="990"/>
      <c r="AX11" s="1003" t="s">
        <v>9</v>
      </c>
      <c r="AY11" s="950"/>
      <c r="AZ11" s="950"/>
      <c r="BA11" s="950"/>
      <c r="BB11" s="950"/>
      <c r="BC11" s="951"/>
      <c r="BD11" s="998">
        <v>0.01</v>
      </c>
      <c r="BE11" s="999"/>
      <c r="BF11" s="999"/>
      <c r="BG11" s="1000"/>
      <c r="BH11" s="1003">
        <v>2.23</v>
      </c>
      <c r="BI11" s="950"/>
      <c r="BJ11" s="950"/>
      <c r="BK11" s="950"/>
      <c r="BL11" s="1042"/>
      <c r="BN11" s="1012">
        <v>7</v>
      </c>
      <c r="BO11" s="1010"/>
      <c r="BP11" s="1011"/>
      <c r="BR11" s="160"/>
      <c r="BT11" s="736">
        <v>41</v>
      </c>
      <c r="BU11" s="737"/>
      <c r="BV11" s="784">
        <f>IF(BT11="","-",(IF(INDEX($A$5:$BP$257,MATCH(BT11,$BN$5:$BN$257,0),50)="Aço Inoxidável",('Densidade do AR'!$S$8*1000000),IF(INDEX($A$5:$BP$257,MATCH(BT11,$BN$5:$BN$257,0),50)="Ferro Fundido",('Densidade do AR'!$S$12*1000000),IF(INDEX($A$5:$BP$257,MATCH(BT11,$BN$5:$BN$257,0),50)="Latão",('Densidade do AR'!$S$10*1000000),IF(INDEX($A$5:$BP$257,MATCH(BT11,$BN$5:$BN$257,0),50)="Alumínio",('Densidade do AR'!$S$4*1000000)))))))</f>
        <v>7700000000</v>
      </c>
      <c r="BW11" s="785"/>
      <c r="BX11" s="785"/>
      <c r="BY11" s="786"/>
      <c r="BZ11" s="787">
        <f t="shared" si="9"/>
        <v>1E+30</v>
      </c>
      <c r="CA11" s="788"/>
      <c r="CB11" s="788"/>
      <c r="CC11" s="789"/>
      <c r="CD11" s="787">
        <f t="shared" si="1"/>
        <v>5.062499999999998E-46</v>
      </c>
      <c r="CE11" s="788"/>
      <c r="CF11" s="788"/>
      <c r="CG11" s="789"/>
      <c r="CH11" s="790">
        <f t="shared" si="10"/>
        <v>0</v>
      </c>
      <c r="CI11" s="785"/>
      <c r="CJ11" s="785"/>
      <c r="CK11" s="786"/>
      <c r="CL11" s="790">
        <f t="shared" si="2"/>
        <v>150</v>
      </c>
      <c r="CM11" s="785"/>
      <c r="CN11" s="785"/>
      <c r="CO11" s="786"/>
      <c r="CP11" s="790">
        <f ca="1">IF(BT11="","-",INDEX($A$5:$BP$257,MATCH(BT11,$BN$5:$BN$257,0),39)*(IF(BT11="","-",(1+(((-('Densidade do AR'!$M$4))+('Densidade do AR'!$T$15*1000000))/(IF(INDEX($A$5:$BP$257,MATCH(BT11,$BN$5:$BN$257,0),50)="Aço Inoxidável",('Densidade do AR'!$S$8*1000000),IF(INDEX($A$5:$BP$257,MATCH(BT11,$BN$5:$BN$257,0),50)="Ferro Fundido",('Densidade do AR'!$S$12*1000000),IF(INDEX($A$5:$BP$257,MATCH(BT11,$BN$5:$BN$257,0),50)="Latão",('Densidade do AR'!$S$10*1000000),IF(INDEX($A$5:$BP$257,MATCH(BT11,$BN$5:$BN$257,0),50)="Alumínio",('Densidade do AR'!$S$4*1000000)))))))-(((-('Densidade do AR'!$M$4))+('Densidade do AR'!$T$15*1000000))/('Densidade do AR'!$S$14*1000000))))))</f>
        <v>20000005.226803735</v>
      </c>
      <c r="CQ11" s="785"/>
      <c r="CR11" s="785"/>
      <c r="CS11" s="791"/>
      <c r="CT11" s="91">
        <f t="shared" si="11"/>
        <v>7</v>
      </c>
      <c r="CU11" s="870">
        <v>66</v>
      </c>
      <c r="CV11" s="871"/>
      <c r="CW11" s="784">
        <f>IF(CU11="","-",(IF(INDEX($A$5:$BP$257,MATCH(CU11,$BN$5:$BN$257,0),50)="Aço Inoxidável",('Densidade do AR'!$S$8*1000000),IF(INDEX($A$5:$BP$257,MATCH(CU11,$BN$5:$BN$257,0),50)="Ferro Fundido",('Densidade do AR'!$S$12*1000000),IF(INDEX($A$5:$BP$257,MATCH(CU11,$BN$5:$BN$257,0),50)="Latão",('Densidade do AR'!$S$10*1000000),IF(INDEX($A$5:$BP$257,MATCH(CU11,$BN$5:$BN$257,0),50)="Alumínio",('Densidade do AR'!$S$4*1000000)))))))</f>
        <v>7700000000</v>
      </c>
      <c r="CX11" s="785"/>
      <c r="CY11" s="785"/>
      <c r="CZ11" s="786"/>
      <c r="DA11" s="787">
        <f t="shared" si="12"/>
        <v>1E+30</v>
      </c>
      <c r="DB11" s="788"/>
      <c r="DC11" s="788"/>
      <c r="DD11" s="789"/>
      <c r="DE11" s="787">
        <f t="shared" si="3"/>
        <v>2.4414062500000009E-38</v>
      </c>
      <c r="DF11" s="788"/>
      <c r="DG11" s="788"/>
      <c r="DH11" s="789"/>
      <c r="DI11" s="790">
        <f t="shared" si="13"/>
        <v>0</v>
      </c>
      <c r="DJ11" s="785"/>
      <c r="DK11" s="785"/>
      <c r="DL11" s="786"/>
      <c r="DM11" s="790">
        <f t="shared" si="4"/>
        <v>12500</v>
      </c>
      <c r="DN11" s="785"/>
      <c r="DO11" s="785"/>
      <c r="DP11" s="786"/>
      <c r="DQ11" s="790">
        <f ca="1">IF(CU11="","-",INDEX($A$5:$BP$257,MATCH(CU11,$BN$5:$BN$257,0),39)*(IF(CU11="","-",(1+(((-('Densidade do AR'!$M$4))+('Densidade do AR'!$T$15*1000000))/(IF(INDEX($A$5:$BP$257,MATCH(CU11,$BN$5:$BN$257,0),50)="Aço Inoxidável",('Densidade do AR'!$S$8*1000000),IF(INDEX($A$5:$BP$257,MATCH(CU11,$BN$5:$BN$257,0),50)="Ferro Fundido",('Densidade do AR'!$S$12*1000000),IF(INDEX($A$5:$BP$257,MATCH(CU11,$BN$5:$BN$257,0),50)="Latão",('Densidade do AR'!$S$10*1000000),IF(INDEX($A$5:$BP$257,MATCH(CU11,$BN$5:$BN$257,0),50)="Alumínio",('Densidade do AR'!$S$4*1000000)))))))-(((-('Densidade do AR'!$M$4))+('Densidade do AR'!$T$15*1000000))/('Densidade do AR'!$S$14*1000000))))))</f>
        <v>500000130.67009342</v>
      </c>
      <c r="DR11" s="785"/>
      <c r="DS11" s="785"/>
      <c r="DT11" s="791"/>
      <c r="DU11" s="91" t="str">
        <f t="shared" si="14"/>
        <v>a10</v>
      </c>
      <c r="DV11" s="870">
        <v>66</v>
      </c>
      <c r="DW11" s="871"/>
      <c r="DX11" s="784">
        <f>IF(DV11="","-",(IF(INDEX($A$5:$BP$257,MATCH(DV11,$BN$5:$BN$257,0),50)="Aço Inoxidável",('Densidade do AR'!$S$8*1000000),IF(INDEX($A$5:$BP$257,MATCH(DV11,$BN$5:$BN$257,0),50)="Ferro Fundido",('Densidade do AR'!$S$12*1000000),IF(INDEX($A$5:$BP$257,MATCH(DV11,$BN$5:$BN$257,0),50)="Latão",('Densidade do AR'!$S$10*1000000),IF(INDEX($A$5:$BP$257,MATCH(DV11,$BN$5:$BN$257,0),50)="Alumínio",('Densidade do AR'!$S$4*1000000)))))))</f>
        <v>7700000000</v>
      </c>
      <c r="DY11" s="785"/>
      <c r="DZ11" s="785"/>
      <c r="EA11" s="786"/>
      <c r="EB11" s="787">
        <f t="shared" si="15"/>
        <v>1E+30</v>
      </c>
      <c r="EC11" s="788"/>
      <c r="ED11" s="788"/>
      <c r="EE11" s="789"/>
      <c r="EF11" s="787">
        <f t="shared" si="5"/>
        <v>2.4414062500000009E-38</v>
      </c>
      <c r="EG11" s="788"/>
      <c r="EH11" s="788"/>
      <c r="EI11" s="789"/>
      <c r="EJ11" s="790">
        <f t="shared" si="16"/>
        <v>0</v>
      </c>
      <c r="EK11" s="785"/>
      <c r="EL11" s="785"/>
      <c r="EM11" s="786"/>
      <c r="EN11" s="790">
        <f t="shared" si="6"/>
        <v>12500</v>
      </c>
      <c r="EO11" s="785"/>
      <c r="EP11" s="785"/>
      <c r="EQ11" s="786"/>
      <c r="ER11" s="790">
        <f ca="1">IF(DV11="","-",INDEX($A$5:$BP$257,MATCH(DV11,$BN$5:$BN$257,0),39)*(IF(DV11="","-",(1+(((-('Densidade do AR'!$M$4))+('Densidade do AR'!$T$15*1000000))/(IF(INDEX($A$5:$BP$257,MATCH(DV11,$BN$5:$BN$257,0),50)="Aço Inoxidável",('Densidade do AR'!$S$8*1000000),IF(INDEX($A$5:$BP$257,MATCH(DV11,$BN$5:$BN$257,0),50)="Ferro Fundido",('Densidade do AR'!$S$12*1000000),IF(INDEX($A$5:$BP$257,MATCH(DV11,$BN$5:$BN$257,0),50)="Latão",('Densidade do AR'!$S$10*1000000),IF(INDEX($A$5:$BP$257,MATCH(DV11,$BN$5:$BN$257,0),50)="Alumínio",('Densidade do AR'!$S$4*1000000)))))))-(((-('Densidade do AR'!$M$4))+('Densidade do AR'!$T$15*1000000))/('Densidade do AR'!$S$14*1000000))))))</f>
        <v>500000130.67009342</v>
      </c>
      <c r="ES11" s="785"/>
      <c r="ET11" s="785"/>
      <c r="EU11" s="791"/>
      <c r="EV11" s="91" t="str">
        <f t="shared" si="17"/>
        <v>a10</v>
      </c>
      <c r="EW11" s="870">
        <v>66</v>
      </c>
      <c r="EX11" s="871"/>
      <c r="EY11" s="784">
        <f>IF(EW11="","-",(IF(INDEX($A$5:$BP$257,MATCH(EW11,$BN$5:$BN$257,0),50)="Aço Inoxidável",('Densidade do AR'!$S$8*1000000),IF(INDEX($A$5:$BP$257,MATCH(EW11,$BN$5:$BN$257,0),50)="Ferro Fundido",('Densidade do AR'!$S$12*1000000),IF(INDEX($A$5:$BP$257,MATCH(EW11,$BN$5:$BN$257,0),50)="Latão",('Densidade do AR'!$S$10*1000000),IF(INDEX($A$5:$BP$257,MATCH(EW11,$BN$5:$BN$257,0),50)="Alumínio",('Densidade do AR'!$S$4*1000000)))))))</f>
        <v>7700000000</v>
      </c>
      <c r="EZ11" s="785"/>
      <c r="FA11" s="785"/>
      <c r="FB11" s="786"/>
      <c r="FC11" s="787">
        <f t="shared" si="18"/>
        <v>1E+30</v>
      </c>
      <c r="FD11" s="788"/>
      <c r="FE11" s="788"/>
      <c r="FF11" s="789"/>
      <c r="FG11" s="787">
        <f t="shared" si="7"/>
        <v>2.4414062500000009E-38</v>
      </c>
      <c r="FH11" s="788"/>
      <c r="FI11" s="788"/>
      <c r="FJ11" s="789"/>
      <c r="FK11" s="790">
        <f t="shared" si="19"/>
        <v>0</v>
      </c>
      <c r="FL11" s="785"/>
      <c r="FM11" s="785"/>
      <c r="FN11" s="786"/>
      <c r="FO11" s="790">
        <f t="shared" si="8"/>
        <v>12500</v>
      </c>
      <c r="FP11" s="785"/>
      <c r="FQ11" s="785"/>
      <c r="FR11" s="786"/>
      <c r="FS11" s="790">
        <f ca="1">IF(EW11="","-",INDEX($A$5:$BP$257,MATCH(EW11,$BN$5:$BN$257,0),39)*(IF(EW11="","-",(1+(((-('Densidade do AR'!$M$4))+('Densidade do AR'!$T$15*1000000))/(IF(INDEX($A$5:$BP$257,MATCH(EW11,$BN$5:$BN$257,0),50)="Aço Inoxidável",('Densidade do AR'!$S$8*1000000),IF(INDEX($A$5:$BP$257,MATCH(EW11,$BN$5:$BN$257,0),50)="Ferro Fundido",('Densidade do AR'!$S$12*1000000),IF(INDEX($A$5:$BP$257,MATCH(EW11,$BN$5:$BN$257,0),50)="Latão",('Densidade do AR'!$S$10*1000000),IF(INDEX($A$5:$BP$257,MATCH(EW11,$BN$5:$BN$257,0),50)="Alumínio",('Densidade do AR'!$S$4*1000000)))))))-(((-('Densidade do AR'!$M$4))+('Densidade do AR'!$T$15*1000000))/('Densidade do AR'!$S$14*1000000))))))</f>
        <v>500000130.67009342</v>
      </c>
      <c r="FT11" s="785"/>
      <c r="FU11" s="785"/>
      <c r="FV11" s="791"/>
      <c r="FW11" s="91" t="str">
        <f t="shared" si="20"/>
        <v>a10</v>
      </c>
      <c r="FX11" s="135"/>
    </row>
    <row r="12" spans="1:180" x14ac:dyDescent="0.2">
      <c r="A12" s="1002">
        <v>8</v>
      </c>
      <c r="B12" s="904"/>
      <c r="C12" s="1035">
        <v>0.05</v>
      </c>
      <c r="D12" s="1036"/>
      <c r="E12" s="1036"/>
      <c r="F12" s="1036"/>
      <c r="G12" s="1037"/>
      <c r="H12" s="902" t="s">
        <v>11</v>
      </c>
      <c r="I12" s="903"/>
      <c r="J12" s="903"/>
      <c r="K12" s="904"/>
      <c r="L12" s="902" t="s">
        <v>111</v>
      </c>
      <c r="M12" s="903"/>
      <c r="N12" s="903"/>
      <c r="O12" s="904"/>
      <c r="P12" s="891" t="s">
        <v>308</v>
      </c>
      <c r="Q12" s="967"/>
      <c r="R12" s="967"/>
      <c r="S12" s="967"/>
      <c r="T12" s="968"/>
      <c r="U12" s="897" t="s">
        <v>299</v>
      </c>
      <c r="V12" s="722"/>
      <c r="W12" s="722"/>
      <c r="X12" s="722"/>
      <c r="Y12" s="722"/>
      <c r="Z12" s="722"/>
      <c r="AA12" s="723"/>
      <c r="AB12" s="853"/>
      <c r="AC12" s="854"/>
      <c r="AD12" s="854"/>
      <c r="AE12" s="854"/>
      <c r="AF12" s="854"/>
      <c r="AG12" s="854"/>
      <c r="AH12" s="854"/>
      <c r="AI12" s="854"/>
      <c r="AJ12" s="854"/>
      <c r="AK12" s="854"/>
      <c r="AL12" s="855"/>
      <c r="AM12" s="1004">
        <v>50.01</v>
      </c>
      <c r="AN12" s="1005"/>
      <c r="AO12" s="1005"/>
      <c r="AP12" s="1005"/>
      <c r="AQ12" s="1005"/>
      <c r="AR12" s="1005"/>
      <c r="AS12" s="1006"/>
      <c r="AT12" s="1004">
        <f t="shared" si="0"/>
        <v>9.9999999999980105E-3</v>
      </c>
      <c r="AU12" s="1005"/>
      <c r="AV12" s="1005"/>
      <c r="AW12" s="1006"/>
      <c r="AX12" s="1007" t="s">
        <v>9</v>
      </c>
      <c r="AY12" s="953"/>
      <c r="AZ12" s="953"/>
      <c r="BA12" s="953"/>
      <c r="BB12" s="953"/>
      <c r="BC12" s="954"/>
      <c r="BD12" s="946">
        <v>0.01</v>
      </c>
      <c r="BE12" s="947"/>
      <c r="BF12" s="947"/>
      <c r="BG12" s="948"/>
      <c r="BH12" s="1007">
        <v>2.17</v>
      </c>
      <c r="BI12" s="953"/>
      <c r="BJ12" s="953"/>
      <c r="BK12" s="953"/>
      <c r="BL12" s="1008"/>
      <c r="BN12" s="1009">
        <v>8</v>
      </c>
      <c r="BO12" s="1010"/>
      <c r="BP12" s="1011"/>
      <c r="BR12" s="160"/>
      <c r="BT12" s="736">
        <v>42</v>
      </c>
      <c r="BU12" s="737"/>
      <c r="BV12" s="738">
        <f>IF(BT12="","-",(IF(INDEX($A$5:$BP$257,MATCH(BT12,$BN$5:$BN$257,0),50)="Aço Inoxidável",('Densidade do AR'!$S$8*1000000),IF(INDEX($A$5:$BP$257,MATCH(BT12,$BN$5:$BN$257,0),50)="Ferro Fundido",('Densidade do AR'!$S$12*1000000),IF(INDEX($A$5:$BP$257,MATCH(BT12,$BN$5:$BN$257,0),50)="Latão",('Densidade do AR'!$S$10*1000000),IF(INDEX($A$5:$BP$257,MATCH(BT12,$BN$5:$BN$257,0),50)="Alumínio",('Densidade do AR'!$S$4*1000000)))))))</f>
        <v>7700000000</v>
      </c>
      <c r="BW12" s="739"/>
      <c r="BX12" s="739"/>
      <c r="BY12" s="740"/>
      <c r="BZ12" s="741">
        <f t="shared" si="9"/>
        <v>1E+30</v>
      </c>
      <c r="CA12" s="742"/>
      <c r="CB12" s="742"/>
      <c r="CC12" s="743"/>
      <c r="CD12" s="741">
        <f t="shared" si="1"/>
        <v>5.062499999999998E-46</v>
      </c>
      <c r="CE12" s="742"/>
      <c r="CF12" s="742"/>
      <c r="CG12" s="743"/>
      <c r="CH12" s="744">
        <f t="shared" si="10"/>
        <v>0</v>
      </c>
      <c r="CI12" s="739"/>
      <c r="CJ12" s="739"/>
      <c r="CK12" s="740"/>
      <c r="CL12" s="744">
        <f t="shared" si="2"/>
        <v>150</v>
      </c>
      <c r="CM12" s="739"/>
      <c r="CN12" s="739"/>
      <c r="CO12" s="740"/>
      <c r="CP12" s="744">
        <f ca="1">IF(BT12="","-",INDEX($A$5:$BP$257,MATCH(BT12,$BN$5:$BN$257,0),39)*(IF(BT12="","-",(1+(((-('Densidade do AR'!$M$4))+('Densidade do AR'!$T$15*1000000))/(IF(INDEX($A$5:$BP$257,MATCH(BT12,$BN$5:$BN$257,0),50)="Aço Inoxidável",('Densidade do AR'!$S$8*1000000),IF(INDEX($A$5:$BP$257,MATCH(BT12,$BN$5:$BN$257,0),50)="Ferro Fundido",('Densidade do AR'!$S$12*1000000),IF(INDEX($A$5:$BP$257,MATCH(BT12,$BN$5:$BN$257,0),50)="Latão",('Densidade do AR'!$S$10*1000000),IF(INDEX($A$5:$BP$257,MATCH(BT12,$BN$5:$BN$257,0),50)="Alumínio",('Densidade do AR'!$S$4*1000000)))))))-(((-('Densidade do AR'!$M$4))+('Densidade do AR'!$T$15*1000000))/('Densidade do AR'!$S$14*1000000))))))</f>
        <v>20000005.226803735</v>
      </c>
      <c r="CQ12" s="739"/>
      <c r="CR12" s="739"/>
      <c r="CS12" s="745"/>
      <c r="CT12" s="91">
        <f t="shared" si="11"/>
        <v>8</v>
      </c>
      <c r="CU12" s="736">
        <v>67</v>
      </c>
      <c r="CV12" s="737"/>
      <c r="CW12" s="738">
        <f>IF(CU12="","-",(IF(INDEX($A$5:$BP$257,MATCH(CU12,$BN$5:$BN$257,0),50)="Aço Inoxidável",('Densidade do AR'!$S$8*1000000),IF(INDEX($A$5:$BP$257,MATCH(CU12,$BN$5:$BN$257,0),50)="Ferro Fundido",('Densidade do AR'!$S$12*1000000),IF(INDEX($A$5:$BP$257,MATCH(CU12,$BN$5:$BN$257,0),50)="Latão",('Densidade do AR'!$S$10*1000000),IF(INDEX($A$5:$BP$257,MATCH(CU12,$BN$5:$BN$257,0),50)="Alumínio",('Densidade do AR'!$S$4*1000000)))))))</f>
        <v>7700000000</v>
      </c>
      <c r="CX12" s="739"/>
      <c r="CY12" s="739"/>
      <c r="CZ12" s="740"/>
      <c r="DA12" s="741">
        <f t="shared" si="12"/>
        <v>1E+30</v>
      </c>
      <c r="DB12" s="742"/>
      <c r="DC12" s="742"/>
      <c r="DD12" s="743"/>
      <c r="DE12" s="741">
        <f t="shared" si="3"/>
        <v>2.4414062500000009E-38</v>
      </c>
      <c r="DF12" s="742"/>
      <c r="DG12" s="742"/>
      <c r="DH12" s="743"/>
      <c r="DI12" s="744">
        <f t="shared" si="13"/>
        <v>0</v>
      </c>
      <c r="DJ12" s="739"/>
      <c r="DK12" s="739"/>
      <c r="DL12" s="740"/>
      <c r="DM12" s="744">
        <f t="shared" si="4"/>
        <v>12500</v>
      </c>
      <c r="DN12" s="739"/>
      <c r="DO12" s="739"/>
      <c r="DP12" s="740"/>
      <c r="DQ12" s="744">
        <f ca="1">IF(CU12="","-",INDEX($A$5:$BP$257,MATCH(CU12,$BN$5:$BN$257,0),39)*(IF(CU12="","-",(1+(((-('Densidade do AR'!$M$4))+('Densidade do AR'!$T$15*1000000))/(IF(INDEX($A$5:$BP$257,MATCH(CU12,$BN$5:$BN$257,0),50)="Aço Inoxidável",('Densidade do AR'!$S$8*1000000),IF(INDEX($A$5:$BP$257,MATCH(CU12,$BN$5:$BN$257,0),50)="Ferro Fundido",('Densidade do AR'!$S$12*1000000),IF(INDEX($A$5:$BP$257,MATCH(CU12,$BN$5:$BN$257,0),50)="Latão",('Densidade do AR'!$S$10*1000000),IF(INDEX($A$5:$BP$257,MATCH(CU12,$BN$5:$BN$257,0),50)="Alumínio",('Densidade do AR'!$S$4*1000000)))))))-(((-('Densidade do AR'!$M$4))+('Densidade do AR'!$T$15*1000000))/('Densidade do AR'!$S$14*1000000))))))</f>
        <v>500000130.67009342</v>
      </c>
      <c r="DR12" s="739"/>
      <c r="DS12" s="739"/>
      <c r="DT12" s="745"/>
      <c r="DU12" s="91" t="str">
        <f t="shared" si="14"/>
        <v>a17</v>
      </c>
      <c r="DV12" s="736">
        <v>67</v>
      </c>
      <c r="DW12" s="737"/>
      <c r="DX12" s="738">
        <f>IF(DV12="","-",(IF(INDEX($A$5:$BP$257,MATCH(DV12,$BN$5:$BN$257,0),50)="Aço Inoxidável",('Densidade do AR'!$S$8*1000000),IF(INDEX($A$5:$BP$257,MATCH(DV12,$BN$5:$BN$257,0),50)="Ferro Fundido",('Densidade do AR'!$S$12*1000000),IF(INDEX($A$5:$BP$257,MATCH(DV12,$BN$5:$BN$257,0),50)="Latão",('Densidade do AR'!$S$10*1000000),IF(INDEX($A$5:$BP$257,MATCH(DV12,$BN$5:$BN$257,0),50)="Alumínio",('Densidade do AR'!$S$4*1000000)))))))</f>
        <v>7700000000</v>
      </c>
      <c r="DY12" s="739"/>
      <c r="DZ12" s="739"/>
      <c r="EA12" s="740"/>
      <c r="EB12" s="741">
        <f t="shared" si="15"/>
        <v>1E+30</v>
      </c>
      <c r="EC12" s="742"/>
      <c r="ED12" s="742"/>
      <c r="EE12" s="743"/>
      <c r="EF12" s="741">
        <f t="shared" si="5"/>
        <v>2.4414062500000009E-38</v>
      </c>
      <c r="EG12" s="742"/>
      <c r="EH12" s="742"/>
      <c r="EI12" s="743"/>
      <c r="EJ12" s="744">
        <f t="shared" si="16"/>
        <v>0</v>
      </c>
      <c r="EK12" s="739"/>
      <c r="EL12" s="739"/>
      <c r="EM12" s="740"/>
      <c r="EN12" s="744">
        <f t="shared" si="6"/>
        <v>12500</v>
      </c>
      <c r="EO12" s="739"/>
      <c r="EP12" s="739"/>
      <c r="EQ12" s="740"/>
      <c r="ER12" s="744">
        <f ca="1">IF(DV12="","-",INDEX($A$5:$BP$257,MATCH(DV12,$BN$5:$BN$257,0),39)*(IF(DV12="","-",(1+(((-('Densidade do AR'!$M$4))+('Densidade do AR'!$T$15*1000000))/(IF(INDEX($A$5:$BP$257,MATCH(DV12,$BN$5:$BN$257,0),50)="Aço Inoxidável",('Densidade do AR'!$S$8*1000000),IF(INDEX($A$5:$BP$257,MATCH(DV12,$BN$5:$BN$257,0),50)="Ferro Fundido",('Densidade do AR'!$S$12*1000000),IF(INDEX($A$5:$BP$257,MATCH(DV12,$BN$5:$BN$257,0),50)="Latão",('Densidade do AR'!$S$10*1000000),IF(INDEX($A$5:$BP$257,MATCH(DV12,$BN$5:$BN$257,0),50)="Alumínio",('Densidade do AR'!$S$4*1000000)))))))-(((-('Densidade do AR'!$M$4))+('Densidade do AR'!$T$15*1000000))/('Densidade do AR'!$S$14*1000000))))))</f>
        <v>500000130.67009342</v>
      </c>
      <c r="ES12" s="739"/>
      <c r="ET12" s="739"/>
      <c r="EU12" s="745"/>
      <c r="EV12" s="91" t="str">
        <f t="shared" si="17"/>
        <v>a17</v>
      </c>
      <c r="EW12" s="736">
        <v>67</v>
      </c>
      <c r="EX12" s="737"/>
      <c r="EY12" s="738">
        <f>IF(EW12="","-",(IF(INDEX($A$5:$BP$257,MATCH(EW12,$BN$5:$BN$257,0),50)="Aço Inoxidável",('Densidade do AR'!$S$8*1000000),IF(INDEX($A$5:$BP$257,MATCH(EW12,$BN$5:$BN$257,0),50)="Ferro Fundido",('Densidade do AR'!$S$12*1000000),IF(INDEX($A$5:$BP$257,MATCH(EW12,$BN$5:$BN$257,0),50)="Latão",('Densidade do AR'!$S$10*1000000),IF(INDEX($A$5:$BP$257,MATCH(EW12,$BN$5:$BN$257,0),50)="Alumínio",('Densidade do AR'!$S$4*1000000)))))))</f>
        <v>7700000000</v>
      </c>
      <c r="EZ12" s="739"/>
      <c r="FA12" s="739"/>
      <c r="FB12" s="740"/>
      <c r="FC12" s="741">
        <f t="shared" si="18"/>
        <v>1E+30</v>
      </c>
      <c r="FD12" s="742"/>
      <c r="FE12" s="742"/>
      <c r="FF12" s="743"/>
      <c r="FG12" s="741">
        <f t="shared" si="7"/>
        <v>2.4414062500000009E-38</v>
      </c>
      <c r="FH12" s="742"/>
      <c r="FI12" s="742"/>
      <c r="FJ12" s="743"/>
      <c r="FK12" s="744">
        <f t="shared" si="19"/>
        <v>0</v>
      </c>
      <c r="FL12" s="739"/>
      <c r="FM12" s="739"/>
      <c r="FN12" s="740"/>
      <c r="FO12" s="744">
        <f t="shared" si="8"/>
        <v>12500</v>
      </c>
      <c r="FP12" s="739"/>
      <c r="FQ12" s="739"/>
      <c r="FR12" s="740"/>
      <c r="FS12" s="744">
        <f ca="1">IF(EW12="","-",INDEX($A$5:$BP$257,MATCH(EW12,$BN$5:$BN$257,0),39)*(IF(EW12="","-",(1+(((-('Densidade do AR'!$M$4))+('Densidade do AR'!$T$15*1000000))/(IF(INDEX($A$5:$BP$257,MATCH(EW12,$BN$5:$BN$257,0),50)="Aço Inoxidável",('Densidade do AR'!$S$8*1000000),IF(INDEX($A$5:$BP$257,MATCH(EW12,$BN$5:$BN$257,0),50)="Ferro Fundido",('Densidade do AR'!$S$12*1000000),IF(INDEX($A$5:$BP$257,MATCH(EW12,$BN$5:$BN$257,0),50)="Latão",('Densidade do AR'!$S$10*1000000),IF(INDEX($A$5:$BP$257,MATCH(EW12,$BN$5:$BN$257,0),50)="Alumínio",('Densidade do AR'!$S$4*1000000)))))))-(((-('Densidade do AR'!$M$4))+('Densidade do AR'!$T$15*1000000))/('Densidade do AR'!$S$14*1000000))))))</f>
        <v>500000130.67009342</v>
      </c>
      <c r="FT12" s="739"/>
      <c r="FU12" s="739"/>
      <c r="FV12" s="745"/>
      <c r="FW12" s="91" t="str">
        <f t="shared" si="20"/>
        <v>a17</v>
      </c>
      <c r="FX12" s="135"/>
    </row>
    <row r="13" spans="1:180" x14ac:dyDescent="0.2">
      <c r="A13" s="1001">
        <v>9</v>
      </c>
      <c r="B13" s="907"/>
      <c r="C13" s="1046">
        <v>0.1</v>
      </c>
      <c r="D13" s="1047"/>
      <c r="E13" s="1047"/>
      <c r="F13" s="1047"/>
      <c r="G13" s="1048"/>
      <c r="H13" s="905" t="s">
        <v>11</v>
      </c>
      <c r="I13" s="906"/>
      <c r="J13" s="906"/>
      <c r="K13" s="907"/>
      <c r="L13" s="905" t="s">
        <v>111</v>
      </c>
      <c r="M13" s="906"/>
      <c r="N13" s="906"/>
      <c r="O13" s="907"/>
      <c r="P13" s="894" t="s">
        <v>308</v>
      </c>
      <c r="Q13" s="955"/>
      <c r="R13" s="955"/>
      <c r="S13" s="955"/>
      <c r="T13" s="956"/>
      <c r="U13" s="898" t="s">
        <v>299</v>
      </c>
      <c r="V13" s="715"/>
      <c r="W13" s="715"/>
      <c r="X13" s="715"/>
      <c r="Y13" s="715"/>
      <c r="Z13" s="715"/>
      <c r="AA13" s="716"/>
      <c r="AB13" s="850"/>
      <c r="AC13" s="851"/>
      <c r="AD13" s="851"/>
      <c r="AE13" s="851"/>
      <c r="AF13" s="851"/>
      <c r="AG13" s="851"/>
      <c r="AH13" s="851"/>
      <c r="AI13" s="851"/>
      <c r="AJ13" s="851"/>
      <c r="AK13" s="851"/>
      <c r="AL13" s="852"/>
      <c r="AM13" s="988">
        <v>100</v>
      </c>
      <c r="AN13" s="989"/>
      <c r="AO13" s="989"/>
      <c r="AP13" s="989"/>
      <c r="AQ13" s="989"/>
      <c r="AR13" s="989"/>
      <c r="AS13" s="990"/>
      <c r="AT13" s="988">
        <f t="shared" si="0"/>
        <v>0</v>
      </c>
      <c r="AU13" s="989"/>
      <c r="AV13" s="989"/>
      <c r="AW13" s="990"/>
      <c r="AX13" s="1003" t="s">
        <v>9</v>
      </c>
      <c r="AY13" s="950"/>
      <c r="AZ13" s="950"/>
      <c r="BA13" s="950"/>
      <c r="BB13" s="950"/>
      <c r="BC13" s="951"/>
      <c r="BD13" s="998">
        <v>0.02</v>
      </c>
      <c r="BE13" s="999"/>
      <c r="BF13" s="999"/>
      <c r="BG13" s="1000"/>
      <c r="BH13" s="1003">
        <v>2.13</v>
      </c>
      <c r="BI13" s="950"/>
      <c r="BJ13" s="950"/>
      <c r="BK13" s="950"/>
      <c r="BL13" s="1042"/>
      <c r="BN13" s="1012">
        <v>9</v>
      </c>
      <c r="BO13" s="1010"/>
      <c r="BP13" s="1011"/>
      <c r="BT13" s="736">
        <v>43</v>
      </c>
      <c r="BU13" s="737"/>
      <c r="BV13" s="784">
        <f>IF(BT13="","-",(IF(INDEX($A$5:$BP$257,MATCH(BT13,$BN$5:$BN$257,0),50)="Aço Inoxidável",('Densidade do AR'!$S$8*1000000),IF(INDEX($A$5:$BP$257,MATCH(BT13,$BN$5:$BN$257,0),50)="Ferro Fundido",('Densidade do AR'!$S$12*1000000),IF(INDEX($A$5:$BP$257,MATCH(BT13,$BN$5:$BN$257,0),50)="Latão",('Densidade do AR'!$S$10*1000000),IF(INDEX($A$5:$BP$257,MATCH(BT13,$BN$5:$BN$257,0),50)="Alumínio",('Densidade do AR'!$S$4*1000000)))))))</f>
        <v>7700000000</v>
      </c>
      <c r="BW13" s="785"/>
      <c r="BX13" s="785"/>
      <c r="BY13" s="786"/>
      <c r="BZ13" s="787">
        <f t="shared" si="9"/>
        <v>1E+30</v>
      </c>
      <c r="CA13" s="788"/>
      <c r="CB13" s="788"/>
      <c r="CC13" s="789"/>
      <c r="CD13" s="787">
        <f t="shared" si="1"/>
        <v>5.062499999999998E-46</v>
      </c>
      <c r="CE13" s="788"/>
      <c r="CF13" s="788"/>
      <c r="CG13" s="789"/>
      <c r="CH13" s="790">
        <f t="shared" si="10"/>
        <v>0</v>
      </c>
      <c r="CI13" s="785"/>
      <c r="CJ13" s="785"/>
      <c r="CK13" s="786"/>
      <c r="CL13" s="790">
        <f t="shared" si="2"/>
        <v>150</v>
      </c>
      <c r="CM13" s="785"/>
      <c r="CN13" s="785"/>
      <c r="CO13" s="786"/>
      <c r="CP13" s="790">
        <f ca="1">IF(BT13="","-",INDEX($A$5:$BP$257,MATCH(BT13,$BN$5:$BN$257,0),39)*(IF(BT13="","-",(1+(((-('Densidade do AR'!$M$4))+('Densidade do AR'!$T$15*1000000))/(IF(INDEX($A$5:$BP$257,MATCH(BT13,$BN$5:$BN$257,0),50)="Aço Inoxidável",('Densidade do AR'!$S$8*1000000),IF(INDEX($A$5:$BP$257,MATCH(BT13,$BN$5:$BN$257,0),50)="Ferro Fundido",('Densidade do AR'!$S$12*1000000),IF(INDEX($A$5:$BP$257,MATCH(BT13,$BN$5:$BN$257,0),50)="Latão",('Densidade do AR'!$S$10*1000000),IF(INDEX($A$5:$BP$257,MATCH(BT13,$BN$5:$BN$257,0),50)="Alumínio",('Densidade do AR'!$S$4*1000000)))))))-(((-('Densidade do AR'!$M$4))+('Densidade do AR'!$T$15*1000000))/('Densidade do AR'!$S$14*1000000))))))</f>
        <v>20000005.226803735</v>
      </c>
      <c r="CQ13" s="785"/>
      <c r="CR13" s="785"/>
      <c r="CS13" s="791"/>
      <c r="CT13" s="91">
        <f t="shared" si="11"/>
        <v>9</v>
      </c>
      <c r="CU13" s="870">
        <v>68</v>
      </c>
      <c r="CV13" s="871"/>
      <c r="CW13" s="784">
        <f>IF(CU13="","-",(IF(INDEX($A$5:$BP$257,MATCH(CU13,$BN$5:$BN$257,0),50)="Aço Inoxidável",('Densidade do AR'!$S$8*1000000),IF(INDEX($A$5:$BP$257,MATCH(CU13,$BN$5:$BN$257,0),50)="Ferro Fundido",('Densidade do AR'!$S$12*1000000),IF(INDEX($A$5:$BP$257,MATCH(CU13,$BN$5:$BN$257,0),50)="Latão",('Densidade do AR'!$S$10*1000000),IF(INDEX($A$5:$BP$257,MATCH(CU13,$BN$5:$BN$257,0),50)="Alumínio",('Densidade do AR'!$S$4*1000000)))))))</f>
        <v>7700000000</v>
      </c>
      <c r="CX13" s="785"/>
      <c r="CY13" s="785"/>
      <c r="CZ13" s="786"/>
      <c r="DA13" s="787">
        <f t="shared" si="12"/>
        <v>1E+30</v>
      </c>
      <c r="DB13" s="788"/>
      <c r="DC13" s="788"/>
      <c r="DD13" s="789"/>
      <c r="DE13" s="787">
        <f t="shared" si="3"/>
        <v>2.4414062500000009E-38</v>
      </c>
      <c r="DF13" s="788"/>
      <c r="DG13" s="788"/>
      <c r="DH13" s="789"/>
      <c r="DI13" s="790">
        <f t="shared" si="13"/>
        <v>0</v>
      </c>
      <c r="DJ13" s="785"/>
      <c r="DK13" s="785"/>
      <c r="DL13" s="786"/>
      <c r="DM13" s="790">
        <f t="shared" si="4"/>
        <v>12500</v>
      </c>
      <c r="DN13" s="785"/>
      <c r="DO13" s="785"/>
      <c r="DP13" s="786"/>
      <c r="DQ13" s="790">
        <f ca="1">IF(CU13="","-",INDEX($A$5:$BP$257,MATCH(CU13,$BN$5:$BN$257,0),39)*(IF(CU13="","-",(1+(((-('Densidade do AR'!$M$4))+('Densidade do AR'!$T$15*1000000))/(IF(INDEX($A$5:$BP$257,MATCH(CU13,$BN$5:$BN$257,0),50)="Aço Inoxidável",('Densidade do AR'!$S$8*1000000),IF(INDEX($A$5:$BP$257,MATCH(CU13,$BN$5:$BN$257,0),50)="Ferro Fundido",('Densidade do AR'!$S$12*1000000),IF(INDEX($A$5:$BP$257,MATCH(CU13,$BN$5:$BN$257,0),50)="Latão",('Densidade do AR'!$S$10*1000000),IF(INDEX($A$5:$BP$257,MATCH(CU13,$BN$5:$BN$257,0),50)="Alumínio",('Densidade do AR'!$S$4*1000000)))))))-(((-('Densidade do AR'!$M$4))+('Densidade do AR'!$T$15*1000000))/('Densidade do AR'!$S$14*1000000))))))</f>
        <v>500000130.67009342</v>
      </c>
      <c r="DR13" s="785"/>
      <c r="DS13" s="785"/>
      <c r="DT13" s="791"/>
      <c r="DU13" s="91" t="str">
        <f t="shared" si="14"/>
        <v>a18</v>
      </c>
      <c r="DV13" s="870">
        <v>68</v>
      </c>
      <c r="DW13" s="871"/>
      <c r="DX13" s="784">
        <f>IF(DV13="","-",(IF(INDEX($A$5:$BP$257,MATCH(DV13,$BN$5:$BN$257,0),50)="Aço Inoxidável",('Densidade do AR'!$S$8*1000000),IF(INDEX($A$5:$BP$257,MATCH(DV13,$BN$5:$BN$257,0),50)="Ferro Fundido",('Densidade do AR'!$S$12*1000000),IF(INDEX($A$5:$BP$257,MATCH(DV13,$BN$5:$BN$257,0),50)="Latão",('Densidade do AR'!$S$10*1000000),IF(INDEX($A$5:$BP$257,MATCH(DV13,$BN$5:$BN$257,0),50)="Alumínio",('Densidade do AR'!$S$4*1000000)))))))</f>
        <v>7700000000</v>
      </c>
      <c r="DY13" s="785"/>
      <c r="DZ13" s="785"/>
      <c r="EA13" s="786"/>
      <c r="EB13" s="787">
        <f t="shared" si="15"/>
        <v>1E+30</v>
      </c>
      <c r="EC13" s="788"/>
      <c r="ED13" s="788"/>
      <c r="EE13" s="789"/>
      <c r="EF13" s="787">
        <f t="shared" si="5"/>
        <v>2.4414062500000009E-38</v>
      </c>
      <c r="EG13" s="788"/>
      <c r="EH13" s="788"/>
      <c r="EI13" s="789"/>
      <c r="EJ13" s="790">
        <f t="shared" si="16"/>
        <v>0</v>
      </c>
      <c r="EK13" s="785"/>
      <c r="EL13" s="785"/>
      <c r="EM13" s="786"/>
      <c r="EN13" s="790">
        <f t="shared" si="6"/>
        <v>12500</v>
      </c>
      <c r="EO13" s="785"/>
      <c r="EP13" s="785"/>
      <c r="EQ13" s="786"/>
      <c r="ER13" s="790">
        <f ca="1">IF(DV13="","-",INDEX($A$5:$BP$257,MATCH(DV13,$BN$5:$BN$257,0),39)*(IF(DV13="","-",(1+(((-('Densidade do AR'!$M$4))+('Densidade do AR'!$T$15*1000000))/(IF(INDEX($A$5:$BP$257,MATCH(DV13,$BN$5:$BN$257,0),50)="Aço Inoxidável",('Densidade do AR'!$S$8*1000000),IF(INDEX($A$5:$BP$257,MATCH(DV13,$BN$5:$BN$257,0),50)="Ferro Fundido",('Densidade do AR'!$S$12*1000000),IF(INDEX($A$5:$BP$257,MATCH(DV13,$BN$5:$BN$257,0),50)="Latão",('Densidade do AR'!$S$10*1000000),IF(INDEX($A$5:$BP$257,MATCH(DV13,$BN$5:$BN$257,0),50)="Alumínio",('Densidade do AR'!$S$4*1000000)))))))-(((-('Densidade do AR'!$M$4))+('Densidade do AR'!$T$15*1000000))/('Densidade do AR'!$S$14*1000000))))))</f>
        <v>500000130.67009342</v>
      </c>
      <c r="ES13" s="785"/>
      <c r="ET13" s="785"/>
      <c r="EU13" s="791"/>
      <c r="EV13" s="91" t="str">
        <f t="shared" si="17"/>
        <v>a18</v>
      </c>
      <c r="EW13" s="870">
        <v>68</v>
      </c>
      <c r="EX13" s="871"/>
      <c r="EY13" s="784">
        <f>IF(EW13="","-",(IF(INDEX($A$5:$BP$257,MATCH(EW13,$BN$5:$BN$257,0),50)="Aço Inoxidável",('Densidade do AR'!$S$8*1000000),IF(INDEX($A$5:$BP$257,MATCH(EW13,$BN$5:$BN$257,0),50)="Ferro Fundido",('Densidade do AR'!$S$12*1000000),IF(INDEX($A$5:$BP$257,MATCH(EW13,$BN$5:$BN$257,0),50)="Latão",('Densidade do AR'!$S$10*1000000),IF(INDEX($A$5:$BP$257,MATCH(EW13,$BN$5:$BN$257,0),50)="Alumínio",('Densidade do AR'!$S$4*1000000)))))))</f>
        <v>7700000000</v>
      </c>
      <c r="EZ13" s="785"/>
      <c r="FA13" s="785"/>
      <c r="FB13" s="786"/>
      <c r="FC13" s="787">
        <f t="shared" si="18"/>
        <v>1E+30</v>
      </c>
      <c r="FD13" s="788"/>
      <c r="FE13" s="788"/>
      <c r="FF13" s="789"/>
      <c r="FG13" s="787">
        <f t="shared" si="7"/>
        <v>2.4414062500000009E-38</v>
      </c>
      <c r="FH13" s="788"/>
      <c r="FI13" s="788"/>
      <c r="FJ13" s="789"/>
      <c r="FK13" s="790">
        <f t="shared" si="19"/>
        <v>0</v>
      </c>
      <c r="FL13" s="785"/>
      <c r="FM13" s="785"/>
      <c r="FN13" s="786"/>
      <c r="FO13" s="790">
        <f t="shared" si="8"/>
        <v>12500</v>
      </c>
      <c r="FP13" s="785"/>
      <c r="FQ13" s="785"/>
      <c r="FR13" s="786"/>
      <c r="FS13" s="790">
        <f ca="1">IF(EW13="","-",INDEX($A$5:$BP$257,MATCH(EW13,$BN$5:$BN$257,0),39)*(IF(EW13="","-",(1+(((-('Densidade do AR'!$M$4))+('Densidade do AR'!$T$15*1000000))/(IF(INDEX($A$5:$BP$257,MATCH(EW13,$BN$5:$BN$257,0),50)="Aço Inoxidável",('Densidade do AR'!$S$8*1000000),IF(INDEX($A$5:$BP$257,MATCH(EW13,$BN$5:$BN$257,0),50)="Ferro Fundido",('Densidade do AR'!$S$12*1000000),IF(INDEX($A$5:$BP$257,MATCH(EW13,$BN$5:$BN$257,0),50)="Latão",('Densidade do AR'!$S$10*1000000),IF(INDEX($A$5:$BP$257,MATCH(EW13,$BN$5:$BN$257,0),50)="Alumínio",('Densidade do AR'!$S$4*1000000)))))))-(((-('Densidade do AR'!$M$4))+('Densidade do AR'!$T$15*1000000))/('Densidade do AR'!$S$14*1000000))))))</f>
        <v>500000130.67009342</v>
      </c>
      <c r="FT13" s="785"/>
      <c r="FU13" s="785"/>
      <c r="FV13" s="791"/>
      <c r="FW13" s="91" t="str">
        <f t="shared" si="20"/>
        <v>a18</v>
      </c>
      <c r="FX13" s="135"/>
    </row>
    <row r="14" spans="1:180" x14ac:dyDescent="0.2">
      <c r="A14" s="1002">
        <v>10</v>
      </c>
      <c r="B14" s="904"/>
      <c r="C14" s="1043">
        <v>0.2</v>
      </c>
      <c r="D14" s="1044"/>
      <c r="E14" s="1044"/>
      <c r="F14" s="1044"/>
      <c r="G14" s="1045"/>
      <c r="H14" s="902" t="s">
        <v>11</v>
      </c>
      <c r="I14" s="903"/>
      <c r="J14" s="903"/>
      <c r="K14" s="904"/>
      <c r="L14" s="902" t="s">
        <v>111</v>
      </c>
      <c r="M14" s="903"/>
      <c r="N14" s="903"/>
      <c r="O14" s="904"/>
      <c r="P14" s="891" t="s">
        <v>308</v>
      </c>
      <c r="Q14" s="967"/>
      <c r="R14" s="967"/>
      <c r="S14" s="967"/>
      <c r="T14" s="968"/>
      <c r="U14" s="897" t="s">
        <v>299</v>
      </c>
      <c r="V14" s="722"/>
      <c r="W14" s="722"/>
      <c r="X14" s="722"/>
      <c r="Y14" s="722"/>
      <c r="Z14" s="722"/>
      <c r="AA14" s="723"/>
      <c r="AB14" s="853"/>
      <c r="AC14" s="854"/>
      <c r="AD14" s="854"/>
      <c r="AE14" s="854"/>
      <c r="AF14" s="854"/>
      <c r="AG14" s="854"/>
      <c r="AH14" s="854"/>
      <c r="AI14" s="854"/>
      <c r="AJ14" s="854"/>
      <c r="AK14" s="854"/>
      <c r="AL14" s="855"/>
      <c r="AM14" s="1004">
        <v>200.01</v>
      </c>
      <c r="AN14" s="1005"/>
      <c r="AO14" s="1005"/>
      <c r="AP14" s="1005"/>
      <c r="AQ14" s="1005"/>
      <c r="AR14" s="1005"/>
      <c r="AS14" s="1006"/>
      <c r="AT14" s="1004">
        <f t="shared" si="0"/>
        <v>9.9999999999909051E-3</v>
      </c>
      <c r="AU14" s="1005"/>
      <c r="AV14" s="1005"/>
      <c r="AW14" s="1006"/>
      <c r="AX14" s="1007" t="s">
        <v>9</v>
      </c>
      <c r="AY14" s="953"/>
      <c r="AZ14" s="953"/>
      <c r="BA14" s="953"/>
      <c r="BB14" s="953"/>
      <c r="BC14" s="954"/>
      <c r="BD14" s="946">
        <v>0.02</v>
      </c>
      <c r="BE14" s="947"/>
      <c r="BF14" s="947"/>
      <c r="BG14" s="948"/>
      <c r="BH14" s="1007">
        <v>2.09</v>
      </c>
      <c r="BI14" s="953"/>
      <c r="BJ14" s="953"/>
      <c r="BK14" s="953"/>
      <c r="BL14" s="1008"/>
      <c r="BN14" s="1009">
        <v>10</v>
      </c>
      <c r="BO14" s="1010"/>
      <c r="BP14" s="1011"/>
      <c r="BT14" s="736">
        <v>44</v>
      </c>
      <c r="BU14" s="737"/>
      <c r="BV14" s="738">
        <f>IF(BT14="","-",(IF(INDEX($A$5:$BP$257,MATCH(BT14,$BN$5:$BN$257,0),50)="Aço Inoxidável",('Densidade do AR'!$S$8*1000000),IF(INDEX($A$5:$BP$257,MATCH(BT14,$BN$5:$BN$257,0),50)="Ferro Fundido",('Densidade do AR'!$S$12*1000000),IF(INDEX($A$5:$BP$257,MATCH(BT14,$BN$5:$BN$257,0),50)="Latão",('Densidade do AR'!$S$10*1000000),IF(INDEX($A$5:$BP$257,MATCH(BT14,$BN$5:$BN$257,0),50)="Alumínio",('Densidade do AR'!$S$4*1000000)))))))</f>
        <v>7700000000</v>
      </c>
      <c r="BW14" s="739"/>
      <c r="BX14" s="739"/>
      <c r="BY14" s="740"/>
      <c r="BZ14" s="741">
        <f t="shared" si="9"/>
        <v>1E+30</v>
      </c>
      <c r="CA14" s="742"/>
      <c r="CB14" s="742"/>
      <c r="CC14" s="743"/>
      <c r="CD14" s="741">
        <f t="shared" si="1"/>
        <v>5.062499999999998E-46</v>
      </c>
      <c r="CE14" s="742"/>
      <c r="CF14" s="742"/>
      <c r="CG14" s="743"/>
      <c r="CH14" s="744">
        <f t="shared" si="10"/>
        <v>0</v>
      </c>
      <c r="CI14" s="739"/>
      <c r="CJ14" s="739"/>
      <c r="CK14" s="740"/>
      <c r="CL14" s="744">
        <f t="shared" si="2"/>
        <v>150</v>
      </c>
      <c r="CM14" s="739"/>
      <c r="CN14" s="739"/>
      <c r="CO14" s="740"/>
      <c r="CP14" s="744">
        <f ca="1">IF(BT14="","-",INDEX($A$5:$BP$257,MATCH(BT14,$BN$5:$BN$257,0),39)*(IF(BT14="","-",(1+(((-('Densidade do AR'!$M$4))+('Densidade do AR'!$T$15*1000000))/(IF(INDEX($A$5:$BP$257,MATCH(BT14,$BN$5:$BN$257,0),50)="Aço Inoxidável",('Densidade do AR'!$S$8*1000000),IF(INDEX($A$5:$BP$257,MATCH(BT14,$BN$5:$BN$257,0),50)="Ferro Fundido",('Densidade do AR'!$S$12*1000000),IF(INDEX($A$5:$BP$257,MATCH(BT14,$BN$5:$BN$257,0),50)="Latão",('Densidade do AR'!$S$10*1000000),IF(INDEX($A$5:$BP$257,MATCH(BT14,$BN$5:$BN$257,0),50)="Alumínio",('Densidade do AR'!$S$4*1000000)))))))-(((-('Densidade do AR'!$M$4))+('Densidade do AR'!$T$15*1000000))/('Densidade do AR'!$S$14*1000000))))))</f>
        <v>20000005.226803735</v>
      </c>
      <c r="CQ14" s="739"/>
      <c r="CR14" s="739"/>
      <c r="CS14" s="745"/>
      <c r="CT14" s="91">
        <f t="shared" si="11"/>
        <v>10</v>
      </c>
      <c r="CU14" s="736">
        <v>69</v>
      </c>
      <c r="CV14" s="737"/>
      <c r="CW14" s="738">
        <f>IF(CU14="","-",(IF(INDEX($A$5:$BP$257,MATCH(CU14,$BN$5:$BN$257,0),50)="Aço Inoxidável",('Densidade do AR'!$S$8*1000000),IF(INDEX($A$5:$BP$257,MATCH(CU14,$BN$5:$BN$257,0),50)="Ferro Fundido",('Densidade do AR'!$S$12*1000000),IF(INDEX($A$5:$BP$257,MATCH(CU14,$BN$5:$BN$257,0),50)="Latão",('Densidade do AR'!$S$10*1000000),IF(INDEX($A$5:$BP$257,MATCH(CU14,$BN$5:$BN$257,0),50)="Alumínio",('Densidade do AR'!$S$4*1000000)))))))</f>
        <v>7700000000</v>
      </c>
      <c r="CX14" s="739"/>
      <c r="CY14" s="739"/>
      <c r="CZ14" s="740"/>
      <c r="DA14" s="741">
        <f t="shared" si="12"/>
        <v>1E+30</v>
      </c>
      <c r="DB14" s="742"/>
      <c r="DC14" s="742"/>
      <c r="DD14" s="743"/>
      <c r="DE14" s="741">
        <f t="shared" si="3"/>
        <v>2.4414062500000009E-38</v>
      </c>
      <c r="DF14" s="742"/>
      <c r="DG14" s="742"/>
      <c r="DH14" s="743"/>
      <c r="DI14" s="744">
        <f t="shared" si="13"/>
        <v>0</v>
      </c>
      <c r="DJ14" s="739"/>
      <c r="DK14" s="739"/>
      <c r="DL14" s="740"/>
      <c r="DM14" s="744">
        <f t="shared" si="4"/>
        <v>12500</v>
      </c>
      <c r="DN14" s="739"/>
      <c r="DO14" s="739"/>
      <c r="DP14" s="740"/>
      <c r="DQ14" s="744">
        <f ca="1">IF(CU14="","-",INDEX($A$5:$BP$257,MATCH(CU14,$BN$5:$BN$257,0),39)*(IF(CU14="","-",(1+(((-('Densidade do AR'!$M$4))+('Densidade do AR'!$T$15*1000000))/(IF(INDEX($A$5:$BP$257,MATCH(CU14,$BN$5:$BN$257,0),50)="Aço Inoxidável",('Densidade do AR'!$S$8*1000000),IF(INDEX($A$5:$BP$257,MATCH(CU14,$BN$5:$BN$257,0),50)="Ferro Fundido",('Densidade do AR'!$S$12*1000000),IF(INDEX($A$5:$BP$257,MATCH(CU14,$BN$5:$BN$257,0),50)="Latão",('Densidade do AR'!$S$10*1000000),IF(INDEX($A$5:$BP$257,MATCH(CU14,$BN$5:$BN$257,0),50)="Alumínio",('Densidade do AR'!$S$4*1000000)))))))-(((-('Densidade do AR'!$M$4))+('Densidade do AR'!$T$15*1000000))/('Densidade do AR'!$S$14*1000000))))))</f>
        <v>499995130.6687867</v>
      </c>
      <c r="DR14" s="739"/>
      <c r="DS14" s="739"/>
      <c r="DT14" s="745"/>
      <c r="DU14" s="91" t="str">
        <f t="shared" si="14"/>
        <v>a19</v>
      </c>
      <c r="DV14" s="736">
        <v>69</v>
      </c>
      <c r="DW14" s="737"/>
      <c r="DX14" s="738">
        <f>IF(DV14="","-",(IF(INDEX($A$5:$BP$257,MATCH(DV14,$BN$5:$BN$257,0),50)="Aço Inoxidável",('Densidade do AR'!$S$8*1000000),IF(INDEX($A$5:$BP$257,MATCH(DV14,$BN$5:$BN$257,0),50)="Ferro Fundido",('Densidade do AR'!$S$12*1000000),IF(INDEX($A$5:$BP$257,MATCH(DV14,$BN$5:$BN$257,0),50)="Latão",('Densidade do AR'!$S$10*1000000),IF(INDEX($A$5:$BP$257,MATCH(DV14,$BN$5:$BN$257,0),50)="Alumínio",('Densidade do AR'!$S$4*1000000)))))))</f>
        <v>7700000000</v>
      </c>
      <c r="DY14" s="739"/>
      <c r="DZ14" s="739"/>
      <c r="EA14" s="740"/>
      <c r="EB14" s="741">
        <f t="shared" si="15"/>
        <v>1E+30</v>
      </c>
      <c r="EC14" s="742"/>
      <c r="ED14" s="742"/>
      <c r="EE14" s="743"/>
      <c r="EF14" s="741">
        <f t="shared" si="5"/>
        <v>2.4414062500000009E-38</v>
      </c>
      <c r="EG14" s="742"/>
      <c r="EH14" s="742"/>
      <c r="EI14" s="743"/>
      <c r="EJ14" s="744">
        <f t="shared" si="16"/>
        <v>0</v>
      </c>
      <c r="EK14" s="739"/>
      <c r="EL14" s="739"/>
      <c r="EM14" s="740"/>
      <c r="EN14" s="744">
        <f t="shared" si="6"/>
        <v>12500</v>
      </c>
      <c r="EO14" s="739"/>
      <c r="EP14" s="739"/>
      <c r="EQ14" s="740"/>
      <c r="ER14" s="744">
        <f ca="1">IF(DV14="","-",INDEX($A$5:$BP$257,MATCH(DV14,$BN$5:$BN$257,0),39)*(IF(DV14="","-",(1+(((-('Densidade do AR'!$M$4))+('Densidade do AR'!$T$15*1000000))/(IF(INDEX($A$5:$BP$257,MATCH(DV14,$BN$5:$BN$257,0),50)="Aço Inoxidável",('Densidade do AR'!$S$8*1000000),IF(INDEX($A$5:$BP$257,MATCH(DV14,$BN$5:$BN$257,0),50)="Ferro Fundido",('Densidade do AR'!$S$12*1000000),IF(INDEX($A$5:$BP$257,MATCH(DV14,$BN$5:$BN$257,0),50)="Latão",('Densidade do AR'!$S$10*1000000),IF(INDEX($A$5:$BP$257,MATCH(DV14,$BN$5:$BN$257,0),50)="Alumínio",('Densidade do AR'!$S$4*1000000)))))))-(((-('Densidade do AR'!$M$4))+('Densidade do AR'!$T$15*1000000))/('Densidade do AR'!$S$14*1000000))))))</f>
        <v>499995130.6687867</v>
      </c>
      <c r="ES14" s="739"/>
      <c r="ET14" s="739"/>
      <c r="EU14" s="745"/>
      <c r="EV14" s="91" t="str">
        <f t="shared" si="17"/>
        <v>a19</v>
      </c>
      <c r="EW14" s="736">
        <v>69</v>
      </c>
      <c r="EX14" s="737"/>
      <c r="EY14" s="738">
        <f>IF(EW14="","-",(IF(INDEX($A$5:$BP$257,MATCH(EW14,$BN$5:$BN$257,0),50)="Aço Inoxidável",('Densidade do AR'!$S$8*1000000),IF(INDEX($A$5:$BP$257,MATCH(EW14,$BN$5:$BN$257,0),50)="Ferro Fundido",('Densidade do AR'!$S$12*1000000),IF(INDEX($A$5:$BP$257,MATCH(EW14,$BN$5:$BN$257,0),50)="Latão",('Densidade do AR'!$S$10*1000000),IF(INDEX($A$5:$BP$257,MATCH(EW14,$BN$5:$BN$257,0),50)="Alumínio",('Densidade do AR'!$S$4*1000000)))))))</f>
        <v>7700000000</v>
      </c>
      <c r="EZ14" s="739"/>
      <c r="FA14" s="739"/>
      <c r="FB14" s="740"/>
      <c r="FC14" s="741">
        <f t="shared" si="18"/>
        <v>1E+30</v>
      </c>
      <c r="FD14" s="742"/>
      <c r="FE14" s="742"/>
      <c r="FF14" s="743"/>
      <c r="FG14" s="741">
        <f t="shared" si="7"/>
        <v>2.4414062500000009E-38</v>
      </c>
      <c r="FH14" s="742"/>
      <c r="FI14" s="742"/>
      <c r="FJ14" s="743"/>
      <c r="FK14" s="744">
        <f t="shared" si="19"/>
        <v>0</v>
      </c>
      <c r="FL14" s="739"/>
      <c r="FM14" s="739"/>
      <c r="FN14" s="740"/>
      <c r="FO14" s="744">
        <f t="shared" si="8"/>
        <v>12500</v>
      </c>
      <c r="FP14" s="739"/>
      <c r="FQ14" s="739"/>
      <c r="FR14" s="740"/>
      <c r="FS14" s="744">
        <f ca="1">IF(EW14="","-",INDEX($A$5:$BP$257,MATCH(EW14,$BN$5:$BN$257,0),39)*(IF(EW14="","-",(1+(((-('Densidade do AR'!$M$4))+('Densidade do AR'!$T$15*1000000))/(IF(INDEX($A$5:$BP$257,MATCH(EW14,$BN$5:$BN$257,0),50)="Aço Inoxidável",('Densidade do AR'!$S$8*1000000),IF(INDEX($A$5:$BP$257,MATCH(EW14,$BN$5:$BN$257,0),50)="Ferro Fundido",('Densidade do AR'!$S$12*1000000),IF(INDEX($A$5:$BP$257,MATCH(EW14,$BN$5:$BN$257,0),50)="Latão",('Densidade do AR'!$S$10*1000000),IF(INDEX($A$5:$BP$257,MATCH(EW14,$BN$5:$BN$257,0),50)="Alumínio",('Densidade do AR'!$S$4*1000000)))))))-(((-('Densidade do AR'!$M$4))+('Densidade do AR'!$T$15*1000000))/('Densidade do AR'!$S$14*1000000))))))</f>
        <v>499995130.6687867</v>
      </c>
      <c r="FT14" s="739"/>
      <c r="FU14" s="739"/>
      <c r="FV14" s="745"/>
      <c r="FW14" s="91" t="str">
        <f t="shared" si="20"/>
        <v>a19</v>
      </c>
      <c r="FX14" s="135"/>
    </row>
    <row r="15" spans="1:180" x14ac:dyDescent="0.2">
      <c r="A15" s="1001">
        <v>11</v>
      </c>
      <c r="B15" s="907"/>
      <c r="C15" s="1046">
        <v>0.2</v>
      </c>
      <c r="D15" s="1047"/>
      <c r="E15" s="1047"/>
      <c r="F15" s="1047"/>
      <c r="G15" s="1048"/>
      <c r="H15" s="984" t="s">
        <v>309</v>
      </c>
      <c r="I15" s="906"/>
      <c r="J15" s="906"/>
      <c r="K15" s="907"/>
      <c r="L15" s="905" t="s">
        <v>111</v>
      </c>
      <c r="M15" s="906"/>
      <c r="N15" s="906"/>
      <c r="O15" s="907"/>
      <c r="P15" s="894" t="s">
        <v>308</v>
      </c>
      <c r="Q15" s="955"/>
      <c r="R15" s="955"/>
      <c r="S15" s="955"/>
      <c r="T15" s="956"/>
      <c r="U15" s="898" t="s">
        <v>299</v>
      </c>
      <c r="V15" s="715"/>
      <c r="W15" s="715"/>
      <c r="X15" s="715"/>
      <c r="Y15" s="715"/>
      <c r="Z15" s="715"/>
      <c r="AA15" s="716"/>
      <c r="AB15" s="850"/>
      <c r="AC15" s="851"/>
      <c r="AD15" s="851"/>
      <c r="AE15" s="851"/>
      <c r="AF15" s="851"/>
      <c r="AG15" s="851"/>
      <c r="AH15" s="851"/>
      <c r="AI15" s="851"/>
      <c r="AJ15" s="851"/>
      <c r="AK15" s="851"/>
      <c r="AL15" s="852"/>
      <c r="AM15" s="988">
        <v>200.01</v>
      </c>
      <c r="AN15" s="989"/>
      <c r="AO15" s="989"/>
      <c r="AP15" s="989"/>
      <c r="AQ15" s="989"/>
      <c r="AR15" s="989"/>
      <c r="AS15" s="990"/>
      <c r="AT15" s="988">
        <f t="shared" si="0"/>
        <v>9.9999999999909051E-3</v>
      </c>
      <c r="AU15" s="989"/>
      <c r="AV15" s="989"/>
      <c r="AW15" s="990"/>
      <c r="AX15" s="1003" t="s">
        <v>9</v>
      </c>
      <c r="AY15" s="950"/>
      <c r="AZ15" s="950"/>
      <c r="BA15" s="950"/>
      <c r="BB15" s="950"/>
      <c r="BC15" s="951"/>
      <c r="BD15" s="998">
        <v>0.02</v>
      </c>
      <c r="BE15" s="999"/>
      <c r="BF15" s="999"/>
      <c r="BG15" s="1000"/>
      <c r="BH15" s="1003">
        <v>2.09</v>
      </c>
      <c r="BI15" s="950"/>
      <c r="BJ15" s="950"/>
      <c r="BK15" s="950"/>
      <c r="BL15" s="1042"/>
      <c r="BN15" s="878">
        <v>11</v>
      </c>
      <c r="BO15" s="709"/>
      <c r="BP15" s="884"/>
      <c r="BT15" s="736">
        <v>45</v>
      </c>
      <c r="BU15" s="737"/>
      <c r="BV15" s="784">
        <f>IF(BT15="","-",(IF(INDEX($A$5:$BP$257,MATCH(BT15,$BN$5:$BN$257,0),50)="Aço Inoxidável",('Densidade do AR'!$S$8*1000000),IF(INDEX($A$5:$BP$257,MATCH(BT15,$BN$5:$BN$257,0),50)="Ferro Fundido",('Densidade do AR'!$S$12*1000000),IF(INDEX($A$5:$BP$257,MATCH(BT15,$BN$5:$BN$257,0),50)="Latão",('Densidade do AR'!$S$10*1000000),IF(INDEX($A$5:$BP$257,MATCH(BT15,$BN$5:$BN$257,0),50)="Alumínio",('Densidade do AR'!$S$4*1000000)))))))</f>
        <v>7700000000</v>
      </c>
      <c r="BW15" s="785"/>
      <c r="BX15" s="785"/>
      <c r="BY15" s="786"/>
      <c r="BZ15" s="787">
        <f t="shared" si="9"/>
        <v>1E+30</v>
      </c>
      <c r="CA15" s="788"/>
      <c r="CB15" s="788"/>
      <c r="CC15" s="817"/>
      <c r="CD15" s="818">
        <f t="shared" si="1"/>
        <v>5.062499999999998E-46</v>
      </c>
      <c r="CE15" s="788"/>
      <c r="CF15" s="788"/>
      <c r="CG15" s="817"/>
      <c r="CH15" s="784">
        <f t="shared" si="10"/>
        <v>0</v>
      </c>
      <c r="CI15" s="785"/>
      <c r="CJ15" s="785"/>
      <c r="CK15" s="786"/>
      <c r="CL15" s="790">
        <f t="shared" si="2"/>
        <v>150</v>
      </c>
      <c r="CM15" s="785"/>
      <c r="CN15" s="785"/>
      <c r="CO15" s="786"/>
      <c r="CP15" s="790">
        <f ca="1">IF(BT15="","-",INDEX($A$5:$BP$257,MATCH(BT15,$BN$5:$BN$257,0),39)*(IF(BT15="","-",(1+(((-('Densidade do AR'!$M$4))+('Densidade do AR'!$T$15*1000000))/(IF(INDEX($A$5:$BP$257,MATCH(BT15,$BN$5:$BN$257,0),50)="Aço Inoxidável",('Densidade do AR'!$S$8*1000000),IF(INDEX($A$5:$BP$257,MATCH(BT15,$BN$5:$BN$257,0),50)="Ferro Fundido",('Densidade do AR'!$S$12*1000000),IF(INDEX($A$5:$BP$257,MATCH(BT15,$BN$5:$BN$257,0),50)="Latão",('Densidade do AR'!$S$10*1000000),IF(INDEX($A$5:$BP$257,MATCH(BT15,$BN$5:$BN$257,0),50)="Alumínio",('Densidade do AR'!$S$4*1000000)))))))-(((-('Densidade do AR'!$M$4))+('Densidade do AR'!$T$15*1000000))/('Densidade do AR'!$S$14*1000000))))))</f>
        <v>20000005.226803735</v>
      </c>
      <c r="CQ15" s="785"/>
      <c r="CR15" s="785"/>
      <c r="CS15" s="791"/>
      <c r="CT15" s="91">
        <f t="shared" si="11"/>
        <v>11</v>
      </c>
      <c r="CU15" s="870"/>
      <c r="CV15" s="871"/>
      <c r="CW15" s="784" t="str">
        <f>IF(CU15="","-",(IF(INDEX($A$5:$BP$257,MATCH(CU15,$BN$5:$BN$257,0),50)="Aço Inoxidável",('Densidade do AR'!$S$8*1000000),IF(INDEX($A$5:$BP$257,MATCH(CU15,$BN$5:$BN$257,0),50)="Ferro Fundido",('Densidade do AR'!$S$12*1000000),IF(INDEX($A$5:$BP$257,MATCH(CU15,$BN$5:$BN$257,0),50)="Latão",('Densidade do AR'!$S$10*1000000),IF(INDEX($A$5:$BP$257,MATCH(CU15,$BN$5:$BN$257,0),50)="Alumínio",('Densidade do AR'!$S$4*1000000)))))))</f>
        <v>-</v>
      </c>
      <c r="CX15" s="785"/>
      <c r="CY15" s="785"/>
      <c r="CZ15" s="786"/>
      <c r="DA15" s="787" t="str">
        <f t="shared" si="12"/>
        <v>-</v>
      </c>
      <c r="DB15" s="788"/>
      <c r="DC15" s="788"/>
      <c r="DD15" s="817"/>
      <c r="DE15" s="818" t="str">
        <f t="shared" si="3"/>
        <v>-</v>
      </c>
      <c r="DF15" s="788"/>
      <c r="DG15" s="788"/>
      <c r="DH15" s="817"/>
      <c r="DI15" s="784" t="str">
        <f t="shared" si="13"/>
        <v>-</v>
      </c>
      <c r="DJ15" s="785"/>
      <c r="DK15" s="785"/>
      <c r="DL15" s="786"/>
      <c r="DM15" s="790" t="str">
        <f t="shared" si="4"/>
        <v>-</v>
      </c>
      <c r="DN15" s="785"/>
      <c r="DO15" s="785"/>
      <c r="DP15" s="786"/>
      <c r="DQ15" s="790" t="str">
        <f>IF(CU15="","-",INDEX($A$5:$BP$257,MATCH(CU15,$BN$5:$BN$257,0),39)*(IF(CU15="","-",(1+(((-('Densidade do AR'!$M$4))+('Densidade do AR'!$T$15*1000000))/(IF(INDEX($A$5:$BP$257,MATCH(CU15,$BN$5:$BN$257,0),50)="Aço Inoxidável",('Densidade do AR'!$S$8*1000000),IF(INDEX($A$5:$BP$257,MATCH(CU15,$BN$5:$BN$257,0),50)="Ferro Fundido",('Densidade do AR'!$S$12*1000000),IF(INDEX($A$5:$BP$257,MATCH(CU15,$BN$5:$BN$257,0),50)="Latão",('Densidade do AR'!$S$10*1000000),IF(INDEX($A$5:$BP$257,MATCH(CU15,$BN$5:$BN$257,0),50)="Alumínio",('Densidade do AR'!$S$4*1000000)))))))-(((-('Densidade do AR'!$M$4))+('Densidade do AR'!$T$15*1000000))/('Densidade do AR'!$S$14*1000000))))))</f>
        <v>-</v>
      </c>
      <c r="DR15" s="785"/>
      <c r="DS15" s="785"/>
      <c r="DT15" s="791"/>
      <c r="DU15" s="91" t="str">
        <f t="shared" si="14"/>
        <v>-</v>
      </c>
      <c r="DV15" s="870">
        <v>70</v>
      </c>
      <c r="DW15" s="871"/>
      <c r="DX15" s="784">
        <f>IF(DV15="","-",(IF(INDEX($A$5:$BP$257,MATCH(DV15,$BN$5:$BN$257,0),50)="Aço Inoxidável",('Densidade do AR'!$S$8*1000000),IF(INDEX($A$5:$BP$257,MATCH(DV15,$BN$5:$BN$257,0),50)="Ferro Fundido",('Densidade do AR'!$S$12*1000000),IF(INDEX($A$5:$BP$257,MATCH(DV15,$BN$5:$BN$257,0),50)="Latão",('Densidade do AR'!$S$10*1000000),IF(INDEX($A$5:$BP$257,MATCH(DV15,$BN$5:$BN$257,0),50)="Alumínio",('Densidade do AR'!$S$4*1000000)))))))</f>
        <v>7700000000</v>
      </c>
      <c r="DY15" s="785"/>
      <c r="DZ15" s="785"/>
      <c r="EA15" s="786"/>
      <c r="EB15" s="787">
        <f t="shared" si="15"/>
        <v>1E+30</v>
      </c>
      <c r="EC15" s="788"/>
      <c r="ED15" s="788"/>
      <c r="EE15" s="817"/>
      <c r="EF15" s="818">
        <f t="shared" si="5"/>
        <v>2.4414062500000009E-38</v>
      </c>
      <c r="EG15" s="788"/>
      <c r="EH15" s="788"/>
      <c r="EI15" s="817"/>
      <c r="EJ15" s="784">
        <f t="shared" si="16"/>
        <v>0</v>
      </c>
      <c r="EK15" s="785"/>
      <c r="EL15" s="785"/>
      <c r="EM15" s="786"/>
      <c r="EN15" s="790">
        <f t="shared" si="6"/>
        <v>12500</v>
      </c>
      <c r="EO15" s="785"/>
      <c r="EP15" s="785"/>
      <c r="EQ15" s="786"/>
      <c r="ER15" s="790">
        <f ca="1">IF(DV15="","-",INDEX($A$5:$BP$257,MATCH(DV15,$BN$5:$BN$257,0),39)*(IF(DV15="","-",(1+(((-('Densidade do AR'!$M$4))+('Densidade do AR'!$T$15*1000000))/(IF(INDEX($A$5:$BP$257,MATCH(DV15,$BN$5:$BN$257,0),50)="Aço Inoxidável",('Densidade do AR'!$S$8*1000000),IF(INDEX($A$5:$BP$257,MATCH(DV15,$BN$5:$BN$257,0),50)="Ferro Fundido",('Densidade do AR'!$S$12*1000000),IF(INDEX($A$5:$BP$257,MATCH(DV15,$BN$5:$BN$257,0),50)="Latão",('Densidade do AR'!$S$10*1000000),IF(INDEX($A$5:$BP$257,MATCH(DV15,$BN$5:$BN$257,0),50)="Alumínio",('Densidade do AR'!$S$4*1000000)))))))-(((-('Densidade do AR'!$M$4))+('Densidade do AR'!$T$15*1000000))/('Densidade do AR'!$S$14*1000000))))))</f>
        <v>500000130.67009342</v>
      </c>
      <c r="ES15" s="785"/>
      <c r="ET15" s="785"/>
      <c r="EU15" s="791"/>
      <c r="EV15" s="91" t="str">
        <f t="shared" si="17"/>
        <v>a21</v>
      </c>
      <c r="EW15" s="870">
        <v>70</v>
      </c>
      <c r="EX15" s="871"/>
      <c r="EY15" s="784">
        <f>IF(EW15="","-",(IF(INDEX($A$5:$BP$257,MATCH(EW15,$BN$5:$BN$257,0),50)="Aço Inoxidável",('Densidade do AR'!$S$8*1000000),IF(INDEX($A$5:$BP$257,MATCH(EW15,$BN$5:$BN$257,0),50)="Ferro Fundido",('Densidade do AR'!$S$12*1000000),IF(INDEX($A$5:$BP$257,MATCH(EW15,$BN$5:$BN$257,0),50)="Latão",('Densidade do AR'!$S$10*1000000),IF(INDEX($A$5:$BP$257,MATCH(EW15,$BN$5:$BN$257,0),50)="Alumínio",('Densidade do AR'!$S$4*1000000)))))))</f>
        <v>7700000000</v>
      </c>
      <c r="EZ15" s="785"/>
      <c r="FA15" s="785"/>
      <c r="FB15" s="786"/>
      <c r="FC15" s="787">
        <f t="shared" si="18"/>
        <v>1E+30</v>
      </c>
      <c r="FD15" s="788"/>
      <c r="FE15" s="788"/>
      <c r="FF15" s="817"/>
      <c r="FG15" s="818">
        <f t="shared" si="7"/>
        <v>2.4414062500000009E-38</v>
      </c>
      <c r="FH15" s="788"/>
      <c r="FI15" s="788"/>
      <c r="FJ15" s="817"/>
      <c r="FK15" s="784">
        <f t="shared" si="19"/>
        <v>0</v>
      </c>
      <c r="FL15" s="785"/>
      <c r="FM15" s="785"/>
      <c r="FN15" s="786"/>
      <c r="FO15" s="790">
        <f t="shared" si="8"/>
        <v>12500</v>
      </c>
      <c r="FP15" s="785"/>
      <c r="FQ15" s="785"/>
      <c r="FR15" s="786"/>
      <c r="FS15" s="790">
        <f ca="1">IF(EW15="","-",INDEX($A$5:$BP$257,MATCH(EW15,$BN$5:$BN$257,0),39)*(IF(EW15="","-",(1+(((-('Densidade do AR'!$M$4))+('Densidade do AR'!$T$15*1000000))/(IF(INDEX($A$5:$BP$257,MATCH(EW15,$BN$5:$BN$257,0),50)="Aço Inoxidável",('Densidade do AR'!$S$8*1000000),IF(INDEX($A$5:$BP$257,MATCH(EW15,$BN$5:$BN$257,0),50)="Ferro Fundido",('Densidade do AR'!$S$12*1000000),IF(INDEX($A$5:$BP$257,MATCH(EW15,$BN$5:$BN$257,0),50)="Latão",('Densidade do AR'!$S$10*1000000),IF(INDEX($A$5:$BP$257,MATCH(EW15,$BN$5:$BN$257,0),50)="Alumínio",('Densidade do AR'!$S$4*1000000)))))))-(((-('Densidade do AR'!$M$4))+('Densidade do AR'!$T$15*1000000))/('Densidade do AR'!$S$14*1000000))))))</f>
        <v>500000130.67009342</v>
      </c>
      <c r="FT15" s="785"/>
      <c r="FU15" s="785"/>
      <c r="FV15" s="791"/>
      <c r="FW15" s="91" t="str">
        <f t="shared" si="20"/>
        <v>a21</v>
      </c>
      <c r="FX15" s="135"/>
    </row>
    <row r="16" spans="1:180" x14ac:dyDescent="0.2">
      <c r="A16" s="1002">
        <v>12</v>
      </c>
      <c r="B16" s="904"/>
      <c r="C16" s="1043">
        <v>0.5</v>
      </c>
      <c r="D16" s="1044"/>
      <c r="E16" s="1044"/>
      <c r="F16" s="1044"/>
      <c r="G16" s="1045"/>
      <c r="H16" s="902" t="s">
        <v>11</v>
      </c>
      <c r="I16" s="903"/>
      <c r="J16" s="903"/>
      <c r="K16" s="904"/>
      <c r="L16" s="902" t="s">
        <v>111</v>
      </c>
      <c r="M16" s="903"/>
      <c r="N16" s="903"/>
      <c r="O16" s="904"/>
      <c r="P16" s="891" t="s">
        <v>308</v>
      </c>
      <c r="Q16" s="967"/>
      <c r="R16" s="967"/>
      <c r="S16" s="967"/>
      <c r="T16" s="968"/>
      <c r="U16" s="897" t="s">
        <v>299</v>
      </c>
      <c r="V16" s="722"/>
      <c r="W16" s="722"/>
      <c r="X16" s="722"/>
      <c r="Y16" s="722"/>
      <c r="Z16" s="722"/>
      <c r="AA16" s="723"/>
      <c r="AB16" s="853"/>
      <c r="AC16" s="854"/>
      <c r="AD16" s="854"/>
      <c r="AE16" s="854"/>
      <c r="AF16" s="854"/>
      <c r="AG16" s="854"/>
      <c r="AH16" s="854"/>
      <c r="AI16" s="854"/>
      <c r="AJ16" s="854"/>
      <c r="AK16" s="854"/>
      <c r="AL16" s="855"/>
      <c r="AM16" s="1004">
        <v>500.01</v>
      </c>
      <c r="AN16" s="1005"/>
      <c r="AO16" s="1005"/>
      <c r="AP16" s="1005"/>
      <c r="AQ16" s="1005"/>
      <c r="AR16" s="1005"/>
      <c r="AS16" s="1006"/>
      <c r="AT16" s="1004">
        <f>AM16-C16*1000</f>
        <v>9.9999999999909051E-3</v>
      </c>
      <c r="AU16" s="1005"/>
      <c r="AV16" s="1005"/>
      <c r="AW16" s="1006"/>
      <c r="AX16" s="1007" t="s">
        <v>9</v>
      </c>
      <c r="AY16" s="953"/>
      <c r="AZ16" s="953"/>
      <c r="BA16" s="953"/>
      <c r="BB16" s="953"/>
      <c r="BC16" s="954"/>
      <c r="BD16" s="946">
        <v>0.03</v>
      </c>
      <c r="BE16" s="947"/>
      <c r="BF16" s="947"/>
      <c r="BG16" s="948"/>
      <c r="BH16" s="1007">
        <v>2.0499999999999998</v>
      </c>
      <c r="BI16" s="953"/>
      <c r="BJ16" s="953"/>
      <c r="BK16" s="953"/>
      <c r="BL16" s="1008"/>
      <c r="BN16" s="881">
        <v>12</v>
      </c>
      <c r="BO16" s="709"/>
      <c r="BP16" s="884"/>
      <c r="BT16" s="736">
        <v>46</v>
      </c>
      <c r="BU16" s="737"/>
      <c r="BV16" s="738">
        <f>IF(BT16="","-",(IF(INDEX($A$5:$BP$257,MATCH(BT16,$BN$5:$BN$257,0),50)="Aço Inoxidável",('Densidade do AR'!$S$8*1000000),IF(INDEX($A$5:$BP$257,MATCH(BT16,$BN$5:$BN$257,0),50)="Ferro Fundido",('Densidade do AR'!$S$12*1000000),IF(INDEX($A$5:$BP$257,MATCH(BT16,$BN$5:$BN$257,0),50)="Latão",('Densidade do AR'!$S$10*1000000),IF(INDEX($A$5:$BP$257,MATCH(BT16,$BN$5:$BN$257,0),50)="Alumínio",('Densidade do AR'!$S$4*1000000)))))))</f>
        <v>7700000000</v>
      </c>
      <c r="BW16" s="739"/>
      <c r="BX16" s="739"/>
      <c r="BY16" s="740"/>
      <c r="BZ16" s="741">
        <f t="shared" si="9"/>
        <v>1E+30</v>
      </c>
      <c r="CA16" s="742"/>
      <c r="CB16" s="742"/>
      <c r="CC16" s="743"/>
      <c r="CD16" s="741">
        <f t="shared" si="1"/>
        <v>5.062499999999998E-46</v>
      </c>
      <c r="CE16" s="742"/>
      <c r="CF16" s="742"/>
      <c r="CG16" s="743"/>
      <c r="CH16" s="744">
        <f t="shared" si="10"/>
        <v>0</v>
      </c>
      <c r="CI16" s="739"/>
      <c r="CJ16" s="739"/>
      <c r="CK16" s="740"/>
      <c r="CL16" s="744">
        <f t="shared" si="2"/>
        <v>150</v>
      </c>
      <c r="CM16" s="739"/>
      <c r="CN16" s="739"/>
      <c r="CO16" s="740"/>
      <c r="CP16" s="744">
        <f ca="1">IF(BT16="","-",INDEX($A$5:$BP$257,MATCH(BT16,$BN$5:$BN$257,0),39)*(IF(BT16="","-",(1+(((-('Densidade do AR'!$M$4))+('Densidade do AR'!$T$15*1000000))/(IF(INDEX($A$5:$BP$257,MATCH(BT16,$BN$5:$BN$257,0),50)="Aço Inoxidável",('Densidade do AR'!$S$8*1000000),IF(INDEX($A$5:$BP$257,MATCH(BT16,$BN$5:$BN$257,0),50)="Ferro Fundido",('Densidade do AR'!$S$12*1000000),IF(INDEX($A$5:$BP$257,MATCH(BT16,$BN$5:$BN$257,0),50)="Latão",('Densidade do AR'!$S$10*1000000),IF(INDEX($A$5:$BP$257,MATCH(BT16,$BN$5:$BN$257,0),50)="Alumínio",('Densidade do AR'!$S$4*1000000)))))))-(((-('Densidade do AR'!$M$4))+('Densidade do AR'!$T$15*1000000))/('Densidade do AR'!$S$14*1000000))))))</f>
        <v>20000005.226803735</v>
      </c>
      <c r="CQ16" s="739"/>
      <c r="CR16" s="739"/>
      <c r="CS16" s="745"/>
      <c r="CT16" s="91">
        <f t="shared" si="11"/>
        <v>12</v>
      </c>
      <c r="CU16" s="870"/>
      <c r="CV16" s="871"/>
      <c r="CW16" s="738" t="str">
        <f>IF(CU16="","-",(IF(INDEX($A$5:$BP$257,MATCH(CU16,$BN$5:$BN$257,0),50)="Aço Inoxidável",('Densidade do AR'!$S$8*1000000),IF(INDEX($A$5:$BP$257,MATCH(CU16,$BN$5:$BN$257,0),50)="Ferro Fundido",('Densidade do AR'!$S$12*1000000),IF(INDEX($A$5:$BP$257,MATCH(CU16,$BN$5:$BN$257,0),50)="Latão",('Densidade do AR'!$S$10*1000000),IF(INDEX($A$5:$BP$257,MATCH(CU16,$BN$5:$BN$257,0),50)="Alumínio",('Densidade do AR'!$S$4*1000000)))))))</f>
        <v>-</v>
      </c>
      <c r="CX16" s="739"/>
      <c r="CY16" s="739"/>
      <c r="CZ16" s="740"/>
      <c r="DA16" s="741" t="str">
        <f t="shared" si="12"/>
        <v>-</v>
      </c>
      <c r="DB16" s="742"/>
      <c r="DC16" s="742"/>
      <c r="DD16" s="743"/>
      <c r="DE16" s="741" t="str">
        <f t="shared" si="3"/>
        <v>-</v>
      </c>
      <c r="DF16" s="742"/>
      <c r="DG16" s="742"/>
      <c r="DH16" s="743"/>
      <c r="DI16" s="744" t="str">
        <f t="shared" si="13"/>
        <v>-</v>
      </c>
      <c r="DJ16" s="739"/>
      <c r="DK16" s="739"/>
      <c r="DL16" s="740"/>
      <c r="DM16" s="744" t="str">
        <f t="shared" si="4"/>
        <v>-</v>
      </c>
      <c r="DN16" s="739"/>
      <c r="DO16" s="739"/>
      <c r="DP16" s="740"/>
      <c r="DQ16" s="744" t="str">
        <f>IF(CU16="","-",INDEX($A$5:$BP$257,MATCH(CU16,$BN$5:$BN$257,0),39)*(IF(CU16="","-",(1+(((-('Densidade do AR'!$M$4))+('Densidade do AR'!$T$15*1000000))/(IF(INDEX($A$5:$BP$257,MATCH(CU16,$BN$5:$BN$257,0),50)="Aço Inoxidável",('Densidade do AR'!$S$8*1000000),IF(INDEX($A$5:$BP$257,MATCH(CU16,$BN$5:$BN$257,0),50)="Ferro Fundido",('Densidade do AR'!$S$12*1000000),IF(INDEX($A$5:$BP$257,MATCH(CU16,$BN$5:$BN$257,0),50)="Latão",('Densidade do AR'!$S$10*1000000),IF(INDEX($A$5:$BP$257,MATCH(CU16,$BN$5:$BN$257,0),50)="Alumínio",('Densidade do AR'!$S$4*1000000)))))))-(((-('Densidade do AR'!$M$4))+('Densidade do AR'!$T$15*1000000))/('Densidade do AR'!$S$14*1000000))))))</f>
        <v>-</v>
      </c>
      <c r="DR16" s="739"/>
      <c r="DS16" s="739"/>
      <c r="DT16" s="745"/>
      <c r="DU16" s="91" t="str">
        <f t="shared" si="14"/>
        <v>-</v>
      </c>
      <c r="DV16" s="736">
        <v>71</v>
      </c>
      <c r="DW16" s="737"/>
      <c r="DX16" s="738">
        <f>IF(DV16="","-",(IF(INDEX($A$5:$BP$257,MATCH(DV16,$BN$5:$BN$257,0),50)="Aço Inoxidável",('Densidade do AR'!$S$8*1000000),IF(INDEX($A$5:$BP$257,MATCH(DV16,$BN$5:$BN$257,0),50)="Ferro Fundido",('Densidade do AR'!$S$12*1000000),IF(INDEX($A$5:$BP$257,MATCH(DV16,$BN$5:$BN$257,0),50)="Latão",('Densidade do AR'!$S$10*1000000),IF(INDEX($A$5:$BP$257,MATCH(DV16,$BN$5:$BN$257,0),50)="Alumínio",('Densidade do AR'!$S$4*1000000)))))))</f>
        <v>7700000000</v>
      </c>
      <c r="DY16" s="739"/>
      <c r="DZ16" s="739"/>
      <c r="EA16" s="740"/>
      <c r="EB16" s="741">
        <f t="shared" si="15"/>
        <v>1E+30</v>
      </c>
      <c r="EC16" s="742"/>
      <c r="ED16" s="742"/>
      <c r="EE16" s="743"/>
      <c r="EF16" s="741">
        <f t="shared" si="5"/>
        <v>2.4414062500000009E-38</v>
      </c>
      <c r="EG16" s="742"/>
      <c r="EH16" s="742"/>
      <c r="EI16" s="743"/>
      <c r="EJ16" s="744">
        <f t="shared" si="16"/>
        <v>0</v>
      </c>
      <c r="EK16" s="739"/>
      <c r="EL16" s="739"/>
      <c r="EM16" s="740"/>
      <c r="EN16" s="744">
        <f t="shared" si="6"/>
        <v>12500</v>
      </c>
      <c r="EO16" s="739"/>
      <c r="EP16" s="739"/>
      <c r="EQ16" s="740"/>
      <c r="ER16" s="744">
        <f ca="1">IF(DV16="","-",INDEX($A$5:$BP$257,MATCH(DV16,$BN$5:$BN$257,0),39)*(IF(DV16="","-",(1+(((-('Densidade do AR'!$M$4))+('Densidade do AR'!$T$15*1000000))/(IF(INDEX($A$5:$BP$257,MATCH(DV16,$BN$5:$BN$257,0),50)="Aço Inoxidável",('Densidade do AR'!$S$8*1000000),IF(INDEX($A$5:$BP$257,MATCH(DV16,$BN$5:$BN$257,0),50)="Ferro Fundido",('Densidade do AR'!$S$12*1000000),IF(INDEX($A$5:$BP$257,MATCH(DV16,$BN$5:$BN$257,0),50)="Latão",('Densidade do AR'!$S$10*1000000),IF(INDEX($A$5:$BP$257,MATCH(DV16,$BN$5:$BN$257,0),50)="Alumínio",('Densidade do AR'!$S$4*1000000)))))))-(((-('Densidade do AR'!$M$4))+('Densidade do AR'!$T$15*1000000))/('Densidade do AR'!$S$14*1000000))))))</f>
        <v>500005130.67140013</v>
      </c>
      <c r="ES16" s="739"/>
      <c r="ET16" s="739"/>
      <c r="EU16" s="745"/>
      <c r="EV16" s="91" t="str">
        <f t="shared" si="17"/>
        <v>a24</v>
      </c>
      <c r="EW16" s="736">
        <v>71</v>
      </c>
      <c r="EX16" s="737"/>
      <c r="EY16" s="738">
        <f>IF(EW16="","-",(IF(INDEX($A$5:$BP$257,MATCH(EW16,$BN$5:$BN$257,0),50)="Aço Inoxidável",('Densidade do AR'!$S$8*1000000),IF(INDEX($A$5:$BP$257,MATCH(EW16,$BN$5:$BN$257,0),50)="Ferro Fundido",('Densidade do AR'!$S$12*1000000),IF(INDEX($A$5:$BP$257,MATCH(EW16,$BN$5:$BN$257,0),50)="Latão",('Densidade do AR'!$S$10*1000000),IF(INDEX($A$5:$BP$257,MATCH(EW16,$BN$5:$BN$257,0),50)="Alumínio",('Densidade do AR'!$S$4*1000000)))))))</f>
        <v>7700000000</v>
      </c>
      <c r="EZ16" s="739"/>
      <c r="FA16" s="739"/>
      <c r="FB16" s="740"/>
      <c r="FC16" s="741">
        <f t="shared" si="18"/>
        <v>1E+30</v>
      </c>
      <c r="FD16" s="742"/>
      <c r="FE16" s="742"/>
      <c r="FF16" s="743"/>
      <c r="FG16" s="741">
        <f t="shared" si="7"/>
        <v>2.4414062500000009E-38</v>
      </c>
      <c r="FH16" s="742"/>
      <c r="FI16" s="742"/>
      <c r="FJ16" s="743"/>
      <c r="FK16" s="744">
        <f t="shared" si="19"/>
        <v>0</v>
      </c>
      <c r="FL16" s="739"/>
      <c r="FM16" s="739"/>
      <c r="FN16" s="740"/>
      <c r="FO16" s="744">
        <f t="shared" si="8"/>
        <v>12500</v>
      </c>
      <c r="FP16" s="739"/>
      <c r="FQ16" s="739"/>
      <c r="FR16" s="740"/>
      <c r="FS16" s="744">
        <f ca="1">IF(EW16="","-",INDEX($A$5:$BP$257,MATCH(EW16,$BN$5:$BN$257,0),39)*(IF(EW16="","-",(1+(((-('Densidade do AR'!$M$4))+('Densidade do AR'!$T$15*1000000))/(IF(INDEX($A$5:$BP$257,MATCH(EW16,$BN$5:$BN$257,0),50)="Aço Inoxidável",('Densidade do AR'!$S$8*1000000),IF(INDEX($A$5:$BP$257,MATCH(EW16,$BN$5:$BN$257,0),50)="Ferro Fundido",('Densidade do AR'!$S$12*1000000),IF(INDEX($A$5:$BP$257,MATCH(EW16,$BN$5:$BN$257,0),50)="Latão",('Densidade do AR'!$S$10*1000000),IF(INDEX($A$5:$BP$257,MATCH(EW16,$BN$5:$BN$257,0),50)="Alumínio",('Densidade do AR'!$S$4*1000000)))))))-(((-('Densidade do AR'!$M$4))+('Densidade do AR'!$T$15*1000000))/('Densidade do AR'!$S$14*1000000))))))</f>
        <v>500005130.67140013</v>
      </c>
      <c r="FT16" s="739"/>
      <c r="FU16" s="739"/>
      <c r="FV16" s="745"/>
      <c r="FW16" s="91" t="str">
        <f t="shared" si="20"/>
        <v>a24</v>
      </c>
      <c r="FX16" s="135"/>
    </row>
    <row r="17" spans="1:180" x14ac:dyDescent="0.2">
      <c r="A17" s="1001">
        <v>13</v>
      </c>
      <c r="B17" s="907"/>
      <c r="C17" s="957">
        <v>1</v>
      </c>
      <c r="D17" s="955"/>
      <c r="E17" s="955"/>
      <c r="F17" s="955"/>
      <c r="G17" s="956"/>
      <c r="H17" s="905">
        <v>1</v>
      </c>
      <c r="I17" s="906"/>
      <c r="J17" s="906"/>
      <c r="K17" s="907"/>
      <c r="L17" s="905" t="s">
        <v>111</v>
      </c>
      <c r="M17" s="906"/>
      <c r="N17" s="906"/>
      <c r="O17" s="907"/>
      <c r="P17" s="894" t="s">
        <v>308</v>
      </c>
      <c r="Q17" s="955"/>
      <c r="R17" s="955"/>
      <c r="S17" s="955"/>
      <c r="T17" s="956"/>
      <c r="U17" s="898" t="s">
        <v>302</v>
      </c>
      <c r="V17" s="715"/>
      <c r="W17" s="715"/>
      <c r="X17" s="715"/>
      <c r="Y17" s="715"/>
      <c r="Z17" s="715"/>
      <c r="AA17" s="716"/>
      <c r="AB17" s="850"/>
      <c r="AC17" s="851"/>
      <c r="AD17" s="851"/>
      <c r="AE17" s="851"/>
      <c r="AF17" s="851"/>
      <c r="AG17" s="851"/>
      <c r="AH17" s="851"/>
      <c r="AI17" s="851"/>
      <c r="AJ17" s="851"/>
      <c r="AK17" s="851"/>
      <c r="AL17" s="852"/>
      <c r="AM17" s="988">
        <v>1000.01</v>
      </c>
      <c r="AN17" s="989"/>
      <c r="AO17" s="989"/>
      <c r="AP17" s="989"/>
      <c r="AQ17" s="989"/>
      <c r="AR17" s="989"/>
      <c r="AS17" s="990"/>
      <c r="AT17" s="988">
        <f t="shared" si="0"/>
        <v>9.9999999999909051E-3</v>
      </c>
      <c r="AU17" s="989"/>
      <c r="AV17" s="989"/>
      <c r="AW17" s="990"/>
      <c r="AX17" s="1003" t="s">
        <v>9</v>
      </c>
      <c r="AY17" s="950"/>
      <c r="AZ17" s="950"/>
      <c r="BA17" s="950"/>
      <c r="BB17" s="950"/>
      <c r="BC17" s="951"/>
      <c r="BD17" s="998">
        <v>0.03</v>
      </c>
      <c r="BE17" s="999"/>
      <c r="BF17" s="999"/>
      <c r="BG17" s="1000"/>
      <c r="BH17" s="1003">
        <v>2.0299999999999998</v>
      </c>
      <c r="BI17" s="950"/>
      <c r="BJ17" s="950"/>
      <c r="BK17" s="950"/>
      <c r="BL17" s="1042"/>
      <c r="BN17" s="878">
        <v>13</v>
      </c>
      <c r="BO17" s="709"/>
      <c r="BP17" s="884"/>
      <c r="BT17" s="736">
        <v>47</v>
      </c>
      <c r="BU17" s="737"/>
      <c r="BV17" s="784">
        <f>IF(BT17="","-",(IF(INDEX($A$5:$BP$257,MATCH(BT17,$BN$5:$BN$257,0),50)="Aço Inoxidável",('Densidade do AR'!$S$8*1000000),IF(INDEX($A$5:$BP$257,MATCH(BT17,$BN$5:$BN$257,0),50)="Ferro Fundido",('Densidade do AR'!$S$12*1000000),IF(INDEX($A$5:$BP$257,MATCH(BT17,$BN$5:$BN$257,0),50)="Latão",('Densidade do AR'!$S$10*1000000),IF(INDEX($A$5:$BP$257,MATCH(BT17,$BN$5:$BN$257,0),50)="Alumínio",('Densidade do AR'!$S$4*1000000)))))))</f>
        <v>7700000000</v>
      </c>
      <c r="BW17" s="785"/>
      <c r="BX17" s="785"/>
      <c r="BY17" s="786"/>
      <c r="BZ17" s="787">
        <f t="shared" si="9"/>
        <v>1E+30</v>
      </c>
      <c r="CA17" s="788"/>
      <c r="CB17" s="788"/>
      <c r="CC17" s="789"/>
      <c r="CD17" s="787">
        <f t="shared" si="1"/>
        <v>5.062499999999998E-46</v>
      </c>
      <c r="CE17" s="788"/>
      <c r="CF17" s="788"/>
      <c r="CG17" s="789"/>
      <c r="CH17" s="790">
        <f t="shared" si="10"/>
        <v>0</v>
      </c>
      <c r="CI17" s="785"/>
      <c r="CJ17" s="785"/>
      <c r="CK17" s="786"/>
      <c r="CL17" s="790">
        <f t="shared" si="2"/>
        <v>150</v>
      </c>
      <c r="CM17" s="785"/>
      <c r="CN17" s="785"/>
      <c r="CO17" s="786"/>
      <c r="CP17" s="790">
        <f ca="1">IF(BT17="","-",INDEX($A$5:$BP$257,MATCH(BT17,$BN$5:$BN$257,0),39)*(IF(BT17="","-",(1+(((-('Densidade do AR'!$M$4))+('Densidade do AR'!$T$15*1000000))/(IF(INDEX($A$5:$BP$257,MATCH(BT17,$BN$5:$BN$257,0),50)="Aço Inoxidável",('Densidade do AR'!$S$8*1000000),IF(INDEX($A$5:$BP$257,MATCH(BT17,$BN$5:$BN$257,0),50)="Ferro Fundido",('Densidade do AR'!$S$12*1000000),IF(INDEX($A$5:$BP$257,MATCH(BT17,$BN$5:$BN$257,0),50)="Latão",('Densidade do AR'!$S$10*1000000),IF(INDEX($A$5:$BP$257,MATCH(BT17,$BN$5:$BN$257,0),50)="Alumínio",('Densidade do AR'!$S$4*1000000)))))))-(((-('Densidade do AR'!$M$4))+('Densidade do AR'!$T$15*1000000))/('Densidade do AR'!$S$14*1000000))))))</f>
        <v>20000005.226803735</v>
      </c>
      <c r="CQ17" s="785"/>
      <c r="CR17" s="785"/>
      <c r="CS17" s="791"/>
      <c r="CT17" s="91">
        <f t="shared" si="11"/>
        <v>13</v>
      </c>
      <c r="CU17" s="736"/>
      <c r="CV17" s="737"/>
      <c r="CW17" s="784" t="str">
        <f>IF(CU17="","-",(IF(INDEX($A$5:$BP$257,MATCH(CU17,$BN$5:$BN$257,0),50)="Aço Inoxidável",('Densidade do AR'!$S$8*1000000),IF(INDEX($A$5:$BP$257,MATCH(CU17,$BN$5:$BN$257,0),50)="Ferro Fundido",('Densidade do AR'!$S$12*1000000),IF(INDEX($A$5:$BP$257,MATCH(CU17,$BN$5:$BN$257,0),50)="Latão",('Densidade do AR'!$S$10*1000000),IF(INDEX($A$5:$BP$257,MATCH(CU17,$BN$5:$BN$257,0),50)="Alumínio",('Densidade do AR'!$S$4*1000000)))))))</f>
        <v>-</v>
      </c>
      <c r="CX17" s="785"/>
      <c r="CY17" s="785"/>
      <c r="CZ17" s="786"/>
      <c r="DA17" s="787" t="str">
        <f t="shared" si="12"/>
        <v>-</v>
      </c>
      <c r="DB17" s="788"/>
      <c r="DC17" s="788"/>
      <c r="DD17" s="789"/>
      <c r="DE17" s="787" t="str">
        <f t="shared" si="3"/>
        <v>-</v>
      </c>
      <c r="DF17" s="788"/>
      <c r="DG17" s="788"/>
      <c r="DH17" s="789"/>
      <c r="DI17" s="790" t="str">
        <f t="shared" si="13"/>
        <v>-</v>
      </c>
      <c r="DJ17" s="785"/>
      <c r="DK17" s="785"/>
      <c r="DL17" s="786"/>
      <c r="DM17" s="790" t="str">
        <f t="shared" si="4"/>
        <v>-</v>
      </c>
      <c r="DN17" s="785"/>
      <c r="DO17" s="785"/>
      <c r="DP17" s="786"/>
      <c r="DQ17" s="790" t="str">
        <f>IF(CU17="","-",INDEX($A$5:$BP$257,MATCH(CU17,$BN$5:$BN$257,0),39)*(IF(CU17="","-",(1+(((-('Densidade do AR'!$M$4))+('Densidade do AR'!$T$15*1000000))/(IF(INDEX($A$5:$BP$257,MATCH(CU17,$BN$5:$BN$257,0),50)="Aço Inoxidável",('Densidade do AR'!$S$8*1000000),IF(INDEX($A$5:$BP$257,MATCH(CU17,$BN$5:$BN$257,0),50)="Ferro Fundido",('Densidade do AR'!$S$12*1000000),IF(INDEX($A$5:$BP$257,MATCH(CU17,$BN$5:$BN$257,0),50)="Latão",('Densidade do AR'!$S$10*1000000),IF(INDEX($A$5:$BP$257,MATCH(CU17,$BN$5:$BN$257,0),50)="Alumínio",('Densidade do AR'!$S$4*1000000)))))))-(((-('Densidade do AR'!$M$4))+('Densidade do AR'!$T$15*1000000))/('Densidade do AR'!$S$14*1000000))))))</f>
        <v>-</v>
      </c>
      <c r="DR17" s="785"/>
      <c r="DS17" s="785"/>
      <c r="DT17" s="791"/>
      <c r="DU17" s="91" t="str">
        <f t="shared" si="14"/>
        <v>-</v>
      </c>
      <c r="DV17" s="870">
        <v>72</v>
      </c>
      <c r="DW17" s="871"/>
      <c r="DX17" s="784">
        <f>IF(DV17="","-",(IF(INDEX($A$5:$BP$257,MATCH(DV17,$BN$5:$BN$257,0),50)="Aço Inoxidável",('Densidade do AR'!$S$8*1000000),IF(INDEX($A$5:$BP$257,MATCH(DV17,$BN$5:$BN$257,0),50)="Ferro Fundido",('Densidade do AR'!$S$12*1000000),IF(INDEX($A$5:$BP$257,MATCH(DV17,$BN$5:$BN$257,0),50)="Latão",('Densidade do AR'!$S$10*1000000),IF(INDEX($A$5:$BP$257,MATCH(DV17,$BN$5:$BN$257,0),50)="Alumínio",('Densidade do AR'!$S$4*1000000)))))))</f>
        <v>7700000000</v>
      </c>
      <c r="DY17" s="785"/>
      <c r="DZ17" s="785"/>
      <c r="EA17" s="786"/>
      <c r="EB17" s="787">
        <f t="shared" si="15"/>
        <v>1E+30</v>
      </c>
      <c r="EC17" s="788"/>
      <c r="ED17" s="788"/>
      <c r="EE17" s="789"/>
      <c r="EF17" s="787">
        <f t="shared" si="5"/>
        <v>2.4414062500000009E-38</v>
      </c>
      <c r="EG17" s="788"/>
      <c r="EH17" s="788"/>
      <c r="EI17" s="789"/>
      <c r="EJ17" s="790">
        <f t="shared" si="16"/>
        <v>0</v>
      </c>
      <c r="EK17" s="785"/>
      <c r="EL17" s="785"/>
      <c r="EM17" s="786"/>
      <c r="EN17" s="790">
        <f t="shared" si="6"/>
        <v>12500</v>
      </c>
      <c r="EO17" s="785"/>
      <c r="EP17" s="785"/>
      <c r="EQ17" s="786"/>
      <c r="ER17" s="790">
        <f ca="1">IF(DV17="","-",INDEX($A$5:$BP$257,MATCH(DV17,$BN$5:$BN$257,0),39)*(IF(DV17="","-",(1+(((-('Densidade do AR'!$M$4))+('Densidade do AR'!$T$15*1000000))/(IF(INDEX($A$5:$BP$257,MATCH(DV17,$BN$5:$BN$257,0),50)="Aço Inoxidável",('Densidade do AR'!$S$8*1000000),IF(INDEX($A$5:$BP$257,MATCH(DV17,$BN$5:$BN$257,0),50)="Ferro Fundido",('Densidade do AR'!$S$12*1000000),IF(INDEX($A$5:$BP$257,MATCH(DV17,$BN$5:$BN$257,0),50)="Latão",('Densidade do AR'!$S$10*1000000),IF(INDEX($A$5:$BP$257,MATCH(DV17,$BN$5:$BN$257,0),50)="Alumínio",('Densidade do AR'!$S$4*1000000)))))))-(((-('Densidade do AR'!$M$4))+('Densidade do AR'!$T$15*1000000))/('Densidade do AR'!$S$14*1000000))))))</f>
        <v>500000130.67009342</v>
      </c>
      <c r="ES17" s="785"/>
      <c r="ET17" s="785"/>
      <c r="EU17" s="791"/>
      <c r="EV17" s="91" t="str">
        <f t="shared" si="17"/>
        <v>a25</v>
      </c>
      <c r="EW17" s="870">
        <v>72</v>
      </c>
      <c r="EX17" s="871"/>
      <c r="EY17" s="784">
        <f>IF(EW17="","-",(IF(INDEX($A$5:$BP$257,MATCH(EW17,$BN$5:$BN$257,0),50)="Aço Inoxidável",('Densidade do AR'!$S$8*1000000),IF(INDEX($A$5:$BP$257,MATCH(EW17,$BN$5:$BN$257,0),50)="Ferro Fundido",('Densidade do AR'!$S$12*1000000),IF(INDEX($A$5:$BP$257,MATCH(EW17,$BN$5:$BN$257,0),50)="Latão",('Densidade do AR'!$S$10*1000000),IF(INDEX($A$5:$BP$257,MATCH(EW17,$BN$5:$BN$257,0),50)="Alumínio",('Densidade do AR'!$S$4*1000000)))))))</f>
        <v>7700000000</v>
      </c>
      <c r="EZ17" s="785"/>
      <c r="FA17" s="785"/>
      <c r="FB17" s="786"/>
      <c r="FC17" s="787">
        <f t="shared" si="18"/>
        <v>1E+30</v>
      </c>
      <c r="FD17" s="788"/>
      <c r="FE17" s="788"/>
      <c r="FF17" s="789"/>
      <c r="FG17" s="787">
        <f t="shared" si="7"/>
        <v>2.4414062500000009E-38</v>
      </c>
      <c r="FH17" s="788"/>
      <c r="FI17" s="788"/>
      <c r="FJ17" s="789"/>
      <c r="FK17" s="790">
        <f t="shared" si="19"/>
        <v>0</v>
      </c>
      <c r="FL17" s="785"/>
      <c r="FM17" s="785"/>
      <c r="FN17" s="786"/>
      <c r="FO17" s="790">
        <f t="shared" si="8"/>
        <v>12500</v>
      </c>
      <c r="FP17" s="785"/>
      <c r="FQ17" s="785"/>
      <c r="FR17" s="786"/>
      <c r="FS17" s="790">
        <f ca="1">IF(EW17="","-",INDEX($A$5:$BP$257,MATCH(EW17,$BN$5:$BN$257,0),39)*(IF(EW17="","-",(1+(((-('Densidade do AR'!$M$4))+('Densidade do AR'!$T$15*1000000))/(IF(INDEX($A$5:$BP$257,MATCH(EW17,$BN$5:$BN$257,0),50)="Aço Inoxidável",('Densidade do AR'!$S$8*1000000),IF(INDEX($A$5:$BP$257,MATCH(EW17,$BN$5:$BN$257,0),50)="Ferro Fundido",('Densidade do AR'!$S$12*1000000),IF(INDEX($A$5:$BP$257,MATCH(EW17,$BN$5:$BN$257,0),50)="Latão",('Densidade do AR'!$S$10*1000000),IF(INDEX($A$5:$BP$257,MATCH(EW17,$BN$5:$BN$257,0),50)="Alumínio",('Densidade do AR'!$S$4*1000000)))))))-(((-('Densidade do AR'!$M$4))+('Densidade do AR'!$T$15*1000000))/('Densidade do AR'!$S$14*1000000))))))</f>
        <v>500000130.67009342</v>
      </c>
      <c r="FT17" s="785"/>
      <c r="FU17" s="785"/>
      <c r="FV17" s="791"/>
      <c r="FW17" s="91" t="str">
        <f t="shared" si="20"/>
        <v>a25</v>
      </c>
      <c r="FX17" s="135"/>
    </row>
    <row r="18" spans="1:180" x14ac:dyDescent="0.2">
      <c r="A18" s="1002">
        <v>14</v>
      </c>
      <c r="B18" s="904"/>
      <c r="C18" s="966">
        <v>2</v>
      </c>
      <c r="D18" s="967"/>
      <c r="E18" s="967"/>
      <c r="F18" s="967"/>
      <c r="G18" s="968"/>
      <c r="H18" s="902">
        <v>2</v>
      </c>
      <c r="I18" s="903"/>
      <c r="J18" s="903"/>
      <c r="K18" s="904"/>
      <c r="L18" s="902" t="s">
        <v>111</v>
      </c>
      <c r="M18" s="903"/>
      <c r="N18" s="903"/>
      <c r="O18" s="904"/>
      <c r="P18" s="891" t="s">
        <v>308</v>
      </c>
      <c r="Q18" s="967"/>
      <c r="R18" s="967"/>
      <c r="S18" s="967"/>
      <c r="T18" s="968"/>
      <c r="U18" s="897" t="s">
        <v>302</v>
      </c>
      <c r="V18" s="722"/>
      <c r="W18" s="722"/>
      <c r="X18" s="722"/>
      <c r="Y18" s="722"/>
      <c r="Z18" s="722"/>
      <c r="AA18" s="723"/>
      <c r="AB18" s="853"/>
      <c r="AC18" s="854"/>
      <c r="AD18" s="854"/>
      <c r="AE18" s="854"/>
      <c r="AF18" s="854"/>
      <c r="AG18" s="854"/>
      <c r="AH18" s="854"/>
      <c r="AI18" s="854"/>
      <c r="AJ18" s="854"/>
      <c r="AK18" s="854"/>
      <c r="AL18" s="855"/>
      <c r="AM18" s="1004">
        <v>2000.03</v>
      </c>
      <c r="AN18" s="1005"/>
      <c r="AO18" s="1005"/>
      <c r="AP18" s="1005"/>
      <c r="AQ18" s="1005"/>
      <c r="AR18" s="1005"/>
      <c r="AS18" s="1006"/>
      <c r="AT18" s="1004">
        <f t="shared" si="0"/>
        <v>2.9999999999972715E-2</v>
      </c>
      <c r="AU18" s="1005"/>
      <c r="AV18" s="1005"/>
      <c r="AW18" s="1006"/>
      <c r="AX18" s="1007" t="s">
        <v>9</v>
      </c>
      <c r="AY18" s="953"/>
      <c r="AZ18" s="953"/>
      <c r="BA18" s="953"/>
      <c r="BB18" s="953"/>
      <c r="BC18" s="954"/>
      <c r="BD18" s="946">
        <v>0.04</v>
      </c>
      <c r="BE18" s="947"/>
      <c r="BF18" s="947"/>
      <c r="BG18" s="948"/>
      <c r="BH18" s="1007">
        <v>2.0099999999999998</v>
      </c>
      <c r="BI18" s="953"/>
      <c r="BJ18" s="953"/>
      <c r="BK18" s="953"/>
      <c r="BL18" s="1008"/>
      <c r="BN18" s="881">
        <v>14</v>
      </c>
      <c r="BO18" s="709"/>
      <c r="BP18" s="884"/>
      <c r="BT18" s="736">
        <v>48</v>
      </c>
      <c r="BU18" s="737"/>
      <c r="BV18" s="738">
        <f>IF(BT18="","-",(IF(INDEX($A$5:$BP$257,MATCH(BT18,$BN$5:$BN$257,0),50)="Aço Inoxidável",('Densidade do AR'!$S$8*1000000),IF(INDEX($A$5:$BP$257,MATCH(BT18,$BN$5:$BN$257,0),50)="Ferro Fundido",('Densidade do AR'!$S$12*1000000),IF(INDEX($A$5:$BP$257,MATCH(BT18,$BN$5:$BN$257,0),50)="Latão",('Densidade do AR'!$S$10*1000000),IF(INDEX($A$5:$BP$257,MATCH(BT18,$BN$5:$BN$257,0),50)="Alumínio",('Densidade do AR'!$S$4*1000000)))))))</f>
        <v>7700000000</v>
      </c>
      <c r="BW18" s="739"/>
      <c r="BX18" s="739"/>
      <c r="BY18" s="740"/>
      <c r="BZ18" s="741">
        <f t="shared" si="9"/>
        <v>1E+30</v>
      </c>
      <c r="CA18" s="742"/>
      <c r="CB18" s="742"/>
      <c r="CC18" s="743"/>
      <c r="CD18" s="741">
        <f t="shared" si="1"/>
        <v>5.062499999999998E-46</v>
      </c>
      <c r="CE18" s="742"/>
      <c r="CF18" s="742"/>
      <c r="CG18" s="743"/>
      <c r="CH18" s="744">
        <f t="shared" si="10"/>
        <v>0</v>
      </c>
      <c r="CI18" s="739"/>
      <c r="CJ18" s="739"/>
      <c r="CK18" s="740"/>
      <c r="CL18" s="744">
        <f t="shared" si="2"/>
        <v>150</v>
      </c>
      <c r="CM18" s="739"/>
      <c r="CN18" s="739"/>
      <c r="CO18" s="740"/>
      <c r="CP18" s="744">
        <f ca="1">IF(BT18="","-",INDEX($A$5:$BP$257,MATCH(BT18,$BN$5:$BN$257,0),39)*(IF(BT18="","-",(1+(((-('Densidade do AR'!$M$4))+('Densidade do AR'!$T$15*1000000))/(IF(INDEX($A$5:$BP$257,MATCH(BT18,$BN$5:$BN$257,0),50)="Aço Inoxidável",('Densidade do AR'!$S$8*1000000),IF(INDEX($A$5:$BP$257,MATCH(BT18,$BN$5:$BN$257,0),50)="Ferro Fundido",('Densidade do AR'!$S$12*1000000),IF(INDEX($A$5:$BP$257,MATCH(BT18,$BN$5:$BN$257,0),50)="Latão",('Densidade do AR'!$S$10*1000000),IF(INDEX($A$5:$BP$257,MATCH(BT18,$BN$5:$BN$257,0),50)="Alumínio",('Densidade do AR'!$S$4*1000000)))))))-(((-('Densidade do AR'!$M$4))+('Densidade do AR'!$T$15*1000000))/('Densidade do AR'!$S$14*1000000))))))</f>
        <v>20000005.226803735</v>
      </c>
      <c r="CQ18" s="739"/>
      <c r="CR18" s="739"/>
      <c r="CS18" s="745"/>
      <c r="CT18" s="91">
        <f t="shared" si="11"/>
        <v>14</v>
      </c>
      <c r="CU18" s="746"/>
      <c r="CV18" s="747"/>
      <c r="CW18" s="738" t="str">
        <f>IF(CU18="","-",(IF(INDEX($A$5:$BP$257,MATCH(CU18,$BN$5:$BN$257,0),50)="Aço Inoxidável",('Densidade do AR'!$S$8*1000000),IF(INDEX($A$5:$BP$257,MATCH(CU18,$BN$5:$BN$257,0),50)="Ferro Fundido",('Densidade do AR'!$S$12*1000000),IF(INDEX($A$5:$BP$257,MATCH(CU18,$BN$5:$BN$257,0),50)="Latão",('Densidade do AR'!$S$10*1000000),IF(INDEX($A$5:$BP$257,MATCH(CU18,$BN$5:$BN$257,0),50)="Alumínio",('Densidade do AR'!$S$4*1000000)))))))</f>
        <v>-</v>
      </c>
      <c r="CX18" s="739"/>
      <c r="CY18" s="739"/>
      <c r="CZ18" s="740"/>
      <c r="DA18" s="741" t="str">
        <f t="shared" si="12"/>
        <v>-</v>
      </c>
      <c r="DB18" s="742"/>
      <c r="DC18" s="742"/>
      <c r="DD18" s="743"/>
      <c r="DE18" s="741" t="str">
        <f t="shared" si="3"/>
        <v>-</v>
      </c>
      <c r="DF18" s="742"/>
      <c r="DG18" s="742"/>
      <c r="DH18" s="743"/>
      <c r="DI18" s="744" t="str">
        <f t="shared" si="13"/>
        <v>-</v>
      </c>
      <c r="DJ18" s="739"/>
      <c r="DK18" s="739"/>
      <c r="DL18" s="740"/>
      <c r="DM18" s="744" t="str">
        <f t="shared" si="4"/>
        <v>-</v>
      </c>
      <c r="DN18" s="739"/>
      <c r="DO18" s="739"/>
      <c r="DP18" s="740"/>
      <c r="DQ18" s="744" t="str">
        <f>IF(CU18="","-",INDEX($A$5:$BP$257,MATCH(CU18,$BN$5:$BN$257,0),39)*(IF(CU18="","-",(1+(((-('Densidade do AR'!$M$4))+('Densidade do AR'!$T$15*1000000))/(IF(INDEX($A$5:$BP$257,MATCH(CU18,$BN$5:$BN$257,0),50)="Aço Inoxidável",('Densidade do AR'!$S$8*1000000),IF(INDEX($A$5:$BP$257,MATCH(CU18,$BN$5:$BN$257,0),50)="Ferro Fundido",('Densidade do AR'!$S$12*1000000),IF(INDEX($A$5:$BP$257,MATCH(CU18,$BN$5:$BN$257,0),50)="Latão",('Densidade do AR'!$S$10*1000000),IF(INDEX($A$5:$BP$257,MATCH(CU18,$BN$5:$BN$257,0),50)="Alumínio",('Densidade do AR'!$S$4*1000000)))))))-(((-('Densidade do AR'!$M$4))+('Densidade do AR'!$T$15*1000000))/('Densidade do AR'!$S$14*1000000))))))</f>
        <v>-</v>
      </c>
      <c r="DR18" s="739"/>
      <c r="DS18" s="739"/>
      <c r="DT18" s="745"/>
      <c r="DU18" s="91" t="str">
        <f t="shared" si="14"/>
        <v>-</v>
      </c>
      <c r="DV18" s="736">
        <v>73</v>
      </c>
      <c r="DW18" s="737"/>
      <c r="DX18" s="738">
        <f>IF(DV18="","-",(IF(INDEX($A$5:$BP$257,MATCH(DV18,$BN$5:$BN$257,0),50)="Aço Inoxidável",('Densidade do AR'!$S$8*1000000),IF(INDEX($A$5:$BP$257,MATCH(DV18,$BN$5:$BN$257,0),50)="Ferro Fundido",('Densidade do AR'!$S$12*1000000),IF(INDEX($A$5:$BP$257,MATCH(DV18,$BN$5:$BN$257,0),50)="Latão",('Densidade do AR'!$S$10*1000000),IF(INDEX($A$5:$BP$257,MATCH(DV18,$BN$5:$BN$257,0),50)="Alumínio",('Densidade do AR'!$S$4*1000000)))))))</f>
        <v>7700000000</v>
      </c>
      <c r="DY18" s="739"/>
      <c r="DZ18" s="739"/>
      <c r="EA18" s="740"/>
      <c r="EB18" s="741">
        <f t="shared" si="15"/>
        <v>1E+30</v>
      </c>
      <c r="EC18" s="742"/>
      <c r="ED18" s="742"/>
      <c r="EE18" s="743"/>
      <c r="EF18" s="741">
        <f t="shared" si="5"/>
        <v>2.4414062500000009E-38</v>
      </c>
      <c r="EG18" s="742"/>
      <c r="EH18" s="742"/>
      <c r="EI18" s="743"/>
      <c r="EJ18" s="744">
        <f t="shared" si="16"/>
        <v>0</v>
      </c>
      <c r="EK18" s="739"/>
      <c r="EL18" s="739"/>
      <c r="EM18" s="740"/>
      <c r="EN18" s="744">
        <f t="shared" si="6"/>
        <v>12500</v>
      </c>
      <c r="EO18" s="739"/>
      <c r="EP18" s="739"/>
      <c r="EQ18" s="740"/>
      <c r="ER18" s="744">
        <f ca="1">IF(DV18="","-",INDEX($A$5:$BP$257,MATCH(DV18,$BN$5:$BN$257,0),39)*(IF(DV18="","-",(1+(((-('Densidade do AR'!$M$4))+('Densidade do AR'!$T$15*1000000))/(IF(INDEX($A$5:$BP$257,MATCH(DV18,$BN$5:$BN$257,0),50)="Aço Inoxidável",('Densidade do AR'!$S$8*1000000),IF(INDEX($A$5:$BP$257,MATCH(DV18,$BN$5:$BN$257,0),50)="Ferro Fundido",('Densidade do AR'!$S$12*1000000),IF(INDEX($A$5:$BP$257,MATCH(DV18,$BN$5:$BN$257,0),50)="Latão",('Densidade do AR'!$S$10*1000000),IF(INDEX($A$5:$BP$257,MATCH(DV18,$BN$5:$BN$257,0),50)="Alumínio",('Densidade do AR'!$S$4*1000000)))))))-(((-('Densidade do AR'!$M$4))+('Densidade do AR'!$T$15*1000000))/('Densidade do AR'!$S$14*1000000))))))</f>
        <v>500000130.67009342</v>
      </c>
      <c r="ES18" s="739"/>
      <c r="ET18" s="739"/>
      <c r="EU18" s="745"/>
      <c r="EV18" s="91">
        <f t="shared" si="17"/>
        <v>10</v>
      </c>
      <c r="EW18" s="736">
        <v>73</v>
      </c>
      <c r="EX18" s="737"/>
      <c r="EY18" s="738">
        <f>IF(EW18="","-",(IF(INDEX($A$5:$BP$257,MATCH(EW18,$BN$5:$BN$257,0),50)="Aço Inoxidável",('Densidade do AR'!$S$8*1000000),IF(INDEX($A$5:$BP$257,MATCH(EW18,$BN$5:$BN$257,0),50)="Ferro Fundido",('Densidade do AR'!$S$12*1000000),IF(INDEX($A$5:$BP$257,MATCH(EW18,$BN$5:$BN$257,0),50)="Latão",('Densidade do AR'!$S$10*1000000),IF(INDEX($A$5:$BP$257,MATCH(EW18,$BN$5:$BN$257,0),50)="Alumínio",('Densidade do AR'!$S$4*1000000)))))))</f>
        <v>7700000000</v>
      </c>
      <c r="EZ18" s="739"/>
      <c r="FA18" s="739"/>
      <c r="FB18" s="740"/>
      <c r="FC18" s="741">
        <f t="shared" si="18"/>
        <v>1E+30</v>
      </c>
      <c r="FD18" s="742"/>
      <c r="FE18" s="742"/>
      <c r="FF18" s="743"/>
      <c r="FG18" s="741">
        <f t="shared" si="7"/>
        <v>2.4414062500000009E-38</v>
      </c>
      <c r="FH18" s="742"/>
      <c r="FI18" s="742"/>
      <c r="FJ18" s="743"/>
      <c r="FK18" s="744">
        <f t="shared" si="19"/>
        <v>0</v>
      </c>
      <c r="FL18" s="739"/>
      <c r="FM18" s="739"/>
      <c r="FN18" s="740"/>
      <c r="FO18" s="744">
        <f t="shared" si="8"/>
        <v>12500</v>
      </c>
      <c r="FP18" s="739"/>
      <c r="FQ18" s="739"/>
      <c r="FR18" s="740"/>
      <c r="FS18" s="744">
        <f ca="1">IF(EW18="","-",INDEX($A$5:$BP$257,MATCH(EW18,$BN$5:$BN$257,0),39)*(IF(EW18="","-",(1+(((-('Densidade do AR'!$M$4))+('Densidade do AR'!$T$15*1000000))/(IF(INDEX($A$5:$BP$257,MATCH(EW18,$BN$5:$BN$257,0),50)="Aço Inoxidável",('Densidade do AR'!$S$8*1000000),IF(INDEX($A$5:$BP$257,MATCH(EW18,$BN$5:$BN$257,0),50)="Ferro Fundido",('Densidade do AR'!$S$12*1000000),IF(INDEX($A$5:$BP$257,MATCH(EW18,$BN$5:$BN$257,0),50)="Latão",('Densidade do AR'!$S$10*1000000),IF(INDEX($A$5:$BP$257,MATCH(EW18,$BN$5:$BN$257,0),50)="Alumínio",('Densidade do AR'!$S$4*1000000)))))))-(((-('Densidade do AR'!$M$4))+('Densidade do AR'!$T$15*1000000))/('Densidade do AR'!$S$14*1000000))))))</f>
        <v>500000130.67009342</v>
      </c>
      <c r="FT18" s="739"/>
      <c r="FU18" s="739"/>
      <c r="FV18" s="745"/>
      <c r="FW18" s="91">
        <f t="shared" si="20"/>
        <v>10</v>
      </c>
      <c r="FX18" s="135"/>
    </row>
    <row r="19" spans="1:180" x14ac:dyDescent="0.2">
      <c r="A19" s="1001">
        <v>15</v>
      </c>
      <c r="B19" s="907"/>
      <c r="C19" s="976">
        <v>2</v>
      </c>
      <c r="D19" s="977"/>
      <c r="E19" s="977"/>
      <c r="F19" s="977"/>
      <c r="G19" s="978"/>
      <c r="H19" s="979" t="s">
        <v>310</v>
      </c>
      <c r="I19" s="980"/>
      <c r="J19" s="980"/>
      <c r="K19" s="981"/>
      <c r="L19" s="905" t="s">
        <v>111</v>
      </c>
      <c r="M19" s="906"/>
      <c r="N19" s="906"/>
      <c r="O19" s="907"/>
      <c r="P19" s="894" t="s">
        <v>308</v>
      </c>
      <c r="Q19" s="955"/>
      <c r="R19" s="955"/>
      <c r="S19" s="955"/>
      <c r="T19" s="956"/>
      <c r="U19" s="898" t="s">
        <v>302</v>
      </c>
      <c r="V19" s="715"/>
      <c r="W19" s="715"/>
      <c r="X19" s="715"/>
      <c r="Y19" s="715"/>
      <c r="Z19" s="715"/>
      <c r="AA19" s="716"/>
      <c r="AB19" s="850"/>
      <c r="AC19" s="851"/>
      <c r="AD19" s="851"/>
      <c r="AE19" s="851"/>
      <c r="AF19" s="851"/>
      <c r="AG19" s="851"/>
      <c r="AH19" s="851"/>
      <c r="AI19" s="851"/>
      <c r="AJ19" s="851"/>
      <c r="AK19" s="851"/>
      <c r="AL19" s="852"/>
      <c r="AM19" s="973">
        <v>2000.02</v>
      </c>
      <c r="AN19" s="974"/>
      <c r="AO19" s="974"/>
      <c r="AP19" s="974"/>
      <c r="AQ19" s="974"/>
      <c r="AR19" s="974"/>
      <c r="AS19" s="975"/>
      <c r="AT19" s="973">
        <f t="shared" si="0"/>
        <v>1.999999999998181E-2</v>
      </c>
      <c r="AU19" s="974"/>
      <c r="AV19" s="974"/>
      <c r="AW19" s="975"/>
      <c r="AX19" s="714" t="s">
        <v>9</v>
      </c>
      <c r="AY19" s="715"/>
      <c r="AZ19" s="715"/>
      <c r="BA19" s="715"/>
      <c r="BB19" s="715"/>
      <c r="BC19" s="716"/>
      <c r="BD19" s="1119">
        <v>0.04</v>
      </c>
      <c r="BE19" s="1120"/>
      <c r="BF19" s="1120"/>
      <c r="BG19" s="1121"/>
      <c r="BH19" s="714">
        <v>2.02</v>
      </c>
      <c r="BI19" s="715"/>
      <c r="BJ19" s="715"/>
      <c r="BK19" s="715"/>
      <c r="BL19" s="1023"/>
      <c r="BN19" s="878">
        <v>15</v>
      </c>
      <c r="BO19" s="709"/>
      <c r="BP19" s="884"/>
      <c r="BT19" s="736">
        <v>49</v>
      </c>
      <c r="BU19" s="737"/>
      <c r="BV19" s="784">
        <f>IF(BT19="","-",(IF(INDEX($A$5:$BP$257,MATCH(BT19,$BN$5:$BN$257,0),50)="Aço Inoxidável",('Densidade do AR'!$S$8*1000000),IF(INDEX($A$5:$BP$257,MATCH(BT19,$BN$5:$BN$257,0),50)="Ferro Fundido",('Densidade do AR'!$S$12*1000000),IF(INDEX($A$5:$BP$257,MATCH(BT19,$BN$5:$BN$257,0),50)="Latão",('Densidade do AR'!$S$10*1000000),IF(INDEX($A$5:$BP$257,MATCH(BT19,$BN$5:$BN$257,0),50)="Alumínio",('Densidade do AR'!$S$4*1000000)))))))</f>
        <v>7700000000</v>
      </c>
      <c r="BW19" s="785"/>
      <c r="BX19" s="785"/>
      <c r="BY19" s="786"/>
      <c r="BZ19" s="787">
        <f t="shared" si="9"/>
        <v>1E+30</v>
      </c>
      <c r="CA19" s="788"/>
      <c r="CB19" s="788"/>
      <c r="CC19" s="789"/>
      <c r="CD19" s="787">
        <f t="shared" si="1"/>
        <v>5.062499999999998E-46</v>
      </c>
      <c r="CE19" s="788"/>
      <c r="CF19" s="788"/>
      <c r="CG19" s="789"/>
      <c r="CH19" s="790">
        <f t="shared" si="10"/>
        <v>0</v>
      </c>
      <c r="CI19" s="785"/>
      <c r="CJ19" s="785"/>
      <c r="CK19" s="786"/>
      <c r="CL19" s="790">
        <f t="shared" si="2"/>
        <v>150</v>
      </c>
      <c r="CM19" s="785"/>
      <c r="CN19" s="785"/>
      <c r="CO19" s="786"/>
      <c r="CP19" s="790">
        <f ca="1">IF(BT19="","-",INDEX($A$5:$BP$257,MATCH(BT19,$BN$5:$BN$257,0),39)*(IF(BT19="","-",(1+(((-('Densidade do AR'!$M$4))+('Densidade do AR'!$T$15*1000000))/(IF(INDEX($A$5:$BP$257,MATCH(BT19,$BN$5:$BN$257,0),50)="Aço Inoxidável",('Densidade do AR'!$S$8*1000000),IF(INDEX($A$5:$BP$257,MATCH(BT19,$BN$5:$BN$257,0),50)="Ferro Fundido",('Densidade do AR'!$S$12*1000000),IF(INDEX($A$5:$BP$257,MATCH(BT19,$BN$5:$BN$257,0),50)="Latão",('Densidade do AR'!$S$10*1000000),IF(INDEX($A$5:$BP$257,MATCH(BT19,$BN$5:$BN$257,0),50)="Alumínio",('Densidade do AR'!$S$4*1000000)))))))-(((-('Densidade do AR'!$M$4))+('Densidade do AR'!$T$15*1000000))/('Densidade do AR'!$S$14*1000000))))))</f>
        <v>20000005.226803735</v>
      </c>
      <c r="CQ19" s="785"/>
      <c r="CR19" s="785"/>
      <c r="CS19" s="791"/>
      <c r="CT19" s="91">
        <f t="shared" si="11"/>
        <v>15</v>
      </c>
      <c r="CU19" s="736"/>
      <c r="CV19" s="737"/>
      <c r="CW19" s="784" t="str">
        <f>IF(CU19="","-",(IF(INDEX($A$5:$BP$257,MATCH(CU19,$BN$5:$BN$257,0),50)="Aço Inoxidável",('Densidade do AR'!$S$8*1000000),IF(INDEX($A$5:$BP$257,MATCH(CU19,$BN$5:$BN$257,0),50)="Ferro Fundido",('Densidade do AR'!$S$12*1000000),IF(INDEX($A$5:$BP$257,MATCH(CU19,$BN$5:$BN$257,0),50)="Latão",('Densidade do AR'!$S$10*1000000),IF(INDEX($A$5:$BP$257,MATCH(CU19,$BN$5:$BN$257,0),50)="Alumínio",('Densidade do AR'!$S$4*1000000)))))))</f>
        <v>-</v>
      </c>
      <c r="CX19" s="785"/>
      <c r="CY19" s="785"/>
      <c r="CZ19" s="786"/>
      <c r="DA19" s="787" t="str">
        <f t="shared" si="12"/>
        <v>-</v>
      </c>
      <c r="DB19" s="788"/>
      <c r="DC19" s="788"/>
      <c r="DD19" s="789"/>
      <c r="DE19" s="787" t="str">
        <f t="shared" si="3"/>
        <v>-</v>
      </c>
      <c r="DF19" s="788"/>
      <c r="DG19" s="788"/>
      <c r="DH19" s="789"/>
      <c r="DI19" s="790" t="str">
        <f t="shared" si="13"/>
        <v>-</v>
      </c>
      <c r="DJ19" s="785"/>
      <c r="DK19" s="785"/>
      <c r="DL19" s="786"/>
      <c r="DM19" s="790" t="str">
        <f t="shared" si="4"/>
        <v>-</v>
      </c>
      <c r="DN19" s="785"/>
      <c r="DO19" s="785"/>
      <c r="DP19" s="786"/>
      <c r="DQ19" s="790" t="str">
        <f>IF(CU19="","-",INDEX($A$5:$BP$257,MATCH(CU19,$BN$5:$BN$257,0),39)*(IF(CU19="","-",(1+(((-('Densidade do AR'!$M$4))+('Densidade do AR'!$T$15*1000000))/(IF(INDEX($A$5:$BP$257,MATCH(CU19,$BN$5:$BN$257,0),50)="Aço Inoxidável",('Densidade do AR'!$S$8*1000000),IF(INDEX($A$5:$BP$257,MATCH(CU19,$BN$5:$BN$257,0),50)="Ferro Fundido",('Densidade do AR'!$S$12*1000000),IF(INDEX($A$5:$BP$257,MATCH(CU19,$BN$5:$BN$257,0),50)="Latão",('Densidade do AR'!$S$10*1000000),IF(INDEX($A$5:$BP$257,MATCH(CU19,$BN$5:$BN$257,0),50)="Alumínio",('Densidade do AR'!$S$4*1000000)))))))-(((-('Densidade do AR'!$M$4))+('Densidade do AR'!$T$15*1000000))/('Densidade do AR'!$S$14*1000000))))))</f>
        <v>-</v>
      </c>
      <c r="DR19" s="785"/>
      <c r="DS19" s="785"/>
      <c r="DT19" s="791"/>
      <c r="DU19" s="91" t="str">
        <f t="shared" si="14"/>
        <v>-</v>
      </c>
      <c r="DV19" s="870">
        <v>74</v>
      </c>
      <c r="DW19" s="871"/>
      <c r="DX19" s="784">
        <f>IF(DV19="","-",(IF(INDEX($A$5:$BP$257,MATCH(DV19,$BN$5:$BN$257,0),50)="Aço Inoxidável",('Densidade do AR'!$S$8*1000000),IF(INDEX($A$5:$BP$257,MATCH(DV19,$BN$5:$BN$257,0),50)="Ferro Fundido",('Densidade do AR'!$S$12*1000000),IF(INDEX($A$5:$BP$257,MATCH(DV19,$BN$5:$BN$257,0),50)="Latão",('Densidade do AR'!$S$10*1000000),IF(INDEX($A$5:$BP$257,MATCH(DV19,$BN$5:$BN$257,0),50)="Alumínio",('Densidade do AR'!$S$4*1000000)))))))</f>
        <v>7700000000</v>
      </c>
      <c r="DY19" s="785"/>
      <c r="DZ19" s="785"/>
      <c r="EA19" s="786"/>
      <c r="EB19" s="787">
        <f t="shared" si="15"/>
        <v>1E+30</v>
      </c>
      <c r="EC19" s="788"/>
      <c r="ED19" s="788"/>
      <c r="EE19" s="789"/>
      <c r="EF19" s="787">
        <f t="shared" si="5"/>
        <v>2.4414062500000009E-38</v>
      </c>
      <c r="EG19" s="788"/>
      <c r="EH19" s="788"/>
      <c r="EI19" s="789"/>
      <c r="EJ19" s="790">
        <f t="shared" si="16"/>
        <v>0</v>
      </c>
      <c r="EK19" s="785"/>
      <c r="EL19" s="785"/>
      <c r="EM19" s="786"/>
      <c r="EN19" s="790">
        <f t="shared" si="6"/>
        <v>12500</v>
      </c>
      <c r="EO19" s="785"/>
      <c r="EP19" s="785"/>
      <c r="EQ19" s="786"/>
      <c r="ER19" s="790">
        <f ca="1">IF(DV19="","-",INDEX($A$5:$BP$257,MATCH(DV19,$BN$5:$BN$257,0),39)*(IF(DV19="","-",(1+(((-('Densidade do AR'!$M$4))+('Densidade do AR'!$T$15*1000000))/(IF(INDEX($A$5:$BP$257,MATCH(DV19,$BN$5:$BN$257,0),50)="Aço Inoxidável",('Densidade do AR'!$S$8*1000000),IF(INDEX($A$5:$BP$257,MATCH(DV19,$BN$5:$BN$257,0),50)="Ferro Fundido",('Densidade do AR'!$S$12*1000000),IF(INDEX($A$5:$BP$257,MATCH(DV19,$BN$5:$BN$257,0),50)="Latão",('Densidade do AR'!$S$10*1000000),IF(INDEX($A$5:$BP$257,MATCH(DV19,$BN$5:$BN$257,0),50)="Alumínio",('Densidade do AR'!$S$4*1000000)))))))-(((-('Densidade do AR'!$M$4))+('Densidade do AR'!$T$15*1000000))/('Densidade do AR'!$S$14*1000000))))))</f>
        <v>500000130.67009342</v>
      </c>
      <c r="ES19" s="785"/>
      <c r="ET19" s="785"/>
      <c r="EU19" s="791"/>
      <c r="EV19" s="91">
        <f t="shared" si="17"/>
        <v>11</v>
      </c>
      <c r="EW19" s="870">
        <v>74</v>
      </c>
      <c r="EX19" s="871"/>
      <c r="EY19" s="784">
        <f>IF(EW19="","-",(IF(INDEX($A$5:$BP$257,MATCH(EW19,$BN$5:$BN$257,0),50)="Aço Inoxidável",('Densidade do AR'!$S$8*1000000),IF(INDEX($A$5:$BP$257,MATCH(EW19,$BN$5:$BN$257,0),50)="Ferro Fundido",('Densidade do AR'!$S$12*1000000),IF(INDEX($A$5:$BP$257,MATCH(EW19,$BN$5:$BN$257,0),50)="Latão",('Densidade do AR'!$S$10*1000000),IF(INDEX($A$5:$BP$257,MATCH(EW19,$BN$5:$BN$257,0),50)="Alumínio",('Densidade do AR'!$S$4*1000000)))))))</f>
        <v>7700000000</v>
      </c>
      <c r="EZ19" s="785"/>
      <c r="FA19" s="785"/>
      <c r="FB19" s="786"/>
      <c r="FC19" s="787">
        <f t="shared" si="18"/>
        <v>1E+30</v>
      </c>
      <c r="FD19" s="788"/>
      <c r="FE19" s="788"/>
      <c r="FF19" s="789"/>
      <c r="FG19" s="787">
        <f t="shared" si="7"/>
        <v>2.4414062500000009E-38</v>
      </c>
      <c r="FH19" s="788"/>
      <c r="FI19" s="788"/>
      <c r="FJ19" s="789"/>
      <c r="FK19" s="790">
        <f t="shared" si="19"/>
        <v>0</v>
      </c>
      <c r="FL19" s="785"/>
      <c r="FM19" s="785"/>
      <c r="FN19" s="786"/>
      <c r="FO19" s="790">
        <f t="shared" si="8"/>
        <v>12500</v>
      </c>
      <c r="FP19" s="785"/>
      <c r="FQ19" s="785"/>
      <c r="FR19" s="786"/>
      <c r="FS19" s="790">
        <f ca="1">IF(EW19="","-",INDEX($A$5:$BP$257,MATCH(EW19,$BN$5:$BN$257,0),39)*(IF(EW19="","-",(1+(((-('Densidade do AR'!$M$4))+('Densidade do AR'!$T$15*1000000))/(IF(INDEX($A$5:$BP$257,MATCH(EW19,$BN$5:$BN$257,0),50)="Aço Inoxidável",('Densidade do AR'!$S$8*1000000),IF(INDEX($A$5:$BP$257,MATCH(EW19,$BN$5:$BN$257,0),50)="Ferro Fundido",('Densidade do AR'!$S$12*1000000),IF(INDEX($A$5:$BP$257,MATCH(EW19,$BN$5:$BN$257,0),50)="Latão",('Densidade do AR'!$S$10*1000000),IF(INDEX($A$5:$BP$257,MATCH(EW19,$BN$5:$BN$257,0),50)="Alumínio",('Densidade do AR'!$S$4*1000000)))))))-(((-('Densidade do AR'!$M$4))+('Densidade do AR'!$T$15*1000000))/('Densidade do AR'!$S$14*1000000))))))</f>
        <v>500000130.67009342</v>
      </c>
      <c r="FT19" s="785"/>
      <c r="FU19" s="785"/>
      <c r="FV19" s="791"/>
      <c r="FW19" s="91">
        <f t="shared" si="20"/>
        <v>11</v>
      </c>
      <c r="FX19" s="135"/>
    </row>
    <row r="20" spans="1:180" x14ac:dyDescent="0.2">
      <c r="A20" s="1002">
        <v>16</v>
      </c>
      <c r="B20" s="904"/>
      <c r="C20" s="966">
        <v>5</v>
      </c>
      <c r="D20" s="967"/>
      <c r="E20" s="967"/>
      <c r="F20" s="967"/>
      <c r="G20" s="968"/>
      <c r="H20" s="902">
        <v>5</v>
      </c>
      <c r="I20" s="903"/>
      <c r="J20" s="903"/>
      <c r="K20" s="904"/>
      <c r="L20" s="902" t="s">
        <v>111</v>
      </c>
      <c r="M20" s="903"/>
      <c r="N20" s="903"/>
      <c r="O20" s="904"/>
      <c r="P20" s="891" t="s">
        <v>308</v>
      </c>
      <c r="Q20" s="967"/>
      <c r="R20" s="967"/>
      <c r="S20" s="967"/>
      <c r="T20" s="968"/>
      <c r="U20" s="897" t="s">
        <v>302</v>
      </c>
      <c r="V20" s="722"/>
      <c r="W20" s="722"/>
      <c r="X20" s="722"/>
      <c r="Y20" s="722"/>
      <c r="Z20" s="722"/>
      <c r="AA20" s="723"/>
      <c r="AB20" s="853"/>
      <c r="AC20" s="854"/>
      <c r="AD20" s="854"/>
      <c r="AE20" s="854"/>
      <c r="AF20" s="854"/>
      <c r="AG20" s="854"/>
      <c r="AH20" s="854"/>
      <c r="AI20" s="854"/>
      <c r="AJ20" s="854"/>
      <c r="AK20" s="854"/>
      <c r="AL20" s="855"/>
      <c r="AM20" s="1004">
        <v>5000.03</v>
      </c>
      <c r="AN20" s="1005"/>
      <c r="AO20" s="1005"/>
      <c r="AP20" s="1005"/>
      <c r="AQ20" s="1005"/>
      <c r="AR20" s="1005"/>
      <c r="AS20" s="1006"/>
      <c r="AT20" s="1004">
        <f t="shared" si="0"/>
        <v>2.9999999999745341E-2</v>
      </c>
      <c r="AU20" s="1005"/>
      <c r="AV20" s="1005"/>
      <c r="AW20" s="1006"/>
      <c r="AX20" s="1007" t="s">
        <v>9</v>
      </c>
      <c r="AY20" s="953"/>
      <c r="AZ20" s="953"/>
      <c r="BA20" s="953"/>
      <c r="BB20" s="953"/>
      <c r="BC20" s="954"/>
      <c r="BD20" s="946">
        <v>0.05</v>
      </c>
      <c r="BE20" s="947"/>
      <c r="BF20" s="947"/>
      <c r="BG20" s="948"/>
      <c r="BH20" s="1007">
        <v>2.0099999999999998</v>
      </c>
      <c r="BI20" s="953"/>
      <c r="BJ20" s="953"/>
      <c r="BK20" s="953"/>
      <c r="BL20" s="1008"/>
      <c r="BN20" s="881">
        <v>16</v>
      </c>
      <c r="BO20" s="709"/>
      <c r="BP20" s="884"/>
      <c r="BT20" s="736">
        <v>50</v>
      </c>
      <c r="BU20" s="737"/>
      <c r="BV20" s="738">
        <f>IF(BT20="","-",(IF(INDEX($A$5:$BP$257,MATCH(BT20,$BN$5:$BN$257,0),50)="Aço Inoxidável",('Densidade do AR'!$S$8*1000000),IF(INDEX($A$5:$BP$257,MATCH(BT20,$BN$5:$BN$257,0),50)="Ferro Fundido",('Densidade do AR'!$S$12*1000000),IF(INDEX($A$5:$BP$257,MATCH(BT20,$BN$5:$BN$257,0),50)="Latão",('Densidade do AR'!$S$10*1000000),IF(INDEX($A$5:$BP$257,MATCH(BT20,$BN$5:$BN$257,0),50)="Alumínio",('Densidade do AR'!$S$4*1000000)))))))</f>
        <v>7700000000</v>
      </c>
      <c r="BW20" s="739"/>
      <c r="BX20" s="739"/>
      <c r="BY20" s="740"/>
      <c r="BZ20" s="741">
        <f t="shared" si="9"/>
        <v>1E+30</v>
      </c>
      <c r="CA20" s="742"/>
      <c r="CB20" s="742"/>
      <c r="CC20" s="743"/>
      <c r="CD20" s="741">
        <f t="shared" si="1"/>
        <v>5.062499999999998E-46</v>
      </c>
      <c r="CE20" s="742"/>
      <c r="CF20" s="742"/>
      <c r="CG20" s="743"/>
      <c r="CH20" s="744">
        <f t="shared" si="10"/>
        <v>0</v>
      </c>
      <c r="CI20" s="739"/>
      <c r="CJ20" s="739"/>
      <c r="CK20" s="740"/>
      <c r="CL20" s="744">
        <f t="shared" si="2"/>
        <v>150</v>
      </c>
      <c r="CM20" s="739"/>
      <c r="CN20" s="739"/>
      <c r="CO20" s="740"/>
      <c r="CP20" s="744">
        <f ca="1">IF(BT20="","-",INDEX($A$5:$BP$257,MATCH(BT20,$BN$5:$BN$257,0),39)*(IF(BT20="","-",(1+(((-('Densidade do AR'!$M$4))+('Densidade do AR'!$T$15*1000000))/(IF(INDEX($A$5:$BP$257,MATCH(BT20,$BN$5:$BN$257,0),50)="Aço Inoxidável",('Densidade do AR'!$S$8*1000000),IF(INDEX($A$5:$BP$257,MATCH(BT20,$BN$5:$BN$257,0),50)="Ferro Fundido",('Densidade do AR'!$S$12*1000000),IF(INDEX($A$5:$BP$257,MATCH(BT20,$BN$5:$BN$257,0),50)="Latão",('Densidade do AR'!$S$10*1000000),IF(INDEX($A$5:$BP$257,MATCH(BT20,$BN$5:$BN$257,0),50)="Alumínio",('Densidade do AR'!$S$4*1000000)))))))-(((-('Densidade do AR'!$M$4))+('Densidade do AR'!$T$15*1000000))/('Densidade do AR'!$S$14*1000000))))))</f>
        <v>20000005.226803735</v>
      </c>
      <c r="CQ20" s="739"/>
      <c r="CR20" s="739"/>
      <c r="CS20" s="745"/>
      <c r="CT20" s="91">
        <f t="shared" si="11"/>
        <v>16</v>
      </c>
      <c r="CU20" s="736"/>
      <c r="CV20" s="737"/>
      <c r="CW20" s="738" t="str">
        <f>IF(CU20="","-",(IF(INDEX($A$5:$BP$257,MATCH(CU20,$BN$5:$BN$257,0),50)="Aço Inoxidável",('Densidade do AR'!$S$8*1000000),IF(INDEX($A$5:$BP$257,MATCH(CU20,$BN$5:$BN$257,0),50)="Ferro Fundido",('Densidade do AR'!$S$12*1000000),IF(INDEX($A$5:$BP$257,MATCH(CU20,$BN$5:$BN$257,0),50)="Latão",('Densidade do AR'!$S$10*1000000),IF(INDEX($A$5:$BP$257,MATCH(CU20,$BN$5:$BN$257,0),50)="Alumínio",('Densidade do AR'!$S$4*1000000)))))))</f>
        <v>-</v>
      </c>
      <c r="CX20" s="739"/>
      <c r="CY20" s="739"/>
      <c r="CZ20" s="740"/>
      <c r="DA20" s="741" t="str">
        <f t="shared" si="12"/>
        <v>-</v>
      </c>
      <c r="DB20" s="742"/>
      <c r="DC20" s="742"/>
      <c r="DD20" s="743"/>
      <c r="DE20" s="741" t="str">
        <f t="shared" si="3"/>
        <v>-</v>
      </c>
      <c r="DF20" s="742"/>
      <c r="DG20" s="742"/>
      <c r="DH20" s="743"/>
      <c r="DI20" s="744" t="str">
        <f t="shared" si="13"/>
        <v>-</v>
      </c>
      <c r="DJ20" s="739"/>
      <c r="DK20" s="739"/>
      <c r="DL20" s="740"/>
      <c r="DM20" s="744" t="str">
        <f t="shared" si="4"/>
        <v>-</v>
      </c>
      <c r="DN20" s="739"/>
      <c r="DO20" s="739"/>
      <c r="DP20" s="740"/>
      <c r="DQ20" s="744" t="str">
        <f>IF(CU20="","-",INDEX($A$5:$BP$257,MATCH(CU20,$BN$5:$BN$257,0),39)*(IF(CU20="","-",(1+(((-('Densidade do AR'!$M$4))+('Densidade do AR'!$T$15*1000000))/(IF(INDEX($A$5:$BP$257,MATCH(CU20,$BN$5:$BN$257,0),50)="Aço Inoxidável",('Densidade do AR'!$S$8*1000000),IF(INDEX($A$5:$BP$257,MATCH(CU20,$BN$5:$BN$257,0),50)="Ferro Fundido",('Densidade do AR'!$S$12*1000000),IF(INDEX($A$5:$BP$257,MATCH(CU20,$BN$5:$BN$257,0),50)="Latão",('Densidade do AR'!$S$10*1000000),IF(INDEX($A$5:$BP$257,MATCH(CU20,$BN$5:$BN$257,0),50)="Alumínio",('Densidade do AR'!$S$4*1000000)))))))-(((-('Densidade do AR'!$M$4))+('Densidade do AR'!$T$15*1000000))/('Densidade do AR'!$S$14*1000000))))))</f>
        <v>-</v>
      </c>
      <c r="DR20" s="739"/>
      <c r="DS20" s="739"/>
      <c r="DT20" s="745"/>
      <c r="DU20" s="91" t="str">
        <f t="shared" si="14"/>
        <v>-</v>
      </c>
      <c r="DV20" s="736">
        <v>75</v>
      </c>
      <c r="DW20" s="737"/>
      <c r="DX20" s="738">
        <f>IF(DV20="","-",(IF(INDEX($A$5:$BP$257,MATCH(DV20,$BN$5:$BN$257,0),50)="Aço Inoxidável",('Densidade do AR'!$S$8*1000000),IF(INDEX($A$5:$BP$257,MATCH(DV20,$BN$5:$BN$257,0),50)="Ferro Fundido",('Densidade do AR'!$S$12*1000000),IF(INDEX($A$5:$BP$257,MATCH(DV20,$BN$5:$BN$257,0),50)="Latão",('Densidade do AR'!$S$10*1000000),IF(INDEX($A$5:$BP$257,MATCH(DV20,$BN$5:$BN$257,0),50)="Alumínio",('Densidade do AR'!$S$4*1000000)))))))</f>
        <v>7700000000</v>
      </c>
      <c r="DY20" s="739"/>
      <c r="DZ20" s="739"/>
      <c r="EA20" s="740"/>
      <c r="EB20" s="741">
        <f t="shared" si="15"/>
        <v>1E+30</v>
      </c>
      <c r="EC20" s="742"/>
      <c r="ED20" s="742"/>
      <c r="EE20" s="743"/>
      <c r="EF20" s="741">
        <f t="shared" si="5"/>
        <v>2.4414062500000009E-38</v>
      </c>
      <c r="EG20" s="742"/>
      <c r="EH20" s="742"/>
      <c r="EI20" s="743"/>
      <c r="EJ20" s="744">
        <f t="shared" si="16"/>
        <v>0</v>
      </c>
      <c r="EK20" s="739"/>
      <c r="EL20" s="739"/>
      <c r="EM20" s="740"/>
      <c r="EN20" s="744">
        <f t="shared" si="6"/>
        <v>12500</v>
      </c>
      <c r="EO20" s="739"/>
      <c r="EP20" s="739"/>
      <c r="EQ20" s="740"/>
      <c r="ER20" s="744">
        <f ca="1">IF(DV20="","-",INDEX($A$5:$BP$257,MATCH(DV20,$BN$5:$BN$257,0),39)*(IF(DV20="","-",(1+(((-('Densidade do AR'!$M$4))+('Densidade do AR'!$T$15*1000000))/(IF(INDEX($A$5:$BP$257,MATCH(DV20,$BN$5:$BN$257,0),50)="Aço Inoxidável",('Densidade do AR'!$S$8*1000000),IF(INDEX($A$5:$BP$257,MATCH(DV20,$BN$5:$BN$257,0),50)="Ferro Fundido",('Densidade do AR'!$S$12*1000000),IF(INDEX($A$5:$BP$257,MATCH(DV20,$BN$5:$BN$257,0),50)="Latão",('Densidade do AR'!$S$10*1000000),IF(INDEX($A$5:$BP$257,MATCH(DV20,$BN$5:$BN$257,0),50)="Alumínio",('Densidade do AR'!$S$4*1000000)))))))-(((-('Densidade do AR'!$M$4))+('Densidade do AR'!$T$15*1000000))/('Densidade do AR'!$S$14*1000000))))))</f>
        <v>499995130.6687867</v>
      </c>
      <c r="ES20" s="739"/>
      <c r="ET20" s="739"/>
      <c r="EU20" s="745"/>
      <c r="EV20" s="91">
        <f t="shared" si="17"/>
        <v>52</v>
      </c>
      <c r="EW20" s="736">
        <v>75</v>
      </c>
      <c r="EX20" s="737"/>
      <c r="EY20" s="738">
        <f>IF(EW20="","-",(IF(INDEX($A$5:$BP$257,MATCH(EW20,$BN$5:$BN$257,0),50)="Aço Inoxidável",('Densidade do AR'!$S$8*1000000),IF(INDEX($A$5:$BP$257,MATCH(EW20,$BN$5:$BN$257,0),50)="Ferro Fundido",('Densidade do AR'!$S$12*1000000),IF(INDEX($A$5:$BP$257,MATCH(EW20,$BN$5:$BN$257,0),50)="Latão",('Densidade do AR'!$S$10*1000000),IF(INDEX($A$5:$BP$257,MATCH(EW20,$BN$5:$BN$257,0),50)="Alumínio",('Densidade do AR'!$S$4*1000000)))))))</f>
        <v>7700000000</v>
      </c>
      <c r="EZ20" s="739"/>
      <c r="FA20" s="739"/>
      <c r="FB20" s="740"/>
      <c r="FC20" s="741">
        <f t="shared" si="18"/>
        <v>1E+30</v>
      </c>
      <c r="FD20" s="742"/>
      <c r="FE20" s="742"/>
      <c r="FF20" s="743"/>
      <c r="FG20" s="741">
        <f t="shared" si="7"/>
        <v>2.4414062500000009E-38</v>
      </c>
      <c r="FH20" s="742"/>
      <c r="FI20" s="742"/>
      <c r="FJ20" s="743"/>
      <c r="FK20" s="744">
        <f t="shared" si="19"/>
        <v>0</v>
      </c>
      <c r="FL20" s="739"/>
      <c r="FM20" s="739"/>
      <c r="FN20" s="740"/>
      <c r="FO20" s="744">
        <f t="shared" si="8"/>
        <v>12500</v>
      </c>
      <c r="FP20" s="739"/>
      <c r="FQ20" s="739"/>
      <c r="FR20" s="740"/>
      <c r="FS20" s="744">
        <f ca="1">IF(EW20="","-",INDEX($A$5:$BP$257,MATCH(EW20,$BN$5:$BN$257,0),39)*(IF(EW20="","-",(1+(((-('Densidade do AR'!$M$4))+('Densidade do AR'!$T$15*1000000))/(IF(INDEX($A$5:$BP$257,MATCH(EW20,$BN$5:$BN$257,0),50)="Aço Inoxidável",('Densidade do AR'!$S$8*1000000),IF(INDEX($A$5:$BP$257,MATCH(EW20,$BN$5:$BN$257,0),50)="Ferro Fundido",('Densidade do AR'!$S$12*1000000),IF(INDEX($A$5:$BP$257,MATCH(EW20,$BN$5:$BN$257,0),50)="Latão",('Densidade do AR'!$S$10*1000000),IF(INDEX($A$5:$BP$257,MATCH(EW20,$BN$5:$BN$257,0),50)="Alumínio",('Densidade do AR'!$S$4*1000000)))))))-(((-('Densidade do AR'!$M$4))+('Densidade do AR'!$T$15*1000000))/('Densidade do AR'!$S$14*1000000))))))</f>
        <v>499995130.6687867</v>
      </c>
      <c r="FT20" s="739"/>
      <c r="FU20" s="739"/>
      <c r="FV20" s="745"/>
      <c r="FW20" s="91">
        <f t="shared" si="20"/>
        <v>52</v>
      </c>
      <c r="FX20" s="135"/>
    </row>
    <row r="21" spans="1:180" x14ac:dyDescent="0.2">
      <c r="A21" s="1001">
        <v>17</v>
      </c>
      <c r="B21" s="907"/>
      <c r="C21" s="957">
        <v>10</v>
      </c>
      <c r="D21" s="955"/>
      <c r="E21" s="955"/>
      <c r="F21" s="955"/>
      <c r="G21" s="956"/>
      <c r="H21" s="905">
        <v>10</v>
      </c>
      <c r="I21" s="906"/>
      <c r="J21" s="906"/>
      <c r="K21" s="907"/>
      <c r="L21" s="905" t="s">
        <v>111</v>
      </c>
      <c r="M21" s="906"/>
      <c r="N21" s="906"/>
      <c r="O21" s="907"/>
      <c r="P21" s="894" t="s">
        <v>308</v>
      </c>
      <c r="Q21" s="955"/>
      <c r="R21" s="955"/>
      <c r="S21" s="955"/>
      <c r="T21" s="956"/>
      <c r="U21" s="898" t="s">
        <v>302</v>
      </c>
      <c r="V21" s="715"/>
      <c r="W21" s="715"/>
      <c r="X21" s="715"/>
      <c r="Y21" s="715"/>
      <c r="Z21" s="715"/>
      <c r="AA21" s="716"/>
      <c r="AB21" s="850"/>
      <c r="AC21" s="851"/>
      <c r="AD21" s="851"/>
      <c r="AE21" s="851"/>
      <c r="AF21" s="851"/>
      <c r="AG21" s="851"/>
      <c r="AH21" s="851"/>
      <c r="AI21" s="851"/>
      <c r="AJ21" s="851"/>
      <c r="AK21" s="851"/>
      <c r="AL21" s="852"/>
      <c r="AM21" s="988">
        <v>10000.040000000001</v>
      </c>
      <c r="AN21" s="989"/>
      <c r="AO21" s="989"/>
      <c r="AP21" s="989"/>
      <c r="AQ21" s="989"/>
      <c r="AR21" s="989"/>
      <c r="AS21" s="990"/>
      <c r="AT21" s="988">
        <f t="shared" si="0"/>
        <v>4.0000000000873115E-2</v>
      </c>
      <c r="AU21" s="989"/>
      <c r="AV21" s="989"/>
      <c r="AW21" s="990"/>
      <c r="AX21" s="1003" t="s">
        <v>9</v>
      </c>
      <c r="AY21" s="950"/>
      <c r="AZ21" s="950"/>
      <c r="BA21" s="950"/>
      <c r="BB21" s="950"/>
      <c r="BC21" s="951"/>
      <c r="BD21" s="998">
        <v>7.0000000000000007E-2</v>
      </c>
      <c r="BE21" s="999"/>
      <c r="BF21" s="999"/>
      <c r="BG21" s="1000"/>
      <c r="BH21" s="985">
        <v>2</v>
      </c>
      <c r="BI21" s="986"/>
      <c r="BJ21" s="986"/>
      <c r="BK21" s="986"/>
      <c r="BL21" s="997"/>
      <c r="BN21" s="878">
        <v>17</v>
      </c>
      <c r="BO21" s="879"/>
      <c r="BP21" s="880"/>
      <c r="BT21" s="736">
        <v>51</v>
      </c>
      <c r="BU21" s="737"/>
      <c r="BV21" s="784">
        <f>IF(BT21="","-",(IF(INDEX($A$5:$BP$257,MATCH(BT21,$BN$5:$BN$257,0),50)="Aço Inoxidável",('Densidade do AR'!$S$8*1000000),IF(INDEX($A$5:$BP$257,MATCH(BT21,$BN$5:$BN$257,0),50)="Ferro Fundido",('Densidade do AR'!$S$12*1000000),IF(INDEX($A$5:$BP$257,MATCH(BT21,$BN$5:$BN$257,0),50)="Latão",('Densidade do AR'!$S$10*1000000),IF(INDEX($A$5:$BP$257,MATCH(BT21,$BN$5:$BN$257,0),50)="Alumínio",('Densidade do AR'!$S$4*1000000)))))))</f>
        <v>7700000000</v>
      </c>
      <c r="BW21" s="785"/>
      <c r="BX21" s="785"/>
      <c r="BY21" s="786"/>
      <c r="BZ21" s="787">
        <f t="shared" si="9"/>
        <v>1E+30</v>
      </c>
      <c r="CA21" s="788"/>
      <c r="CB21" s="788"/>
      <c r="CC21" s="789"/>
      <c r="CD21" s="787">
        <f t="shared" si="1"/>
        <v>5.062499999999998E-46</v>
      </c>
      <c r="CE21" s="788"/>
      <c r="CF21" s="788"/>
      <c r="CG21" s="789"/>
      <c r="CH21" s="790">
        <f t="shared" si="10"/>
        <v>0</v>
      </c>
      <c r="CI21" s="785"/>
      <c r="CJ21" s="785"/>
      <c r="CK21" s="786"/>
      <c r="CL21" s="790">
        <f t="shared" si="2"/>
        <v>150</v>
      </c>
      <c r="CM21" s="785"/>
      <c r="CN21" s="785"/>
      <c r="CO21" s="786"/>
      <c r="CP21" s="790">
        <f ca="1">IF(BT21="","-",INDEX($A$5:$BP$257,MATCH(BT21,$BN$5:$BN$257,0),39)*(IF(BT21="","-",(1+(((-('Densidade do AR'!$M$4))+('Densidade do AR'!$T$15*1000000))/(IF(INDEX($A$5:$BP$257,MATCH(BT21,$BN$5:$BN$257,0),50)="Aço Inoxidável",('Densidade do AR'!$S$8*1000000),IF(INDEX($A$5:$BP$257,MATCH(BT21,$BN$5:$BN$257,0),50)="Ferro Fundido",('Densidade do AR'!$S$12*1000000),IF(INDEX($A$5:$BP$257,MATCH(BT21,$BN$5:$BN$257,0),50)="Latão",('Densidade do AR'!$S$10*1000000),IF(INDEX($A$5:$BP$257,MATCH(BT21,$BN$5:$BN$257,0),50)="Alumínio",('Densidade do AR'!$S$4*1000000)))))))-(((-('Densidade do AR'!$M$4))+('Densidade do AR'!$T$15*1000000))/('Densidade do AR'!$S$14*1000000))))))</f>
        <v>20000005.226803735</v>
      </c>
      <c r="CQ21" s="785"/>
      <c r="CR21" s="785"/>
      <c r="CS21" s="791"/>
      <c r="CT21" s="91">
        <f t="shared" si="11"/>
        <v>17</v>
      </c>
      <c r="CU21" s="746"/>
      <c r="CV21" s="747"/>
      <c r="CW21" s="784" t="str">
        <f>IF(CU21="","-",(IF(INDEX($A$5:$BP$257,MATCH(CU21,$BN$5:$BN$257,0),50)="Aço Inoxidável",('Densidade do AR'!$S$8*1000000),IF(INDEX($A$5:$BP$257,MATCH(CU21,$BN$5:$BN$257,0),50)="Ferro Fundido",('Densidade do AR'!$S$12*1000000),IF(INDEX($A$5:$BP$257,MATCH(CU21,$BN$5:$BN$257,0),50)="Latão",('Densidade do AR'!$S$10*1000000),IF(INDEX($A$5:$BP$257,MATCH(CU21,$BN$5:$BN$257,0),50)="Alumínio",('Densidade do AR'!$S$4*1000000)))))))</f>
        <v>-</v>
      </c>
      <c r="CX21" s="785"/>
      <c r="CY21" s="785"/>
      <c r="CZ21" s="786"/>
      <c r="DA21" s="787" t="str">
        <f t="shared" si="12"/>
        <v>-</v>
      </c>
      <c r="DB21" s="788"/>
      <c r="DC21" s="788"/>
      <c r="DD21" s="789"/>
      <c r="DE21" s="787" t="str">
        <f t="shared" si="3"/>
        <v>-</v>
      </c>
      <c r="DF21" s="788"/>
      <c r="DG21" s="788"/>
      <c r="DH21" s="789"/>
      <c r="DI21" s="790" t="str">
        <f t="shared" si="13"/>
        <v>-</v>
      </c>
      <c r="DJ21" s="785"/>
      <c r="DK21" s="785"/>
      <c r="DL21" s="786"/>
      <c r="DM21" s="790" t="str">
        <f t="shared" si="4"/>
        <v>-</v>
      </c>
      <c r="DN21" s="785"/>
      <c r="DO21" s="785"/>
      <c r="DP21" s="786"/>
      <c r="DQ21" s="790" t="str">
        <f>IF(CU21="","-",INDEX($A$5:$BP$257,MATCH(CU21,$BN$5:$BN$257,0),39)*(IF(CU21="","-",(1+(((-('Densidade do AR'!$M$4))+('Densidade do AR'!$T$15*1000000))/(IF(INDEX($A$5:$BP$257,MATCH(CU21,$BN$5:$BN$257,0),50)="Aço Inoxidável",('Densidade do AR'!$S$8*1000000),IF(INDEX($A$5:$BP$257,MATCH(CU21,$BN$5:$BN$257,0),50)="Ferro Fundido",('Densidade do AR'!$S$12*1000000),IF(INDEX($A$5:$BP$257,MATCH(CU21,$BN$5:$BN$257,0),50)="Latão",('Densidade do AR'!$S$10*1000000),IF(INDEX($A$5:$BP$257,MATCH(CU21,$BN$5:$BN$257,0),50)="Alumínio",('Densidade do AR'!$S$4*1000000)))))))-(((-('Densidade do AR'!$M$4))+('Densidade do AR'!$T$15*1000000))/('Densidade do AR'!$S$14*1000000))))))</f>
        <v>-</v>
      </c>
      <c r="DR21" s="785"/>
      <c r="DS21" s="785"/>
      <c r="DT21" s="791"/>
      <c r="DU21" s="91" t="str">
        <f t="shared" si="14"/>
        <v>-</v>
      </c>
      <c r="DV21" s="870">
        <v>76</v>
      </c>
      <c r="DW21" s="871"/>
      <c r="DX21" s="784">
        <f>IF(DV21="","-",(IF(INDEX($A$5:$BP$257,MATCH(DV21,$BN$5:$BN$257,0),50)="Aço Inoxidável",('Densidade do AR'!$S$8*1000000),IF(INDEX($A$5:$BP$257,MATCH(DV21,$BN$5:$BN$257,0),50)="Ferro Fundido",('Densidade do AR'!$S$12*1000000),IF(INDEX($A$5:$BP$257,MATCH(DV21,$BN$5:$BN$257,0),50)="Latão",('Densidade do AR'!$S$10*1000000),IF(INDEX($A$5:$BP$257,MATCH(DV21,$BN$5:$BN$257,0),50)="Alumínio",('Densidade do AR'!$S$4*1000000)))))))</f>
        <v>7700000000</v>
      </c>
      <c r="DY21" s="785"/>
      <c r="DZ21" s="785"/>
      <c r="EA21" s="786"/>
      <c r="EB21" s="787">
        <f t="shared" si="15"/>
        <v>1E+30</v>
      </c>
      <c r="EC21" s="788"/>
      <c r="ED21" s="788"/>
      <c r="EE21" s="789"/>
      <c r="EF21" s="787">
        <f t="shared" si="5"/>
        <v>2.4414062500000009E-38</v>
      </c>
      <c r="EG21" s="788"/>
      <c r="EH21" s="788"/>
      <c r="EI21" s="789"/>
      <c r="EJ21" s="790">
        <f t="shared" si="16"/>
        <v>0</v>
      </c>
      <c r="EK21" s="785"/>
      <c r="EL21" s="785"/>
      <c r="EM21" s="786"/>
      <c r="EN21" s="790">
        <f t="shared" si="6"/>
        <v>12500</v>
      </c>
      <c r="EO21" s="785"/>
      <c r="EP21" s="785"/>
      <c r="EQ21" s="786"/>
      <c r="ER21" s="790">
        <f ca="1">IF(DV21="","-",INDEX($A$5:$BP$257,MATCH(DV21,$BN$5:$BN$257,0),39)*(IF(DV21="","-",(1+(((-('Densidade do AR'!$M$4))+('Densidade do AR'!$T$15*1000000))/(IF(INDEX($A$5:$BP$257,MATCH(DV21,$BN$5:$BN$257,0),50)="Aço Inoxidável",('Densidade do AR'!$S$8*1000000),IF(INDEX($A$5:$BP$257,MATCH(DV21,$BN$5:$BN$257,0),50)="Ferro Fundido",('Densidade do AR'!$S$12*1000000),IF(INDEX($A$5:$BP$257,MATCH(DV21,$BN$5:$BN$257,0),50)="Latão",('Densidade do AR'!$S$10*1000000),IF(INDEX($A$5:$BP$257,MATCH(DV21,$BN$5:$BN$257,0),50)="Alumínio",('Densidade do AR'!$S$4*1000000)))))))-(((-('Densidade do AR'!$M$4))+('Densidade do AR'!$T$15*1000000))/('Densidade do AR'!$S$14*1000000))))))</f>
        <v>500000130.67009342</v>
      </c>
      <c r="ES21" s="785"/>
      <c r="ET21" s="785"/>
      <c r="EU21" s="791"/>
      <c r="EV21" s="91">
        <f t="shared" si="17"/>
        <v>57</v>
      </c>
      <c r="EW21" s="870">
        <v>76</v>
      </c>
      <c r="EX21" s="871"/>
      <c r="EY21" s="784">
        <f>IF(EW21="","-",(IF(INDEX($A$5:$BP$257,MATCH(EW21,$BN$5:$BN$257,0),50)="Aço Inoxidável",('Densidade do AR'!$S$8*1000000),IF(INDEX($A$5:$BP$257,MATCH(EW21,$BN$5:$BN$257,0),50)="Ferro Fundido",('Densidade do AR'!$S$12*1000000),IF(INDEX($A$5:$BP$257,MATCH(EW21,$BN$5:$BN$257,0),50)="Latão",('Densidade do AR'!$S$10*1000000),IF(INDEX($A$5:$BP$257,MATCH(EW21,$BN$5:$BN$257,0),50)="Alumínio",('Densidade do AR'!$S$4*1000000)))))))</f>
        <v>7700000000</v>
      </c>
      <c r="EZ21" s="785"/>
      <c r="FA21" s="785"/>
      <c r="FB21" s="786"/>
      <c r="FC21" s="787">
        <f t="shared" si="18"/>
        <v>1E+30</v>
      </c>
      <c r="FD21" s="788"/>
      <c r="FE21" s="788"/>
      <c r="FF21" s="789"/>
      <c r="FG21" s="787">
        <f t="shared" si="7"/>
        <v>2.4414062500000009E-38</v>
      </c>
      <c r="FH21" s="788"/>
      <c r="FI21" s="788"/>
      <c r="FJ21" s="789"/>
      <c r="FK21" s="790">
        <f t="shared" si="19"/>
        <v>0</v>
      </c>
      <c r="FL21" s="785"/>
      <c r="FM21" s="785"/>
      <c r="FN21" s="786"/>
      <c r="FO21" s="790">
        <f t="shared" si="8"/>
        <v>12500</v>
      </c>
      <c r="FP21" s="785"/>
      <c r="FQ21" s="785"/>
      <c r="FR21" s="786"/>
      <c r="FS21" s="790">
        <f ca="1">IF(EW21="","-",INDEX($A$5:$BP$257,MATCH(EW21,$BN$5:$BN$257,0),39)*(IF(EW21="","-",(1+(((-('Densidade do AR'!$M$4))+('Densidade do AR'!$T$15*1000000))/(IF(INDEX($A$5:$BP$257,MATCH(EW21,$BN$5:$BN$257,0),50)="Aço Inoxidável",('Densidade do AR'!$S$8*1000000),IF(INDEX($A$5:$BP$257,MATCH(EW21,$BN$5:$BN$257,0),50)="Ferro Fundido",('Densidade do AR'!$S$12*1000000),IF(INDEX($A$5:$BP$257,MATCH(EW21,$BN$5:$BN$257,0),50)="Latão",('Densidade do AR'!$S$10*1000000),IF(INDEX($A$5:$BP$257,MATCH(EW21,$BN$5:$BN$257,0),50)="Alumínio",('Densidade do AR'!$S$4*1000000)))))))-(((-('Densidade do AR'!$M$4))+('Densidade do AR'!$T$15*1000000))/('Densidade do AR'!$S$14*1000000))))))</f>
        <v>500000130.67009342</v>
      </c>
      <c r="FT21" s="785"/>
      <c r="FU21" s="785"/>
      <c r="FV21" s="791"/>
      <c r="FW21" s="91">
        <f t="shared" si="20"/>
        <v>57</v>
      </c>
      <c r="FX21" s="135"/>
    </row>
    <row r="22" spans="1:180" x14ac:dyDescent="0.2">
      <c r="A22" s="1002">
        <v>18</v>
      </c>
      <c r="B22" s="904"/>
      <c r="C22" s="966">
        <v>20</v>
      </c>
      <c r="D22" s="967"/>
      <c r="E22" s="967"/>
      <c r="F22" s="967"/>
      <c r="G22" s="968"/>
      <c r="H22" s="902">
        <v>20</v>
      </c>
      <c r="I22" s="903"/>
      <c r="J22" s="903"/>
      <c r="K22" s="904"/>
      <c r="L22" s="902" t="s">
        <v>111</v>
      </c>
      <c r="M22" s="903"/>
      <c r="N22" s="903"/>
      <c r="O22" s="904"/>
      <c r="P22" s="891" t="s">
        <v>308</v>
      </c>
      <c r="Q22" s="967"/>
      <c r="R22" s="967"/>
      <c r="S22" s="967"/>
      <c r="T22" s="968"/>
      <c r="U22" s="897" t="s">
        <v>302</v>
      </c>
      <c r="V22" s="722"/>
      <c r="W22" s="722"/>
      <c r="X22" s="722"/>
      <c r="Y22" s="722"/>
      <c r="Z22" s="722"/>
      <c r="AA22" s="723"/>
      <c r="AB22" s="853"/>
      <c r="AC22" s="854"/>
      <c r="AD22" s="854"/>
      <c r="AE22" s="854"/>
      <c r="AF22" s="854"/>
      <c r="AG22" s="854"/>
      <c r="AH22" s="854"/>
      <c r="AI22" s="854"/>
      <c r="AJ22" s="854"/>
      <c r="AK22" s="854"/>
      <c r="AL22" s="855"/>
      <c r="AM22" s="1004">
        <v>20000.02</v>
      </c>
      <c r="AN22" s="1005"/>
      <c r="AO22" s="1005"/>
      <c r="AP22" s="1005"/>
      <c r="AQ22" s="1005"/>
      <c r="AR22" s="1005"/>
      <c r="AS22" s="1006"/>
      <c r="AT22" s="1004">
        <f t="shared" si="0"/>
        <v>2.0000000000436557E-2</v>
      </c>
      <c r="AU22" s="1005"/>
      <c r="AV22" s="1005"/>
      <c r="AW22" s="1006"/>
      <c r="AX22" s="1007" t="s">
        <v>9</v>
      </c>
      <c r="AY22" s="953"/>
      <c r="AZ22" s="953"/>
      <c r="BA22" s="953"/>
      <c r="BB22" s="953"/>
      <c r="BC22" s="954"/>
      <c r="BD22" s="946">
        <v>0.08</v>
      </c>
      <c r="BE22" s="947"/>
      <c r="BF22" s="947"/>
      <c r="BG22" s="948"/>
      <c r="BH22" s="982">
        <v>2</v>
      </c>
      <c r="BI22" s="944"/>
      <c r="BJ22" s="944"/>
      <c r="BK22" s="944"/>
      <c r="BL22" s="996"/>
      <c r="BN22" s="881">
        <v>18</v>
      </c>
      <c r="BO22" s="882"/>
      <c r="BP22" s="883"/>
      <c r="BT22" s="736">
        <v>52</v>
      </c>
      <c r="BU22" s="737"/>
      <c r="BV22" s="738">
        <f>IF(BT22="","-",(IF(INDEX($A$5:$BP$257,MATCH(BT22,$BN$5:$BN$257,0),50)="Aço Inoxidável",('Densidade do AR'!$S$8*1000000),IF(INDEX($A$5:$BP$257,MATCH(BT22,$BN$5:$BN$257,0),50)="Ferro Fundido",('Densidade do AR'!$S$12*1000000),IF(INDEX($A$5:$BP$257,MATCH(BT22,$BN$5:$BN$257,0),50)="Latão",('Densidade do AR'!$S$10*1000000),IF(INDEX($A$5:$BP$257,MATCH(BT22,$BN$5:$BN$257,0),50)="Alumínio",('Densidade do AR'!$S$4*1000000)))))))</f>
        <v>7700000000</v>
      </c>
      <c r="BW22" s="739"/>
      <c r="BX22" s="739"/>
      <c r="BY22" s="740"/>
      <c r="BZ22" s="741">
        <f t="shared" si="9"/>
        <v>1E+30</v>
      </c>
      <c r="CA22" s="742"/>
      <c r="CB22" s="742"/>
      <c r="CC22" s="743"/>
      <c r="CD22" s="741">
        <f t="shared" si="1"/>
        <v>5.062499999999998E-46</v>
      </c>
      <c r="CE22" s="742"/>
      <c r="CF22" s="742"/>
      <c r="CG22" s="743"/>
      <c r="CH22" s="744">
        <f t="shared" si="10"/>
        <v>0</v>
      </c>
      <c r="CI22" s="739"/>
      <c r="CJ22" s="739"/>
      <c r="CK22" s="740"/>
      <c r="CL22" s="744">
        <f t="shared" si="2"/>
        <v>150</v>
      </c>
      <c r="CM22" s="739"/>
      <c r="CN22" s="739"/>
      <c r="CO22" s="740"/>
      <c r="CP22" s="744">
        <f ca="1">IF(BT22="","-",INDEX($A$5:$BP$257,MATCH(BT22,$BN$5:$BN$257,0),39)*(IF(BT22="","-",(1+(((-('Densidade do AR'!$M$4))+('Densidade do AR'!$T$15*1000000))/(IF(INDEX($A$5:$BP$257,MATCH(BT22,$BN$5:$BN$257,0),50)="Aço Inoxidável",('Densidade do AR'!$S$8*1000000),IF(INDEX($A$5:$BP$257,MATCH(BT22,$BN$5:$BN$257,0),50)="Ferro Fundido",('Densidade do AR'!$S$12*1000000),IF(INDEX($A$5:$BP$257,MATCH(BT22,$BN$5:$BN$257,0),50)="Latão",('Densidade do AR'!$S$10*1000000),IF(INDEX($A$5:$BP$257,MATCH(BT22,$BN$5:$BN$257,0),50)="Alumínio",('Densidade do AR'!$S$4*1000000)))))))-(((-('Densidade do AR'!$M$4))+('Densidade do AR'!$T$15*1000000))/('Densidade do AR'!$S$14*1000000))))))</f>
        <v>20000005.226803735</v>
      </c>
      <c r="CQ22" s="739"/>
      <c r="CR22" s="739"/>
      <c r="CS22" s="745"/>
      <c r="CT22" s="91">
        <f t="shared" si="11"/>
        <v>18</v>
      </c>
      <c r="CU22" s="736"/>
      <c r="CV22" s="737"/>
      <c r="CW22" s="738" t="str">
        <f>IF(CU22="","-",(IF(INDEX($A$5:$BP$257,MATCH(CU22,$BN$5:$BN$257,0),50)="Aço Inoxidável",('Densidade do AR'!$S$8*1000000),IF(INDEX($A$5:$BP$257,MATCH(CU22,$BN$5:$BN$257,0),50)="Ferro Fundido",('Densidade do AR'!$S$12*1000000),IF(INDEX($A$5:$BP$257,MATCH(CU22,$BN$5:$BN$257,0),50)="Latão",('Densidade do AR'!$S$10*1000000),IF(INDEX($A$5:$BP$257,MATCH(CU22,$BN$5:$BN$257,0),50)="Alumínio",('Densidade do AR'!$S$4*1000000)))))))</f>
        <v>-</v>
      </c>
      <c r="CX22" s="739"/>
      <c r="CY22" s="739"/>
      <c r="CZ22" s="740"/>
      <c r="DA22" s="741" t="str">
        <f t="shared" si="12"/>
        <v>-</v>
      </c>
      <c r="DB22" s="742"/>
      <c r="DC22" s="742"/>
      <c r="DD22" s="743"/>
      <c r="DE22" s="741" t="str">
        <f t="shared" si="3"/>
        <v>-</v>
      </c>
      <c r="DF22" s="742"/>
      <c r="DG22" s="742"/>
      <c r="DH22" s="743"/>
      <c r="DI22" s="744" t="str">
        <f t="shared" si="13"/>
        <v>-</v>
      </c>
      <c r="DJ22" s="739"/>
      <c r="DK22" s="739"/>
      <c r="DL22" s="740"/>
      <c r="DM22" s="744" t="str">
        <f t="shared" si="4"/>
        <v>-</v>
      </c>
      <c r="DN22" s="739"/>
      <c r="DO22" s="739"/>
      <c r="DP22" s="740"/>
      <c r="DQ22" s="744" t="str">
        <f>IF(CU22="","-",INDEX($A$5:$BP$257,MATCH(CU22,$BN$5:$BN$257,0),39)*(IF(CU22="","-",(1+(((-('Densidade do AR'!$M$4))+('Densidade do AR'!$T$15*1000000))/(IF(INDEX($A$5:$BP$257,MATCH(CU22,$BN$5:$BN$257,0),50)="Aço Inoxidável",('Densidade do AR'!$S$8*1000000),IF(INDEX($A$5:$BP$257,MATCH(CU22,$BN$5:$BN$257,0),50)="Ferro Fundido",('Densidade do AR'!$S$12*1000000),IF(INDEX($A$5:$BP$257,MATCH(CU22,$BN$5:$BN$257,0),50)="Latão",('Densidade do AR'!$S$10*1000000),IF(INDEX($A$5:$BP$257,MATCH(CU22,$BN$5:$BN$257,0),50)="Alumínio",('Densidade do AR'!$S$4*1000000)))))))-(((-('Densidade do AR'!$M$4))+('Densidade do AR'!$T$15*1000000))/('Densidade do AR'!$S$14*1000000))))))</f>
        <v>-</v>
      </c>
      <c r="DR22" s="739"/>
      <c r="DS22" s="739"/>
      <c r="DT22" s="745"/>
      <c r="DU22" s="91" t="str">
        <f t="shared" si="14"/>
        <v>-</v>
      </c>
      <c r="DV22" s="736">
        <v>77</v>
      </c>
      <c r="DW22" s="737"/>
      <c r="DX22" s="738">
        <f>IF(DV22="","-",(IF(INDEX($A$5:$BP$257,MATCH(DV22,$BN$5:$BN$257,0),50)="Aço Inoxidável",('Densidade do AR'!$S$8*1000000),IF(INDEX($A$5:$BP$257,MATCH(DV22,$BN$5:$BN$257,0),50)="Ferro Fundido",('Densidade do AR'!$S$12*1000000),IF(INDEX($A$5:$BP$257,MATCH(DV22,$BN$5:$BN$257,0),50)="Latão",('Densidade do AR'!$S$10*1000000),IF(INDEX($A$5:$BP$257,MATCH(DV22,$BN$5:$BN$257,0),50)="Alumínio",('Densidade do AR'!$S$4*1000000)))))))</f>
        <v>7700000000</v>
      </c>
      <c r="DY22" s="739"/>
      <c r="DZ22" s="739"/>
      <c r="EA22" s="740"/>
      <c r="EB22" s="741">
        <f t="shared" si="15"/>
        <v>1E+30</v>
      </c>
      <c r="EC22" s="742"/>
      <c r="ED22" s="742"/>
      <c r="EE22" s="743"/>
      <c r="EF22" s="741">
        <f t="shared" si="5"/>
        <v>2.4414062500000009E-38</v>
      </c>
      <c r="EG22" s="742"/>
      <c r="EH22" s="742"/>
      <c r="EI22" s="743"/>
      <c r="EJ22" s="744">
        <f t="shared" si="16"/>
        <v>0</v>
      </c>
      <c r="EK22" s="739"/>
      <c r="EL22" s="739"/>
      <c r="EM22" s="740"/>
      <c r="EN22" s="744">
        <f t="shared" si="6"/>
        <v>12500</v>
      </c>
      <c r="EO22" s="739"/>
      <c r="EP22" s="739"/>
      <c r="EQ22" s="740"/>
      <c r="ER22" s="744">
        <f ca="1">IF(DV22="","-",INDEX($A$5:$BP$257,MATCH(DV22,$BN$5:$BN$257,0),39)*(IF(DV22="","-",(1+(((-('Densidade do AR'!$M$4))+('Densidade do AR'!$T$15*1000000))/(IF(INDEX($A$5:$BP$257,MATCH(DV22,$BN$5:$BN$257,0),50)="Aço Inoxidável",('Densidade do AR'!$S$8*1000000),IF(INDEX($A$5:$BP$257,MATCH(DV22,$BN$5:$BN$257,0),50)="Ferro Fundido",('Densidade do AR'!$S$12*1000000),IF(INDEX($A$5:$BP$257,MATCH(DV22,$BN$5:$BN$257,0),50)="Latão",('Densidade do AR'!$S$10*1000000),IF(INDEX($A$5:$BP$257,MATCH(DV22,$BN$5:$BN$257,0),50)="Alumínio",('Densidade do AR'!$S$4*1000000)))))))-(((-('Densidade do AR'!$M$4))+('Densidade do AR'!$T$15*1000000))/('Densidade do AR'!$S$14*1000000))))))</f>
        <v>500005130.67140013</v>
      </c>
      <c r="ES22" s="739"/>
      <c r="ET22" s="739"/>
      <c r="EU22" s="745"/>
      <c r="EV22" s="91">
        <f t="shared" si="17"/>
        <v>59</v>
      </c>
      <c r="EW22" s="736">
        <v>77</v>
      </c>
      <c r="EX22" s="737"/>
      <c r="EY22" s="738">
        <f>IF(EW22="","-",(IF(INDEX($A$5:$BP$257,MATCH(EW22,$BN$5:$BN$257,0),50)="Aço Inoxidável",('Densidade do AR'!$S$8*1000000),IF(INDEX($A$5:$BP$257,MATCH(EW22,$BN$5:$BN$257,0),50)="Ferro Fundido",('Densidade do AR'!$S$12*1000000),IF(INDEX($A$5:$BP$257,MATCH(EW22,$BN$5:$BN$257,0),50)="Latão",('Densidade do AR'!$S$10*1000000),IF(INDEX($A$5:$BP$257,MATCH(EW22,$BN$5:$BN$257,0),50)="Alumínio",('Densidade do AR'!$S$4*1000000)))))))</f>
        <v>7700000000</v>
      </c>
      <c r="EZ22" s="739"/>
      <c r="FA22" s="739"/>
      <c r="FB22" s="740"/>
      <c r="FC22" s="741">
        <f t="shared" si="18"/>
        <v>1E+30</v>
      </c>
      <c r="FD22" s="742"/>
      <c r="FE22" s="742"/>
      <c r="FF22" s="743"/>
      <c r="FG22" s="741">
        <f t="shared" si="7"/>
        <v>2.4414062500000009E-38</v>
      </c>
      <c r="FH22" s="742"/>
      <c r="FI22" s="742"/>
      <c r="FJ22" s="743"/>
      <c r="FK22" s="744">
        <f t="shared" si="19"/>
        <v>0</v>
      </c>
      <c r="FL22" s="739"/>
      <c r="FM22" s="739"/>
      <c r="FN22" s="740"/>
      <c r="FO22" s="744">
        <f t="shared" si="8"/>
        <v>12500</v>
      </c>
      <c r="FP22" s="739"/>
      <c r="FQ22" s="739"/>
      <c r="FR22" s="740"/>
      <c r="FS22" s="744">
        <f ca="1">IF(EW22="","-",INDEX($A$5:$BP$257,MATCH(EW22,$BN$5:$BN$257,0),39)*(IF(EW22="","-",(1+(((-('Densidade do AR'!$M$4))+('Densidade do AR'!$T$15*1000000))/(IF(INDEX($A$5:$BP$257,MATCH(EW22,$BN$5:$BN$257,0),50)="Aço Inoxidável",('Densidade do AR'!$S$8*1000000),IF(INDEX($A$5:$BP$257,MATCH(EW22,$BN$5:$BN$257,0),50)="Ferro Fundido",('Densidade do AR'!$S$12*1000000),IF(INDEX($A$5:$BP$257,MATCH(EW22,$BN$5:$BN$257,0),50)="Latão",('Densidade do AR'!$S$10*1000000),IF(INDEX($A$5:$BP$257,MATCH(EW22,$BN$5:$BN$257,0),50)="Alumínio",('Densidade do AR'!$S$4*1000000)))))))-(((-('Densidade do AR'!$M$4))+('Densidade do AR'!$T$15*1000000))/('Densidade do AR'!$S$14*1000000))))))</f>
        <v>500005130.67140013</v>
      </c>
      <c r="FT22" s="739"/>
      <c r="FU22" s="739"/>
      <c r="FV22" s="745"/>
      <c r="FW22" s="91">
        <f t="shared" si="20"/>
        <v>59</v>
      </c>
      <c r="FX22" s="135"/>
    </row>
    <row r="23" spans="1:180" x14ac:dyDescent="0.2">
      <c r="A23" s="1001">
        <v>19</v>
      </c>
      <c r="B23" s="907"/>
      <c r="C23" s="957">
        <v>20</v>
      </c>
      <c r="D23" s="955"/>
      <c r="E23" s="955"/>
      <c r="F23" s="955"/>
      <c r="G23" s="956"/>
      <c r="H23" s="984" t="s">
        <v>311</v>
      </c>
      <c r="I23" s="906"/>
      <c r="J23" s="906"/>
      <c r="K23" s="907"/>
      <c r="L23" s="905" t="s">
        <v>111</v>
      </c>
      <c r="M23" s="906"/>
      <c r="N23" s="906"/>
      <c r="O23" s="907"/>
      <c r="P23" s="894" t="s">
        <v>308</v>
      </c>
      <c r="Q23" s="955"/>
      <c r="R23" s="955"/>
      <c r="S23" s="955"/>
      <c r="T23" s="956"/>
      <c r="U23" s="898" t="s">
        <v>302</v>
      </c>
      <c r="V23" s="715"/>
      <c r="W23" s="715"/>
      <c r="X23" s="715"/>
      <c r="Y23" s="715"/>
      <c r="Z23" s="715"/>
      <c r="AA23" s="716"/>
      <c r="AB23" s="850"/>
      <c r="AC23" s="851"/>
      <c r="AD23" s="851"/>
      <c r="AE23" s="851"/>
      <c r="AF23" s="851"/>
      <c r="AG23" s="851"/>
      <c r="AH23" s="851"/>
      <c r="AI23" s="851"/>
      <c r="AJ23" s="851"/>
      <c r="AK23" s="851"/>
      <c r="AL23" s="852"/>
      <c r="AM23" s="988">
        <v>19999.999</v>
      </c>
      <c r="AN23" s="989"/>
      <c r="AO23" s="989"/>
      <c r="AP23" s="989"/>
      <c r="AQ23" s="989"/>
      <c r="AR23" s="989"/>
      <c r="AS23" s="990"/>
      <c r="AT23" s="988">
        <f t="shared" si="0"/>
        <v>-1.0000000002037268E-3</v>
      </c>
      <c r="AU23" s="989"/>
      <c r="AV23" s="989"/>
      <c r="AW23" s="990"/>
      <c r="AX23" s="1003" t="s">
        <v>9</v>
      </c>
      <c r="AY23" s="950"/>
      <c r="AZ23" s="950"/>
      <c r="BA23" s="950"/>
      <c r="BB23" s="950"/>
      <c r="BC23" s="951"/>
      <c r="BD23" s="998">
        <v>0.08</v>
      </c>
      <c r="BE23" s="999"/>
      <c r="BF23" s="999"/>
      <c r="BG23" s="1000"/>
      <c r="BH23" s="985">
        <v>2.0099999999999998</v>
      </c>
      <c r="BI23" s="986"/>
      <c r="BJ23" s="986"/>
      <c r="BK23" s="986"/>
      <c r="BL23" s="997"/>
      <c r="BN23" s="878">
        <v>19</v>
      </c>
      <c r="BO23" s="879"/>
      <c r="BP23" s="880"/>
      <c r="BT23" s="736">
        <v>53</v>
      </c>
      <c r="BU23" s="737"/>
      <c r="BV23" s="784">
        <f>IF(BT23="","-",(IF(INDEX($A$5:$BP$257,MATCH(BT23,$BN$5:$BN$257,0),50)="Aço Inoxidável",('Densidade do AR'!$S$8*1000000),IF(INDEX($A$5:$BP$257,MATCH(BT23,$BN$5:$BN$257,0),50)="Ferro Fundido",('Densidade do AR'!$S$12*1000000),IF(INDEX($A$5:$BP$257,MATCH(BT23,$BN$5:$BN$257,0),50)="Latão",('Densidade do AR'!$S$10*1000000),IF(INDEX($A$5:$BP$257,MATCH(BT23,$BN$5:$BN$257,0),50)="Alumínio",('Densidade do AR'!$S$4*1000000)))))))</f>
        <v>7700000000</v>
      </c>
      <c r="BW23" s="785"/>
      <c r="BX23" s="785"/>
      <c r="BY23" s="786"/>
      <c r="BZ23" s="787">
        <f t="shared" si="9"/>
        <v>1E+30</v>
      </c>
      <c r="CA23" s="788"/>
      <c r="CB23" s="788"/>
      <c r="CC23" s="789"/>
      <c r="CD23" s="787">
        <f t="shared" si="1"/>
        <v>5.062499999999998E-46</v>
      </c>
      <c r="CE23" s="788"/>
      <c r="CF23" s="788"/>
      <c r="CG23" s="789"/>
      <c r="CH23" s="790">
        <f t="shared" si="10"/>
        <v>0</v>
      </c>
      <c r="CI23" s="785"/>
      <c r="CJ23" s="785"/>
      <c r="CK23" s="786"/>
      <c r="CL23" s="790">
        <f t="shared" si="2"/>
        <v>150</v>
      </c>
      <c r="CM23" s="785"/>
      <c r="CN23" s="785"/>
      <c r="CO23" s="786"/>
      <c r="CP23" s="790">
        <f ca="1">IF(BT23="","-",INDEX($A$5:$BP$257,MATCH(BT23,$BN$5:$BN$257,0),39)*(IF(BT23="","-",(1+(((-('Densidade do AR'!$M$4))+('Densidade do AR'!$T$15*1000000))/(IF(INDEX($A$5:$BP$257,MATCH(BT23,$BN$5:$BN$257,0),50)="Aço Inoxidável",('Densidade do AR'!$S$8*1000000),IF(INDEX($A$5:$BP$257,MATCH(BT23,$BN$5:$BN$257,0),50)="Ferro Fundido",('Densidade do AR'!$S$12*1000000),IF(INDEX($A$5:$BP$257,MATCH(BT23,$BN$5:$BN$257,0),50)="Latão",('Densidade do AR'!$S$10*1000000),IF(INDEX($A$5:$BP$257,MATCH(BT23,$BN$5:$BN$257,0),50)="Alumínio",('Densidade do AR'!$S$4*1000000)))))))-(((-('Densidade do AR'!$M$4))+('Densidade do AR'!$T$15*1000000))/('Densidade do AR'!$S$14*1000000))))))</f>
        <v>20000005.226803735</v>
      </c>
      <c r="CQ23" s="785"/>
      <c r="CR23" s="785"/>
      <c r="CS23" s="791"/>
      <c r="CT23" s="91">
        <f t="shared" si="11"/>
        <v>19</v>
      </c>
      <c r="CU23" s="746"/>
      <c r="CV23" s="747"/>
      <c r="CW23" s="784" t="str">
        <f>IF(CU23="","-",(IF(INDEX($A$5:$BP$257,MATCH(CU23,$BN$5:$BN$257,0),50)="Aço Inoxidável",('Densidade do AR'!$S$8*1000000),IF(INDEX($A$5:$BP$257,MATCH(CU23,$BN$5:$BN$257,0),50)="Ferro Fundido",('Densidade do AR'!$S$12*1000000),IF(INDEX($A$5:$BP$257,MATCH(CU23,$BN$5:$BN$257,0),50)="Latão",('Densidade do AR'!$S$10*1000000),IF(INDEX($A$5:$BP$257,MATCH(CU23,$BN$5:$BN$257,0),50)="Alumínio",('Densidade do AR'!$S$4*1000000)))))))</f>
        <v>-</v>
      </c>
      <c r="CX23" s="785"/>
      <c r="CY23" s="785"/>
      <c r="CZ23" s="786"/>
      <c r="DA23" s="787" t="str">
        <f t="shared" si="12"/>
        <v>-</v>
      </c>
      <c r="DB23" s="788"/>
      <c r="DC23" s="788"/>
      <c r="DD23" s="789"/>
      <c r="DE23" s="787" t="str">
        <f t="shared" si="3"/>
        <v>-</v>
      </c>
      <c r="DF23" s="788"/>
      <c r="DG23" s="788"/>
      <c r="DH23" s="789"/>
      <c r="DI23" s="790" t="str">
        <f t="shared" si="13"/>
        <v>-</v>
      </c>
      <c r="DJ23" s="785"/>
      <c r="DK23" s="785"/>
      <c r="DL23" s="786"/>
      <c r="DM23" s="790" t="str">
        <f t="shared" si="4"/>
        <v>-</v>
      </c>
      <c r="DN23" s="785"/>
      <c r="DO23" s="785"/>
      <c r="DP23" s="786"/>
      <c r="DQ23" s="790" t="str">
        <f>IF(CU23="","-",INDEX($A$5:$BP$257,MATCH(CU23,$BN$5:$BN$257,0),39)*(IF(CU23="","-",(1+(((-('Densidade do AR'!$M$4))+('Densidade do AR'!$T$15*1000000))/(IF(INDEX($A$5:$BP$257,MATCH(CU23,$BN$5:$BN$257,0),50)="Aço Inoxidável",('Densidade do AR'!$S$8*1000000),IF(INDEX($A$5:$BP$257,MATCH(CU23,$BN$5:$BN$257,0),50)="Ferro Fundido",('Densidade do AR'!$S$12*1000000),IF(INDEX($A$5:$BP$257,MATCH(CU23,$BN$5:$BN$257,0),50)="Latão",('Densidade do AR'!$S$10*1000000),IF(INDEX($A$5:$BP$257,MATCH(CU23,$BN$5:$BN$257,0),50)="Alumínio",('Densidade do AR'!$S$4*1000000)))))))-(((-('Densidade do AR'!$M$4))+('Densidade do AR'!$T$15*1000000))/('Densidade do AR'!$S$14*1000000))))))</f>
        <v>-</v>
      </c>
      <c r="DR23" s="785"/>
      <c r="DS23" s="785"/>
      <c r="DT23" s="791"/>
      <c r="DU23" s="91" t="str">
        <f t="shared" si="14"/>
        <v>-</v>
      </c>
      <c r="DV23" s="870">
        <v>78</v>
      </c>
      <c r="DW23" s="871"/>
      <c r="DX23" s="784">
        <f>IF(DV23="","-",(IF(INDEX($A$5:$BP$257,MATCH(DV23,$BN$5:$BN$257,0),50)="Aço Inoxidável",('Densidade do AR'!$S$8*1000000),IF(INDEX($A$5:$BP$257,MATCH(DV23,$BN$5:$BN$257,0),50)="Ferro Fundido",('Densidade do AR'!$S$12*1000000),IF(INDEX($A$5:$BP$257,MATCH(DV23,$BN$5:$BN$257,0),50)="Latão",('Densidade do AR'!$S$10*1000000),IF(INDEX($A$5:$BP$257,MATCH(DV23,$BN$5:$BN$257,0),50)="Alumínio",('Densidade do AR'!$S$4*1000000)))))))</f>
        <v>7700000000</v>
      </c>
      <c r="DY23" s="785"/>
      <c r="DZ23" s="785"/>
      <c r="EA23" s="786"/>
      <c r="EB23" s="787">
        <f t="shared" si="15"/>
        <v>1E+30</v>
      </c>
      <c r="EC23" s="788"/>
      <c r="ED23" s="788"/>
      <c r="EE23" s="789"/>
      <c r="EF23" s="787">
        <f t="shared" si="5"/>
        <v>2.4414062500000009E-38</v>
      </c>
      <c r="EG23" s="788"/>
      <c r="EH23" s="788"/>
      <c r="EI23" s="789"/>
      <c r="EJ23" s="790">
        <f t="shared" si="16"/>
        <v>0</v>
      </c>
      <c r="EK23" s="785"/>
      <c r="EL23" s="785"/>
      <c r="EM23" s="786"/>
      <c r="EN23" s="790">
        <f t="shared" si="6"/>
        <v>12500</v>
      </c>
      <c r="EO23" s="785"/>
      <c r="EP23" s="785"/>
      <c r="EQ23" s="786"/>
      <c r="ER23" s="790">
        <f ca="1">IF(DV23="","-",INDEX($A$5:$BP$257,MATCH(DV23,$BN$5:$BN$257,0),39)*(IF(DV23="","-",(1+(((-('Densidade do AR'!$M$4))+('Densidade do AR'!$T$15*1000000))/(IF(INDEX($A$5:$BP$257,MATCH(DV23,$BN$5:$BN$257,0),50)="Aço Inoxidável",('Densidade do AR'!$S$8*1000000),IF(INDEX($A$5:$BP$257,MATCH(DV23,$BN$5:$BN$257,0),50)="Ferro Fundido",('Densidade do AR'!$S$12*1000000),IF(INDEX($A$5:$BP$257,MATCH(DV23,$BN$5:$BN$257,0),50)="Latão",('Densidade do AR'!$S$10*1000000),IF(INDEX($A$5:$BP$257,MATCH(DV23,$BN$5:$BN$257,0),50)="Alumínio",('Densidade do AR'!$S$4*1000000)))))))-(((-('Densidade do AR'!$M$4))+('Densidade do AR'!$T$15*1000000))/('Densidade do AR'!$S$14*1000000))))))</f>
        <v>500000130.67009342</v>
      </c>
      <c r="ES23" s="785"/>
      <c r="ET23" s="785"/>
      <c r="EU23" s="791"/>
      <c r="EV23" s="91">
        <f t="shared" si="17"/>
        <v>62</v>
      </c>
      <c r="EW23" s="870">
        <v>78</v>
      </c>
      <c r="EX23" s="871"/>
      <c r="EY23" s="784">
        <f>IF(EW23="","-",(IF(INDEX($A$5:$BP$257,MATCH(EW23,$BN$5:$BN$257,0),50)="Aço Inoxidável",('Densidade do AR'!$S$8*1000000),IF(INDEX($A$5:$BP$257,MATCH(EW23,$BN$5:$BN$257,0),50)="Ferro Fundido",('Densidade do AR'!$S$12*1000000),IF(INDEX($A$5:$BP$257,MATCH(EW23,$BN$5:$BN$257,0),50)="Latão",('Densidade do AR'!$S$10*1000000),IF(INDEX($A$5:$BP$257,MATCH(EW23,$BN$5:$BN$257,0),50)="Alumínio",('Densidade do AR'!$S$4*1000000)))))))</f>
        <v>7700000000</v>
      </c>
      <c r="EZ23" s="785"/>
      <c r="FA23" s="785"/>
      <c r="FB23" s="786"/>
      <c r="FC23" s="787">
        <f t="shared" si="18"/>
        <v>1E+30</v>
      </c>
      <c r="FD23" s="788"/>
      <c r="FE23" s="788"/>
      <c r="FF23" s="789"/>
      <c r="FG23" s="787">
        <f t="shared" si="7"/>
        <v>2.4414062500000009E-38</v>
      </c>
      <c r="FH23" s="788"/>
      <c r="FI23" s="788"/>
      <c r="FJ23" s="789"/>
      <c r="FK23" s="790">
        <f t="shared" si="19"/>
        <v>0</v>
      </c>
      <c r="FL23" s="785"/>
      <c r="FM23" s="785"/>
      <c r="FN23" s="786"/>
      <c r="FO23" s="790">
        <f t="shared" si="8"/>
        <v>12500</v>
      </c>
      <c r="FP23" s="785"/>
      <c r="FQ23" s="785"/>
      <c r="FR23" s="786"/>
      <c r="FS23" s="790">
        <f ca="1">IF(EW23="","-",INDEX($A$5:$BP$257,MATCH(EW23,$BN$5:$BN$257,0),39)*(IF(EW23="","-",(1+(((-('Densidade do AR'!$M$4))+('Densidade do AR'!$T$15*1000000))/(IF(INDEX($A$5:$BP$257,MATCH(EW23,$BN$5:$BN$257,0),50)="Aço Inoxidável",('Densidade do AR'!$S$8*1000000),IF(INDEX($A$5:$BP$257,MATCH(EW23,$BN$5:$BN$257,0),50)="Ferro Fundido",('Densidade do AR'!$S$12*1000000),IF(INDEX($A$5:$BP$257,MATCH(EW23,$BN$5:$BN$257,0),50)="Latão",('Densidade do AR'!$S$10*1000000),IF(INDEX($A$5:$BP$257,MATCH(EW23,$BN$5:$BN$257,0),50)="Alumínio",('Densidade do AR'!$S$4*1000000)))))))-(((-('Densidade do AR'!$M$4))+('Densidade do AR'!$T$15*1000000))/('Densidade do AR'!$S$14*1000000))))))</f>
        <v>500000130.67009342</v>
      </c>
      <c r="FT23" s="785"/>
      <c r="FU23" s="785"/>
      <c r="FV23" s="791"/>
      <c r="FW23" s="91">
        <f t="shared" si="20"/>
        <v>62</v>
      </c>
      <c r="FX23" s="135"/>
    </row>
    <row r="24" spans="1:180" x14ac:dyDescent="0.2">
      <c r="A24" s="1002">
        <v>20</v>
      </c>
      <c r="B24" s="904"/>
      <c r="C24" s="966">
        <v>50</v>
      </c>
      <c r="D24" s="967"/>
      <c r="E24" s="967"/>
      <c r="F24" s="967"/>
      <c r="G24" s="968"/>
      <c r="H24" s="902">
        <v>50</v>
      </c>
      <c r="I24" s="903"/>
      <c r="J24" s="903"/>
      <c r="K24" s="904"/>
      <c r="L24" s="902" t="s">
        <v>111</v>
      </c>
      <c r="M24" s="903"/>
      <c r="N24" s="903"/>
      <c r="O24" s="904"/>
      <c r="P24" s="891" t="s">
        <v>308</v>
      </c>
      <c r="Q24" s="967"/>
      <c r="R24" s="967"/>
      <c r="S24" s="967"/>
      <c r="T24" s="968"/>
      <c r="U24" s="897" t="s">
        <v>302</v>
      </c>
      <c r="V24" s="722"/>
      <c r="W24" s="722"/>
      <c r="X24" s="722"/>
      <c r="Y24" s="722"/>
      <c r="Z24" s="722"/>
      <c r="AA24" s="723"/>
      <c r="AB24" s="853"/>
      <c r="AC24" s="854"/>
      <c r="AD24" s="854"/>
      <c r="AE24" s="854"/>
      <c r="AF24" s="854"/>
      <c r="AG24" s="854"/>
      <c r="AH24" s="854"/>
      <c r="AI24" s="854"/>
      <c r="AJ24" s="854"/>
      <c r="AK24" s="854"/>
      <c r="AL24" s="855"/>
      <c r="AM24" s="1004">
        <v>50000.03</v>
      </c>
      <c r="AN24" s="1005"/>
      <c r="AO24" s="1005"/>
      <c r="AP24" s="1005"/>
      <c r="AQ24" s="1005"/>
      <c r="AR24" s="1005"/>
      <c r="AS24" s="1006"/>
      <c r="AT24" s="1004">
        <f t="shared" si="0"/>
        <v>2.9999999998835847E-2</v>
      </c>
      <c r="AU24" s="1005"/>
      <c r="AV24" s="1005"/>
      <c r="AW24" s="1006"/>
      <c r="AX24" s="1007" t="s">
        <v>9</v>
      </c>
      <c r="AY24" s="953"/>
      <c r="AZ24" s="953"/>
      <c r="BA24" s="953"/>
      <c r="BB24" s="953"/>
      <c r="BC24" s="954"/>
      <c r="BD24" s="946">
        <v>0.1</v>
      </c>
      <c r="BE24" s="947"/>
      <c r="BF24" s="947"/>
      <c r="BG24" s="948"/>
      <c r="BH24" s="982">
        <v>2</v>
      </c>
      <c r="BI24" s="944"/>
      <c r="BJ24" s="944"/>
      <c r="BK24" s="944"/>
      <c r="BL24" s="996"/>
      <c r="BN24" s="881">
        <v>20</v>
      </c>
      <c r="BO24" s="882"/>
      <c r="BP24" s="883"/>
      <c r="BT24" s="736">
        <v>54</v>
      </c>
      <c r="BU24" s="737"/>
      <c r="BV24" s="738">
        <f>IF(BT24="","-",(IF(INDEX($A$5:$BP$257,MATCH(BT24,$BN$5:$BN$257,0),50)="Aço Inoxidável",('Densidade do AR'!$S$8*1000000),IF(INDEX($A$5:$BP$257,MATCH(BT24,$BN$5:$BN$257,0),50)="Ferro Fundido",('Densidade do AR'!$S$12*1000000),IF(INDEX($A$5:$BP$257,MATCH(BT24,$BN$5:$BN$257,0),50)="Latão",('Densidade do AR'!$S$10*1000000),IF(INDEX($A$5:$BP$257,MATCH(BT24,$BN$5:$BN$257,0),50)="Alumínio",('Densidade do AR'!$S$4*1000000)))))))</f>
        <v>7700000000</v>
      </c>
      <c r="BW24" s="739"/>
      <c r="BX24" s="739"/>
      <c r="BY24" s="740"/>
      <c r="BZ24" s="741">
        <f t="shared" si="9"/>
        <v>1E+30</v>
      </c>
      <c r="CA24" s="742"/>
      <c r="CB24" s="742"/>
      <c r="CC24" s="743"/>
      <c r="CD24" s="741">
        <f t="shared" si="1"/>
        <v>5.062499999999998E-46</v>
      </c>
      <c r="CE24" s="742"/>
      <c r="CF24" s="742"/>
      <c r="CG24" s="743"/>
      <c r="CH24" s="744">
        <f t="shared" si="10"/>
        <v>0</v>
      </c>
      <c r="CI24" s="739"/>
      <c r="CJ24" s="739"/>
      <c r="CK24" s="740"/>
      <c r="CL24" s="744">
        <f t="shared" si="2"/>
        <v>150</v>
      </c>
      <c r="CM24" s="739"/>
      <c r="CN24" s="739"/>
      <c r="CO24" s="740"/>
      <c r="CP24" s="744">
        <f ca="1">IF(BT24="","-",INDEX($A$5:$BP$257,MATCH(BT24,$BN$5:$BN$257,0),39)*(IF(BT24="","-",(1+(((-('Densidade do AR'!$M$4))+('Densidade do AR'!$T$15*1000000))/(IF(INDEX($A$5:$BP$257,MATCH(BT24,$BN$5:$BN$257,0),50)="Aço Inoxidável",('Densidade do AR'!$S$8*1000000),IF(INDEX($A$5:$BP$257,MATCH(BT24,$BN$5:$BN$257,0),50)="Ferro Fundido",('Densidade do AR'!$S$12*1000000),IF(INDEX($A$5:$BP$257,MATCH(BT24,$BN$5:$BN$257,0),50)="Latão",('Densidade do AR'!$S$10*1000000),IF(INDEX($A$5:$BP$257,MATCH(BT24,$BN$5:$BN$257,0),50)="Alumínio",('Densidade do AR'!$S$4*1000000)))))))-(((-('Densidade do AR'!$M$4))+('Densidade do AR'!$T$15*1000000))/('Densidade do AR'!$S$14*1000000))))))</f>
        <v>20000005.226803735</v>
      </c>
      <c r="CQ24" s="739"/>
      <c r="CR24" s="739"/>
      <c r="CS24" s="745"/>
      <c r="CT24" s="91">
        <f t="shared" si="11"/>
        <v>20</v>
      </c>
      <c r="CU24" s="736"/>
      <c r="CV24" s="737"/>
      <c r="CW24" s="738" t="str">
        <f>IF(CU24="","-",(IF(INDEX($A$5:$BP$257,MATCH(CU24,$BN$5:$BN$257,0),50)="Aço Inoxidável",('Densidade do AR'!$S$8*1000000),IF(INDEX($A$5:$BP$257,MATCH(CU24,$BN$5:$BN$257,0),50)="Ferro Fundido",('Densidade do AR'!$S$12*1000000),IF(INDEX($A$5:$BP$257,MATCH(CU24,$BN$5:$BN$257,0),50)="Latão",('Densidade do AR'!$S$10*1000000),IF(INDEX($A$5:$BP$257,MATCH(CU24,$BN$5:$BN$257,0),50)="Alumínio",('Densidade do AR'!$S$4*1000000)))))))</f>
        <v>-</v>
      </c>
      <c r="CX24" s="739"/>
      <c r="CY24" s="739"/>
      <c r="CZ24" s="740"/>
      <c r="DA24" s="741" t="str">
        <f t="shared" si="12"/>
        <v>-</v>
      </c>
      <c r="DB24" s="742"/>
      <c r="DC24" s="742"/>
      <c r="DD24" s="743"/>
      <c r="DE24" s="741" t="str">
        <f t="shared" si="3"/>
        <v>-</v>
      </c>
      <c r="DF24" s="742"/>
      <c r="DG24" s="742"/>
      <c r="DH24" s="743"/>
      <c r="DI24" s="744" t="str">
        <f t="shared" si="13"/>
        <v>-</v>
      </c>
      <c r="DJ24" s="739"/>
      <c r="DK24" s="739"/>
      <c r="DL24" s="740"/>
      <c r="DM24" s="744" t="str">
        <f t="shared" si="4"/>
        <v>-</v>
      </c>
      <c r="DN24" s="739"/>
      <c r="DO24" s="739"/>
      <c r="DP24" s="740"/>
      <c r="DQ24" s="744" t="str">
        <f>IF(CU24="","-",INDEX($A$5:$BP$257,MATCH(CU24,$BN$5:$BN$257,0),39)*(IF(CU24="","-",(1+(((-('Densidade do AR'!$M$4))+('Densidade do AR'!$T$15*1000000))/(IF(INDEX($A$5:$BP$257,MATCH(CU24,$BN$5:$BN$257,0),50)="Aço Inoxidável",('Densidade do AR'!$S$8*1000000),IF(INDEX($A$5:$BP$257,MATCH(CU24,$BN$5:$BN$257,0),50)="Ferro Fundido",('Densidade do AR'!$S$12*1000000),IF(INDEX($A$5:$BP$257,MATCH(CU24,$BN$5:$BN$257,0),50)="Latão",('Densidade do AR'!$S$10*1000000),IF(INDEX($A$5:$BP$257,MATCH(CU24,$BN$5:$BN$257,0),50)="Alumínio",('Densidade do AR'!$S$4*1000000)))))))-(((-('Densidade do AR'!$M$4))+('Densidade do AR'!$T$15*1000000))/('Densidade do AR'!$S$14*1000000))))))</f>
        <v>-</v>
      </c>
      <c r="DR24" s="739"/>
      <c r="DS24" s="739"/>
      <c r="DT24" s="745"/>
      <c r="DU24" s="91" t="str">
        <f t="shared" si="14"/>
        <v>-</v>
      </c>
      <c r="DV24" s="736">
        <v>79</v>
      </c>
      <c r="DW24" s="737"/>
      <c r="DX24" s="738">
        <f>IF(DV24="","-",(IF(INDEX($A$5:$BP$257,MATCH(DV24,$BN$5:$BN$257,0),50)="Aço Inoxidável",('Densidade do AR'!$S$8*1000000),IF(INDEX($A$5:$BP$257,MATCH(DV24,$BN$5:$BN$257,0),50)="Ferro Fundido",('Densidade do AR'!$S$12*1000000),IF(INDEX($A$5:$BP$257,MATCH(DV24,$BN$5:$BN$257,0),50)="Latão",('Densidade do AR'!$S$10*1000000),IF(INDEX($A$5:$BP$257,MATCH(DV24,$BN$5:$BN$257,0),50)="Alumínio",('Densidade do AR'!$S$4*1000000)))))))</f>
        <v>7700000000</v>
      </c>
      <c r="DY24" s="739"/>
      <c r="DZ24" s="739"/>
      <c r="EA24" s="740"/>
      <c r="EB24" s="741">
        <f t="shared" si="15"/>
        <v>1E+30</v>
      </c>
      <c r="EC24" s="742"/>
      <c r="ED24" s="742"/>
      <c r="EE24" s="743"/>
      <c r="EF24" s="741">
        <f t="shared" si="5"/>
        <v>2.4414062500000009E-38</v>
      </c>
      <c r="EG24" s="742"/>
      <c r="EH24" s="742"/>
      <c r="EI24" s="743"/>
      <c r="EJ24" s="744">
        <f t="shared" si="16"/>
        <v>0</v>
      </c>
      <c r="EK24" s="739"/>
      <c r="EL24" s="739"/>
      <c r="EM24" s="740"/>
      <c r="EN24" s="744">
        <f t="shared" si="6"/>
        <v>12500</v>
      </c>
      <c r="EO24" s="739"/>
      <c r="EP24" s="739"/>
      <c r="EQ24" s="740"/>
      <c r="ER24" s="744">
        <f ca="1">IF(DV24="","-",INDEX($A$5:$BP$257,MATCH(DV24,$BN$5:$BN$257,0),39)*(IF(DV24="","-",(1+(((-('Densidade do AR'!$M$4))+('Densidade do AR'!$T$15*1000000))/(IF(INDEX($A$5:$BP$257,MATCH(DV24,$BN$5:$BN$257,0),50)="Aço Inoxidável",('Densidade do AR'!$S$8*1000000),IF(INDEX($A$5:$BP$257,MATCH(DV24,$BN$5:$BN$257,0),50)="Ferro Fundido",('Densidade do AR'!$S$12*1000000),IF(INDEX($A$5:$BP$257,MATCH(DV24,$BN$5:$BN$257,0),50)="Latão",('Densidade do AR'!$S$10*1000000),IF(INDEX($A$5:$BP$257,MATCH(DV24,$BN$5:$BN$257,0),50)="Alumínio",('Densidade do AR'!$S$4*1000000)))))))-(((-('Densidade do AR'!$M$4))+('Densidade do AR'!$T$15*1000000))/('Densidade do AR'!$S$14*1000000))))))</f>
        <v>499995130.6687867</v>
      </c>
      <c r="ES24" s="739"/>
      <c r="ET24" s="739"/>
      <c r="EU24" s="745"/>
      <c r="EV24" s="91">
        <f t="shared" si="17"/>
        <v>63</v>
      </c>
      <c r="EW24" s="736">
        <v>79</v>
      </c>
      <c r="EX24" s="737"/>
      <c r="EY24" s="738">
        <f>IF(EW24="","-",(IF(INDEX($A$5:$BP$257,MATCH(EW24,$BN$5:$BN$257,0),50)="Aço Inoxidável",('Densidade do AR'!$S$8*1000000),IF(INDEX($A$5:$BP$257,MATCH(EW24,$BN$5:$BN$257,0),50)="Ferro Fundido",('Densidade do AR'!$S$12*1000000),IF(INDEX($A$5:$BP$257,MATCH(EW24,$BN$5:$BN$257,0),50)="Latão",('Densidade do AR'!$S$10*1000000),IF(INDEX($A$5:$BP$257,MATCH(EW24,$BN$5:$BN$257,0),50)="Alumínio",('Densidade do AR'!$S$4*1000000)))))))</f>
        <v>7700000000</v>
      </c>
      <c r="EZ24" s="739"/>
      <c r="FA24" s="739"/>
      <c r="FB24" s="740"/>
      <c r="FC24" s="741">
        <f t="shared" si="18"/>
        <v>1E+30</v>
      </c>
      <c r="FD24" s="742"/>
      <c r="FE24" s="742"/>
      <c r="FF24" s="743"/>
      <c r="FG24" s="741">
        <f t="shared" si="7"/>
        <v>2.4414062500000009E-38</v>
      </c>
      <c r="FH24" s="742"/>
      <c r="FI24" s="742"/>
      <c r="FJ24" s="743"/>
      <c r="FK24" s="744">
        <f t="shared" si="19"/>
        <v>0</v>
      </c>
      <c r="FL24" s="739"/>
      <c r="FM24" s="739"/>
      <c r="FN24" s="740"/>
      <c r="FO24" s="744">
        <f t="shared" si="8"/>
        <v>12500</v>
      </c>
      <c r="FP24" s="739"/>
      <c r="FQ24" s="739"/>
      <c r="FR24" s="740"/>
      <c r="FS24" s="744">
        <f ca="1">IF(EW24="","-",INDEX($A$5:$BP$257,MATCH(EW24,$BN$5:$BN$257,0),39)*(IF(EW24="","-",(1+(((-('Densidade do AR'!$M$4))+('Densidade do AR'!$T$15*1000000))/(IF(INDEX($A$5:$BP$257,MATCH(EW24,$BN$5:$BN$257,0),50)="Aço Inoxidável",('Densidade do AR'!$S$8*1000000),IF(INDEX($A$5:$BP$257,MATCH(EW24,$BN$5:$BN$257,0),50)="Ferro Fundido",('Densidade do AR'!$S$12*1000000),IF(INDEX($A$5:$BP$257,MATCH(EW24,$BN$5:$BN$257,0),50)="Latão",('Densidade do AR'!$S$10*1000000),IF(INDEX($A$5:$BP$257,MATCH(EW24,$BN$5:$BN$257,0),50)="Alumínio",('Densidade do AR'!$S$4*1000000)))))))-(((-('Densidade do AR'!$M$4))+('Densidade do AR'!$T$15*1000000))/('Densidade do AR'!$S$14*1000000))))))</f>
        <v>499995130.6687867</v>
      </c>
      <c r="FT24" s="739"/>
      <c r="FU24" s="739"/>
      <c r="FV24" s="745"/>
      <c r="FW24" s="91">
        <f t="shared" si="20"/>
        <v>63</v>
      </c>
      <c r="FX24" s="135"/>
    </row>
    <row r="25" spans="1:180" x14ac:dyDescent="0.2">
      <c r="A25" s="1001">
        <v>21</v>
      </c>
      <c r="B25" s="907"/>
      <c r="C25" s="957">
        <v>100</v>
      </c>
      <c r="D25" s="955"/>
      <c r="E25" s="955"/>
      <c r="F25" s="955"/>
      <c r="G25" s="956"/>
      <c r="H25" s="905">
        <v>100</v>
      </c>
      <c r="I25" s="906"/>
      <c r="J25" s="906"/>
      <c r="K25" s="907"/>
      <c r="L25" s="905" t="s">
        <v>111</v>
      </c>
      <c r="M25" s="906"/>
      <c r="N25" s="906"/>
      <c r="O25" s="907"/>
      <c r="P25" s="894" t="s">
        <v>308</v>
      </c>
      <c r="Q25" s="955"/>
      <c r="R25" s="955"/>
      <c r="S25" s="955"/>
      <c r="T25" s="956"/>
      <c r="U25" s="898" t="s">
        <v>302</v>
      </c>
      <c r="V25" s="715"/>
      <c r="W25" s="715"/>
      <c r="X25" s="715"/>
      <c r="Y25" s="715"/>
      <c r="Z25" s="715"/>
      <c r="AA25" s="716"/>
      <c r="AB25" s="850"/>
      <c r="AC25" s="851"/>
      <c r="AD25" s="851"/>
      <c r="AE25" s="851"/>
      <c r="AF25" s="851"/>
      <c r="AG25" s="851"/>
      <c r="AH25" s="851"/>
      <c r="AI25" s="851"/>
      <c r="AJ25" s="851"/>
      <c r="AK25" s="851"/>
      <c r="AL25" s="852"/>
      <c r="AM25" s="988">
        <v>100000.11</v>
      </c>
      <c r="AN25" s="989"/>
      <c r="AO25" s="989"/>
      <c r="AP25" s="989"/>
      <c r="AQ25" s="989"/>
      <c r="AR25" s="989"/>
      <c r="AS25" s="990"/>
      <c r="AT25" s="988">
        <f t="shared" si="0"/>
        <v>0.11000000000058208</v>
      </c>
      <c r="AU25" s="989"/>
      <c r="AV25" s="989"/>
      <c r="AW25" s="990"/>
      <c r="AX25" s="1003" t="s">
        <v>9</v>
      </c>
      <c r="AY25" s="950"/>
      <c r="AZ25" s="950"/>
      <c r="BA25" s="950"/>
      <c r="BB25" s="950"/>
      <c r="BC25" s="951"/>
      <c r="BD25" s="998">
        <v>0.17</v>
      </c>
      <c r="BE25" s="999"/>
      <c r="BF25" s="999"/>
      <c r="BG25" s="1000"/>
      <c r="BH25" s="985">
        <v>2</v>
      </c>
      <c r="BI25" s="986"/>
      <c r="BJ25" s="986"/>
      <c r="BK25" s="986"/>
      <c r="BL25" s="997"/>
      <c r="BN25" s="878">
        <v>21</v>
      </c>
      <c r="BO25" s="879"/>
      <c r="BP25" s="880"/>
      <c r="BT25" s="746"/>
      <c r="BU25" s="747"/>
      <c r="BV25" s="784" t="str">
        <f>IF(BT25="","-",(IF(INDEX($A$5:$BP$257,MATCH(BT25,$BN$5:$BN$257,0),50)="Aço Inoxidável",('Densidade do AR'!$S$8*1000000),IF(INDEX($A$5:$BP$257,MATCH(BT25,$BN$5:$BN$257,0),50)="Ferro Fundido",('Densidade do AR'!$S$12*1000000),IF(INDEX($A$5:$BP$257,MATCH(BT25,$BN$5:$BN$257,0),50)="Latão",('Densidade do AR'!$S$10*1000000),IF(INDEX($A$5:$BP$257,MATCH(BT25,$BN$5:$BN$257,0),50)="Alumínio",('Densidade do AR'!$S$4*1000000)))))))</f>
        <v>-</v>
      </c>
      <c r="BW25" s="785"/>
      <c r="BX25" s="785"/>
      <c r="BY25" s="786"/>
      <c r="BZ25" s="787" t="str">
        <f t="shared" si="9"/>
        <v>-</v>
      </c>
      <c r="CA25" s="788"/>
      <c r="CB25" s="788"/>
      <c r="CC25" s="789"/>
      <c r="CD25" s="787" t="str">
        <f t="shared" si="1"/>
        <v>-</v>
      </c>
      <c r="CE25" s="788"/>
      <c r="CF25" s="788"/>
      <c r="CG25" s="789"/>
      <c r="CH25" s="790" t="str">
        <f t="shared" si="10"/>
        <v>-</v>
      </c>
      <c r="CI25" s="785"/>
      <c r="CJ25" s="785"/>
      <c r="CK25" s="786"/>
      <c r="CL25" s="790" t="str">
        <f t="shared" si="2"/>
        <v>-</v>
      </c>
      <c r="CM25" s="785"/>
      <c r="CN25" s="785"/>
      <c r="CO25" s="786"/>
      <c r="CP25" s="790" t="str">
        <f>IF(BT25="","-",INDEX($A$5:$BP$257,MATCH(BT25,$BN$5:$BN$257,0),39)*(IF(BT25="","-",(1+(((-('Densidade do AR'!$M$4))+('Densidade do AR'!$T$15*1000000))/(IF(INDEX($A$5:$BP$257,MATCH(BT25,$BN$5:$BN$257,0),50)="Aço Inoxidável",('Densidade do AR'!$S$8*1000000),IF(INDEX($A$5:$BP$257,MATCH(BT25,$BN$5:$BN$257,0),50)="Ferro Fundido",('Densidade do AR'!$S$12*1000000),IF(INDEX($A$5:$BP$257,MATCH(BT25,$BN$5:$BN$257,0),50)="Latão",('Densidade do AR'!$S$10*1000000),IF(INDEX($A$5:$BP$257,MATCH(BT25,$BN$5:$BN$257,0),50)="Alumínio",('Densidade do AR'!$S$4*1000000)))))))-(((-('Densidade do AR'!$M$4))+('Densidade do AR'!$T$15*1000000))/('Densidade do AR'!$S$14*1000000))))))</f>
        <v>-</v>
      </c>
      <c r="CQ25" s="785"/>
      <c r="CR25" s="785"/>
      <c r="CS25" s="791"/>
      <c r="CT25" s="91" t="str">
        <f t="shared" si="11"/>
        <v>-</v>
      </c>
      <c r="CU25" s="746"/>
      <c r="CV25" s="747"/>
      <c r="CW25" s="784" t="str">
        <f>IF(CU25="","-",(IF(INDEX($A$5:$BP$257,MATCH(CU25,$BN$5:$BN$257,0),50)="Aço Inoxidável",('Densidade do AR'!$S$8*1000000),IF(INDEX($A$5:$BP$257,MATCH(CU25,$BN$5:$BN$257,0),50)="Ferro Fundido",('Densidade do AR'!$S$12*1000000),IF(INDEX($A$5:$BP$257,MATCH(CU25,$BN$5:$BN$257,0),50)="Latão",('Densidade do AR'!$S$10*1000000),IF(INDEX($A$5:$BP$257,MATCH(CU25,$BN$5:$BN$257,0),50)="Alumínio",('Densidade do AR'!$S$4*1000000)))))))</f>
        <v>-</v>
      </c>
      <c r="CX25" s="785"/>
      <c r="CY25" s="785"/>
      <c r="CZ25" s="786"/>
      <c r="DA25" s="787" t="str">
        <f t="shared" si="12"/>
        <v>-</v>
      </c>
      <c r="DB25" s="788"/>
      <c r="DC25" s="788"/>
      <c r="DD25" s="789"/>
      <c r="DE25" s="787" t="str">
        <f t="shared" si="3"/>
        <v>-</v>
      </c>
      <c r="DF25" s="788"/>
      <c r="DG25" s="788"/>
      <c r="DH25" s="789"/>
      <c r="DI25" s="790" t="str">
        <f t="shared" si="13"/>
        <v>-</v>
      </c>
      <c r="DJ25" s="785"/>
      <c r="DK25" s="785"/>
      <c r="DL25" s="786"/>
      <c r="DM25" s="790" t="str">
        <f t="shared" si="4"/>
        <v>-</v>
      </c>
      <c r="DN25" s="785"/>
      <c r="DO25" s="785"/>
      <c r="DP25" s="786"/>
      <c r="DQ25" s="790" t="str">
        <f>IF(CU25="","-",INDEX($A$5:$BP$257,MATCH(CU25,$BN$5:$BN$257,0),39)*(IF(CU25="","-",(1+(((-('Densidade do AR'!$M$4))+('Densidade do AR'!$T$15*1000000))/(IF(INDEX($A$5:$BP$257,MATCH(CU25,$BN$5:$BN$257,0),50)="Aço Inoxidável",('Densidade do AR'!$S$8*1000000),IF(INDEX($A$5:$BP$257,MATCH(CU25,$BN$5:$BN$257,0),50)="Ferro Fundido",('Densidade do AR'!$S$12*1000000),IF(INDEX($A$5:$BP$257,MATCH(CU25,$BN$5:$BN$257,0),50)="Latão",('Densidade do AR'!$S$10*1000000),IF(INDEX($A$5:$BP$257,MATCH(CU25,$BN$5:$BN$257,0),50)="Alumínio",('Densidade do AR'!$S$4*1000000)))))))-(((-('Densidade do AR'!$M$4))+('Densidade do AR'!$T$15*1000000))/('Densidade do AR'!$S$14*1000000))))))</f>
        <v>-</v>
      </c>
      <c r="DR25" s="785"/>
      <c r="DS25" s="785"/>
      <c r="DT25" s="791"/>
      <c r="DU25" s="91" t="str">
        <f t="shared" si="14"/>
        <v>-</v>
      </c>
      <c r="DV25" s="870"/>
      <c r="DW25" s="871"/>
      <c r="DX25" s="784" t="str">
        <f>IF(DV25="","-",(IF(INDEX($A$5:$BP$257,MATCH(DV25,$BN$5:$BN$257,0),50)="Aço Inoxidável",('Densidade do AR'!$S$8*1000000),IF(INDEX($A$5:$BP$257,MATCH(DV25,$BN$5:$BN$257,0),50)="Ferro Fundido",('Densidade do AR'!$S$12*1000000),IF(INDEX($A$5:$BP$257,MATCH(DV25,$BN$5:$BN$257,0),50)="Latão",('Densidade do AR'!$S$10*1000000),IF(INDEX($A$5:$BP$257,MATCH(DV25,$BN$5:$BN$257,0),50)="Alumínio",('Densidade do AR'!$S$4*1000000)))))))</f>
        <v>-</v>
      </c>
      <c r="DY25" s="785"/>
      <c r="DZ25" s="785"/>
      <c r="EA25" s="786"/>
      <c r="EB25" s="787" t="str">
        <f t="shared" si="15"/>
        <v>-</v>
      </c>
      <c r="EC25" s="788"/>
      <c r="ED25" s="788"/>
      <c r="EE25" s="789"/>
      <c r="EF25" s="787" t="str">
        <f t="shared" si="5"/>
        <v>-</v>
      </c>
      <c r="EG25" s="788"/>
      <c r="EH25" s="788"/>
      <c r="EI25" s="789"/>
      <c r="EJ25" s="790" t="str">
        <f t="shared" si="16"/>
        <v>-</v>
      </c>
      <c r="EK25" s="785"/>
      <c r="EL25" s="785"/>
      <c r="EM25" s="786"/>
      <c r="EN25" s="790" t="str">
        <f t="shared" si="6"/>
        <v>-</v>
      </c>
      <c r="EO25" s="785"/>
      <c r="EP25" s="785"/>
      <c r="EQ25" s="786"/>
      <c r="ER25" s="790" t="str">
        <f>IF(DV25="","-",INDEX($A$5:$BP$257,MATCH(DV25,$BN$5:$BN$257,0),39)*(IF(DV25="","-",(1+(((-('Densidade do AR'!$M$4))+('Densidade do AR'!$T$15*1000000))/(IF(INDEX($A$5:$BP$257,MATCH(DV25,$BN$5:$BN$257,0),50)="Aço Inoxidável",('Densidade do AR'!$S$8*1000000),IF(INDEX($A$5:$BP$257,MATCH(DV25,$BN$5:$BN$257,0),50)="Ferro Fundido",('Densidade do AR'!$S$12*1000000),IF(INDEX($A$5:$BP$257,MATCH(DV25,$BN$5:$BN$257,0),50)="Latão",('Densidade do AR'!$S$10*1000000),IF(INDEX($A$5:$BP$257,MATCH(DV25,$BN$5:$BN$257,0),50)="Alumínio",('Densidade do AR'!$S$4*1000000)))))))-(((-('Densidade do AR'!$M$4))+('Densidade do AR'!$T$15*1000000))/('Densidade do AR'!$S$14*1000000))))))</f>
        <v>-</v>
      </c>
      <c r="ES25" s="785"/>
      <c r="ET25" s="785"/>
      <c r="EU25" s="791"/>
      <c r="EV25" s="91" t="str">
        <f t="shared" si="17"/>
        <v>-</v>
      </c>
      <c r="EW25" s="870">
        <v>80</v>
      </c>
      <c r="EX25" s="871"/>
      <c r="EY25" s="784">
        <f>IF(EW25="","-",(IF(INDEX($A$5:$BP$257,MATCH(EW25,$BN$5:$BN$257,0),50)="Aço Inoxidável",('Densidade do AR'!$S$8*1000000),IF(INDEX($A$5:$BP$257,MATCH(EW25,$BN$5:$BN$257,0),50)="Ferro Fundido",('Densidade do AR'!$S$12*1000000),IF(INDEX($A$5:$BP$257,MATCH(EW25,$BN$5:$BN$257,0),50)="Latão",('Densidade do AR'!$S$10*1000000),IF(INDEX($A$5:$BP$257,MATCH(EW25,$BN$5:$BN$257,0),50)="Alumínio",('Densidade do AR'!$S$4*1000000)))))))</f>
        <v>7700000000</v>
      </c>
      <c r="EZ25" s="785"/>
      <c r="FA25" s="785"/>
      <c r="FB25" s="786"/>
      <c r="FC25" s="787">
        <f t="shared" si="18"/>
        <v>1E+30</v>
      </c>
      <c r="FD25" s="788"/>
      <c r="FE25" s="788"/>
      <c r="FF25" s="789"/>
      <c r="FG25" s="787">
        <f t="shared" si="7"/>
        <v>2.4414062500000009E-38</v>
      </c>
      <c r="FH25" s="788"/>
      <c r="FI25" s="788"/>
      <c r="FJ25" s="789"/>
      <c r="FK25" s="790">
        <f t="shared" si="19"/>
        <v>0</v>
      </c>
      <c r="FL25" s="785"/>
      <c r="FM25" s="785"/>
      <c r="FN25" s="786"/>
      <c r="FO25" s="790">
        <f t="shared" si="8"/>
        <v>12500</v>
      </c>
      <c r="FP25" s="785"/>
      <c r="FQ25" s="785"/>
      <c r="FR25" s="786"/>
      <c r="FS25" s="790">
        <f ca="1">IF(EW25="","-",INDEX($A$5:$BP$257,MATCH(EW25,$BN$5:$BN$257,0),39)*(IF(EW25="","-",(1+(((-('Densidade do AR'!$M$4))+('Densidade do AR'!$T$15*1000000))/(IF(INDEX($A$5:$BP$257,MATCH(EW25,$BN$5:$BN$257,0),50)="Aço Inoxidável",('Densidade do AR'!$S$8*1000000),IF(INDEX($A$5:$BP$257,MATCH(EW25,$BN$5:$BN$257,0),50)="Ferro Fundido",('Densidade do AR'!$S$12*1000000),IF(INDEX($A$5:$BP$257,MATCH(EW25,$BN$5:$BN$257,0),50)="Latão",('Densidade do AR'!$S$10*1000000),IF(INDEX($A$5:$BP$257,MATCH(EW25,$BN$5:$BN$257,0),50)="Alumínio",('Densidade do AR'!$S$4*1000000)))))))-(((-('Densidade do AR'!$M$4))+('Densidade do AR'!$T$15*1000000))/('Densidade do AR'!$S$14*1000000))))))</f>
        <v>500000130.67009342</v>
      </c>
      <c r="FT25" s="785"/>
      <c r="FU25" s="785"/>
      <c r="FV25" s="791"/>
      <c r="FW25" s="91">
        <f t="shared" si="20"/>
        <v>67</v>
      </c>
      <c r="FX25" s="135"/>
    </row>
    <row r="26" spans="1:180" x14ac:dyDescent="0.2">
      <c r="A26" s="1002">
        <v>22</v>
      </c>
      <c r="B26" s="904"/>
      <c r="C26" s="966">
        <v>200</v>
      </c>
      <c r="D26" s="967"/>
      <c r="E26" s="967"/>
      <c r="F26" s="967"/>
      <c r="G26" s="968"/>
      <c r="H26" s="902">
        <v>200</v>
      </c>
      <c r="I26" s="903"/>
      <c r="J26" s="903"/>
      <c r="K26" s="904"/>
      <c r="L26" s="902" t="s">
        <v>111</v>
      </c>
      <c r="M26" s="903"/>
      <c r="N26" s="903"/>
      <c r="O26" s="904"/>
      <c r="P26" s="891" t="s">
        <v>308</v>
      </c>
      <c r="Q26" s="967"/>
      <c r="R26" s="967"/>
      <c r="S26" s="967"/>
      <c r="T26" s="968"/>
      <c r="U26" s="897" t="s">
        <v>302</v>
      </c>
      <c r="V26" s="722"/>
      <c r="W26" s="722"/>
      <c r="X26" s="722"/>
      <c r="Y26" s="722"/>
      <c r="Z26" s="722"/>
      <c r="AA26" s="723"/>
      <c r="AB26" s="853"/>
      <c r="AC26" s="854"/>
      <c r="AD26" s="854"/>
      <c r="AE26" s="854"/>
      <c r="AF26" s="854"/>
      <c r="AG26" s="854"/>
      <c r="AH26" s="854"/>
      <c r="AI26" s="854"/>
      <c r="AJ26" s="854"/>
      <c r="AK26" s="854"/>
      <c r="AL26" s="855"/>
      <c r="AM26" s="1004">
        <v>200000.19</v>
      </c>
      <c r="AN26" s="1005"/>
      <c r="AO26" s="1005"/>
      <c r="AP26" s="1005"/>
      <c r="AQ26" s="1005"/>
      <c r="AR26" s="1005"/>
      <c r="AS26" s="1006"/>
      <c r="AT26" s="1004">
        <f>AM26-C26*1000</f>
        <v>0.19000000000232831</v>
      </c>
      <c r="AU26" s="1005"/>
      <c r="AV26" s="1005"/>
      <c r="AW26" s="1006"/>
      <c r="AX26" s="1007" t="s">
        <v>9</v>
      </c>
      <c r="AY26" s="953"/>
      <c r="AZ26" s="953"/>
      <c r="BA26" s="953"/>
      <c r="BB26" s="953"/>
      <c r="BC26" s="954"/>
      <c r="BD26" s="946">
        <v>0.33</v>
      </c>
      <c r="BE26" s="947"/>
      <c r="BF26" s="947"/>
      <c r="BG26" s="948"/>
      <c r="BH26" s="982">
        <v>2</v>
      </c>
      <c r="BI26" s="944"/>
      <c r="BJ26" s="944"/>
      <c r="BK26" s="944"/>
      <c r="BL26" s="996"/>
      <c r="BN26" s="881">
        <v>22</v>
      </c>
      <c r="BO26" s="882"/>
      <c r="BP26" s="883"/>
      <c r="BT26" s="736"/>
      <c r="BU26" s="737"/>
      <c r="BV26" s="738" t="str">
        <f>IF(BT26="","-",(IF(INDEX($A$5:$BP$257,MATCH(BT26,$BN$5:$BN$257,0),50)="Aço Inoxidável",('Densidade do AR'!$S$8*1000000),IF(INDEX($A$5:$BP$257,MATCH(BT26,$BN$5:$BN$257,0),50)="Ferro Fundido",('Densidade do AR'!$S$12*1000000),IF(INDEX($A$5:$BP$257,MATCH(BT26,$BN$5:$BN$257,0),50)="Latão",('Densidade do AR'!$S$10*1000000),IF(INDEX($A$5:$BP$257,MATCH(BT26,$BN$5:$BN$257,0),50)="Alumínio",('Densidade do AR'!$S$4*1000000)))))))</f>
        <v>-</v>
      </c>
      <c r="BW26" s="739"/>
      <c r="BX26" s="739"/>
      <c r="BY26" s="740"/>
      <c r="BZ26" s="741" t="str">
        <f t="shared" si="9"/>
        <v>-</v>
      </c>
      <c r="CA26" s="742"/>
      <c r="CB26" s="742"/>
      <c r="CC26" s="743"/>
      <c r="CD26" s="741" t="str">
        <f t="shared" si="1"/>
        <v>-</v>
      </c>
      <c r="CE26" s="742"/>
      <c r="CF26" s="742"/>
      <c r="CG26" s="743"/>
      <c r="CH26" s="744" t="str">
        <f t="shared" si="10"/>
        <v>-</v>
      </c>
      <c r="CI26" s="739"/>
      <c r="CJ26" s="739"/>
      <c r="CK26" s="740"/>
      <c r="CL26" s="744" t="str">
        <f t="shared" si="2"/>
        <v>-</v>
      </c>
      <c r="CM26" s="739"/>
      <c r="CN26" s="739"/>
      <c r="CO26" s="740"/>
      <c r="CP26" s="744" t="str">
        <f>IF(BT26="","-",INDEX($A$5:$BP$257,MATCH(BT26,$BN$5:$BN$257,0),39)*(IF(BT26="","-",(1+(((-('Densidade do AR'!$M$4))+('Densidade do AR'!$T$15*1000000))/(IF(INDEX($A$5:$BP$257,MATCH(BT26,$BN$5:$BN$257,0),50)="Aço Inoxidável",('Densidade do AR'!$S$8*1000000),IF(INDEX($A$5:$BP$257,MATCH(BT26,$BN$5:$BN$257,0),50)="Ferro Fundido",('Densidade do AR'!$S$12*1000000),IF(INDEX($A$5:$BP$257,MATCH(BT26,$BN$5:$BN$257,0),50)="Latão",('Densidade do AR'!$S$10*1000000),IF(INDEX($A$5:$BP$257,MATCH(BT26,$BN$5:$BN$257,0),50)="Alumínio",('Densidade do AR'!$S$4*1000000)))))))-(((-('Densidade do AR'!$M$4))+('Densidade do AR'!$T$15*1000000))/('Densidade do AR'!$S$14*1000000))))))</f>
        <v>-</v>
      </c>
      <c r="CQ26" s="739"/>
      <c r="CR26" s="739"/>
      <c r="CS26" s="745"/>
      <c r="CT26" s="91" t="str">
        <f t="shared" si="11"/>
        <v>-</v>
      </c>
      <c r="CU26" s="736"/>
      <c r="CV26" s="737"/>
      <c r="CW26" s="738" t="str">
        <f>IF(CU26="","-",(IF(INDEX($A$5:$BP$257,MATCH(CU26,$BN$5:$BN$257,0),50)="Aço Inoxidável",('Densidade do AR'!$S$8*1000000),IF(INDEX($A$5:$BP$257,MATCH(CU26,$BN$5:$BN$257,0),50)="Ferro Fundido",('Densidade do AR'!$S$12*1000000),IF(INDEX($A$5:$BP$257,MATCH(CU26,$BN$5:$BN$257,0),50)="Latão",('Densidade do AR'!$S$10*1000000),IF(INDEX($A$5:$BP$257,MATCH(CU26,$BN$5:$BN$257,0),50)="Alumínio",('Densidade do AR'!$S$4*1000000)))))))</f>
        <v>-</v>
      </c>
      <c r="CX26" s="739"/>
      <c r="CY26" s="739"/>
      <c r="CZ26" s="740"/>
      <c r="DA26" s="741" t="str">
        <f t="shared" si="12"/>
        <v>-</v>
      </c>
      <c r="DB26" s="742"/>
      <c r="DC26" s="742"/>
      <c r="DD26" s="743"/>
      <c r="DE26" s="741" t="str">
        <f t="shared" si="3"/>
        <v>-</v>
      </c>
      <c r="DF26" s="742"/>
      <c r="DG26" s="742"/>
      <c r="DH26" s="743"/>
      <c r="DI26" s="744" t="str">
        <f t="shared" si="13"/>
        <v>-</v>
      </c>
      <c r="DJ26" s="739"/>
      <c r="DK26" s="739"/>
      <c r="DL26" s="740"/>
      <c r="DM26" s="744" t="str">
        <f t="shared" si="4"/>
        <v>-</v>
      </c>
      <c r="DN26" s="739"/>
      <c r="DO26" s="739"/>
      <c r="DP26" s="740"/>
      <c r="DQ26" s="744" t="str">
        <f>IF(CU26="","-",INDEX($A$5:$BP$257,MATCH(CU26,$BN$5:$BN$257,0),39)*(IF(CU26="","-",(1+(((-('Densidade do AR'!$M$4))+('Densidade do AR'!$T$15*1000000))/(IF(INDEX($A$5:$BP$257,MATCH(CU26,$BN$5:$BN$257,0),50)="Aço Inoxidável",('Densidade do AR'!$S$8*1000000),IF(INDEX($A$5:$BP$257,MATCH(CU26,$BN$5:$BN$257,0),50)="Ferro Fundido",('Densidade do AR'!$S$12*1000000),IF(INDEX($A$5:$BP$257,MATCH(CU26,$BN$5:$BN$257,0),50)="Latão",('Densidade do AR'!$S$10*1000000),IF(INDEX($A$5:$BP$257,MATCH(CU26,$BN$5:$BN$257,0),50)="Alumínio",('Densidade do AR'!$S$4*1000000)))))))-(((-('Densidade do AR'!$M$4))+('Densidade do AR'!$T$15*1000000))/('Densidade do AR'!$S$14*1000000))))))</f>
        <v>-</v>
      </c>
      <c r="DR26" s="739"/>
      <c r="DS26" s="739"/>
      <c r="DT26" s="745"/>
      <c r="DU26" s="91" t="str">
        <f t="shared" si="14"/>
        <v>-</v>
      </c>
      <c r="DV26" s="736"/>
      <c r="DW26" s="737"/>
      <c r="DX26" s="738" t="str">
        <f>IF(DV26="","-",(IF(INDEX($A$5:$BP$257,MATCH(DV26,$BN$5:$BN$257,0),50)="Aço Inoxidável",('Densidade do AR'!$S$8*1000000),IF(INDEX($A$5:$BP$257,MATCH(DV26,$BN$5:$BN$257,0),50)="Ferro Fundido",('Densidade do AR'!$S$12*1000000),IF(INDEX($A$5:$BP$257,MATCH(DV26,$BN$5:$BN$257,0),50)="Latão",('Densidade do AR'!$S$10*1000000),IF(INDEX($A$5:$BP$257,MATCH(DV26,$BN$5:$BN$257,0),50)="Alumínio",('Densidade do AR'!$S$4*1000000)))))))</f>
        <v>-</v>
      </c>
      <c r="DY26" s="739"/>
      <c r="DZ26" s="739"/>
      <c r="EA26" s="740"/>
      <c r="EB26" s="741" t="str">
        <f t="shared" si="15"/>
        <v>-</v>
      </c>
      <c r="EC26" s="742"/>
      <c r="ED26" s="742"/>
      <c r="EE26" s="743"/>
      <c r="EF26" s="741" t="str">
        <f t="shared" si="5"/>
        <v>-</v>
      </c>
      <c r="EG26" s="742"/>
      <c r="EH26" s="742"/>
      <c r="EI26" s="743"/>
      <c r="EJ26" s="744" t="str">
        <f t="shared" si="16"/>
        <v>-</v>
      </c>
      <c r="EK26" s="739"/>
      <c r="EL26" s="739"/>
      <c r="EM26" s="740"/>
      <c r="EN26" s="744" t="str">
        <f t="shared" si="6"/>
        <v>-</v>
      </c>
      <c r="EO26" s="739"/>
      <c r="EP26" s="739"/>
      <c r="EQ26" s="740"/>
      <c r="ER26" s="744" t="str">
        <f>IF(DV26="","-",INDEX($A$5:$BP$257,MATCH(DV26,$BN$5:$BN$257,0),39)*(IF(DV26="","-",(1+(((-('Densidade do AR'!$M$4))+('Densidade do AR'!$T$15*1000000))/(IF(INDEX($A$5:$BP$257,MATCH(DV26,$BN$5:$BN$257,0),50)="Aço Inoxidável",('Densidade do AR'!$S$8*1000000),IF(INDEX($A$5:$BP$257,MATCH(DV26,$BN$5:$BN$257,0),50)="Ferro Fundido",('Densidade do AR'!$S$12*1000000),IF(INDEX($A$5:$BP$257,MATCH(DV26,$BN$5:$BN$257,0),50)="Latão",('Densidade do AR'!$S$10*1000000),IF(INDEX($A$5:$BP$257,MATCH(DV26,$BN$5:$BN$257,0),50)="Alumínio",('Densidade do AR'!$S$4*1000000)))))))-(((-('Densidade do AR'!$M$4))+('Densidade do AR'!$T$15*1000000))/('Densidade do AR'!$S$14*1000000))))))</f>
        <v>-</v>
      </c>
      <c r="ES26" s="739"/>
      <c r="ET26" s="739"/>
      <c r="EU26" s="745"/>
      <c r="EV26" s="91" t="str">
        <f t="shared" si="17"/>
        <v>-</v>
      </c>
      <c r="EW26" s="736">
        <v>81</v>
      </c>
      <c r="EX26" s="737"/>
      <c r="EY26" s="738">
        <f>IF(EW26="","-",(IF(INDEX($A$5:$BP$257,MATCH(EW26,$BN$5:$BN$257,0),50)="Aço Inoxidável",('Densidade do AR'!$S$8*1000000),IF(INDEX($A$5:$BP$257,MATCH(EW26,$BN$5:$BN$257,0),50)="Ferro Fundido",('Densidade do AR'!$S$12*1000000),IF(INDEX($A$5:$BP$257,MATCH(EW26,$BN$5:$BN$257,0),50)="Latão",('Densidade do AR'!$S$10*1000000),IF(INDEX($A$5:$BP$257,MATCH(EW26,$BN$5:$BN$257,0),50)="Alumínio",('Densidade do AR'!$S$4*1000000)))))))</f>
        <v>7700000000</v>
      </c>
      <c r="EZ26" s="739"/>
      <c r="FA26" s="739"/>
      <c r="FB26" s="740"/>
      <c r="FC26" s="741">
        <f t="shared" si="18"/>
        <v>1E+30</v>
      </c>
      <c r="FD26" s="742"/>
      <c r="FE26" s="742"/>
      <c r="FF26" s="743"/>
      <c r="FG26" s="741">
        <f t="shared" si="7"/>
        <v>2.4414062500000009E-38</v>
      </c>
      <c r="FH26" s="742"/>
      <c r="FI26" s="742"/>
      <c r="FJ26" s="743"/>
      <c r="FK26" s="744">
        <f t="shared" si="19"/>
        <v>0</v>
      </c>
      <c r="FL26" s="739"/>
      <c r="FM26" s="739"/>
      <c r="FN26" s="740"/>
      <c r="FO26" s="744">
        <f t="shared" si="8"/>
        <v>12500</v>
      </c>
      <c r="FP26" s="739"/>
      <c r="FQ26" s="739"/>
      <c r="FR26" s="740"/>
      <c r="FS26" s="744">
        <f ca="1">IF(EW26="","-",INDEX($A$5:$BP$257,MATCH(EW26,$BN$5:$BN$257,0),39)*(IF(EW26="","-",(1+(((-('Densidade do AR'!$M$4))+('Densidade do AR'!$T$15*1000000))/(IF(INDEX($A$5:$BP$257,MATCH(EW26,$BN$5:$BN$257,0),50)="Aço Inoxidável",('Densidade do AR'!$S$8*1000000),IF(INDEX($A$5:$BP$257,MATCH(EW26,$BN$5:$BN$257,0),50)="Ferro Fundido",('Densidade do AR'!$S$12*1000000),IF(INDEX($A$5:$BP$257,MATCH(EW26,$BN$5:$BN$257,0),50)="Latão",('Densidade do AR'!$S$10*1000000),IF(INDEX($A$5:$BP$257,MATCH(EW26,$BN$5:$BN$257,0),50)="Alumínio",('Densidade do AR'!$S$4*1000000)))))))-(((-('Densidade do AR'!$M$4))+('Densidade do AR'!$T$15*1000000))/('Densidade do AR'!$S$14*1000000))))))</f>
        <v>500000130.67009342</v>
      </c>
      <c r="FT26" s="739"/>
      <c r="FU26" s="739"/>
      <c r="FV26" s="745"/>
      <c r="FW26" s="91">
        <f t="shared" si="20"/>
        <v>146</v>
      </c>
      <c r="FX26" s="135"/>
    </row>
    <row r="27" spans="1:180" x14ac:dyDescent="0.2">
      <c r="A27" s="1001">
        <v>23</v>
      </c>
      <c r="B27" s="907"/>
      <c r="C27" s="957">
        <v>200</v>
      </c>
      <c r="D27" s="955"/>
      <c r="E27" s="955"/>
      <c r="F27" s="955"/>
      <c r="G27" s="956"/>
      <c r="H27" s="984" t="s">
        <v>312</v>
      </c>
      <c r="I27" s="906"/>
      <c r="J27" s="906"/>
      <c r="K27" s="907"/>
      <c r="L27" s="905" t="s">
        <v>111</v>
      </c>
      <c r="M27" s="906"/>
      <c r="N27" s="906"/>
      <c r="O27" s="907"/>
      <c r="P27" s="894" t="s">
        <v>308</v>
      </c>
      <c r="Q27" s="955"/>
      <c r="R27" s="955"/>
      <c r="S27" s="955"/>
      <c r="T27" s="956"/>
      <c r="U27" s="898" t="s">
        <v>302</v>
      </c>
      <c r="V27" s="715"/>
      <c r="W27" s="715"/>
      <c r="X27" s="715"/>
      <c r="Y27" s="715"/>
      <c r="Z27" s="715"/>
      <c r="AA27" s="716"/>
      <c r="AB27" s="850"/>
      <c r="AC27" s="851"/>
      <c r="AD27" s="851"/>
      <c r="AE27" s="851"/>
      <c r="AF27" s="851"/>
      <c r="AG27" s="851"/>
      <c r="AH27" s="851"/>
      <c r="AI27" s="851"/>
      <c r="AJ27" s="851"/>
      <c r="AK27" s="851"/>
      <c r="AL27" s="852"/>
      <c r="AM27" s="988">
        <v>200000.2</v>
      </c>
      <c r="AN27" s="989"/>
      <c r="AO27" s="989"/>
      <c r="AP27" s="989"/>
      <c r="AQ27" s="989"/>
      <c r="AR27" s="989"/>
      <c r="AS27" s="990"/>
      <c r="AT27" s="988">
        <f>AM27-C27*1000</f>
        <v>0.20000000001164153</v>
      </c>
      <c r="AU27" s="989"/>
      <c r="AV27" s="989"/>
      <c r="AW27" s="990"/>
      <c r="AX27" s="1003" t="s">
        <v>9</v>
      </c>
      <c r="AY27" s="950"/>
      <c r="AZ27" s="950"/>
      <c r="BA27" s="950"/>
      <c r="BB27" s="950"/>
      <c r="BC27" s="951"/>
      <c r="BD27" s="998">
        <v>0.33</v>
      </c>
      <c r="BE27" s="999"/>
      <c r="BF27" s="999"/>
      <c r="BG27" s="1000"/>
      <c r="BH27" s="985">
        <v>2</v>
      </c>
      <c r="BI27" s="986"/>
      <c r="BJ27" s="986"/>
      <c r="BK27" s="986"/>
      <c r="BL27" s="997"/>
      <c r="BN27" s="878">
        <v>23</v>
      </c>
      <c r="BO27" s="879"/>
      <c r="BP27" s="880"/>
      <c r="BT27" s="746"/>
      <c r="BU27" s="747"/>
      <c r="BV27" s="784" t="str">
        <f>IF(BT27="","-",(IF(INDEX($A$5:$BP$257,MATCH(BT27,$BN$5:$BN$257,0),50)="Aço Inoxidável",('Densidade do AR'!$S$8*1000000),IF(INDEX($A$5:$BP$257,MATCH(BT27,$BN$5:$BN$257,0),50)="Ferro Fundido",('Densidade do AR'!$S$12*1000000),IF(INDEX($A$5:$BP$257,MATCH(BT27,$BN$5:$BN$257,0),50)="Latão",('Densidade do AR'!$S$10*1000000),IF(INDEX($A$5:$BP$257,MATCH(BT27,$BN$5:$BN$257,0),50)="Alumínio",('Densidade do AR'!$S$4*1000000)))))))</f>
        <v>-</v>
      </c>
      <c r="BW27" s="785"/>
      <c r="BX27" s="785"/>
      <c r="BY27" s="786"/>
      <c r="BZ27" s="787" t="str">
        <f t="shared" si="9"/>
        <v>-</v>
      </c>
      <c r="CA27" s="788"/>
      <c r="CB27" s="788"/>
      <c r="CC27" s="789"/>
      <c r="CD27" s="787" t="str">
        <f t="shared" si="1"/>
        <v>-</v>
      </c>
      <c r="CE27" s="788"/>
      <c r="CF27" s="788"/>
      <c r="CG27" s="789"/>
      <c r="CH27" s="790" t="str">
        <f t="shared" si="10"/>
        <v>-</v>
      </c>
      <c r="CI27" s="785"/>
      <c r="CJ27" s="785"/>
      <c r="CK27" s="786"/>
      <c r="CL27" s="790" t="str">
        <f t="shared" si="2"/>
        <v>-</v>
      </c>
      <c r="CM27" s="785"/>
      <c r="CN27" s="785"/>
      <c r="CO27" s="786"/>
      <c r="CP27" s="790" t="str">
        <f>IF(BT27="","-",INDEX($A$5:$BP$257,MATCH(BT27,$BN$5:$BN$257,0),39)*(IF(BT27="","-",(1+(((-('Densidade do AR'!$M$4))+('Densidade do AR'!$T$15*1000000))/(IF(INDEX($A$5:$BP$257,MATCH(BT27,$BN$5:$BN$257,0),50)="Aço Inoxidável",('Densidade do AR'!$S$8*1000000),IF(INDEX($A$5:$BP$257,MATCH(BT27,$BN$5:$BN$257,0),50)="Ferro Fundido",('Densidade do AR'!$S$12*1000000),IF(INDEX($A$5:$BP$257,MATCH(BT27,$BN$5:$BN$257,0),50)="Latão",('Densidade do AR'!$S$10*1000000),IF(INDEX($A$5:$BP$257,MATCH(BT27,$BN$5:$BN$257,0),50)="Alumínio",('Densidade do AR'!$S$4*1000000)))))))-(((-('Densidade do AR'!$M$4))+('Densidade do AR'!$T$15*1000000))/('Densidade do AR'!$S$14*1000000))))))</f>
        <v>-</v>
      </c>
      <c r="CQ27" s="785"/>
      <c r="CR27" s="785"/>
      <c r="CS27" s="791"/>
      <c r="CT27" s="91" t="str">
        <f t="shared" si="11"/>
        <v>-</v>
      </c>
      <c r="CU27" s="746"/>
      <c r="CV27" s="747"/>
      <c r="CW27" s="784" t="str">
        <f>IF(CU27="","-",(IF(INDEX($A$5:$BP$257,MATCH(CU27,$BN$5:$BN$257,0),50)="Aço Inoxidável",('Densidade do AR'!$S$8*1000000),IF(INDEX($A$5:$BP$257,MATCH(CU27,$BN$5:$BN$257,0),50)="Ferro Fundido",('Densidade do AR'!$S$12*1000000),IF(INDEX($A$5:$BP$257,MATCH(CU27,$BN$5:$BN$257,0),50)="Latão",('Densidade do AR'!$S$10*1000000),IF(INDEX($A$5:$BP$257,MATCH(CU27,$BN$5:$BN$257,0),50)="Alumínio",('Densidade do AR'!$S$4*1000000)))))))</f>
        <v>-</v>
      </c>
      <c r="CX27" s="785"/>
      <c r="CY27" s="785"/>
      <c r="CZ27" s="786"/>
      <c r="DA27" s="787" t="str">
        <f t="shared" si="12"/>
        <v>-</v>
      </c>
      <c r="DB27" s="788"/>
      <c r="DC27" s="788"/>
      <c r="DD27" s="789"/>
      <c r="DE27" s="787" t="str">
        <f t="shared" si="3"/>
        <v>-</v>
      </c>
      <c r="DF27" s="788"/>
      <c r="DG27" s="788"/>
      <c r="DH27" s="789"/>
      <c r="DI27" s="790" t="str">
        <f t="shared" si="13"/>
        <v>-</v>
      </c>
      <c r="DJ27" s="785"/>
      <c r="DK27" s="785"/>
      <c r="DL27" s="786"/>
      <c r="DM27" s="790" t="str">
        <f t="shared" si="4"/>
        <v>-</v>
      </c>
      <c r="DN27" s="785"/>
      <c r="DO27" s="785"/>
      <c r="DP27" s="786"/>
      <c r="DQ27" s="790" t="str">
        <f>IF(CU27="","-",INDEX($A$5:$BP$257,MATCH(CU27,$BN$5:$BN$257,0),39)*(IF(CU27="","-",(1+(((-('Densidade do AR'!$M$4))+('Densidade do AR'!$T$15*1000000))/(IF(INDEX($A$5:$BP$257,MATCH(CU27,$BN$5:$BN$257,0),50)="Aço Inoxidável",('Densidade do AR'!$S$8*1000000),IF(INDEX($A$5:$BP$257,MATCH(CU27,$BN$5:$BN$257,0),50)="Ferro Fundido",('Densidade do AR'!$S$12*1000000),IF(INDEX($A$5:$BP$257,MATCH(CU27,$BN$5:$BN$257,0),50)="Latão",('Densidade do AR'!$S$10*1000000),IF(INDEX($A$5:$BP$257,MATCH(CU27,$BN$5:$BN$257,0),50)="Alumínio",('Densidade do AR'!$S$4*1000000)))))))-(((-('Densidade do AR'!$M$4))+('Densidade do AR'!$T$15*1000000))/('Densidade do AR'!$S$14*1000000))))))</f>
        <v>-</v>
      </c>
      <c r="DR27" s="785"/>
      <c r="DS27" s="785"/>
      <c r="DT27" s="791"/>
      <c r="DU27" s="91" t="str">
        <f t="shared" si="14"/>
        <v>-</v>
      </c>
      <c r="DV27" s="746"/>
      <c r="DW27" s="747"/>
      <c r="DX27" s="784" t="str">
        <f>IF(DV27="","-",(IF(INDEX($A$5:$BP$257,MATCH(DV27,$BN$5:$BN$257,0),50)="Aço Inoxidável",('Densidade do AR'!$S$8*1000000),IF(INDEX($A$5:$BP$257,MATCH(DV27,$BN$5:$BN$257,0),50)="Ferro Fundido",('Densidade do AR'!$S$12*1000000),IF(INDEX($A$5:$BP$257,MATCH(DV27,$BN$5:$BN$257,0),50)="Latão",('Densidade do AR'!$S$10*1000000),IF(INDEX($A$5:$BP$257,MATCH(DV27,$BN$5:$BN$257,0),50)="Alumínio",('Densidade do AR'!$S$4*1000000)))))))</f>
        <v>-</v>
      </c>
      <c r="DY27" s="785"/>
      <c r="DZ27" s="785"/>
      <c r="EA27" s="786"/>
      <c r="EB27" s="787" t="str">
        <f t="shared" si="15"/>
        <v>-</v>
      </c>
      <c r="EC27" s="788"/>
      <c r="ED27" s="788"/>
      <c r="EE27" s="789"/>
      <c r="EF27" s="787" t="str">
        <f t="shared" si="5"/>
        <v>-</v>
      </c>
      <c r="EG27" s="788"/>
      <c r="EH27" s="788"/>
      <c r="EI27" s="789"/>
      <c r="EJ27" s="790" t="str">
        <f t="shared" si="16"/>
        <v>-</v>
      </c>
      <c r="EK27" s="785"/>
      <c r="EL27" s="785"/>
      <c r="EM27" s="786"/>
      <c r="EN27" s="790" t="str">
        <f t="shared" si="6"/>
        <v>-</v>
      </c>
      <c r="EO27" s="785"/>
      <c r="EP27" s="785"/>
      <c r="EQ27" s="786"/>
      <c r="ER27" s="790" t="str">
        <f>IF(DV27="","-",INDEX($A$5:$BP$257,MATCH(DV27,$BN$5:$BN$257,0),39)*(IF(DV27="","-",(1+(((-('Densidade do AR'!$M$4))+('Densidade do AR'!$T$15*1000000))/(IF(INDEX($A$5:$BP$257,MATCH(DV27,$BN$5:$BN$257,0),50)="Aço Inoxidável",('Densidade do AR'!$S$8*1000000),IF(INDEX($A$5:$BP$257,MATCH(DV27,$BN$5:$BN$257,0),50)="Ferro Fundido",('Densidade do AR'!$S$12*1000000),IF(INDEX($A$5:$BP$257,MATCH(DV27,$BN$5:$BN$257,0),50)="Latão",('Densidade do AR'!$S$10*1000000),IF(INDEX($A$5:$BP$257,MATCH(DV27,$BN$5:$BN$257,0),50)="Alumínio",('Densidade do AR'!$S$4*1000000)))))))-(((-('Densidade do AR'!$M$4))+('Densidade do AR'!$T$15*1000000))/('Densidade do AR'!$S$14*1000000))))))</f>
        <v>-</v>
      </c>
      <c r="ES27" s="785"/>
      <c r="ET27" s="785"/>
      <c r="EU27" s="791"/>
      <c r="EV27" s="91" t="str">
        <f t="shared" si="17"/>
        <v>-</v>
      </c>
      <c r="EW27" s="870"/>
      <c r="EX27" s="871"/>
      <c r="EY27" s="784" t="str">
        <f>IF(EW27="","-",(IF(INDEX($A$5:$BP$257,MATCH(EW27,$BN$5:$BN$257,0),50)="Aço Inoxidável",('Densidade do AR'!$S$8*1000000),IF(INDEX($A$5:$BP$257,MATCH(EW27,$BN$5:$BN$257,0),50)="Ferro Fundido",('Densidade do AR'!$S$12*1000000),IF(INDEX($A$5:$BP$257,MATCH(EW27,$BN$5:$BN$257,0),50)="Latão",('Densidade do AR'!$S$10*1000000),IF(INDEX($A$5:$BP$257,MATCH(EW27,$BN$5:$BN$257,0),50)="Alumínio",('Densidade do AR'!$S$4*1000000)))))))</f>
        <v>-</v>
      </c>
      <c r="EZ27" s="785"/>
      <c r="FA27" s="785"/>
      <c r="FB27" s="786"/>
      <c r="FC27" s="787" t="str">
        <f t="shared" si="18"/>
        <v>-</v>
      </c>
      <c r="FD27" s="788"/>
      <c r="FE27" s="788"/>
      <c r="FF27" s="789"/>
      <c r="FG27" s="787" t="str">
        <f t="shared" si="7"/>
        <v>-</v>
      </c>
      <c r="FH27" s="788"/>
      <c r="FI27" s="788"/>
      <c r="FJ27" s="789"/>
      <c r="FK27" s="790" t="str">
        <f t="shared" si="19"/>
        <v>-</v>
      </c>
      <c r="FL27" s="785"/>
      <c r="FM27" s="785"/>
      <c r="FN27" s="786"/>
      <c r="FO27" s="790" t="str">
        <f t="shared" si="8"/>
        <v>-</v>
      </c>
      <c r="FP27" s="785"/>
      <c r="FQ27" s="785"/>
      <c r="FR27" s="786"/>
      <c r="FS27" s="790" t="str">
        <f>IF(EW27="","-",INDEX($A$5:$BP$257,MATCH(EW27,$BN$5:$BN$257,0),39)*(IF(EW27="","-",(1+(((-('Densidade do AR'!$M$4))+('Densidade do AR'!$T$15*1000000))/(IF(INDEX($A$5:$BP$257,MATCH(EW27,$BN$5:$BN$257,0),50)="Aço Inoxidável",('Densidade do AR'!$S$8*1000000),IF(INDEX($A$5:$BP$257,MATCH(EW27,$BN$5:$BN$257,0),50)="Ferro Fundido",('Densidade do AR'!$S$12*1000000),IF(INDEX($A$5:$BP$257,MATCH(EW27,$BN$5:$BN$257,0),50)="Latão",('Densidade do AR'!$S$10*1000000),IF(INDEX($A$5:$BP$257,MATCH(EW27,$BN$5:$BN$257,0),50)="Alumínio",('Densidade do AR'!$S$4*1000000)))))))-(((-('Densidade do AR'!$M$4))+('Densidade do AR'!$T$15*1000000))/('Densidade do AR'!$S$14*1000000))))))</f>
        <v>-</v>
      </c>
      <c r="FT27" s="785"/>
      <c r="FU27" s="785"/>
      <c r="FV27" s="791"/>
      <c r="FW27" s="91" t="str">
        <f t="shared" si="20"/>
        <v>-</v>
      </c>
      <c r="FX27" s="135"/>
    </row>
    <row r="28" spans="1:180" x14ac:dyDescent="0.2">
      <c r="A28" s="1002">
        <v>24</v>
      </c>
      <c r="B28" s="904"/>
      <c r="C28" s="966">
        <v>500</v>
      </c>
      <c r="D28" s="967"/>
      <c r="E28" s="967"/>
      <c r="F28" s="967"/>
      <c r="G28" s="968"/>
      <c r="H28" s="902">
        <v>500</v>
      </c>
      <c r="I28" s="903"/>
      <c r="J28" s="903"/>
      <c r="K28" s="904"/>
      <c r="L28" s="902" t="s">
        <v>111</v>
      </c>
      <c r="M28" s="903"/>
      <c r="N28" s="903"/>
      <c r="O28" s="904"/>
      <c r="P28" s="891" t="s">
        <v>308</v>
      </c>
      <c r="Q28" s="967"/>
      <c r="R28" s="967"/>
      <c r="S28" s="967"/>
      <c r="T28" s="968"/>
      <c r="U28" s="897" t="s">
        <v>302</v>
      </c>
      <c r="V28" s="722"/>
      <c r="W28" s="722"/>
      <c r="X28" s="722"/>
      <c r="Y28" s="722"/>
      <c r="Z28" s="722"/>
      <c r="AA28" s="723"/>
      <c r="AB28" s="853"/>
      <c r="AC28" s="854"/>
      <c r="AD28" s="854"/>
      <c r="AE28" s="854"/>
      <c r="AF28" s="854"/>
      <c r="AG28" s="854"/>
      <c r="AH28" s="854"/>
      <c r="AI28" s="854"/>
      <c r="AJ28" s="854"/>
      <c r="AK28" s="854"/>
      <c r="AL28" s="855"/>
      <c r="AM28" s="982">
        <v>499999</v>
      </c>
      <c r="AN28" s="944"/>
      <c r="AO28" s="944"/>
      <c r="AP28" s="944"/>
      <c r="AQ28" s="944"/>
      <c r="AR28" s="944"/>
      <c r="AS28" s="945"/>
      <c r="AT28" s="982">
        <f t="shared" si="0"/>
        <v>-1</v>
      </c>
      <c r="AU28" s="944"/>
      <c r="AV28" s="944"/>
      <c r="AW28" s="945"/>
      <c r="AX28" s="1007" t="s">
        <v>9</v>
      </c>
      <c r="AY28" s="953"/>
      <c r="AZ28" s="953"/>
      <c r="BA28" s="953"/>
      <c r="BB28" s="953"/>
      <c r="BC28" s="954"/>
      <c r="BD28" s="946">
        <v>1</v>
      </c>
      <c r="BE28" s="947"/>
      <c r="BF28" s="947"/>
      <c r="BG28" s="948"/>
      <c r="BH28" s="982">
        <v>2.0299999999999998</v>
      </c>
      <c r="BI28" s="944"/>
      <c r="BJ28" s="944"/>
      <c r="BK28" s="944"/>
      <c r="BL28" s="996"/>
      <c r="BN28" s="881">
        <v>24</v>
      </c>
      <c r="BO28" s="882"/>
      <c r="BP28" s="883"/>
      <c r="BT28" s="736"/>
      <c r="BU28" s="737"/>
      <c r="BV28" s="738" t="str">
        <f>IF(BT28="","-",(IF(INDEX($A$5:$BP$257,MATCH(BT28,$BN$5:$BN$257,0),50)="Aço Inoxidável",('Densidade do AR'!$S$8*1000000),IF(INDEX($A$5:$BP$257,MATCH(BT28,$BN$5:$BN$257,0),50)="Ferro Fundido",('Densidade do AR'!$S$12*1000000),IF(INDEX($A$5:$BP$257,MATCH(BT28,$BN$5:$BN$257,0),50)="Latão",('Densidade do AR'!$S$10*1000000),IF(INDEX($A$5:$BP$257,MATCH(BT28,$BN$5:$BN$257,0),50)="Alumínio",('Densidade do AR'!$S$4*1000000)))))))</f>
        <v>-</v>
      </c>
      <c r="BW28" s="739"/>
      <c r="BX28" s="739"/>
      <c r="BY28" s="740"/>
      <c r="BZ28" s="741" t="str">
        <f t="shared" si="9"/>
        <v>-</v>
      </c>
      <c r="CA28" s="742"/>
      <c r="CB28" s="742"/>
      <c r="CC28" s="743"/>
      <c r="CD28" s="741" t="str">
        <f t="shared" si="1"/>
        <v>-</v>
      </c>
      <c r="CE28" s="742"/>
      <c r="CF28" s="742"/>
      <c r="CG28" s="743"/>
      <c r="CH28" s="744" t="str">
        <f t="shared" si="10"/>
        <v>-</v>
      </c>
      <c r="CI28" s="739"/>
      <c r="CJ28" s="739"/>
      <c r="CK28" s="740"/>
      <c r="CL28" s="744" t="str">
        <f t="shared" si="2"/>
        <v>-</v>
      </c>
      <c r="CM28" s="739"/>
      <c r="CN28" s="739"/>
      <c r="CO28" s="740"/>
      <c r="CP28" s="744" t="str">
        <f>IF(BT28="","-",INDEX($A$5:$BP$257,MATCH(BT28,$BN$5:$BN$257,0),39)*(IF(BT28="","-",(1+(((-('Densidade do AR'!$M$4))+('Densidade do AR'!$T$15*1000000))/(IF(INDEX($A$5:$BP$257,MATCH(BT28,$BN$5:$BN$257,0),50)="Aço Inoxidável",('Densidade do AR'!$S$8*1000000),IF(INDEX($A$5:$BP$257,MATCH(BT28,$BN$5:$BN$257,0),50)="Ferro Fundido",('Densidade do AR'!$S$12*1000000),IF(INDEX($A$5:$BP$257,MATCH(BT28,$BN$5:$BN$257,0),50)="Latão",('Densidade do AR'!$S$10*1000000),IF(INDEX($A$5:$BP$257,MATCH(BT28,$BN$5:$BN$257,0),50)="Alumínio",('Densidade do AR'!$S$4*1000000)))))))-(((-('Densidade do AR'!$M$4))+('Densidade do AR'!$T$15*1000000))/('Densidade do AR'!$S$14*1000000))))))</f>
        <v>-</v>
      </c>
      <c r="CQ28" s="739"/>
      <c r="CR28" s="739"/>
      <c r="CS28" s="745"/>
      <c r="CT28" s="91" t="str">
        <f t="shared" si="11"/>
        <v>-</v>
      </c>
      <c r="CU28" s="736"/>
      <c r="CV28" s="737"/>
      <c r="CW28" s="738" t="str">
        <f>IF(CU28="","-",(IF(INDEX($A$5:$BP$257,MATCH(CU28,$BN$5:$BN$257,0),50)="Aço Inoxidável",('Densidade do AR'!$S$8*1000000),IF(INDEX($A$5:$BP$257,MATCH(CU28,$BN$5:$BN$257,0),50)="Ferro Fundido",('Densidade do AR'!$S$12*1000000),IF(INDEX($A$5:$BP$257,MATCH(CU28,$BN$5:$BN$257,0),50)="Latão",('Densidade do AR'!$S$10*1000000),IF(INDEX($A$5:$BP$257,MATCH(CU28,$BN$5:$BN$257,0),50)="Alumínio",('Densidade do AR'!$S$4*1000000)))))))</f>
        <v>-</v>
      </c>
      <c r="CX28" s="739"/>
      <c r="CY28" s="739"/>
      <c r="CZ28" s="740"/>
      <c r="DA28" s="741" t="str">
        <f t="shared" si="12"/>
        <v>-</v>
      </c>
      <c r="DB28" s="742"/>
      <c r="DC28" s="742"/>
      <c r="DD28" s="743"/>
      <c r="DE28" s="741" t="str">
        <f t="shared" si="3"/>
        <v>-</v>
      </c>
      <c r="DF28" s="742"/>
      <c r="DG28" s="742"/>
      <c r="DH28" s="743"/>
      <c r="DI28" s="744" t="str">
        <f t="shared" si="13"/>
        <v>-</v>
      </c>
      <c r="DJ28" s="739"/>
      <c r="DK28" s="739"/>
      <c r="DL28" s="740"/>
      <c r="DM28" s="744" t="str">
        <f t="shared" si="4"/>
        <v>-</v>
      </c>
      <c r="DN28" s="739"/>
      <c r="DO28" s="739"/>
      <c r="DP28" s="740"/>
      <c r="DQ28" s="744" t="str">
        <f>IF(CU28="","-",INDEX($A$5:$BP$257,MATCH(CU28,$BN$5:$BN$257,0),39)*(IF(CU28="","-",(1+(((-('Densidade do AR'!$M$4))+('Densidade do AR'!$T$15*1000000))/(IF(INDEX($A$5:$BP$257,MATCH(CU28,$BN$5:$BN$257,0),50)="Aço Inoxidável",('Densidade do AR'!$S$8*1000000),IF(INDEX($A$5:$BP$257,MATCH(CU28,$BN$5:$BN$257,0),50)="Ferro Fundido",('Densidade do AR'!$S$12*1000000),IF(INDEX($A$5:$BP$257,MATCH(CU28,$BN$5:$BN$257,0),50)="Latão",('Densidade do AR'!$S$10*1000000),IF(INDEX($A$5:$BP$257,MATCH(CU28,$BN$5:$BN$257,0),50)="Alumínio",('Densidade do AR'!$S$4*1000000)))))))-(((-('Densidade do AR'!$M$4))+('Densidade do AR'!$T$15*1000000))/('Densidade do AR'!$S$14*1000000))))))</f>
        <v>-</v>
      </c>
      <c r="DR28" s="739"/>
      <c r="DS28" s="739"/>
      <c r="DT28" s="745"/>
      <c r="DU28" s="91" t="str">
        <f t="shared" si="14"/>
        <v>-</v>
      </c>
      <c r="DV28" s="736"/>
      <c r="DW28" s="737"/>
      <c r="DX28" s="738" t="str">
        <f>IF(DV28="","-",(IF(INDEX($A$5:$BP$257,MATCH(DV28,$BN$5:$BN$257,0),50)="Aço Inoxidável",('Densidade do AR'!$S$8*1000000),IF(INDEX($A$5:$BP$257,MATCH(DV28,$BN$5:$BN$257,0),50)="Ferro Fundido",('Densidade do AR'!$S$12*1000000),IF(INDEX($A$5:$BP$257,MATCH(DV28,$BN$5:$BN$257,0),50)="Latão",('Densidade do AR'!$S$10*1000000),IF(INDEX($A$5:$BP$257,MATCH(DV28,$BN$5:$BN$257,0),50)="Alumínio",('Densidade do AR'!$S$4*1000000)))))))</f>
        <v>-</v>
      </c>
      <c r="DY28" s="739"/>
      <c r="DZ28" s="739"/>
      <c r="EA28" s="740"/>
      <c r="EB28" s="741" t="str">
        <f t="shared" si="15"/>
        <v>-</v>
      </c>
      <c r="EC28" s="742"/>
      <c r="ED28" s="742"/>
      <c r="EE28" s="743"/>
      <c r="EF28" s="741" t="str">
        <f t="shared" si="5"/>
        <v>-</v>
      </c>
      <c r="EG28" s="742"/>
      <c r="EH28" s="742"/>
      <c r="EI28" s="743"/>
      <c r="EJ28" s="744" t="str">
        <f t="shared" si="16"/>
        <v>-</v>
      </c>
      <c r="EK28" s="739"/>
      <c r="EL28" s="739"/>
      <c r="EM28" s="740"/>
      <c r="EN28" s="744" t="str">
        <f t="shared" si="6"/>
        <v>-</v>
      </c>
      <c r="EO28" s="739"/>
      <c r="EP28" s="739"/>
      <c r="EQ28" s="740"/>
      <c r="ER28" s="744" t="str">
        <f>IF(DV28="","-",INDEX($A$5:$BP$257,MATCH(DV28,$BN$5:$BN$257,0),39)*(IF(DV28="","-",(1+(((-('Densidade do AR'!$M$4))+('Densidade do AR'!$T$15*1000000))/(IF(INDEX($A$5:$BP$257,MATCH(DV28,$BN$5:$BN$257,0),50)="Aço Inoxidável",('Densidade do AR'!$S$8*1000000),IF(INDEX($A$5:$BP$257,MATCH(DV28,$BN$5:$BN$257,0),50)="Ferro Fundido",('Densidade do AR'!$S$12*1000000),IF(INDEX($A$5:$BP$257,MATCH(DV28,$BN$5:$BN$257,0),50)="Latão",('Densidade do AR'!$S$10*1000000),IF(INDEX($A$5:$BP$257,MATCH(DV28,$BN$5:$BN$257,0),50)="Alumínio",('Densidade do AR'!$S$4*1000000)))))))-(((-('Densidade do AR'!$M$4))+('Densidade do AR'!$T$15*1000000))/('Densidade do AR'!$S$14*1000000))))))</f>
        <v>-</v>
      </c>
      <c r="ES28" s="739"/>
      <c r="ET28" s="739"/>
      <c r="EU28" s="745"/>
      <c r="EV28" s="91" t="str">
        <f t="shared" si="17"/>
        <v>-</v>
      </c>
      <c r="EW28" s="870"/>
      <c r="EX28" s="871"/>
      <c r="EY28" s="738" t="str">
        <f>IF(EW28="","-",(IF(INDEX($A$5:$BP$257,MATCH(EW28,$BN$5:$BN$257,0),50)="Aço Inoxidável",('Densidade do AR'!$S$8*1000000),IF(INDEX($A$5:$BP$257,MATCH(EW28,$BN$5:$BN$257,0),50)="Ferro Fundido",('Densidade do AR'!$S$12*1000000),IF(INDEX($A$5:$BP$257,MATCH(EW28,$BN$5:$BN$257,0),50)="Latão",('Densidade do AR'!$S$10*1000000),IF(INDEX($A$5:$BP$257,MATCH(EW28,$BN$5:$BN$257,0),50)="Alumínio",('Densidade do AR'!$S$4*1000000)))))))</f>
        <v>-</v>
      </c>
      <c r="EZ28" s="739"/>
      <c r="FA28" s="739"/>
      <c r="FB28" s="740"/>
      <c r="FC28" s="741" t="str">
        <f t="shared" si="18"/>
        <v>-</v>
      </c>
      <c r="FD28" s="742"/>
      <c r="FE28" s="742"/>
      <c r="FF28" s="743"/>
      <c r="FG28" s="741" t="str">
        <f t="shared" si="7"/>
        <v>-</v>
      </c>
      <c r="FH28" s="742"/>
      <c r="FI28" s="742"/>
      <c r="FJ28" s="743"/>
      <c r="FK28" s="744" t="str">
        <f t="shared" si="19"/>
        <v>-</v>
      </c>
      <c r="FL28" s="739"/>
      <c r="FM28" s="739"/>
      <c r="FN28" s="740"/>
      <c r="FO28" s="744" t="str">
        <f t="shared" si="8"/>
        <v>-</v>
      </c>
      <c r="FP28" s="739"/>
      <c r="FQ28" s="739"/>
      <c r="FR28" s="740"/>
      <c r="FS28" s="744" t="str">
        <f>IF(EW28="","-",INDEX($A$5:$BP$257,MATCH(EW28,$BN$5:$BN$257,0),39)*(IF(EW28="","-",(1+(((-('Densidade do AR'!$M$4))+('Densidade do AR'!$T$15*1000000))/(IF(INDEX($A$5:$BP$257,MATCH(EW28,$BN$5:$BN$257,0),50)="Aço Inoxidável",('Densidade do AR'!$S$8*1000000),IF(INDEX($A$5:$BP$257,MATCH(EW28,$BN$5:$BN$257,0),50)="Ferro Fundido",('Densidade do AR'!$S$12*1000000),IF(INDEX($A$5:$BP$257,MATCH(EW28,$BN$5:$BN$257,0),50)="Latão",('Densidade do AR'!$S$10*1000000),IF(INDEX($A$5:$BP$257,MATCH(EW28,$BN$5:$BN$257,0),50)="Alumínio",('Densidade do AR'!$S$4*1000000)))))))-(((-('Densidade do AR'!$M$4))+('Densidade do AR'!$T$15*1000000))/('Densidade do AR'!$S$14*1000000))))))</f>
        <v>-</v>
      </c>
      <c r="FT28" s="739"/>
      <c r="FU28" s="739"/>
      <c r="FV28" s="745"/>
      <c r="FW28" s="91" t="str">
        <f t="shared" si="20"/>
        <v>-</v>
      </c>
      <c r="FX28" s="135"/>
    </row>
    <row r="29" spans="1:180" x14ac:dyDescent="0.2">
      <c r="A29" s="1001">
        <v>25</v>
      </c>
      <c r="B29" s="907"/>
      <c r="C29" s="957">
        <v>1000</v>
      </c>
      <c r="D29" s="955"/>
      <c r="E29" s="955"/>
      <c r="F29" s="955"/>
      <c r="G29" s="956"/>
      <c r="H29" s="905">
        <v>1</v>
      </c>
      <c r="I29" s="906"/>
      <c r="J29" s="906"/>
      <c r="K29" s="907"/>
      <c r="L29" s="905" t="s">
        <v>111</v>
      </c>
      <c r="M29" s="906"/>
      <c r="N29" s="906"/>
      <c r="O29" s="907"/>
      <c r="P29" s="894" t="s">
        <v>308</v>
      </c>
      <c r="Q29" s="955"/>
      <c r="R29" s="955"/>
      <c r="S29" s="955"/>
      <c r="T29" s="956"/>
      <c r="U29" s="898" t="s">
        <v>302</v>
      </c>
      <c r="V29" s="715"/>
      <c r="W29" s="715"/>
      <c r="X29" s="715"/>
      <c r="Y29" s="715"/>
      <c r="Z29" s="715"/>
      <c r="AA29" s="716"/>
      <c r="AB29" s="850"/>
      <c r="AC29" s="851"/>
      <c r="AD29" s="851"/>
      <c r="AE29" s="851"/>
      <c r="AF29" s="851"/>
      <c r="AG29" s="851"/>
      <c r="AH29" s="851"/>
      <c r="AI29" s="851"/>
      <c r="AJ29" s="851"/>
      <c r="AK29" s="851"/>
      <c r="AL29" s="852"/>
      <c r="AM29" s="985">
        <v>999999</v>
      </c>
      <c r="AN29" s="986"/>
      <c r="AO29" s="986"/>
      <c r="AP29" s="986"/>
      <c r="AQ29" s="986"/>
      <c r="AR29" s="986"/>
      <c r="AS29" s="987"/>
      <c r="AT29" s="985">
        <f t="shared" si="0"/>
        <v>-1</v>
      </c>
      <c r="AU29" s="986"/>
      <c r="AV29" s="986"/>
      <c r="AW29" s="987"/>
      <c r="AX29" s="1003" t="s">
        <v>9</v>
      </c>
      <c r="AY29" s="950"/>
      <c r="AZ29" s="950"/>
      <c r="BA29" s="950"/>
      <c r="BB29" s="950"/>
      <c r="BC29" s="951"/>
      <c r="BD29" s="998">
        <v>2</v>
      </c>
      <c r="BE29" s="999"/>
      <c r="BF29" s="999"/>
      <c r="BG29" s="1000"/>
      <c r="BH29" s="985">
        <v>2</v>
      </c>
      <c r="BI29" s="986"/>
      <c r="BJ29" s="986"/>
      <c r="BK29" s="986"/>
      <c r="BL29" s="997"/>
      <c r="BN29" s="881">
        <v>25</v>
      </c>
      <c r="BO29" s="882"/>
      <c r="BP29" s="883"/>
      <c r="BT29" s="746"/>
      <c r="BU29" s="747"/>
      <c r="BV29" s="784" t="str">
        <f>IF(BT29="","-",(IF(INDEX($A$5:$BP$257,MATCH(BT29,$BN$5:$BN$257,0),50)="Aço Inoxidável",('Densidade do AR'!$S$8*1000000),IF(INDEX($A$5:$BP$257,MATCH(BT29,$BN$5:$BN$257,0),50)="Ferro Fundido",('Densidade do AR'!$S$12*1000000),IF(INDEX($A$5:$BP$257,MATCH(BT29,$BN$5:$BN$257,0),50)="Latão",('Densidade do AR'!$S$10*1000000),IF(INDEX($A$5:$BP$257,MATCH(BT29,$BN$5:$BN$257,0),50)="Alumínio",('Densidade do AR'!$S$4*1000000)))))))</f>
        <v>-</v>
      </c>
      <c r="BW29" s="785"/>
      <c r="BX29" s="785"/>
      <c r="BY29" s="786"/>
      <c r="BZ29" s="787" t="str">
        <f t="shared" si="9"/>
        <v>-</v>
      </c>
      <c r="CA29" s="788"/>
      <c r="CB29" s="788"/>
      <c r="CC29" s="789"/>
      <c r="CD29" s="787" t="str">
        <f t="shared" si="1"/>
        <v>-</v>
      </c>
      <c r="CE29" s="788"/>
      <c r="CF29" s="788"/>
      <c r="CG29" s="789"/>
      <c r="CH29" s="790" t="str">
        <f t="shared" si="10"/>
        <v>-</v>
      </c>
      <c r="CI29" s="785"/>
      <c r="CJ29" s="785"/>
      <c r="CK29" s="786"/>
      <c r="CL29" s="790" t="str">
        <f t="shared" si="2"/>
        <v>-</v>
      </c>
      <c r="CM29" s="785"/>
      <c r="CN29" s="785"/>
      <c r="CO29" s="786"/>
      <c r="CP29" s="790" t="str">
        <f>IF(BT29="","-",INDEX($A$5:$BP$257,MATCH(BT29,$BN$5:$BN$257,0),39)*(IF(BT29="","-",(1+(((-('Densidade do AR'!$M$4))+('Densidade do AR'!$T$15*1000000))/(IF(INDEX($A$5:$BP$257,MATCH(BT29,$BN$5:$BN$257,0),50)="Aço Inoxidável",('Densidade do AR'!$S$8*1000000),IF(INDEX($A$5:$BP$257,MATCH(BT29,$BN$5:$BN$257,0),50)="Ferro Fundido",('Densidade do AR'!$S$12*1000000),IF(INDEX($A$5:$BP$257,MATCH(BT29,$BN$5:$BN$257,0),50)="Latão",('Densidade do AR'!$S$10*1000000),IF(INDEX($A$5:$BP$257,MATCH(BT29,$BN$5:$BN$257,0),50)="Alumínio",('Densidade do AR'!$S$4*1000000)))))))-(((-('Densidade do AR'!$M$4))+('Densidade do AR'!$T$15*1000000))/('Densidade do AR'!$S$14*1000000))))))</f>
        <v>-</v>
      </c>
      <c r="CQ29" s="785"/>
      <c r="CR29" s="785"/>
      <c r="CS29" s="791"/>
      <c r="CT29" s="91" t="str">
        <f t="shared" si="11"/>
        <v>-</v>
      </c>
      <c r="CU29" s="746"/>
      <c r="CV29" s="747"/>
      <c r="CW29" s="784" t="str">
        <f>IF(CU29="","-",(IF(INDEX($A$5:$BP$257,MATCH(CU29,$BN$5:$BN$257,0),50)="Aço Inoxidável",('Densidade do AR'!$S$8*1000000),IF(INDEX($A$5:$BP$257,MATCH(CU29,$BN$5:$BN$257,0),50)="Ferro Fundido",('Densidade do AR'!$S$12*1000000),IF(INDEX($A$5:$BP$257,MATCH(CU29,$BN$5:$BN$257,0),50)="Latão",('Densidade do AR'!$S$10*1000000),IF(INDEX($A$5:$BP$257,MATCH(CU29,$BN$5:$BN$257,0),50)="Alumínio",('Densidade do AR'!$S$4*1000000)))))))</f>
        <v>-</v>
      </c>
      <c r="CX29" s="785"/>
      <c r="CY29" s="785"/>
      <c r="CZ29" s="786"/>
      <c r="DA29" s="787" t="str">
        <f t="shared" si="12"/>
        <v>-</v>
      </c>
      <c r="DB29" s="788"/>
      <c r="DC29" s="788"/>
      <c r="DD29" s="789"/>
      <c r="DE29" s="787" t="str">
        <f t="shared" si="3"/>
        <v>-</v>
      </c>
      <c r="DF29" s="788"/>
      <c r="DG29" s="788"/>
      <c r="DH29" s="789"/>
      <c r="DI29" s="790" t="str">
        <f t="shared" si="13"/>
        <v>-</v>
      </c>
      <c r="DJ29" s="785"/>
      <c r="DK29" s="785"/>
      <c r="DL29" s="786"/>
      <c r="DM29" s="790" t="str">
        <f t="shared" si="4"/>
        <v>-</v>
      </c>
      <c r="DN29" s="785"/>
      <c r="DO29" s="785"/>
      <c r="DP29" s="786"/>
      <c r="DQ29" s="790" t="str">
        <f>IF(CU29="","-",INDEX($A$5:$BP$257,MATCH(CU29,$BN$5:$BN$257,0),39)*(IF(CU29="","-",(1+(((-('Densidade do AR'!$M$4))+('Densidade do AR'!$T$15*1000000))/(IF(INDEX($A$5:$BP$257,MATCH(CU29,$BN$5:$BN$257,0),50)="Aço Inoxidável",('Densidade do AR'!$S$8*1000000),IF(INDEX($A$5:$BP$257,MATCH(CU29,$BN$5:$BN$257,0),50)="Ferro Fundido",('Densidade do AR'!$S$12*1000000),IF(INDEX($A$5:$BP$257,MATCH(CU29,$BN$5:$BN$257,0),50)="Latão",('Densidade do AR'!$S$10*1000000),IF(INDEX($A$5:$BP$257,MATCH(CU29,$BN$5:$BN$257,0),50)="Alumínio",('Densidade do AR'!$S$4*1000000)))))))-(((-('Densidade do AR'!$M$4))+('Densidade do AR'!$T$15*1000000))/('Densidade do AR'!$S$14*1000000))))))</f>
        <v>-</v>
      </c>
      <c r="DR29" s="785"/>
      <c r="DS29" s="785"/>
      <c r="DT29" s="791"/>
      <c r="DU29" s="91" t="str">
        <f t="shared" si="14"/>
        <v>-</v>
      </c>
      <c r="DV29" s="746"/>
      <c r="DW29" s="747"/>
      <c r="DX29" s="784" t="str">
        <f>IF(DV29="","-",(IF(INDEX($A$5:$BP$257,MATCH(DV29,$BN$5:$BN$257,0),50)="Aço Inoxidável",('Densidade do AR'!$S$8*1000000),IF(INDEX($A$5:$BP$257,MATCH(DV29,$BN$5:$BN$257,0),50)="Ferro Fundido",('Densidade do AR'!$S$12*1000000),IF(INDEX($A$5:$BP$257,MATCH(DV29,$BN$5:$BN$257,0),50)="Latão",('Densidade do AR'!$S$10*1000000),IF(INDEX($A$5:$BP$257,MATCH(DV29,$BN$5:$BN$257,0),50)="Alumínio",('Densidade do AR'!$S$4*1000000)))))))</f>
        <v>-</v>
      </c>
      <c r="DY29" s="785"/>
      <c r="DZ29" s="785"/>
      <c r="EA29" s="786"/>
      <c r="EB29" s="787" t="str">
        <f t="shared" si="15"/>
        <v>-</v>
      </c>
      <c r="EC29" s="788"/>
      <c r="ED29" s="788"/>
      <c r="EE29" s="789"/>
      <c r="EF29" s="787" t="str">
        <f t="shared" si="5"/>
        <v>-</v>
      </c>
      <c r="EG29" s="788"/>
      <c r="EH29" s="788"/>
      <c r="EI29" s="789"/>
      <c r="EJ29" s="790" t="str">
        <f t="shared" si="16"/>
        <v>-</v>
      </c>
      <c r="EK29" s="785"/>
      <c r="EL29" s="785"/>
      <c r="EM29" s="786"/>
      <c r="EN29" s="790" t="str">
        <f t="shared" si="6"/>
        <v>-</v>
      </c>
      <c r="EO29" s="785"/>
      <c r="EP29" s="785"/>
      <c r="EQ29" s="786"/>
      <c r="ER29" s="790" t="str">
        <f>IF(DV29="","-",INDEX($A$5:$BP$257,MATCH(DV29,$BN$5:$BN$257,0),39)*(IF(DV29="","-",(1+(((-('Densidade do AR'!$M$4))+('Densidade do AR'!$T$15*1000000))/(IF(INDEX($A$5:$BP$257,MATCH(DV29,$BN$5:$BN$257,0),50)="Aço Inoxidável",('Densidade do AR'!$S$8*1000000),IF(INDEX($A$5:$BP$257,MATCH(DV29,$BN$5:$BN$257,0),50)="Ferro Fundido",('Densidade do AR'!$S$12*1000000),IF(INDEX($A$5:$BP$257,MATCH(DV29,$BN$5:$BN$257,0),50)="Latão",('Densidade do AR'!$S$10*1000000),IF(INDEX($A$5:$BP$257,MATCH(DV29,$BN$5:$BN$257,0),50)="Alumínio",('Densidade do AR'!$S$4*1000000)))))))-(((-('Densidade do AR'!$M$4))+('Densidade do AR'!$T$15*1000000))/('Densidade do AR'!$S$14*1000000))))))</f>
        <v>-</v>
      </c>
      <c r="ES29" s="785"/>
      <c r="ET29" s="785"/>
      <c r="EU29" s="791"/>
      <c r="EV29" s="91" t="str">
        <f t="shared" si="17"/>
        <v>-</v>
      </c>
      <c r="EW29" s="736"/>
      <c r="EX29" s="737"/>
      <c r="EY29" s="784" t="str">
        <f>IF(EW29="","-",(IF(INDEX($A$5:$BP$257,MATCH(EW29,$BN$5:$BN$257,0),50)="Aço Inoxidável",('Densidade do AR'!$S$8*1000000),IF(INDEX($A$5:$BP$257,MATCH(EW29,$BN$5:$BN$257,0),50)="Ferro Fundido",('Densidade do AR'!$S$12*1000000),IF(INDEX($A$5:$BP$257,MATCH(EW29,$BN$5:$BN$257,0),50)="Latão",('Densidade do AR'!$S$10*1000000),IF(INDEX($A$5:$BP$257,MATCH(EW29,$BN$5:$BN$257,0),50)="Alumínio",('Densidade do AR'!$S$4*1000000)))))))</f>
        <v>-</v>
      </c>
      <c r="EZ29" s="785"/>
      <c r="FA29" s="785"/>
      <c r="FB29" s="786"/>
      <c r="FC29" s="787" t="str">
        <f t="shared" si="18"/>
        <v>-</v>
      </c>
      <c r="FD29" s="788"/>
      <c r="FE29" s="788"/>
      <c r="FF29" s="789"/>
      <c r="FG29" s="787" t="str">
        <f t="shared" si="7"/>
        <v>-</v>
      </c>
      <c r="FH29" s="788"/>
      <c r="FI29" s="788"/>
      <c r="FJ29" s="789"/>
      <c r="FK29" s="790" t="str">
        <f t="shared" si="19"/>
        <v>-</v>
      </c>
      <c r="FL29" s="785"/>
      <c r="FM29" s="785"/>
      <c r="FN29" s="786"/>
      <c r="FO29" s="790" t="str">
        <f t="shared" si="8"/>
        <v>-</v>
      </c>
      <c r="FP29" s="785"/>
      <c r="FQ29" s="785"/>
      <c r="FR29" s="786"/>
      <c r="FS29" s="790" t="str">
        <f>IF(EW29="","-",INDEX($A$5:$BP$257,MATCH(EW29,$BN$5:$BN$257,0),39)*(IF(EW29="","-",(1+(((-('Densidade do AR'!$M$4))+('Densidade do AR'!$T$15*1000000))/(IF(INDEX($A$5:$BP$257,MATCH(EW29,$BN$5:$BN$257,0),50)="Aço Inoxidável",('Densidade do AR'!$S$8*1000000),IF(INDEX($A$5:$BP$257,MATCH(EW29,$BN$5:$BN$257,0),50)="Ferro Fundido",('Densidade do AR'!$S$12*1000000),IF(INDEX($A$5:$BP$257,MATCH(EW29,$BN$5:$BN$257,0),50)="Latão",('Densidade do AR'!$S$10*1000000),IF(INDEX($A$5:$BP$257,MATCH(EW29,$BN$5:$BN$257,0),50)="Alumínio",('Densidade do AR'!$S$4*1000000)))))))-(((-('Densidade do AR'!$M$4))+('Densidade do AR'!$T$15*1000000))/('Densidade do AR'!$S$14*1000000))))))</f>
        <v>-</v>
      </c>
      <c r="FT29" s="785"/>
      <c r="FU29" s="785"/>
      <c r="FV29" s="791"/>
      <c r="FW29" s="91" t="str">
        <f t="shared" si="20"/>
        <v>-</v>
      </c>
      <c r="FX29" s="135"/>
    </row>
    <row r="30" spans="1:180" x14ac:dyDescent="0.2">
      <c r="A30" s="1002">
        <v>26</v>
      </c>
      <c r="B30" s="904"/>
      <c r="C30" s="966">
        <v>2000</v>
      </c>
      <c r="D30" s="967"/>
      <c r="E30" s="967"/>
      <c r="F30" s="967"/>
      <c r="G30" s="968"/>
      <c r="H30" s="1071" t="s">
        <v>313</v>
      </c>
      <c r="I30" s="1072"/>
      <c r="J30" s="1072"/>
      <c r="K30" s="1073"/>
      <c r="L30" s="902" t="s">
        <v>111</v>
      </c>
      <c r="M30" s="903"/>
      <c r="N30" s="903"/>
      <c r="O30" s="904"/>
      <c r="P30" s="891" t="s">
        <v>308</v>
      </c>
      <c r="Q30" s="967"/>
      <c r="R30" s="967"/>
      <c r="S30" s="967"/>
      <c r="T30" s="968"/>
      <c r="U30" s="897" t="s">
        <v>302</v>
      </c>
      <c r="V30" s="722"/>
      <c r="W30" s="722"/>
      <c r="X30" s="722"/>
      <c r="Y30" s="722"/>
      <c r="Z30" s="722"/>
      <c r="AA30" s="723"/>
      <c r="AB30" s="853"/>
      <c r="AC30" s="854"/>
      <c r="AD30" s="854"/>
      <c r="AE30" s="854"/>
      <c r="AF30" s="854"/>
      <c r="AG30" s="854"/>
      <c r="AH30" s="854"/>
      <c r="AI30" s="854"/>
      <c r="AJ30" s="854"/>
      <c r="AK30" s="854"/>
      <c r="AL30" s="855"/>
      <c r="AM30" s="982">
        <v>2000000</v>
      </c>
      <c r="AN30" s="944"/>
      <c r="AO30" s="944"/>
      <c r="AP30" s="944"/>
      <c r="AQ30" s="944"/>
      <c r="AR30" s="944"/>
      <c r="AS30" s="945"/>
      <c r="AT30" s="982">
        <f t="shared" si="0"/>
        <v>0</v>
      </c>
      <c r="AU30" s="944"/>
      <c r="AV30" s="944"/>
      <c r="AW30" s="945"/>
      <c r="AX30" s="1007" t="s">
        <v>9</v>
      </c>
      <c r="AY30" s="953"/>
      <c r="AZ30" s="953"/>
      <c r="BA30" s="953"/>
      <c r="BB30" s="953"/>
      <c r="BC30" s="954"/>
      <c r="BD30" s="946">
        <v>3</v>
      </c>
      <c r="BE30" s="947"/>
      <c r="BF30" s="947"/>
      <c r="BG30" s="948"/>
      <c r="BH30" s="982">
        <v>2</v>
      </c>
      <c r="BI30" s="944"/>
      <c r="BJ30" s="944"/>
      <c r="BK30" s="944"/>
      <c r="BL30" s="996"/>
      <c r="BN30" s="878">
        <v>26</v>
      </c>
      <c r="BO30" s="879"/>
      <c r="BP30" s="880"/>
      <c r="BT30" s="736"/>
      <c r="BU30" s="737"/>
      <c r="BV30" s="738" t="str">
        <f>IF(BT30="","-",(IF(INDEX($A$5:$BP$257,MATCH(BT30,$BN$5:$BN$257,0),50)="Aço Inoxidável",('Densidade do AR'!$S$8*1000000),IF(INDEX($A$5:$BP$257,MATCH(BT30,$BN$5:$BN$257,0),50)="Ferro Fundido",('Densidade do AR'!$S$12*1000000),IF(INDEX($A$5:$BP$257,MATCH(BT30,$BN$5:$BN$257,0),50)="Latão",('Densidade do AR'!$S$10*1000000),IF(INDEX($A$5:$BP$257,MATCH(BT30,$BN$5:$BN$257,0),50)="Alumínio",('Densidade do AR'!$S$4*1000000)))))))</f>
        <v>-</v>
      </c>
      <c r="BW30" s="739"/>
      <c r="BX30" s="739"/>
      <c r="BY30" s="740"/>
      <c r="BZ30" s="741" t="str">
        <f t="shared" si="9"/>
        <v>-</v>
      </c>
      <c r="CA30" s="742"/>
      <c r="CB30" s="742"/>
      <c r="CC30" s="743"/>
      <c r="CD30" s="741" t="str">
        <f t="shared" si="1"/>
        <v>-</v>
      </c>
      <c r="CE30" s="742"/>
      <c r="CF30" s="742"/>
      <c r="CG30" s="743"/>
      <c r="CH30" s="744" t="str">
        <f t="shared" si="10"/>
        <v>-</v>
      </c>
      <c r="CI30" s="739"/>
      <c r="CJ30" s="739"/>
      <c r="CK30" s="740"/>
      <c r="CL30" s="744" t="str">
        <f t="shared" si="2"/>
        <v>-</v>
      </c>
      <c r="CM30" s="739"/>
      <c r="CN30" s="739"/>
      <c r="CO30" s="740"/>
      <c r="CP30" s="744" t="str">
        <f>IF(BT30="","-",INDEX($A$5:$BP$257,MATCH(BT30,$BN$5:$BN$257,0),39)*(IF(BT30="","-",(1+(((-('Densidade do AR'!$M$4))+('Densidade do AR'!$T$15*1000000))/(IF(INDEX($A$5:$BP$257,MATCH(BT30,$BN$5:$BN$257,0),50)="Aço Inoxidável",('Densidade do AR'!$S$8*1000000),IF(INDEX($A$5:$BP$257,MATCH(BT30,$BN$5:$BN$257,0),50)="Ferro Fundido",('Densidade do AR'!$S$12*1000000),IF(INDEX($A$5:$BP$257,MATCH(BT30,$BN$5:$BN$257,0),50)="Latão",('Densidade do AR'!$S$10*1000000),IF(INDEX($A$5:$BP$257,MATCH(BT30,$BN$5:$BN$257,0),50)="Alumínio",('Densidade do AR'!$S$4*1000000)))))))-(((-('Densidade do AR'!$M$4))+('Densidade do AR'!$T$15*1000000))/('Densidade do AR'!$S$14*1000000))))))</f>
        <v>-</v>
      </c>
      <c r="CQ30" s="739"/>
      <c r="CR30" s="739"/>
      <c r="CS30" s="745"/>
      <c r="CT30" s="91" t="str">
        <f t="shared" si="11"/>
        <v>-</v>
      </c>
      <c r="CU30" s="736"/>
      <c r="CV30" s="737"/>
      <c r="CW30" s="738" t="str">
        <f>IF(CU30="","-",(IF(INDEX($A$5:$BP$257,MATCH(CU30,$BN$5:$BN$257,0),50)="Aço Inoxidável",('Densidade do AR'!$S$8*1000000),IF(INDEX($A$5:$BP$257,MATCH(CU30,$BN$5:$BN$257,0),50)="Ferro Fundido",('Densidade do AR'!$S$12*1000000),IF(INDEX($A$5:$BP$257,MATCH(CU30,$BN$5:$BN$257,0),50)="Latão",('Densidade do AR'!$S$10*1000000),IF(INDEX($A$5:$BP$257,MATCH(CU30,$BN$5:$BN$257,0),50)="Alumínio",('Densidade do AR'!$S$4*1000000)))))))</f>
        <v>-</v>
      </c>
      <c r="CX30" s="739"/>
      <c r="CY30" s="739"/>
      <c r="CZ30" s="740"/>
      <c r="DA30" s="741" t="str">
        <f t="shared" si="12"/>
        <v>-</v>
      </c>
      <c r="DB30" s="742"/>
      <c r="DC30" s="742"/>
      <c r="DD30" s="743"/>
      <c r="DE30" s="741" t="str">
        <f t="shared" si="3"/>
        <v>-</v>
      </c>
      <c r="DF30" s="742"/>
      <c r="DG30" s="742"/>
      <c r="DH30" s="743"/>
      <c r="DI30" s="744" t="str">
        <f t="shared" si="13"/>
        <v>-</v>
      </c>
      <c r="DJ30" s="739"/>
      <c r="DK30" s="739"/>
      <c r="DL30" s="740"/>
      <c r="DM30" s="744" t="str">
        <f t="shared" si="4"/>
        <v>-</v>
      </c>
      <c r="DN30" s="739"/>
      <c r="DO30" s="739"/>
      <c r="DP30" s="740"/>
      <c r="DQ30" s="744" t="str">
        <f>IF(CU30="","-",INDEX($A$5:$BP$257,MATCH(CU30,$BN$5:$BN$257,0),39)*(IF(CU30="","-",(1+(((-('Densidade do AR'!$M$4))+('Densidade do AR'!$T$15*1000000))/(IF(INDEX($A$5:$BP$257,MATCH(CU30,$BN$5:$BN$257,0),50)="Aço Inoxidável",('Densidade do AR'!$S$8*1000000),IF(INDEX($A$5:$BP$257,MATCH(CU30,$BN$5:$BN$257,0),50)="Ferro Fundido",('Densidade do AR'!$S$12*1000000),IF(INDEX($A$5:$BP$257,MATCH(CU30,$BN$5:$BN$257,0),50)="Latão",('Densidade do AR'!$S$10*1000000),IF(INDEX($A$5:$BP$257,MATCH(CU30,$BN$5:$BN$257,0),50)="Alumínio",('Densidade do AR'!$S$4*1000000)))))))-(((-('Densidade do AR'!$M$4))+('Densidade do AR'!$T$15*1000000))/('Densidade do AR'!$S$14*1000000))))))</f>
        <v>-</v>
      </c>
      <c r="DR30" s="739"/>
      <c r="DS30" s="739"/>
      <c r="DT30" s="745"/>
      <c r="DU30" s="91" t="str">
        <f t="shared" si="14"/>
        <v>-</v>
      </c>
      <c r="DV30" s="736"/>
      <c r="DW30" s="737"/>
      <c r="DX30" s="738" t="str">
        <f>IF(DV30="","-",(IF(INDEX($A$5:$BP$257,MATCH(DV30,$BN$5:$BN$257,0),50)="Aço Inoxidável",('Densidade do AR'!$S$8*1000000),IF(INDEX($A$5:$BP$257,MATCH(DV30,$BN$5:$BN$257,0),50)="Ferro Fundido",('Densidade do AR'!$S$12*1000000),IF(INDEX($A$5:$BP$257,MATCH(DV30,$BN$5:$BN$257,0),50)="Latão",('Densidade do AR'!$S$10*1000000),IF(INDEX($A$5:$BP$257,MATCH(DV30,$BN$5:$BN$257,0),50)="Alumínio",('Densidade do AR'!$S$4*1000000)))))))</f>
        <v>-</v>
      </c>
      <c r="DY30" s="739"/>
      <c r="DZ30" s="739"/>
      <c r="EA30" s="740"/>
      <c r="EB30" s="741" t="str">
        <f t="shared" si="15"/>
        <v>-</v>
      </c>
      <c r="EC30" s="742"/>
      <c r="ED30" s="742"/>
      <c r="EE30" s="743"/>
      <c r="EF30" s="741" t="str">
        <f t="shared" si="5"/>
        <v>-</v>
      </c>
      <c r="EG30" s="742"/>
      <c r="EH30" s="742"/>
      <c r="EI30" s="743"/>
      <c r="EJ30" s="744" t="str">
        <f t="shared" si="16"/>
        <v>-</v>
      </c>
      <c r="EK30" s="739"/>
      <c r="EL30" s="739"/>
      <c r="EM30" s="740"/>
      <c r="EN30" s="744" t="str">
        <f t="shared" si="6"/>
        <v>-</v>
      </c>
      <c r="EO30" s="739"/>
      <c r="EP30" s="739"/>
      <c r="EQ30" s="740"/>
      <c r="ER30" s="744" t="str">
        <f>IF(DV30="","-",INDEX($A$5:$BP$257,MATCH(DV30,$BN$5:$BN$257,0),39)*(IF(DV30="","-",(1+(((-('Densidade do AR'!$M$4))+('Densidade do AR'!$T$15*1000000))/(IF(INDEX($A$5:$BP$257,MATCH(DV30,$BN$5:$BN$257,0),50)="Aço Inoxidável",('Densidade do AR'!$S$8*1000000),IF(INDEX($A$5:$BP$257,MATCH(DV30,$BN$5:$BN$257,0),50)="Ferro Fundido",('Densidade do AR'!$S$12*1000000),IF(INDEX($A$5:$BP$257,MATCH(DV30,$BN$5:$BN$257,0),50)="Latão",('Densidade do AR'!$S$10*1000000),IF(INDEX($A$5:$BP$257,MATCH(DV30,$BN$5:$BN$257,0),50)="Alumínio",('Densidade do AR'!$S$4*1000000)))))))-(((-('Densidade do AR'!$M$4))+('Densidade do AR'!$T$15*1000000))/('Densidade do AR'!$S$14*1000000))))))</f>
        <v>-</v>
      </c>
      <c r="ES30" s="739"/>
      <c r="ET30" s="739"/>
      <c r="EU30" s="745"/>
      <c r="EV30" s="91" t="str">
        <f t="shared" si="17"/>
        <v>-</v>
      </c>
      <c r="EW30" s="870"/>
      <c r="EX30" s="871"/>
      <c r="EY30" s="738" t="str">
        <f>IF(EW30="","-",(IF(INDEX($A$5:$BP$257,MATCH(EW30,$BN$5:$BN$257,0),50)="Aço Inoxidável",('Densidade do AR'!$S$8*1000000),IF(INDEX($A$5:$BP$257,MATCH(EW30,$BN$5:$BN$257,0),50)="Ferro Fundido",('Densidade do AR'!$S$12*1000000),IF(INDEX($A$5:$BP$257,MATCH(EW30,$BN$5:$BN$257,0),50)="Latão",('Densidade do AR'!$S$10*1000000),IF(INDEX($A$5:$BP$257,MATCH(EW30,$BN$5:$BN$257,0),50)="Alumínio",('Densidade do AR'!$S$4*1000000)))))))</f>
        <v>-</v>
      </c>
      <c r="EZ30" s="739"/>
      <c r="FA30" s="739"/>
      <c r="FB30" s="740"/>
      <c r="FC30" s="741" t="str">
        <f t="shared" si="18"/>
        <v>-</v>
      </c>
      <c r="FD30" s="742"/>
      <c r="FE30" s="742"/>
      <c r="FF30" s="743"/>
      <c r="FG30" s="741" t="str">
        <f t="shared" si="7"/>
        <v>-</v>
      </c>
      <c r="FH30" s="742"/>
      <c r="FI30" s="742"/>
      <c r="FJ30" s="743"/>
      <c r="FK30" s="744" t="str">
        <f t="shared" si="19"/>
        <v>-</v>
      </c>
      <c r="FL30" s="739"/>
      <c r="FM30" s="739"/>
      <c r="FN30" s="740"/>
      <c r="FO30" s="744" t="str">
        <f t="shared" si="8"/>
        <v>-</v>
      </c>
      <c r="FP30" s="739"/>
      <c r="FQ30" s="739"/>
      <c r="FR30" s="740"/>
      <c r="FS30" s="744" t="str">
        <f>IF(EW30="","-",INDEX($A$5:$BP$257,MATCH(EW30,$BN$5:$BN$257,0),39)*(IF(EW30="","-",(1+(((-('Densidade do AR'!$M$4))+('Densidade do AR'!$T$15*1000000))/(IF(INDEX($A$5:$BP$257,MATCH(EW30,$BN$5:$BN$257,0),50)="Aço Inoxidável",('Densidade do AR'!$S$8*1000000),IF(INDEX($A$5:$BP$257,MATCH(EW30,$BN$5:$BN$257,0),50)="Ferro Fundido",('Densidade do AR'!$S$12*1000000),IF(INDEX($A$5:$BP$257,MATCH(EW30,$BN$5:$BN$257,0),50)="Latão",('Densidade do AR'!$S$10*1000000),IF(INDEX($A$5:$BP$257,MATCH(EW30,$BN$5:$BN$257,0),50)="Alumínio",('Densidade do AR'!$S$4*1000000)))))))-(((-('Densidade do AR'!$M$4))+('Densidade do AR'!$T$15*1000000))/('Densidade do AR'!$S$14*1000000))))))</f>
        <v>-</v>
      </c>
      <c r="FT30" s="739"/>
      <c r="FU30" s="739"/>
      <c r="FV30" s="745"/>
      <c r="FW30" s="91" t="str">
        <f t="shared" si="20"/>
        <v>-</v>
      </c>
      <c r="FX30" s="135"/>
    </row>
    <row r="31" spans="1:180" x14ac:dyDescent="0.2">
      <c r="A31" s="1001">
        <v>27</v>
      </c>
      <c r="B31" s="907"/>
      <c r="C31" s="957">
        <v>2000</v>
      </c>
      <c r="D31" s="955"/>
      <c r="E31" s="955"/>
      <c r="F31" s="955"/>
      <c r="G31" s="956"/>
      <c r="H31" s="991" t="s">
        <v>310</v>
      </c>
      <c r="I31" s="992"/>
      <c r="J31" s="992"/>
      <c r="K31" s="993"/>
      <c r="L31" s="905" t="s">
        <v>111</v>
      </c>
      <c r="M31" s="906"/>
      <c r="N31" s="906"/>
      <c r="O31" s="907"/>
      <c r="P31" s="894" t="s">
        <v>308</v>
      </c>
      <c r="Q31" s="955"/>
      <c r="R31" s="955"/>
      <c r="S31" s="955"/>
      <c r="T31" s="956"/>
      <c r="U31" s="898" t="s">
        <v>302</v>
      </c>
      <c r="V31" s="715"/>
      <c r="W31" s="715"/>
      <c r="X31" s="715"/>
      <c r="Y31" s="715"/>
      <c r="Z31" s="715"/>
      <c r="AA31" s="716"/>
      <c r="AB31" s="850"/>
      <c r="AC31" s="851"/>
      <c r="AD31" s="851"/>
      <c r="AE31" s="851"/>
      <c r="AF31" s="851"/>
      <c r="AG31" s="851"/>
      <c r="AH31" s="851"/>
      <c r="AI31" s="851"/>
      <c r="AJ31" s="851"/>
      <c r="AK31" s="851"/>
      <c r="AL31" s="852"/>
      <c r="AM31" s="985">
        <v>2000002</v>
      </c>
      <c r="AN31" s="986"/>
      <c r="AO31" s="986"/>
      <c r="AP31" s="986"/>
      <c r="AQ31" s="986"/>
      <c r="AR31" s="986"/>
      <c r="AS31" s="987"/>
      <c r="AT31" s="985">
        <f t="shared" si="0"/>
        <v>2</v>
      </c>
      <c r="AU31" s="986"/>
      <c r="AV31" s="986"/>
      <c r="AW31" s="987"/>
      <c r="AX31" s="1003" t="s">
        <v>9</v>
      </c>
      <c r="AY31" s="950"/>
      <c r="AZ31" s="950"/>
      <c r="BA31" s="950"/>
      <c r="BB31" s="950"/>
      <c r="BC31" s="951"/>
      <c r="BD31" s="998">
        <v>3</v>
      </c>
      <c r="BE31" s="999"/>
      <c r="BF31" s="999"/>
      <c r="BG31" s="1000"/>
      <c r="BH31" s="985">
        <v>2</v>
      </c>
      <c r="BI31" s="986"/>
      <c r="BJ31" s="986"/>
      <c r="BK31" s="986"/>
      <c r="BL31" s="997"/>
      <c r="BN31" s="881">
        <v>27</v>
      </c>
      <c r="BO31" s="882"/>
      <c r="BP31" s="883"/>
      <c r="BT31" s="746"/>
      <c r="BU31" s="747"/>
      <c r="BV31" s="784" t="str">
        <f>IF(BT31="","-",(IF(INDEX($A$5:$BP$257,MATCH(BT31,$BN$5:$BN$257,0),50)="Aço Inoxidável",('Densidade do AR'!$S$8*1000000),IF(INDEX($A$5:$BP$257,MATCH(BT31,$BN$5:$BN$257,0),50)="Ferro Fundido",('Densidade do AR'!$S$12*1000000),IF(INDEX($A$5:$BP$257,MATCH(BT31,$BN$5:$BN$257,0),50)="Latão",('Densidade do AR'!$S$10*1000000),IF(INDEX($A$5:$BP$257,MATCH(BT31,$BN$5:$BN$257,0),50)="Alumínio",('Densidade do AR'!$S$4*1000000)))))))</f>
        <v>-</v>
      </c>
      <c r="BW31" s="785"/>
      <c r="BX31" s="785"/>
      <c r="BY31" s="786"/>
      <c r="BZ31" s="787" t="str">
        <f t="shared" si="9"/>
        <v>-</v>
      </c>
      <c r="CA31" s="788"/>
      <c r="CB31" s="788"/>
      <c r="CC31" s="789"/>
      <c r="CD31" s="787" t="str">
        <f t="shared" si="1"/>
        <v>-</v>
      </c>
      <c r="CE31" s="788"/>
      <c r="CF31" s="788"/>
      <c r="CG31" s="789"/>
      <c r="CH31" s="790" t="str">
        <f t="shared" si="10"/>
        <v>-</v>
      </c>
      <c r="CI31" s="785"/>
      <c r="CJ31" s="785"/>
      <c r="CK31" s="786"/>
      <c r="CL31" s="790" t="str">
        <f t="shared" si="2"/>
        <v>-</v>
      </c>
      <c r="CM31" s="785"/>
      <c r="CN31" s="785"/>
      <c r="CO31" s="786"/>
      <c r="CP31" s="790" t="str">
        <f>IF(BT31="","-",INDEX($A$5:$BP$257,MATCH(BT31,$BN$5:$BN$257,0),39)*(IF(BT31="","-",(1+(((-('Densidade do AR'!$M$4))+('Densidade do AR'!$T$15*1000000))/(IF(INDEX($A$5:$BP$257,MATCH(BT31,$BN$5:$BN$257,0),50)="Aço Inoxidável",('Densidade do AR'!$S$8*1000000),IF(INDEX($A$5:$BP$257,MATCH(BT31,$BN$5:$BN$257,0),50)="Ferro Fundido",('Densidade do AR'!$S$12*1000000),IF(INDEX($A$5:$BP$257,MATCH(BT31,$BN$5:$BN$257,0),50)="Latão",('Densidade do AR'!$S$10*1000000),IF(INDEX($A$5:$BP$257,MATCH(BT31,$BN$5:$BN$257,0),50)="Alumínio",('Densidade do AR'!$S$4*1000000)))))))-(((-('Densidade do AR'!$M$4))+('Densidade do AR'!$T$15*1000000))/('Densidade do AR'!$S$14*1000000))))))</f>
        <v>-</v>
      </c>
      <c r="CQ31" s="785"/>
      <c r="CR31" s="785"/>
      <c r="CS31" s="791"/>
      <c r="CT31" s="91" t="str">
        <f t="shared" si="11"/>
        <v>-</v>
      </c>
      <c r="CU31" s="746"/>
      <c r="CV31" s="747"/>
      <c r="CW31" s="784" t="str">
        <f>IF(CU31="","-",(IF(INDEX($A$5:$BP$257,MATCH(CU31,$BN$5:$BN$257,0),50)="Aço Inoxidável",('Densidade do AR'!$S$8*1000000),IF(INDEX($A$5:$BP$257,MATCH(CU31,$BN$5:$BN$257,0),50)="Ferro Fundido",('Densidade do AR'!$S$12*1000000),IF(INDEX($A$5:$BP$257,MATCH(CU31,$BN$5:$BN$257,0),50)="Latão",('Densidade do AR'!$S$10*1000000),IF(INDEX($A$5:$BP$257,MATCH(CU31,$BN$5:$BN$257,0),50)="Alumínio",('Densidade do AR'!$S$4*1000000)))))))</f>
        <v>-</v>
      </c>
      <c r="CX31" s="785"/>
      <c r="CY31" s="785"/>
      <c r="CZ31" s="786"/>
      <c r="DA31" s="787" t="str">
        <f t="shared" si="12"/>
        <v>-</v>
      </c>
      <c r="DB31" s="788"/>
      <c r="DC31" s="788"/>
      <c r="DD31" s="789"/>
      <c r="DE31" s="787" t="str">
        <f t="shared" si="3"/>
        <v>-</v>
      </c>
      <c r="DF31" s="788"/>
      <c r="DG31" s="788"/>
      <c r="DH31" s="789"/>
      <c r="DI31" s="790" t="str">
        <f t="shared" si="13"/>
        <v>-</v>
      </c>
      <c r="DJ31" s="785"/>
      <c r="DK31" s="785"/>
      <c r="DL31" s="786"/>
      <c r="DM31" s="790" t="str">
        <f t="shared" si="4"/>
        <v>-</v>
      </c>
      <c r="DN31" s="785"/>
      <c r="DO31" s="785"/>
      <c r="DP31" s="786"/>
      <c r="DQ31" s="790" t="str">
        <f>IF(CU31="","-",INDEX($A$5:$BP$257,MATCH(CU31,$BN$5:$BN$257,0),39)*(IF(CU31="","-",(1+(((-('Densidade do AR'!$M$4))+('Densidade do AR'!$T$15*1000000))/(IF(INDEX($A$5:$BP$257,MATCH(CU31,$BN$5:$BN$257,0),50)="Aço Inoxidável",('Densidade do AR'!$S$8*1000000),IF(INDEX($A$5:$BP$257,MATCH(CU31,$BN$5:$BN$257,0),50)="Ferro Fundido",('Densidade do AR'!$S$12*1000000),IF(INDEX($A$5:$BP$257,MATCH(CU31,$BN$5:$BN$257,0),50)="Latão",('Densidade do AR'!$S$10*1000000),IF(INDEX($A$5:$BP$257,MATCH(CU31,$BN$5:$BN$257,0),50)="Alumínio",('Densidade do AR'!$S$4*1000000)))))))-(((-('Densidade do AR'!$M$4))+('Densidade do AR'!$T$15*1000000))/('Densidade do AR'!$S$14*1000000))))))</f>
        <v>-</v>
      </c>
      <c r="DR31" s="785"/>
      <c r="DS31" s="785"/>
      <c r="DT31" s="791"/>
      <c r="DU31" s="91" t="str">
        <f t="shared" si="14"/>
        <v>-</v>
      </c>
      <c r="DV31" s="746"/>
      <c r="DW31" s="747"/>
      <c r="DX31" s="784" t="str">
        <f>IF(DV31="","-",(IF(INDEX($A$5:$BP$257,MATCH(DV31,$BN$5:$BN$257,0),50)="Aço Inoxidável",('Densidade do AR'!$S$8*1000000),IF(INDEX($A$5:$BP$257,MATCH(DV31,$BN$5:$BN$257,0),50)="Ferro Fundido",('Densidade do AR'!$S$12*1000000),IF(INDEX($A$5:$BP$257,MATCH(DV31,$BN$5:$BN$257,0),50)="Latão",('Densidade do AR'!$S$10*1000000),IF(INDEX($A$5:$BP$257,MATCH(DV31,$BN$5:$BN$257,0),50)="Alumínio",('Densidade do AR'!$S$4*1000000)))))))</f>
        <v>-</v>
      </c>
      <c r="DY31" s="785"/>
      <c r="DZ31" s="785"/>
      <c r="EA31" s="786"/>
      <c r="EB31" s="787" t="str">
        <f t="shared" si="15"/>
        <v>-</v>
      </c>
      <c r="EC31" s="788"/>
      <c r="ED31" s="788"/>
      <c r="EE31" s="789"/>
      <c r="EF31" s="787" t="str">
        <f t="shared" si="5"/>
        <v>-</v>
      </c>
      <c r="EG31" s="788"/>
      <c r="EH31" s="788"/>
      <c r="EI31" s="789"/>
      <c r="EJ31" s="790" t="str">
        <f t="shared" si="16"/>
        <v>-</v>
      </c>
      <c r="EK31" s="785"/>
      <c r="EL31" s="785"/>
      <c r="EM31" s="786"/>
      <c r="EN31" s="790" t="str">
        <f t="shared" si="6"/>
        <v>-</v>
      </c>
      <c r="EO31" s="785"/>
      <c r="EP31" s="785"/>
      <c r="EQ31" s="786"/>
      <c r="ER31" s="790" t="str">
        <f>IF(DV31="","-",INDEX($A$5:$BP$257,MATCH(DV31,$BN$5:$BN$257,0),39)*(IF(DV31="","-",(1+(((-('Densidade do AR'!$M$4))+('Densidade do AR'!$T$15*1000000))/(IF(INDEX($A$5:$BP$257,MATCH(DV31,$BN$5:$BN$257,0),50)="Aço Inoxidável",('Densidade do AR'!$S$8*1000000),IF(INDEX($A$5:$BP$257,MATCH(DV31,$BN$5:$BN$257,0),50)="Ferro Fundido",('Densidade do AR'!$S$12*1000000),IF(INDEX($A$5:$BP$257,MATCH(DV31,$BN$5:$BN$257,0),50)="Latão",('Densidade do AR'!$S$10*1000000),IF(INDEX($A$5:$BP$257,MATCH(DV31,$BN$5:$BN$257,0),50)="Alumínio",('Densidade do AR'!$S$4*1000000)))))))-(((-('Densidade do AR'!$M$4))+('Densidade do AR'!$T$15*1000000))/('Densidade do AR'!$S$14*1000000))))))</f>
        <v>-</v>
      </c>
      <c r="ES31" s="785"/>
      <c r="ET31" s="785"/>
      <c r="EU31" s="791"/>
      <c r="EV31" s="91" t="str">
        <f t="shared" si="17"/>
        <v>-</v>
      </c>
      <c r="EW31" s="870"/>
      <c r="EX31" s="871"/>
      <c r="EY31" s="784" t="str">
        <f>IF(EW31="","-",(IF(INDEX($A$5:$BP$257,MATCH(EW31,$BN$5:$BN$257,0),50)="Aço Inoxidável",('Densidade do AR'!$S$8*1000000),IF(INDEX($A$5:$BP$257,MATCH(EW31,$BN$5:$BN$257,0),50)="Ferro Fundido",('Densidade do AR'!$S$12*1000000),IF(INDEX($A$5:$BP$257,MATCH(EW31,$BN$5:$BN$257,0),50)="Latão",('Densidade do AR'!$S$10*1000000),IF(INDEX($A$5:$BP$257,MATCH(EW31,$BN$5:$BN$257,0),50)="Alumínio",('Densidade do AR'!$S$4*1000000)))))))</f>
        <v>-</v>
      </c>
      <c r="EZ31" s="785"/>
      <c r="FA31" s="785"/>
      <c r="FB31" s="786"/>
      <c r="FC31" s="787" t="str">
        <f t="shared" si="18"/>
        <v>-</v>
      </c>
      <c r="FD31" s="788"/>
      <c r="FE31" s="788"/>
      <c r="FF31" s="789"/>
      <c r="FG31" s="787" t="str">
        <f t="shared" si="7"/>
        <v>-</v>
      </c>
      <c r="FH31" s="788"/>
      <c r="FI31" s="788"/>
      <c r="FJ31" s="789"/>
      <c r="FK31" s="790" t="str">
        <f t="shared" si="19"/>
        <v>-</v>
      </c>
      <c r="FL31" s="785"/>
      <c r="FM31" s="785"/>
      <c r="FN31" s="786"/>
      <c r="FO31" s="790" t="str">
        <f t="shared" si="8"/>
        <v>-</v>
      </c>
      <c r="FP31" s="785"/>
      <c r="FQ31" s="785"/>
      <c r="FR31" s="786"/>
      <c r="FS31" s="790" t="str">
        <f>IF(EW31="","-",INDEX($A$5:$BP$257,MATCH(EW31,$BN$5:$BN$257,0),39)*(IF(EW31="","-",(1+(((-('Densidade do AR'!$M$4))+('Densidade do AR'!$T$15*1000000))/(IF(INDEX($A$5:$BP$257,MATCH(EW31,$BN$5:$BN$257,0),50)="Aço Inoxidável",('Densidade do AR'!$S$8*1000000),IF(INDEX($A$5:$BP$257,MATCH(EW31,$BN$5:$BN$257,0),50)="Ferro Fundido",('Densidade do AR'!$S$12*1000000),IF(INDEX($A$5:$BP$257,MATCH(EW31,$BN$5:$BN$257,0),50)="Latão",('Densidade do AR'!$S$10*1000000),IF(INDEX($A$5:$BP$257,MATCH(EW31,$BN$5:$BN$257,0),50)="Alumínio",('Densidade do AR'!$S$4*1000000)))))))-(((-('Densidade do AR'!$M$4))+('Densidade do AR'!$T$15*1000000))/('Densidade do AR'!$S$14*1000000))))))</f>
        <v>-</v>
      </c>
      <c r="FT31" s="785"/>
      <c r="FU31" s="785"/>
      <c r="FV31" s="791"/>
      <c r="FW31" s="91" t="str">
        <f t="shared" si="20"/>
        <v>-</v>
      </c>
      <c r="FX31" s="135"/>
    </row>
    <row r="32" spans="1:180" x14ac:dyDescent="0.2">
      <c r="A32" s="1002">
        <v>28</v>
      </c>
      <c r="B32" s="904"/>
      <c r="C32" s="966">
        <v>5000</v>
      </c>
      <c r="D32" s="967"/>
      <c r="E32" s="967"/>
      <c r="F32" s="967"/>
      <c r="G32" s="968"/>
      <c r="H32" s="943" t="s">
        <v>314</v>
      </c>
      <c r="I32" s="944"/>
      <c r="J32" s="944"/>
      <c r="K32" s="945"/>
      <c r="L32" s="902" t="s">
        <v>112</v>
      </c>
      <c r="M32" s="903"/>
      <c r="N32" s="903"/>
      <c r="O32" s="904"/>
      <c r="P32" s="891" t="s">
        <v>308</v>
      </c>
      <c r="Q32" s="967"/>
      <c r="R32" s="967"/>
      <c r="S32" s="967"/>
      <c r="T32" s="968"/>
      <c r="U32" s="897" t="s">
        <v>349</v>
      </c>
      <c r="V32" s="722"/>
      <c r="W32" s="722"/>
      <c r="X32" s="722"/>
      <c r="Y32" s="722"/>
      <c r="Z32" s="722"/>
      <c r="AA32" s="723"/>
      <c r="AB32" s="853"/>
      <c r="AC32" s="854"/>
      <c r="AD32" s="854"/>
      <c r="AE32" s="854"/>
      <c r="AF32" s="854"/>
      <c r="AG32" s="854"/>
      <c r="AH32" s="854"/>
      <c r="AI32" s="854"/>
      <c r="AJ32" s="854"/>
      <c r="AK32" s="854"/>
      <c r="AL32" s="855"/>
      <c r="AM32" s="982">
        <v>5000060</v>
      </c>
      <c r="AN32" s="944"/>
      <c r="AO32" s="944"/>
      <c r="AP32" s="944"/>
      <c r="AQ32" s="944"/>
      <c r="AR32" s="944"/>
      <c r="AS32" s="945"/>
      <c r="AT32" s="982">
        <f t="shared" si="0"/>
        <v>60</v>
      </c>
      <c r="AU32" s="944"/>
      <c r="AV32" s="944"/>
      <c r="AW32" s="945"/>
      <c r="AX32" s="943" t="s">
        <v>13</v>
      </c>
      <c r="AY32" s="944"/>
      <c r="AZ32" s="944"/>
      <c r="BA32" s="944"/>
      <c r="BB32" s="944"/>
      <c r="BC32" s="945"/>
      <c r="BD32" s="946">
        <v>80</v>
      </c>
      <c r="BE32" s="947"/>
      <c r="BF32" s="947"/>
      <c r="BG32" s="948"/>
      <c r="BH32" s="1007">
        <v>2.02</v>
      </c>
      <c r="BI32" s="953"/>
      <c r="BJ32" s="953"/>
      <c r="BK32" s="953"/>
      <c r="BL32" s="1008"/>
      <c r="BN32" s="881">
        <v>28</v>
      </c>
      <c r="BO32" s="882"/>
      <c r="BP32" s="883"/>
      <c r="BT32" s="736"/>
      <c r="BU32" s="737"/>
      <c r="BV32" s="738" t="str">
        <f>IF(BT32="","-",(IF(INDEX($A$5:$BP$257,MATCH(BT32,$BN$5:$BN$257,0),50)="Aço Inoxidável",('Densidade do AR'!$S$8*1000000),IF(INDEX($A$5:$BP$257,MATCH(BT32,$BN$5:$BN$257,0),50)="Ferro Fundido",('Densidade do AR'!$S$12*1000000),IF(INDEX($A$5:$BP$257,MATCH(BT32,$BN$5:$BN$257,0),50)="Latão",('Densidade do AR'!$S$10*1000000),IF(INDEX($A$5:$BP$257,MATCH(BT32,$BN$5:$BN$257,0),50)="Alumínio",('Densidade do AR'!$S$4*1000000)))))))</f>
        <v>-</v>
      </c>
      <c r="BW32" s="739"/>
      <c r="BX32" s="739"/>
      <c r="BY32" s="740"/>
      <c r="BZ32" s="741" t="str">
        <f t="shared" si="9"/>
        <v>-</v>
      </c>
      <c r="CA32" s="742"/>
      <c r="CB32" s="742"/>
      <c r="CC32" s="743"/>
      <c r="CD32" s="741" t="str">
        <f t="shared" si="1"/>
        <v>-</v>
      </c>
      <c r="CE32" s="742"/>
      <c r="CF32" s="742"/>
      <c r="CG32" s="743"/>
      <c r="CH32" s="744" t="str">
        <f t="shared" si="10"/>
        <v>-</v>
      </c>
      <c r="CI32" s="739"/>
      <c r="CJ32" s="739"/>
      <c r="CK32" s="740"/>
      <c r="CL32" s="744" t="str">
        <f t="shared" si="2"/>
        <v>-</v>
      </c>
      <c r="CM32" s="739"/>
      <c r="CN32" s="739"/>
      <c r="CO32" s="740"/>
      <c r="CP32" s="744" t="str">
        <f>IF(BT32="","-",INDEX($A$5:$BP$257,MATCH(BT32,$BN$5:$BN$257,0),39)*(IF(BT32="","-",(1+(((-('Densidade do AR'!$M$4))+('Densidade do AR'!$T$15*1000000))/(IF(INDEX($A$5:$BP$257,MATCH(BT32,$BN$5:$BN$257,0),50)="Aço Inoxidável",('Densidade do AR'!$S$8*1000000),IF(INDEX($A$5:$BP$257,MATCH(BT32,$BN$5:$BN$257,0),50)="Ferro Fundido",('Densidade do AR'!$S$12*1000000),IF(INDEX($A$5:$BP$257,MATCH(BT32,$BN$5:$BN$257,0),50)="Latão",('Densidade do AR'!$S$10*1000000),IF(INDEX($A$5:$BP$257,MATCH(BT32,$BN$5:$BN$257,0),50)="Alumínio",('Densidade do AR'!$S$4*1000000)))))))-(((-('Densidade do AR'!$M$4))+('Densidade do AR'!$T$15*1000000))/('Densidade do AR'!$S$14*1000000))))))</f>
        <v>-</v>
      </c>
      <c r="CQ32" s="739"/>
      <c r="CR32" s="739"/>
      <c r="CS32" s="745"/>
      <c r="CT32" s="91" t="str">
        <f t="shared" si="11"/>
        <v>-</v>
      </c>
      <c r="CU32" s="736"/>
      <c r="CV32" s="737"/>
      <c r="CW32" s="738" t="str">
        <f>IF(CU32="","-",(IF(INDEX($A$5:$BP$257,MATCH(CU32,$BN$5:$BN$257,0),50)="Aço Inoxidável",('Densidade do AR'!$S$8*1000000),IF(INDEX($A$5:$BP$257,MATCH(CU32,$BN$5:$BN$257,0),50)="Ferro Fundido",('Densidade do AR'!$S$12*1000000),IF(INDEX($A$5:$BP$257,MATCH(CU32,$BN$5:$BN$257,0),50)="Latão",('Densidade do AR'!$S$10*1000000),IF(INDEX($A$5:$BP$257,MATCH(CU32,$BN$5:$BN$257,0),50)="Alumínio",('Densidade do AR'!$S$4*1000000)))))))</f>
        <v>-</v>
      </c>
      <c r="CX32" s="739"/>
      <c r="CY32" s="739"/>
      <c r="CZ32" s="740"/>
      <c r="DA32" s="741" t="str">
        <f t="shared" si="12"/>
        <v>-</v>
      </c>
      <c r="DB32" s="742"/>
      <c r="DC32" s="742"/>
      <c r="DD32" s="743"/>
      <c r="DE32" s="741" t="str">
        <f t="shared" si="3"/>
        <v>-</v>
      </c>
      <c r="DF32" s="742"/>
      <c r="DG32" s="742"/>
      <c r="DH32" s="743"/>
      <c r="DI32" s="744" t="str">
        <f t="shared" si="13"/>
        <v>-</v>
      </c>
      <c r="DJ32" s="739"/>
      <c r="DK32" s="739"/>
      <c r="DL32" s="740"/>
      <c r="DM32" s="744" t="str">
        <f t="shared" si="4"/>
        <v>-</v>
      </c>
      <c r="DN32" s="739"/>
      <c r="DO32" s="739"/>
      <c r="DP32" s="740"/>
      <c r="DQ32" s="744" t="str">
        <f>IF(CU32="","-",INDEX($A$5:$BP$257,MATCH(CU32,$BN$5:$BN$257,0),39)*(IF(CU32="","-",(1+(((-('Densidade do AR'!$M$4))+('Densidade do AR'!$T$15*1000000))/(IF(INDEX($A$5:$BP$257,MATCH(CU32,$BN$5:$BN$257,0),50)="Aço Inoxidável",('Densidade do AR'!$S$8*1000000),IF(INDEX($A$5:$BP$257,MATCH(CU32,$BN$5:$BN$257,0),50)="Ferro Fundido",('Densidade do AR'!$S$12*1000000),IF(INDEX($A$5:$BP$257,MATCH(CU32,$BN$5:$BN$257,0),50)="Latão",('Densidade do AR'!$S$10*1000000),IF(INDEX($A$5:$BP$257,MATCH(CU32,$BN$5:$BN$257,0),50)="Alumínio",('Densidade do AR'!$S$4*1000000)))))))-(((-('Densidade do AR'!$M$4))+('Densidade do AR'!$T$15*1000000))/('Densidade do AR'!$S$14*1000000))))))</f>
        <v>-</v>
      </c>
      <c r="DR32" s="739"/>
      <c r="DS32" s="739"/>
      <c r="DT32" s="745"/>
      <c r="DU32" s="91" t="str">
        <f t="shared" si="14"/>
        <v>-</v>
      </c>
      <c r="DV32" s="736"/>
      <c r="DW32" s="737"/>
      <c r="DX32" s="738" t="str">
        <f>IF(DV32="","-",(IF(INDEX($A$5:$BP$257,MATCH(DV32,$BN$5:$BN$257,0),50)="Aço Inoxidável",('Densidade do AR'!$S$8*1000000),IF(INDEX($A$5:$BP$257,MATCH(DV32,$BN$5:$BN$257,0),50)="Ferro Fundido",('Densidade do AR'!$S$12*1000000),IF(INDEX($A$5:$BP$257,MATCH(DV32,$BN$5:$BN$257,0),50)="Latão",('Densidade do AR'!$S$10*1000000),IF(INDEX($A$5:$BP$257,MATCH(DV32,$BN$5:$BN$257,0),50)="Alumínio",('Densidade do AR'!$S$4*1000000)))))))</f>
        <v>-</v>
      </c>
      <c r="DY32" s="739"/>
      <c r="DZ32" s="739"/>
      <c r="EA32" s="740"/>
      <c r="EB32" s="741" t="str">
        <f t="shared" si="15"/>
        <v>-</v>
      </c>
      <c r="EC32" s="742"/>
      <c r="ED32" s="742"/>
      <c r="EE32" s="743"/>
      <c r="EF32" s="741" t="str">
        <f t="shared" si="5"/>
        <v>-</v>
      </c>
      <c r="EG32" s="742"/>
      <c r="EH32" s="742"/>
      <c r="EI32" s="743"/>
      <c r="EJ32" s="744" t="str">
        <f t="shared" si="16"/>
        <v>-</v>
      </c>
      <c r="EK32" s="739"/>
      <c r="EL32" s="739"/>
      <c r="EM32" s="740"/>
      <c r="EN32" s="744" t="str">
        <f t="shared" si="6"/>
        <v>-</v>
      </c>
      <c r="EO32" s="739"/>
      <c r="EP32" s="739"/>
      <c r="EQ32" s="740"/>
      <c r="ER32" s="744" t="str">
        <f>IF(DV32="","-",INDEX($A$5:$BP$257,MATCH(DV32,$BN$5:$BN$257,0),39)*(IF(DV32="","-",(1+(((-('Densidade do AR'!$M$4))+('Densidade do AR'!$T$15*1000000))/(IF(INDEX($A$5:$BP$257,MATCH(DV32,$BN$5:$BN$257,0),50)="Aço Inoxidável",('Densidade do AR'!$S$8*1000000),IF(INDEX($A$5:$BP$257,MATCH(DV32,$BN$5:$BN$257,0),50)="Ferro Fundido",('Densidade do AR'!$S$12*1000000),IF(INDEX($A$5:$BP$257,MATCH(DV32,$BN$5:$BN$257,0),50)="Latão",('Densidade do AR'!$S$10*1000000),IF(INDEX($A$5:$BP$257,MATCH(DV32,$BN$5:$BN$257,0),50)="Alumínio",('Densidade do AR'!$S$4*1000000)))))))-(((-('Densidade do AR'!$M$4))+('Densidade do AR'!$T$15*1000000))/('Densidade do AR'!$S$14*1000000))))))</f>
        <v>-</v>
      </c>
      <c r="ES32" s="739"/>
      <c r="ET32" s="739"/>
      <c r="EU32" s="745"/>
      <c r="EV32" s="91" t="str">
        <f t="shared" si="17"/>
        <v>-</v>
      </c>
      <c r="EW32" s="736"/>
      <c r="EX32" s="737"/>
      <c r="EY32" s="738" t="str">
        <f>IF(EW32="","-",(IF(INDEX($A$5:$BP$257,MATCH(EW32,$BN$5:$BN$257,0),50)="Aço Inoxidável",('Densidade do AR'!$S$8*1000000),IF(INDEX($A$5:$BP$257,MATCH(EW32,$BN$5:$BN$257,0),50)="Ferro Fundido",('Densidade do AR'!$S$12*1000000),IF(INDEX($A$5:$BP$257,MATCH(EW32,$BN$5:$BN$257,0),50)="Latão",('Densidade do AR'!$S$10*1000000),IF(INDEX($A$5:$BP$257,MATCH(EW32,$BN$5:$BN$257,0),50)="Alumínio",('Densidade do AR'!$S$4*1000000)))))))</f>
        <v>-</v>
      </c>
      <c r="EZ32" s="739"/>
      <c r="FA32" s="739"/>
      <c r="FB32" s="740"/>
      <c r="FC32" s="741" t="str">
        <f t="shared" si="18"/>
        <v>-</v>
      </c>
      <c r="FD32" s="742"/>
      <c r="FE32" s="742"/>
      <c r="FF32" s="743"/>
      <c r="FG32" s="741" t="str">
        <f t="shared" si="7"/>
        <v>-</v>
      </c>
      <c r="FH32" s="742"/>
      <c r="FI32" s="742"/>
      <c r="FJ32" s="743"/>
      <c r="FK32" s="744" t="str">
        <f t="shared" si="19"/>
        <v>-</v>
      </c>
      <c r="FL32" s="739"/>
      <c r="FM32" s="739"/>
      <c r="FN32" s="740"/>
      <c r="FO32" s="744" t="str">
        <f t="shared" si="8"/>
        <v>-</v>
      </c>
      <c r="FP32" s="739"/>
      <c r="FQ32" s="739"/>
      <c r="FR32" s="740"/>
      <c r="FS32" s="744" t="str">
        <f>IF(EW32="","-",INDEX($A$5:$BP$257,MATCH(EW32,$BN$5:$BN$257,0),39)*(IF(EW32="","-",(1+(((-('Densidade do AR'!$M$4))+('Densidade do AR'!$T$15*1000000))/(IF(INDEX($A$5:$BP$257,MATCH(EW32,$BN$5:$BN$257,0),50)="Aço Inoxidável",('Densidade do AR'!$S$8*1000000),IF(INDEX($A$5:$BP$257,MATCH(EW32,$BN$5:$BN$257,0),50)="Ferro Fundido",('Densidade do AR'!$S$12*1000000),IF(INDEX($A$5:$BP$257,MATCH(EW32,$BN$5:$BN$257,0),50)="Latão",('Densidade do AR'!$S$10*1000000),IF(INDEX($A$5:$BP$257,MATCH(EW32,$BN$5:$BN$257,0),50)="Alumínio",('Densidade do AR'!$S$4*1000000)))))))-(((-('Densidade do AR'!$M$4))+('Densidade do AR'!$T$15*1000000))/('Densidade do AR'!$S$14*1000000))))))</f>
        <v>-</v>
      </c>
      <c r="FT32" s="739"/>
      <c r="FU32" s="739"/>
      <c r="FV32" s="745"/>
      <c r="FW32" s="91" t="str">
        <f t="shared" si="20"/>
        <v>-</v>
      </c>
      <c r="FX32" s="135"/>
    </row>
    <row r="33" spans="1:180" x14ac:dyDescent="0.2">
      <c r="A33" s="1001">
        <v>29</v>
      </c>
      <c r="B33" s="907"/>
      <c r="C33" s="957">
        <v>10000</v>
      </c>
      <c r="D33" s="955"/>
      <c r="E33" s="955"/>
      <c r="F33" s="955"/>
      <c r="G33" s="956"/>
      <c r="H33" s="1074" t="s">
        <v>315</v>
      </c>
      <c r="I33" s="986"/>
      <c r="J33" s="986"/>
      <c r="K33" s="987"/>
      <c r="L33" s="905" t="s">
        <v>112</v>
      </c>
      <c r="M33" s="906"/>
      <c r="N33" s="906"/>
      <c r="O33" s="907"/>
      <c r="P33" s="894" t="s">
        <v>308</v>
      </c>
      <c r="Q33" s="955"/>
      <c r="R33" s="955"/>
      <c r="S33" s="955"/>
      <c r="T33" s="956"/>
      <c r="U33" s="897" t="s">
        <v>349</v>
      </c>
      <c r="V33" s="722"/>
      <c r="W33" s="722"/>
      <c r="X33" s="722"/>
      <c r="Y33" s="722"/>
      <c r="Z33" s="722"/>
      <c r="AA33" s="723"/>
      <c r="AB33" s="850"/>
      <c r="AC33" s="851"/>
      <c r="AD33" s="851"/>
      <c r="AE33" s="851"/>
      <c r="AF33" s="851"/>
      <c r="AG33" s="851"/>
      <c r="AH33" s="851"/>
      <c r="AI33" s="851"/>
      <c r="AJ33" s="851"/>
      <c r="AK33" s="851"/>
      <c r="AL33" s="852"/>
      <c r="AM33" s="985">
        <v>10000090</v>
      </c>
      <c r="AN33" s="986"/>
      <c r="AO33" s="986"/>
      <c r="AP33" s="986"/>
      <c r="AQ33" s="986"/>
      <c r="AR33" s="986"/>
      <c r="AS33" s="987"/>
      <c r="AT33" s="985">
        <f t="shared" si="0"/>
        <v>90</v>
      </c>
      <c r="AU33" s="986"/>
      <c r="AV33" s="986"/>
      <c r="AW33" s="987"/>
      <c r="AX33" s="949" t="s">
        <v>13</v>
      </c>
      <c r="AY33" s="950"/>
      <c r="AZ33" s="950"/>
      <c r="BA33" s="950"/>
      <c r="BB33" s="950"/>
      <c r="BC33" s="951"/>
      <c r="BD33" s="998">
        <v>170</v>
      </c>
      <c r="BE33" s="999"/>
      <c r="BF33" s="999"/>
      <c r="BG33" s="1000"/>
      <c r="BH33" s="985">
        <v>2</v>
      </c>
      <c r="BI33" s="986"/>
      <c r="BJ33" s="986"/>
      <c r="BK33" s="986"/>
      <c r="BL33" s="997"/>
      <c r="BN33" s="878">
        <v>29</v>
      </c>
      <c r="BO33" s="879"/>
      <c r="BP33" s="880"/>
      <c r="BT33" s="746"/>
      <c r="BU33" s="747"/>
      <c r="BV33" s="784" t="str">
        <f>IF(BT33="","-",(IF(INDEX($A$5:$BP$257,MATCH(BT33,$BN$5:$BN$257,0),50)="Aço Inoxidável",('Densidade do AR'!$S$8*1000000),IF(INDEX($A$5:$BP$257,MATCH(BT33,$BN$5:$BN$257,0),50)="Ferro Fundido",('Densidade do AR'!$S$12*1000000),IF(INDEX($A$5:$BP$257,MATCH(BT33,$BN$5:$BN$257,0),50)="Latão",('Densidade do AR'!$S$10*1000000),IF(INDEX($A$5:$BP$257,MATCH(BT33,$BN$5:$BN$257,0),50)="Alumínio",('Densidade do AR'!$S$4*1000000)))))))</f>
        <v>-</v>
      </c>
      <c r="BW33" s="785"/>
      <c r="BX33" s="785"/>
      <c r="BY33" s="786"/>
      <c r="BZ33" s="787" t="str">
        <f t="shared" si="9"/>
        <v>-</v>
      </c>
      <c r="CA33" s="788"/>
      <c r="CB33" s="788"/>
      <c r="CC33" s="789"/>
      <c r="CD33" s="787" t="str">
        <f t="shared" si="1"/>
        <v>-</v>
      </c>
      <c r="CE33" s="788"/>
      <c r="CF33" s="788"/>
      <c r="CG33" s="789"/>
      <c r="CH33" s="790" t="str">
        <f t="shared" si="10"/>
        <v>-</v>
      </c>
      <c r="CI33" s="785"/>
      <c r="CJ33" s="785"/>
      <c r="CK33" s="786"/>
      <c r="CL33" s="790" t="str">
        <f t="shared" si="2"/>
        <v>-</v>
      </c>
      <c r="CM33" s="785"/>
      <c r="CN33" s="785"/>
      <c r="CO33" s="786"/>
      <c r="CP33" s="790" t="str">
        <f>IF(BT33="","-",INDEX($A$5:$BP$257,MATCH(BT33,$BN$5:$BN$257,0),39)*(IF(BT33="","-",(1+(((-('Densidade do AR'!$M$4))+('Densidade do AR'!$T$15*1000000))/(IF(INDEX($A$5:$BP$257,MATCH(BT33,$BN$5:$BN$257,0),50)="Aço Inoxidável",('Densidade do AR'!$S$8*1000000),IF(INDEX($A$5:$BP$257,MATCH(BT33,$BN$5:$BN$257,0),50)="Ferro Fundido",('Densidade do AR'!$S$12*1000000),IF(INDEX($A$5:$BP$257,MATCH(BT33,$BN$5:$BN$257,0),50)="Latão",('Densidade do AR'!$S$10*1000000),IF(INDEX($A$5:$BP$257,MATCH(BT33,$BN$5:$BN$257,0),50)="Alumínio",('Densidade do AR'!$S$4*1000000)))))))-(((-('Densidade do AR'!$M$4))+('Densidade do AR'!$T$15*1000000))/('Densidade do AR'!$S$14*1000000))))))</f>
        <v>-</v>
      </c>
      <c r="CQ33" s="785"/>
      <c r="CR33" s="785"/>
      <c r="CS33" s="791"/>
      <c r="CT33" s="91" t="str">
        <f t="shared" si="11"/>
        <v>-</v>
      </c>
      <c r="CU33" s="746"/>
      <c r="CV33" s="747"/>
      <c r="CW33" s="784" t="str">
        <f>IF(CU33="","-",(IF(INDEX($A$5:$BP$257,MATCH(CU33,$BN$5:$BN$257,0),50)="Aço Inoxidável",('Densidade do AR'!$S$8*1000000),IF(INDEX($A$5:$BP$257,MATCH(CU33,$BN$5:$BN$257,0),50)="Ferro Fundido",('Densidade do AR'!$S$12*1000000),IF(INDEX($A$5:$BP$257,MATCH(CU33,$BN$5:$BN$257,0),50)="Latão",('Densidade do AR'!$S$10*1000000),IF(INDEX($A$5:$BP$257,MATCH(CU33,$BN$5:$BN$257,0),50)="Alumínio",('Densidade do AR'!$S$4*1000000)))))))</f>
        <v>-</v>
      </c>
      <c r="CX33" s="785"/>
      <c r="CY33" s="785"/>
      <c r="CZ33" s="786"/>
      <c r="DA33" s="787" t="str">
        <f t="shared" si="12"/>
        <v>-</v>
      </c>
      <c r="DB33" s="788"/>
      <c r="DC33" s="788"/>
      <c r="DD33" s="789"/>
      <c r="DE33" s="787" t="str">
        <f t="shared" si="3"/>
        <v>-</v>
      </c>
      <c r="DF33" s="788"/>
      <c r="DG33" s="788"/>
      <c r="DH33" s="789"/>
      <c r="DI33" s="790" t="str">
        <f t="shared" si="13"/>
        <v>-</v>
      </c>
      <c r="DJ33" s="785"/>
      <c r="DK33" s="785"/>
      <c r="DL33" s="786"/>
      <c r="DM33" s="790" t="str">
        <f t="shared" si="4"/>
        <v>-</v>
      </c>
      <c r="DN33" s="785"/>
      <c r="DO33" s="785"/>
      <c r="DP33" s="786"/>
      <c r="DQ33" s="790" t="str">
        <f>IF(CU33="","-",INDEX($A$5:$BP$257,MATCH(CU33,$BN$5:$BN$257,0),39)*(IF(CU33="","-",(1+(((-('Densidade do AR'!$M$4))+('Densidade do AR'!$T$15*1000000))/(IF(INDEX($A$5:$BP$257,MATCH(CU33,$BN$5:$BN$257,0),50)="Aço Inoxidável",('Densidade do AR'!$S$8*1000000),IF(INDEX($A$5:$BP$257,MATCH(CU33,$BN$5:$BN$257,0),50)="Ferro Fundido",('Densidade do AR'!$S$12*1000000),IF(INDEX($A$5:$BP$257,MATCH(CU33,$BN$5:$BN$257,0),50)="Latão",('Densidade do AR'!$S$10*1000000),IF(INDEX($A$5:$BP$257,MATCH(CU33,$BN$5:$BN$257,0),50)="Alumínio",('Densidade do AR'!$S$4*1000000)))))))-(((-('Densidade do AR'!$M$4))+('Densidade do AR'!$T$15*1000000))/('Densidade do AR'!$S$14*1000000))))))</f>
        <v>-</v>
      </c>
      <c r="DR33" s="785"/>
      <c r="DS33" s="785"/>
      <c r="DT33" s="791"/>
      <c r="DU33" s="91" t="str">
        <f t="shared" si="14"/>
        <v>-</v>
      </c>
      <c r="DV33" s="746"/>
      <c r="DW33" s="747"/>
      <c r="DX33" s="784" t="str">
        <f>IF(DV33="","-",(IF(INDEX($A$5:$BP$257,MATCH(DV33,$BN$5:$BN$257,0),50)="Aço Inoxidável",('Densidade do AR'!$S$8*1000000),IF(INDEX($A$5:$BP$257,MATCH(DV33,$BN$5:$BN$257,0),50)="Ferro Fundido",('Densidade do AR'!$S$12*1000000),IF(INDEX($A$5:$BP$257,MATCH(DV33,$BN$5:$BN$257,0),50)="Latão",('Densidade do AR'!$S$10*1000000),IF(INDEX($A$5:$BP$257,MATCH(DV33,$BN$5:$BN$257,0),50)="Alumínio",('Densidade do AR'!$S$4*1000000)))))))</f>
        <v>-</v>
      </c>
      <c r="DY33" s="785"/>
      <c r="DZ33" s="785"/>
      <c r="EA33" s="786"/>
      <c r="EB33" s="787" t="str">
        <f t="shared" si="15"/>
        <v>-</v>
      </c>
      <c r="EC33" s="788"/>
      <c r="ED33" s="788"/>
      <c r="EE33" s="789"/>
      <c r="EF33" s="787" t="str">
        <f t="shared" si="5"/>
        <v>-</v>
      </c>
      <c r="EG33" s="788"/>
      <c r="EH33" s="788"/>
      <c r="EI33" s="789"/>
      <c r="EJ33" s="790" t="str">
        <f t="shared" si="16"/>
        <v>-</v>
      </c>
      <c r="EK33" s="785"/>
      <c r="EL33" s="785"/>
      <c r="EM33" s="786"/>
      <c r="EN33" s="790" t="str">
        <f t="shared" si="6"/>
        <v>-</v>
      </c>
      <c r="EO33" s="785"/>
      <c r="EP33" s="785"/>
      <c r="EQ33" s="786"/>
      <c r="ER33" s="790" t="str">
        <f>IF(DV33="","-",INDEX($A$5:$BP$257,MATCH(DV33,$BN$5:$BN$257,0),39)*(IF(DV33="","-",(1+(((-('Densidade do AR'!$M$4))+('Densidade do AR'!$T$15*1000000))/(IF(INDEX($A$5:$BP$257,MATCH(DV33,$BN$5:$BN$257,0),50)="Aço Inoxidável",('Densidade do AR'!$S$8*1000000),IF(INDEX($A$5:$BP$257,MATCH(DV33,$BN$5:$BN$257,0),50)="Ferro Fundido",('Densidade do AR'!$S$12*1000000),IF(INDEX($A$5:$BP$257,MATCH(DV33,$BN$5:$BN$257,0),50)="Latão",('Densidade do AR'!$S$10*1000000),IF(INDEX($A$5:$BP$257,MATCH(DV33,$BN$5:$BN$257,0),50)="Alumínio",('Densidade do AR'!$S$4*1000000)))))))-(((-('Densidade do AR'!$M$4))+('Densidade do AR'!$T$15*1000000))/('Densidade do AR'!$S$14*1000000))))))</f>
        <v>-</v>
      </c>
      <c r="ES33" s="785"/>
      <c r="ET33" s="785"/>
      <c r="EU33" s="791"/>
      <c r="EV33" s="91" t="str">
        <f t="shared" si="17"/>
        <v>-</v>
      </c>
      <c r="EW33" s="870"/>
      <c r="EX33" s="871"/>
      <c r="EY33" s="784" t="str">
        <f>IF(EW33="","-",(IF(INDEX($A$5:$BP$257,MATCH(EW33,$BN$5:$BN$257,0),50)="Aço Inoxidável",('Densidade do AR'!$S$8*1000000),IF(INDEX($A$5:$BP$257,MATCH(EW33,$BN$5:$BN$257,0),50)="Ferro Fundido",('Densidade do AR'!$S$12*1000000),IF(INDEX($A$5:$BP$257,MATCH(EW33,$BN$5:$BN$257,0),50)="Latão",('Densidade do AR'!$S$10*1000000),IF(INDEX($A$5:$BP$257,MATCH(EW33,$BN$5:$BN$257,0),50)="Alumínio",('Densidade do AR'!$S$4*1000000)))))))</f>
        <v>-</v>
      </c>
      <c r="EZ33" s="785"/>
      <c r="FA33" s="785"/>
      <c r="FB33" s="786"/>
      <c r="FC33" s="787" t="str">
        <f t="shared" si="18"/>
        <v>-</v>
      </c>
      <c r="FD33" s="788"/>
      <c r="FE33" s="788"/>
      <c r="FF33" s="789"/>
      <c r="FG33" s="787" t="str">
        <f t="shared" si="7"/>
        <v>-</v>
      </c>
      <c r="FH33" s="788"/>
      <c r="FI33" s="788"/>
      <c r="FJ33" s="789"/>
      <c r="FK33" s="790" t="str">
        <f t="shared" si="19"/>
        <v>-</v>
      </c>
      <c r="FL33" s="785"/>
      <c r="FM33" s="785"/>
      <c r="FN33" s="786"/>
      <c r="FO33" s="790" t="str">
        <f t="shared" si="8"/>
        <v>-</v>
      </c>
      <c r="FP33" s="785"/>
      <c r="FQ33" s="785"/>
      <c r="FR33" s="786"/>
      <c r="FS33" s="790" t="str">
        <f>IF(EW33="","-",INDEX($A$5:$BP$257,MATCH(EW33,$BN$5:$BN$257,0),39)*(IF(EW33="","-",(1+(((-('Densidade do AR'!$M$4))+('Densidade do AR'!$T$15*1000000))/(IF(INDEX($A$5:$BP$257,MATCH(EW33,$BN$5:$BN$257,0),50)="Aço Inoxidável",('Densidade do AR'!$S$8*1000000),IF(INDEX($A$5:$BP$257,MATCH(EW33,$BN$5:$BN$257,0),50)="Ferro Fundido",('Densidade do AR'!$S$12*1000000),IF(INDEX($A$5:$BP$257,MATCH(EW33,$BN$5:$BN$257,0),50)="Latão",('Densidade do AR'!$S$10*1000000),IF(INDEX($A$5:$BP$257,MATCH(EW33,$BN$5:$BN$257,0),50)="Alumínio",('Densidade do AR'!$S$4*1000000)))))))-(((-('Densidade do AR'!$M$4))+('Densidade do AR'!$T$15*1000000))/('Densidade do AR'!$S$14*1000000))))))</f>
        <v>-</v>
      </c>
      <c r="FT33" s="785"/>
      <c r="FU33" s="785"/>
      <c r="FV33" s="791"/>
      <c r="FW33" s="91" t="str">
        <f t="shared" si="20"/>
        <v>-</v>
      </c>
      <c r="FX33" s="135"/>
    </row>
    <row r="34" spans="1:180" x14ac:dyDescent="0.2">
      <c r="A34" s="1002">
        <v>30</v>
      </c>
      <c r="B34" s="904"/>
      <c r="C34" s="966">
        <v>20000</v>
      </c>
      <c r="D34" s="967"/>
      <c r="E34" s="967"/>
      <c r="F34" s="967"/>
      <c r="G34" s="968"/>
      <c r="H34" s="943" t="s">
        <v>316</v>
      </c>
      <c r="I34" s="944"/>
      <c r="J34" s="944"/>
      <c r="K34" s="945"/>
      <c r="L34" s="902" t="s">
        <v>112</v>
      </c>
      <c r="M34" s="903"/>
      <c r="N34" s="903"/>
      <c r="O34" s="904"/>
      <c r="P34" s="891" t="s">
        <v>308</v>
      </c>
      <c r="Q34" s="967"/>
      <c r="R34" s="967"/>
      <c r="S34" s="967"/>
      <c r="T34" s="968"/>
      <c r="U34" s="897" t="s">
        <v>349</v>
      </c>
      <c r="V34" s="722"/>
      <c r="W34" s="722"/>
      <c r="X34" s="722"/>
      <c r="Y34" s="722"/>
      <c r="Z34" s="722"/>
      <c r="AA34" s="723"/>
      <c r="AB34" s="853"/>
      <c r="AC34" s="854"/>
      <c r="AD34" s="854"/>
      <c r="AE34" s="854"/>
      <c r="AF34" s="854"/>
      <c r="AG34" s="854"/>
      <c r="AH34" s="854"/>
      <c r="AI34" s="854"/>
      <c r="AJ34" s="854"/>
      <c r="AK34" s="854"/>
      <c r="AL34" s="855"/>
      <c r="AM34" s="982">
        <v>20000200</v>
      </c>
      <c r="AN34" s="944"/>
      <c r="AO34" s="944"/>
      <c r="AP34" s="944"/>
      <c r="AQ34" s="944"/>
      <c r="AR34" s="944"/>
      <c r="AS34" s="945"/>
      <c r="AT34" s="982">
        <f t="shared" si="0"/>
        <v>200</v>
      </c>
      <c r="AU34" s="944"/>
      <c r="AV34" s="944"/>
      <c r="AW34" s="945"/>
      <c r="AX34" s="943" t="s">
        <v>13</v>
      </c>
      <c r="AY34" s="944"/>
      <c r="AZ34" s="944"/>
      <c r="BA34" s="944"/>
      <c r="BB34" s="944"/>
      <c r="BC34" s="945"/>
      <c r="BD34" s="946">
        <v>300</v>
      </c>
      <c r="BE34" s="947"/>
      <c r="BF34" s="947"/>
      <c r="BG34" s="948"/>
      <c r="BH34" s="1007">
        <v>2.15</v>
      </c>
      <c r="BI34" s="953"/>
      <c r="BJ34" s="953"/>
      <c r="BK34" s="953"/>
      <c r="BL34" s="1008"/>
      <c r="BN34" s="881">
        <v>30</v>
      </c>
      <c r="BO34" s="882"/>
      <c r="BP34" s="883"/>
      <c r="BT34" s="736"/>
      <c r="BU34" s="737"/>
      <c r="BV34" s="738" t="str">
        <f>IF(BT34="","-",(IF(INDEX($A$5:$BP$257,MATCH(BT34,$BN$5:$BN$257,0),50)="Aço Inoxidável",('Densidade do AR'!$S$8*1000000),IF(INDEX($A$5:$BP$257,MATCH(BT34,$BN$5:$BN$257,0),50)="Ferro Fundido",('Densidade do AR'!$S$12*1000000),IF(INDEX($A$5:$BP$257,MATCH(BT34,$BN$5:$BN$257,0),50)="Latão",('Densidade do AR'!$S$10*1000000),IF(INDEX($A$5:$BP$257,MATCH(BT34,$BN$5:$BN$257,0),50)="Alumínio",('Densidade do AR'!$S$4*1000000)))))))</f>
        <v>-</v>
      </c>
      <c r="BW34" s="739"/>
      <c r="BX34" s="739"/>
      <c r="BY34" s="740"/>
      <c r="BZ34" s="741" t="str">
        <f t="shared" si="9"/>
        <v>-</v>
      </c>
      <c r="CA34" s="742"/>
      <c r="CB34" s="742"/>
      <c r="CC34" s="743"/>
      <c r="CD34" s="741" t="str">
        <f t="shared" si="1"/>
        <v>-</v>
      </c>
      <c r="CE34" s="742"/>
      <c r="CF34" s="742"/>
      <c r="CG34" s="743"/>
      <c r="CH34" s="744" t="str">
        <f t="shared" si="10"/>
        <v>-</v>
      </c>
      <c r="CI34" s="739"/>
      <c r="CJ34" s="739"/>
      <c r="CK34" s="740"/>
      <c r="CL34" s="744" t="str">
        <f t="shared" si="2"/>
        <v>-</v>
      </c>
      <c r="CM34" s="739"/>
      <c r="CN34" s="739"/>
      <c r="CO34" s="740"/>
      <c r="CP34" s="744" t="str">
        <f>IF(BT34="","-",INDEX($A$5:$BP$257,MATCH(BT34,$BN$5:$BN$257,0),39)*(IF(BT34="","-",(1+(((-('Densidade do AR'!$M$4))+('Densidade do AR'!$T$15*1000000))/(IF(INDEX($A$5:$BP$257,MATCH(BT34,$BN$5:$BN$257,0),50)="Aço Inoxidável",('Densidade do AR'!$S$8*1000000),IF(INDEX($A$5:$BP$257,MATCH(BT34,$BN$5:$BN$257,0),50)="Ferro Fundido",('Densidade do AR'!$S$12*1000000),IF(INDEX($A$5:$BP$257,MATCH(BT34,$BN$5:$BN$257,0),50)="Latão",('Densidade do AR'!$S$10*1000000),IF(INDEX($A$5:$BP$257,MATCH(BT34,$BN$5:$BN$257,0),50)="Alumínio",('Densidade do AR'!$S$4*1000000)))))))-(((-('Densidade do AR'!$M$4))+('Densidade do AR'!$T$15*1000000))/('Densidade do AR'!$S$14*1000000))))))</f>
        <v>-</v>
      </c>
      <c r="CQ34" s="739"/>
      <c r="CR34" s="739"/>
      <c r="CS34" s="745"/>
      <c r="CT34" s="91" t="str">
        <f t="shared" si="11"/>
        <v>-</v>
      </c>
      <c r="CU34" s="736"/>
      <c r="CV34" s="737"/>
      <c r="CW34" s="738" t="str">
        <f>IF(CU34="","-",(IF(INDEX($A$5:$BP$257,MATCH(CU34,$BN$5:$BN$257,0),50)="Aço Inoxidável",('Densidade do AR'!$S$8*1000000),IF(INDEX($A$5:$BP$257,MATCH(CU34,$BN$5:$BN$257,0),50)="Ferro Fundido",('Densidade do AR'!$S$12*1000000),IF(INDEX($A$5:$BP$257,MATCH(CU34,$BN$5:$BN$257,0),50)="Latão",('Densidade do AR'!$S$10*1000000),IF(INDEX($A$5:$BP$257,MATCH(CU34,$BN$5:$BN$257,0),50)="Alumínio",('Densidade do AR'!$S$4*1000000)))))))</f>
        <v>-</v>
      </c>
      <c r="CX34" s="739"/>
      <c r="CY34" s="739"/>
      <c r="CZ34" s="740"/>
      <c r="DA34" s="741" t="str">
        <f t="shared" si="12"/>
        <v>-</v>
      </c>
      <c r="DB34" s="742"/>
      <c r="DC34" s="742"/>
      <c r="DD34" s="743"/>
      <c r="DE34" s="741" t="str">
        <f t="shared" si="3"/>
        <v>-</v>
      </c>
      <c r="DF34" s="742"/>
      <c r="DG34" s="742"/>
      <c r="DH34" s="743"/>
      <c r="DI34" s="744" t="str">
        <f t="shared" si="13"/>
        <v>-</v>
      </c>
      <c r="DJ34" s="739"/>
      <c r="DK34" s="739"/>
      <c r="DL34" s="740"/>
      <c r="DM34" s="744" t="str">
        <f t="shared" si="4"/>
        <v>-</v>
      </c>
      <c r="DN34" s="739"/>
      <c r="DO34" s="739"/>
      <c r="DP34" s="740"/>
      <c r="DQ34" s="744" t="str">
        <f>IF(CU34="","-",INDEX($A$5:$BP$257,MATCH(CU34,$BN$5:$BN$257,0),39)*(IF(CU34="","-",(1+(((-('Densidade do AR'!$M$4))+('Densidade do AR'!$T$15*1000000))/(IF(INDEX($A$5:$BP$257,MATCH(CU34,$BN$5:$BN$257,0),50)="Aço Inoxidável",('Densidade do AR'!$S$8*1000000),IF(INDEX($A$5:$BP$257,MATCH(CU34,$BN$5:$BN$257,0),50)="Ferro Fundido",('Densidade do AR'!$S$12*1000000),IF(INDEX($A$5:$BP$257,MATCH(CU34,$BN$5:$BN$257,0),50)="Latão",('Densidade do AR'!$S$10*1000000),IF(INDEX($A$5:$BP$257,MATCH(CU34,$BN$5:$BN$257,0),50)="Alumínio",('Densidade do AR'!$S$4*1000000)))))))-(((-('Densidade do AR'!$M$4))+('Densidade do AR'!$T$15*1000000))/('Densidade do AR'!$S$14*1000000))))))</f>
        <v>-</v>
      </c>
      <c r="DR34" s="739"/>
      <c r="DS34" s="739"/>
      <c r="DT34" s="745"/>
      <c r="DU34" s="91" t="str">
        <f t="shared" si="14"/>
        <v>-</v>
      </c>
      <c r="DV34" s="736"/>
      <c r="DW34" s="737"/>
      <c r="DX34" s="738" t="str">
        <f>IF(DV34="","-",(IF(INDEX($A$5:$BP$257,MATCH(DV34,$BN$5:$BN$257,0),50)="Aço Inoxidável",('Densidade do AR'!$S$8*1000000),IF(INDEX($A$5:$BP$257,MATCH(DV34,$BN$5:$BN$257,0),50)="Ferro Fundido",('Densidade do AR'!$S$12*1000000),IF(INDEX($A$5:$BP$257,MATCH(DV34,$BN$5:$BN$257,0),50)="Latão",('Densidade do AR'!$S$10*1000000),IF(INDEX($A$5:$BP$257,MATCH(DV34,$BN$5:$BN$257,0),50)="Alumínio",('Densidade do AR'!$S$4*1000000)))))))</f>
        <v>-</v>
      </c>
      <c r="DY34" s="739"/>
      <c r="DZ34" s="739"/>
      <c r="EA34" s="740"/>
      <c r="EB34" s="741" t="str">
        <f t="shared" si="15"/>
        <v>-</v>
      </c>
      <c r="EC34" s="742"/>
      <c r="ED34" s="742"/>
      <c r="EE34" s="743"/>
      <c r="EF34" s="741" t="str">
        <f t="shared" si="5"/>
        <v>-</v>
      </c>
      <c r="EG34" s="742"/>
      <c r="EH34" s="742"/>
      <c r="EI34" s="743"/>
      <c r="EJ34" s="744" t="str">
        <f t="shared" si="16"/>
        <v>-</v>
      </c>
      <c r="EK34" s="739"/>
      <c r="EL34" s="739"/>
      <c r="EM34" s="740"/>
      <c r="EN34" s="744" t="str">
        <f t="shared" si="6"/>
        <v>-</v>
      </c>
      <c r="EO34" s="739"/>
      <c r="EP34" s="739"/>
      <c r="EQ34" s="740"/>
      <c r="ER34" s="744" t="str">
        <f>IF(DV34="","-",INDEX($A$5:$BP$257,MATCH(DV34,$BN$5:$BN$257,0),39)*(IF(DV34="","-",(1+(((-('Densidade do AR'!$M$4))+('Densidade do AR'!$T$15*1000000))/(IF(INDEX($A$5:$BP$257,MATCH(DV34,$BN$5:$BN$257,0),50)="Aço Inoxidável",('Densidade do AR'!$S$8*1000000),IF(INDEX($A$5:$BP$257,MATCH(DV34,$BN$5:$BN$257,0),50)="Ferro Fundido",('Densidade do AR'!$S$12*1000000),IF(INDEX($A$5:$BP$257,MATCH(DV34,$BN$5:$BN$257,0),50)="Latão",('Densidade do AR'!$S$10*1000000),IF(INDEX($A$5:$BP$257,MATCH(DV34,$BN$5:$BN$257,0),50)="Alumínio",('Densidade do AR'!$S$4*1000000)))))))-(((-('Densidade do AR'!$M$4))+('Densidade do AR'!$T$15*1000000))/('Densidade do AR'!$S$14*1000000))))))</f>
        <v>-</v>
      </c>
      <c r="ES34" s="739"/>
      <c r="ET34" s="739"/>
      <c r="EU34" s="745"/>
      <c r="EV34" s="91" t="str">
        <f t="shared" si="17"/>
        <v>-</v>
      </c>
      <c r="EW34" s="870"/>
      <c r="EX34" s="871"/>
      <c r="EY34" s="738" t="str">
        <f>IF(EW34="","-",(IF(INDEX($A$5:$BP$257,MATCH(EW34,$BN$5:$BN$257,0),50)="Aço Inoxidável",('Densidade do AR'!$S$8*1000000),IF(INDEX($A$5:$BP$257,MATCH(EW34,$BN$5:$BN$257,0),50)="Ferro Fundido",('Densidade do AR'!$S$12*1000000),IF(INDEX($A$5:$BP$257,MATCH(EW34,$BN$5:$BN$257,0),50)="Latão",('Densidade do AR'!$S$10*1000000),IF(INDEX($A$5:$BP$257,MATCH(EW34,$BN$5:$BN$257,0),50)="Alumínio",('Densidade do AR'!$S$4*1000000)))))))</f>
        <v>-</v>
      </c>
      <c r="EZ34" s="739"/>
      <c r="FA34" s="739"/>
      <c r="FB34" s="740"/>
      <c r="FC34" s="741" t="str">
        <f t="shared" si="18"/>
        <v>-</v>
      </c>
      <c r="FD34" s="742"/>
      <c r="FE34" s="742"/>
      <c r="FF34" s="743"/>
      <c r="FG34" s="741" t="str">
        <f t="shared" si="7"/>
        <v>-</v>
      </c>
      <c r="FH34" s="742"/>
      <c r="FI34" s="742"/>
      <c r="FJ34" s="743"/>
      <c r="FK34" s="744" t="str">
        <f t="shared" si="19"/>
        <v>-</v>
      </c>
      <c r="FL34" s="739"/>
      <c r="FM34" s="739"/>
      <c r="FN34" s="740"/>
      <c r="FO34" s="744" t="str">
        <f t="shared" si="8"/>
        <v>-</v>
      </c>
      <c r="FP34" s="739"/>
      <c r="FQ34" s="739"/>
      <c r="FR34" s="740"/>
      <c r="FS34" s="744" t="str">
        <f>IF(EW34="","-",INDEX($A$5:$BP$257,MATCH(EW34,$BN$5:$BN$257,0),39)*(IF(EW34="","-",(1+(((-('Densidade do AR'!$M$4))+('Densidade do AR'!$T$15*1000000))/(IF(INDEX($A$5:$BP$257,MATCH(EW34,$BN$5:$BN$257,0),50)="Aço Inoxidável",('Densidade do AR'!$S$8*1000000),IF(INDEX($A$5:$BP$257,MATCH(EW34,$BN$5:$BN$257,0),50)="Ferro Fundido",('Densidade do AR'!$S$12*1000000),IF(INDEX($A$5:$BP$257,MATCH(EW34,$BN$5:$BN$257,0),50)="Latão",('Densidade do AR'!$S$10*1000000),IF(INDEX($A$5:$BP$257,MATCH(EW34,$BN$5:$BN$257,0),50)="Alumínio",('Densidade do AR'!$S$4*1000000)))))))-(((-('Densidade do AR'!$M$4))+('Densidade do AR'!$T$15*1000000))/('Densidade do AR'!$S$14*1000000))))))</f>
        <v>-</v>
      </c>
      <c r="FT34" s="739"/>
      <c r="FU34" s="739"/>
      <c r="FV34" s="745"/>
      <c r="FW34" s="91" t="str">
        <f t="shared" si="20"/>
        <v>-</v>
      </c>
      <c r="FX34" s="135"/>
    </row>
    <row r="35" spans="1:180" x14ac:dyDescent="0.2">
      <c r="A35" s="1001">
        <v>31</v>
      </c>
      <c r="B35" s="907"/>
      <c r="C35" s="957">
        <v>20000</v>
      </c>
      <c r="D35" s="955"/>
      <c r="E35" s="955"/>
      <c r="F35" s="955"/>
      <c r="G35" s="956"/>
      <c r="H35" s="984" t="s">
        <v>316</v>
      </c>
      <c r="I35" s="906"/>
      <c r="J35" s="906"/>
      <c r="K35" s="907"/>
      <c r="L35" s="905" t="s">
        <v>112</v>
      </c>
      <c r="M35" s="906"/>
      <c r="N35" s="906"/>
      <c r="O35" s="907"/>
      <c r="P35" s="894" t="s">
        <v>308</v>
      </c>
      <c r="Q35" s="955"/>
      <c r="R35" s="955"/>
      <c r="S35" s="955"/>
      <c r="T35" s="956"/>
      <c r="U35" s="897" t="s">
        <v>349</v>
      </c>
      <c r="V35" s="722"/>
      <c r="W35" s="722"/>
      <c r="X35" s="722"/>
      <c r="Y35" s="722"/>
      <c r="Z35" s="722"/>
      <c r="AA35" s="723"/>
      <c r="AB35" s="850"/>
      <c r="AC35" s="851"/>
      <c r="AD35" s="851"/>
      <c r="AE35" s="851"/>
      <c r="AF35" s="851"/>
      <c r="AG35" s="851"/>
      <c r="AH35" s="851"/>
      <c r="AI35" s="851"/>
      <c r="AJ35" s="851"/>
      <c r="AK35" s="851"/>
      <c r="AL35" s="852"/>
      <c r="AM35" s="985">
        <v>20000400</v>
      </c>
      <c r="AN35" s="986"/>
      <c r="AO35" s="986"/>
      <c r="AP35" s="986"/>
      <c r="AQ35" s="986"/>
      <c r="AR35" s="986"/>
      <c r="AS35" s="987"/>
      <c r="AT35" s="985">
        <f t="shared" si="0"/>
        <v>400</v>
      </c>
      <c r="AU35" s="986"/>
      <c r="AV35" s="986"/>
      <c r="AW35" s="987"/>
      <c r="AX35" s="949" t="s">
        <v>13</v>
      </c>
      <c r="AY35" s="950"/>
      <c r="AZ35" s="950"/>
      <c r="BA35" s="950"/>
      <c r="BB35" s="950"/>
      <c r="BC35" s="951"/>
      <c r="BD35" s="998">
        <v>300</v>
      </c>
      <c r="BE35" s="999"/>
      <c r="BF35" s="999"/>
      <c r="BG35" s="1000"/>
      <c r="BH35" s="985">
        <v>2</v>
      </c>
      <c r="BI35" s="986"/>
      <c r="BJ35" s="986"/>
      <c r="BK35" s="986"/>
      <c r="BL35" s="997"/>
      <c r="BN35" s="881">
        <v>31</v>
      </c>
      <c r="BO35" s="882"/>
      <c r="BP35" s="883"/>
      <c r="BT35" s="746"/>
      <c r="BU35" s="747"/>
      <c r="BV35" s="784" t="str">
        <f>IF(BT35="","-",(IF(INDEX($A$5:$BP$257,MATCH(BT35,$BN$5:$BN$257,0),50)="Aço Inoxidável",('Densidade do AR'!$S$8*1000000),IF(INDEX($A$5:$BP$257,MATCH(BT35,$BN$5:$BN$257,0),50)="Ferro Fundido",('Densidade do AR'!$S$12*1000000),IF(INDEX($A$5:$BP$257,MATCH(BT35,$BN$5:$BN$257,0),50)="Latão",('Densidade do AR'!$S$10*1000000),IF(INDEX($A$5:$BP$257,MATCH(BT35,$BN$5:$BN$257,0),50)="Alumínio",('Densidade do AR'!$S$4*1000000)))))))</f>
        <v>-</v>
      </c>
      <c r="BW35" s="785"/>
      <c r="BX35" s="785"/>
      <c r="BY35" s="786"/>
      <c r="BZ35" s="787" t="str">
        <f t="shared" si="9"/>
        <v>-</v>
      </c>
      <c r="CA35" s="788"/>
      <c r="CB35" s="788"/>
      <c r="CC35" s="789"/>
      <c r="CD35" s="787" t="str">
        <f t="shared" si="1"/>
        <v>-</v>
      </c>
      <c r="CE35" s="788"/>
      <c r="CF35" s="788"/>
      <c r="CG35" s="789"/>
      <c r="CH35" s="790" t="str">
        <f t="shared" si="10"/>
        <v>-</v>
      </c>
      <c r="CI35" s="785"/>
      <c r="CJ35" s="785"/>
      <c r="CK35" s="786"/>
      <c r="CL35" s="790" t="str">
        <f t="shared" si="2"/>
        <v>-</v>
      </c>
      <c r="CM35" s="785"/>
      <c r="CN35" s="785"/>
      <c r="CO35" s="786"/>
      <c r="CP35" s="790" t="str">
        <f>IF(BT35="","-",INDEX($A$5:$BP$257,MATCH(BT35,$BN$5:$BN$257,0),39)*(IF(BT35="","-",(1+(((-('Densidade do AR'!$M$4))+('Densidade do AR'!$T$15*1000000))/(IF(INDEX($A$5:$BP$257,MATCH(BT35,$BN$5:$BN$257,0),50)="Aço Inoxidável",('Densidade do AR'!$S$8*1000000),IF(INDEX($A$5:$BP$257,MATCH(BT35,$BN$5:$BN$257,0),50)="Ferro Fundido",('Densidade do AR'!$S$12*1000000),IF(INDEX($A$5:$BP$257,MATCH(BT35,$BN$5:$BN$257,0),50)="Latão",('Densidade do AR'!$S$10*1000000),IF(INDEX($A$5:$BP$257,MATCH(BT35,$BN$5:$BN$257,0),50)="Alumínio",('Densidade do AR'!$S$4*1000000)))))))-(((-('Densidade do AR'!$M$4))+('Densidade do AR'!$T$15*1000000))/('Densidade do AR'!$S$14*1000000))))))</f>
        <v>-</v>
      </c>
      <c r="CQ35" s="785"/>
      <c r="CR35" s="785"/>
      <c r="CS35" s="791"/>
      <c r="CT35" s="91" t="str">
        <f t="shared" si="11"/>
        <v>-</v>
      </c>
      <c r="CU35" s="746"/>
      <c r="CV35" s="747"/>
      <c r="CW35" s="784" t="str">
        <f>IF(CU35="","-",(IF(INDEX($A$5:$BP$257,MATCH(CU35,$BN$5:$BN$257,0),50)="Aço Inoxidável",('Densidade do AR'!$S$8*1000000),IF(INDEX($A$5:$BP$257,MATCH(CU35,$BN$5:$BN$257,0),50)="Ferro Fundido",('Densidade do AR'!$S$12*1000000),IF(INDEX($A$5:$BP$257,MATCH(CU35,$BN$5:$BN$257,0),50)="Latão",('Densidade do AR'!$S$10*1000000),IF(INDEX($A$5:$BP$257,MATCH(CU35,$BN$5:$BN$257,0),50)="Alumínio",('Densidade do AR'!$S$4*1000000)))))))</f>
        <v>-</v>
      </c>
      <c r="CX35" s="785"/>
      <c r="CY35" s="785"/>
      <c r="CZ35" s="786"/>
      <c r="DA35" s="787" t="str">
        <f t="shared" si="12"/>
        <v>-</v>
      </c>
      <c r="DB35" s="788"/>
      <c r="DC35" s="788"/>
      <c r="DD35" s="789"/>
      <c r="DE35" s="787" t="str">
        <f t="shared" si="3"/>
        <v>-</v>
      </c>
      <c r="DF35" s="788"/>
      <c r="DG35" s="788"/>
      <c r="DH35" s="789"/>
      <c r="DI35" s="790" t="str">
        <f t="shared" si="13"/>
        <v>-</v>
      </c>
      <c r="DJ35" s="785"/>
      <c r="DK35" s="785"/>
      <c r="DL35" s="786"/>
      <c r="DM35" s="790" t="str">
        <f t="shared" si="4"/>
        <v>-</v>
      </c>
      <c r="DN35" s="785"/>
      <c r="DO35" s="785"/>
      <c r="DP35" s="786"/>
      <c r="DQ35" s="790" t="str">
        <f>IF(CU35="","-",INDEX($A$5:$BP$257,MATCH(CU35,$BN$5:$BN$257,0),39)*(IF(CU35="","-",(1+(((-('Densidade do AR'!$M$4))+('Densidade do AR'!$T$15*1000000))/(IF(INDEX($A$5:$BP$257,MATCH(CU35,$BN$5:$BN$257,0),50)="Aço Inoxidável",('Densidade do AR'!$S$8*1000000),IF(INDEX($A$5:$BP$257,MATCH(CU35,$BN$5:$BN$257,0),50)="Ferro Fundido",('Densidade do AR'!$S$12*1000000),IF(INDEX($A$5:$BP$257,MATCH(CU35,$BN$5:$BN$257,0),50)="Latão",('Densidade do AR'!$S$10*1000000),IF(INDEX($A$5:$BP$257,MATCH(CU35,$BN$5:$BN$257,0),50)="Alumínio",('Densidade do AR'!$S$4*1000000)))))))-(((-('Densidade do AR'!$M$4))+('Densidade do AR'!$T$15*1000000))/('Densidade do AR'!$S$14*1000000))))))</f>
        <v>-</v>
      </c>
      <c r="DR35" s="785"/>
      <c r="DS35" s="785"/>
      <c r="DT35" s="791"/>
      <c r="DU35" s="91" t="str">
        <f t="shared" si="14"/>
        <v>-</v>
      </c>
      <c r="DV35" s="746"/>
      <c r="DW35" s="747"/>
      <c r="DX35" s="784" t="str">
        <f>IF(DV35="","-",(IF(INDEX($A$5:$BP$257,MATCH(DV35,$BN$5:$BN$257,0),50)="Aço Inoxidável",('Densidade do AR'!$S$8*1000000),IF(INDEX($A$5:$BP$257,MATCH(DV35,$BN$5:$BN$257,0),50)="Ferro Fundido",('Densidade do AR'!$S$12*1000000),IF(INDEX($A$5:$BP$257,MATCH(DV35,$BN$5:$BN$257,0),50)="Latão",('Densidade do AR'!$S$10*1000000),IF(INDEX($A$5:$BP$257,MATCH(DV35,$BN$5:$BN$257,0),50)="Alumínio",('Densidade do AR'!$S$4*1000000)))))))</f>
        <v>-</v>
      </c>
      <c r="DY35" s="785"/>
      <c r="DZ35" s="785"/>
      <c r="EA35" s="786"/>
      <c r="EB35" s="787" t="str">
        <f t="shared" si="15"/>
        <v>-</v>
      </c>
      <c r="EC35" s="788"/>
      <c r="ED35" s="788"/>
      <c r="EE35" s="789"/>
      <c r="EF35" s="787" t="str">
        <f t="shared" si="5"/>
        <v>-</v>
      </c>
      <c r="EG35" s="788"/>
      <c r="EH35" s="788"/>
      <c r="EI35" s="789"/>
      <c r="EJ35" s="790" t="str">
        <f t="shared" si="16"/>
        <v>-</v>
      </c>
      <c r="EK35" s="785"/>
      <c r="EL35" s="785"/>
      <c r="EM35" s="786"/>
      <c r="EN35" s="790" t="str">
        <f t="shared" si="6"/>
        <v>-</v>
      </c>
      <c r="EO35" s="785"/>
      <c r="EP35" s="785"/>
      <c r="EQ35" s="786"/>
      <c r="ER35" s="790" t="str">
        <f>IF(DV35="","-",INDEX($A$5:$BP$257,MATCH(DV35,$BN$5:$BN$257,0),39)*(IF(DV35="","-",(1+(((-('Densidade do AR'!$M$4))+('Densidade do AR'!$T$15*1000000))/(IF(INDEX($A$5:$BP$257,MATCH(DV35,$BN$5:$BN$257,0),50)="Aço Inoxidável",('Densidade do AR'!$S$8*1000000),IF(INDEX($A$5:$BP$257,MATCH(DV35,$BN$5:$BN$257,0),50)="Ferro Fundido",('Densidade do AR'!$S$12*1000000),IF(INDEX($A$5:$BP$257,MATCH(DV35,$BN$5:$BN$257,0),50)="Latão",('Densidade do AR'!$S$10*1000000),IF(INDEX($A$5:$BP$257,MATCH(DV35,$BN$5:$BN$257,0),50)="Alumínio",('Densidade do AR'!$S$4*1000000)))))))-(((-('Densidade do AR'!$M$4))+('Densidade do AR'!$T$15*1000000))/('Densidade do AR'!$S$14*1000000))))))</f>
        <v>-</v>
      </c>
      <c r="ES35" s="785"/>
      <c r="ET35" s="785"/>
      <c r="EU35" s="791"/>
      <c r="EV35" s="91" t="str">
        <f t="shared" si="17"/>
        <v>-</v>
      </c>
      <c r="EW35" s="736"/>
      <c r="EX35" s="737"/>
      <c r="EY35" s="784" t="str">
        <f>IF(EW35="","-",(IF(INDEX($A$5:$BP$257,MATCH(EW35,$BN$5:$BN$257,0),50)="Aço Inoxidável",('Densidade do AR'!$S$8*1000000),IF(INDEX($A$5:$BP$257,MATCH(EW35,$BN$5:$BN$257,0),50)="Ferro Fundido",('Densidade do AR'!$S$12*1000000),IF(INDEX($A$5:$BP$257,MATCH(EW35,$BN$5:$BN$257,0),50)="Latão",('Densidade do AR'!$S$10*1000000),IF(INDEX($A$5:$BP$257,MATCH(EW35,$BN$5:$BN$257,0),50)="Alumínio",('Densidade do AR'!$S$4*1000000)))))))</f>
        <v>-</v>
      </c>
      <c r="EZ35" s="785"/>
      <c r="FA35" s="785"/>
      <c r="FB35" s="786"/>
      <c r="FC35" s="787" t="str">
        <f t="shared" si="18"/>
        <v>-</v>
      </c>
      <c r="FD35" s="788"/>
      <c r="FE35" s="788"/>
      <c r="FF35" s="789"/>
      <c r="FG35" s="787" t="str">
        <f t="shared" si="7"/>
        <v>-</v>
      </c>
      <c r="FH35" s="788"/>
      <c r="FI35" s="788"/>
      <c r="FJ35" s="789"/>
      <c r="FK35" s="790" t="str">
        <f t="shared" si="19"/>
        <v>-</v>
      </c>
      <c r="FL35" s="785"/>
      <c r="FM35" s="785"/>
      <c r="FN35" s="786"/>
      <c r="FO35" s="790" t="str">
        <f t="shared" si="8"/>
        <v>-</v>
      </c>
      <c r="FP35" s="785"/>
      <c r="FQ35" s="785"/>
      <c r="FR35" s="786"/>
      <c r="FS35" s="790" t="str">
        <f>IF(EW35="","-",INDEX($A$5:$BP$257,MATCH(EW35,$BN$5:$BN$257,0),39)*(IF(EW35="","-",(1+(((-('Densidade do AR'!$M$4))+('Densidade do AR'!$T$15*1000000))/(IF(INDEX($A$5:$BP$257,MATCH(EW35,$BN$5:$BN$257,0),50)="Aço Inoxidável",('Densidade do AR'!$S$8*1000000),IF(INDEX($A$5:$BP$257,MATCH(EW35,$BN$5:$BN$257,0),50)="Ferro Fundido",('Densidade do AR'!$S$12*1000000),IF(INDEX($A$5:$BP$257,MATCH(EW35,$BN$5:$BN$257,0),50)="Latão",('Densidade do AR'!$S$10*1000000),IF(INDEX($A$5:$BP$257,MATCH(EW35,$BN$5:$BN$257,0),50)="Alumínio",('Densidade do AR'!$S$4*1000000)))))))-(((-('Densidade do AR'!$M$4))+('Densidade do AR'!$T$15*1000000))/('Densidade do AR'!$S$14*1000000))))))</f>
        <v>-</v>
      </c>
      <c r="FT35" s="785"/>
      <c r="FU35" s="785"/>
      <c r="FV35" s="791"/>
      <c r="FW35" s="91" t="str">
        <f t="shared" si="20"/>
        <v>-</v>
      </c>
      <c r="FX35" s="135"/>
    </row>
    <row r="36" spans="1:180" x14ac:dyDescent="0.2">
      <c r="A36" s="1002">
        <v>32</v>
      </c>
      <c r="B36" s="904"/>
      <c r="C36" s="966">
        <v>20000</v>
      </c>
      <c r="D36" s="967"/>
      <c r="E36" s="967"/>
      <c r="F36" s="967"/>
      <c r="G36" s="968"/>
      <c r="H36" s="943" t="s">
        <v>316</v>
      </c>
      <c r="I36" s="944"/>
      <c r="J36" s="944"/>
      <c r="K36" s="945"/>
      <c r="L36" s="902" t="s">
        <v>112</v>
      </c>
      <c r="M36" s="903"/>
      <c r="N36" s="903"/>
      <c r="O36" s="904"/>
      <c r="P36" s="891" t="s">
        <v>308</v>
      </c>
      <c r="Q36" s="967"/>
      <c r="R36" s="967"/>
      <c r="S36" s="967"/>
      <c r="T36" s="968"/>
      <c r="U36" s="897" t="s">
        <v>349</v>
      </c>
      <c r="V36" s="722"/>
      <c r="W36" s="722"/>
      <c r="X36" s="722"/>
      <c r="Y36" s="722"/>
      <c r="Z36" s="722"/>
      <c r="AA36" s="723"/>
      <c r="AB36" s="853"/>
      <c r="AC36" s="854"/>
      <c r="AD36" s="854"/>
      <c r="AE36" s="854"/>
      <c r="AF36" s="854"/>
      <c r="AG36" s="854"/>
      <c r="AH36" s="854"/>
      <c r="AI36" s="854"/>
      <c r="AJ36" s="854"/>
      <c r="AK36" s="854"/>
      <c r="AL36" s="855"/>
      <c r="AM36" s="1004">
        <v>20000400</v>
      </c>
      <c r="AN36" s="1005"/>
      <c r="AO36" s="1005"/>
      <c r="AP36" s="1005"/>
      <c r="AQ36" s="1005"/>
      <c r="AR36" s="1005"/>
      <c r="AS36" s="1006"/>
      <c r="AT36" s="1075">
        <f t="shared" si="0"/>
        <v>400</v>
      </c>
      <c r="AU36" s="1076"/>
      <c r="AV36" s="1076"/>
      <c r="AW36" s="1077"/>
      <c r="AX36" s="943" t="s">
        <v>13</v>
      </c>
      <c r="AY36" s="944"/>
      <c r="AZ36" s="944"/>
      <c r="BA36" s="944"/>
      <c r="BB36" s="944"/>
      <c r="BC36" s="945"/>
      <c r="BD36" s="946">
        <v>300</v>
      </c>
      <c r="BE36" s="947"/>
      <c r="BF36" s="947"/>
      <c r="BG36" s="948"/>
      <c r="BH36" s="982">
        <v>2.0499999999999998</v>
      </c>
      <c r="BI36" s="944"/>
      <c r="BJ36" s="944"/>
      <c r="BK36" s="944"/>
      <c r="BL36" s="996"/>
      <c r="BN36" s="878">
        <v>32</v>
      </c>
      <c r="BO36" s="879"/>
      <c r="BP36" s="880"/>
      <c r="BT36" s="736"/>
      <c r="BU36" s="737"/>
      <c r="BV36" s="738" t="str">
        <f>IF(BT36="","-",(IF(INDEX($A$5:$BP$257,MATCH(BT36,$BN$5:$BN$257,0),50)="Aço Inoxidável",('Densidade do AR'!$S$8*1000000),IF(INDEX($A$5:$BP$257,MATCH(BT36,$BN$5:$BN$257,0),50)="Ferro Fundido",('Densidade do AR'!$S$12*1000000),IF(INDEX($A$5:$BP$257,MATCH(BT36,$BN$5:$BN$257,0),50)="Latão",('Densidade do AR'!$S$10*1000000),IF(INDEX($A$5:$BP$257,MATCH(BT36,$BN$5:$BN$257,0),50)="Alumínio",('Densidade do AR'!$S$4*1000000)))))))</f>
        <v>-</v>
      </c>
      <c r="BW36" s="739"/>
      <c r="BX36" s="739"/>
      <c r="BY36" s="740"/>
      <c r="BZ36" s="741" t="str">
        <f t="shared" si="9"/>
        <v>-</v>
      </c>
      <c r="CA36" s="742"/>
      <c r="CB36" s="742"/>
      <c r="CC36" s="743"/>
      <c r="CD36" s="741" t="str">
        <f t="shared" si="1"/>
        <v>-</v>
      </c>
      <c r="CE36" s="742"/>
      <c r="CF36" s="742"/>
      <c r="CG36" s="743"/>
      <c r="CH36" s="744" t="str">
        <f t="shared" si="10"/>
        <v>-</v>
      </c>
      <c r="CI36" s="739"/>
      <c r="CJ36" s="739"/>
      <c r="CK36" s="740"/>
      <c r="CL36" s="744" t="str">
        <f t="shared" si="2"/>
        <v>-</v>
      </c>
      <c r="CM36" s="739"/>
      <c r="CN36" s="739"/>
      <c r="CO36" s="740"/>
      <c r="CP36" s="744" t="str">
        <f>IF(BT36="","-",INDEX($A$5:$BP$257,MATCH(BT36,$BN$5:$BN$257,0),39)*(IF(BT36="","-",(1+(((-('Densidade do AR'!$M$4))+('Densidade do AR'!$T$15*1000000))/(IF(INDEX($A$5:$BP$257,MATCH(BT36,$BN$5:$BN$257,0),50)="Aço Inoxidável",('Densidade do AR'!$S$8*1000000),IF(INDEX($A$5:$BP$257,MATCH(BT36,$BN$5:$BN$257,0),50)="Ferro Fundido",('Densidade do AR'!$S$12*1000000),IF(INDEX($A$5:$BP$257,MATCH(BT36,$BN$5:$BN$257,0),50)="Latão",('Densidade do AR'!$S$10*1000000),IF(INDEX($A$5:$BP$257,MATCH(BT36,$BN$5:$BN$257,0),50)="Alumínio",('Densidade do AR'!$S$4*1000000)))))))-(((-('Densidade do AR'!$M$4))+('Densidade do AR'!$T$15*1000000))/('Densidade do AR'!$S$14*1000000))))))</f>
        <v>-</v>
      </c>
      <c r="CQ36" s="739"/>
      <c r="CR36" s="739"/>
      <c r="CS36" s="745"/>
      <c r="CT36" s="91" t="str">
        <f t="shared" si="11"/>
        <v>-</v>
      </c>
      <c r="CU36" s="736"/>
      <c r="CV36" s="737"/>
      <c r="CW36" s="738" t="str">
        <f>IF(CU36="","-",(IF(INDEX($A$5:$BP$257,MATCH(CU36,$BN$5:$BN$257,0),50)="Aço Inoxidável",('Densidade do AR'!$S$8*1000000),IF(INDEX($A$5:$BP$257,MATCH(CU36,$BN$5:$BN$257,0),50)="Ferro Fundido",('Densidade do AR'!$S$12*1000000),IF(INDEX($A$5:$BP$257,MATCH(CU36,$BN$5:$BN$257,0),50)="Latão",('Densidade do AR'!$S$10*1000000),IF(INDEX($A$5:$BP$257,MATCH(CU36,$BN$5:$BN$257,0),50)="Alumínio",('Densidade do AR'!$S$4*1000000)))))))</f>
        <v>-</v>
      </c>
      <c r="CX36" s="739"/>
      <c r="CY36" s="739"/>
      <c r="CZ36" s="740"/>
      <c r="DA36" s="741" t="str">
        <f t="shared" si="12"/>
        <v>-</v>
      </c>
      <c r="DB36" s="742"/>
      <c r="DC36" s="742"/>
      <c r="DD36" s="743"/>
      <c r="DE36" s="741" t="str">
        <f t="shared" si="3"/>
        <v>-</v>
      </c>
      <c r="DF36" s="742"/>
      <c r="DG36" s="742"/>
      <c r="DH36" s="743"/>
      <c r="DI36" s="744" t="str">
        <f t="shared" si="13"/>
        <v>-</v>
      </c>
      <c r="DJ36" s="739"/>
      <c r="DK36" s="739"/>
      <c r="DL36" s="740"/>
      <c r="DM36" s="744" t="str">
        <f t="shared" si="4"/>
        <v>-</v>
      </c>
      <c r="DN36" s="739"/>
      <c r="DO36" s="739"/>
      <c r="DP36" s="740"/>
      <c r="DQ36" s="744" t="str">
        <f>IF(CU36="","-",INDEX($A$5:$BP$257,MATCH(CU36,$BN$5:$BN$257,0),39)*(IF(CU36="","-",(1+(((-('Densidade do AR'!$M$4))+('Densidade do AR'!$T$15*1000000))/(IF(INDEX($A$5:$BP$257,MATCH(CU36,$BN$5:$BN$257,0),50)="Aço Inoxidável",('Densidade do AR'!$S$8*1000000),IF(INDEX($A$5:$BP$257,MATCH(CU36,$BN$5:$BN$257,0),50)="Ferro Fundido",('Densidade do AR'!$S$12*1000000),IF(INDEX($A$5:$BP$257,MATCH(CU36,$BN$5:$BN$257,0),50)="Latão",('Densidade do AR'!$S$10*1000000),IF(INDEX($A$5:$BP$257,MATCH(CU36,$BN$5:$BN$257,0),50)="Alumínio",('Densidade do AR'!$S$4*1000000)))))))-(((-('Densidade do AR'!$M$4))+('Densidade do AR'!$T$15*1000000))/('Densidade do AR'!$S$14*1000000))))))</f>
        <v>-</v>
      </c>
      <c r="DR36" s="739"/>
      <c r="DS36" s="739"/>
      <c r="DT36" s="745"/>
      <c r="DU36" s="91" t="str">
        <f t="shared" si="14"/>
        <v>-</v>
      </c>
      <c r="DV36" s="736"/>
      <c r="DW36" s="737"/>
      <c r="DX36" s="738" t="str">
        <f>IF(DV36="","-",(IF(INDEX($A$5:$BP$257,MATCH(DV36,$BN$5:$BN$257,0),50)="Aço Inoxidável",('Densidade do AR'!$S$8*1000000),IF(INDEX($A$5:$BP$257,MATCH(DV36,$BN$5:$BN$257,0),50)="Ferro Fundido",('Densidade do AR'!$S$12*1000000),IF(INDEX($A$5:$BP$257,MATCH(DV36,$BN$5:$BN$257,0),50)="Latão",('Densidade do AR'!$S$10*1000000),IF(INDEX($A$5:$BP$257,MATCH(DV36,$BN$5:$BN$257,0),50)="Alumínio",('Densidade do AR'!$S$4*1000000)))))))</f>
        <v>-</v>
      </c>
      <c r="DY36" s="739"/>
      <c r="DZ36" s="739"/>
      <c r="EA36" s="740"/>
      <c r="EB36" s="741" t="str">
        <f t="shared" si="15"/>
        <v>-</v>
      </c>
      <c r="EC36" s="742"/>
      <c r="ED36" s="742"/>
      <c r="EE36" s="743"/>
      <c r="EF36" s="741" t="str">
        <f t="shared" si="5"/>
        <v>-</v>
      </c>
      <c r="EG36" s="742"/>
      <c r="EH36" s="742"/>
      <c r="EI36" s="743"/>
      <c r="EJ36" s="744" t="str">
        <f t="shared" si="16"/>
        <v>-</v>
      </c>
      <c r="EK36" s="739"/>
      <c r="EL36" s="739"/>
      <c r="EM36" s="740"/>
      <c r="EN36" s="744" t="str">
        <f t="shared" si="6"/>
        <v>-</v>
      </c>
      <c r="EO36" s="739"/>
      <c r="EP36" s="739"/>
      <c r="EQ36" s="740"/>
      <c r="ER36" s="744" t="str">
        <f>IF(DV36="","-",INDEX($A$5:$BP$257,MATCH(DV36,$BN$5:$BN$257,0),39)*(IF(DV36="","-",(1+(((-('Densidade do AR'!$M$4))+('Densidade do AR'!$T$15*1000000))/(IF(INDEX($A$5:$BP$257,MATCH(DV36,$BN$5:$BN$257,0),50)="Aço Inoxidável",('Densidade do AR'!$S$8*1000000),IF(INDEX($A$5:$BP$257,MATCH(DV36,$BN$5:$BN$257,0),50)="Ferro Fundido",('Densidade do AR'!$S$12*1000000),IF(INDEX($A$5:$BP$257,MATCH(DV36,$BN$5:$BN$257,0),50)="Latão",('Densidade do AR'!$S$10*1000000),IF(INDEX($A$5:$BP$257,MATCH(DV36,$BN$5:$BN$257,0),50)="Alumínio",('Densidade do AR'!$S$4*1000000)))))))-(((-('Densidade do AR'!$M$4))+('Densidade do AR'!$T$15*1000000))/('Densidade do AR'!$S$14*1000000))))))</f>
        <v>-</v>
      </c>
      <c r="ES36" s="739"/>
      <c r="ET36" s="739"/>
      <c r="EU36" s="745"/>
      <c r="EV36" s="91" t="str">
        <f t="shared" si="17"/>
        <v>-</v>
      </c>
      <c r="EW36" s="870"/>
      <c r="EX36" s="871"/>
      <c r="EY36" s="738" t="str">
        <f>IF(EW36="","-",(IF(INDEX($A$5:$BP$257,MATCH(EW36,$BN$5:$BN$257,0),50)="Aço Inoxidável",('Densidade do AR'!$S$8*1000000),IF(INDEX($A$5:$BP$257,MATCH(EW36,$BN$5:$BN$257,0),50)="Ferro Fundido",('Densidade do AR'!$S$12*1000000),IF(INDEX($A$5:$BP$257,MATCH(EW36,$BN$5:$BN$257,0),50)="Latão",('Densidade do AR'!$S$10*1000000),IF(INDEX($A$5:$BP$257,MATCH(EW36,$BN$5:$BN$257,0),50)="Alumínio",('Densidade do AR'!$S$4*1000000)))))))</f>
        <v>-</v>
      </c>
      <c r="EZ36" s="739"/>
      <c r="FA36" s="739"/>
      <c r="FB36" s="740"/>
      <c r="FC36" s="741" t="str">
        <f t="shared" si="18"/>
        <v>-</v>
      </c>
      <c r="FD36" s="742"/>
      <c r="FE36" s="742"/>
      <c r="FF36" s="743"/>
      <c r="FG36" s="741" t="str">
        <f t="shared" si="7"/>
        <v>-</v>
      </c>
      <c r="FH36" s="742"/>
      <c r="FI36" s="742"/>
      <c r="FJ36" s="743"/>
      <c r="FK36" s="744" t="str">
        <f t="shared" si="19"/>
        <v>-</v>
      </c>
      <c r="FL36" s="739"/>
      <c r="FM36" s="739"/>
      <c r="FN36" s="740"/>
      <c r="FO36" s="744" t="str">
        <f t="shared" si="8"/>
        <v>-</v>
      </c>
      <c r="FP36" s="739"/>
      <c r="FQ36" s="739"/>
      <c r="FR36" s="740"/>
      <c r="FS36" s="744" t="str">
        <f>IF(EW36="","-",INDEX($A$5:$BP$257,MATCH(EW36,$BN$5:$BN$257,0),39)*(IF(EW36="","-",(1+(((-('Densidade do AR'!$M$4))+('Densidade do AR'!$T$15*1000000))/(IF(INDEX($A$5:$BP$257,MATCH(EW36,$BN$5:$BN$257,0),50)="Aço Inoxidável",('Densidade do AR'!$S$8*1000000),IF(INDEX($A$5:$BP$257,MATCH(EW36,$BN$5:$BN$257,0),50)="Ferro Fundido",('Densidade do AR'!$S$12*1000000),IF(INDEX($A$5:$BP$257,MATCH(EW36,$BN$5:$BN$257,0),50)="Latão",('Densidade do AR'!$S$10*1000000),IF(INDEX($A$5:$BP$257,MATCH(EW36,$BN$5:$BN$257,0),50)="Alumínio",('Densidade do AR'!$S$4*1000000)))))))-(((-('Densidade do AR'!$M$4))+('Densidade do AR'!$T$15*1000000))/('Densidade do AR'!$S$14*1000000))))))</f>
        <v>-</v>
      </c>
      <c r="FT36" s="739"/>
      <c r="FU36" s="739"/>
      <c r="FV36" s="745"/>
      <c r="FW36" s="91" t="str">
        <f t="shared" si="20"/>
        <v>-</v>
      </c>
      <c r="FX36" s="135"/>
    </row>
    <row r="37" spans="1:180" x14ac:dyDescent="0.2">
      <c r="A37" s="1001">
        <v>33</v>
      </c>
      <c r="B37" s="907"/>
      <c r="C37" s="957">
        <v>20000</v>
      </c>
      <c r="D37" s="955"/>
      <c r="E37" s="955"/>
      <c r="F37" s="955"/>
      <c r="G37" s="956"/>
      <c r="H37" s="1074" t="s">
        <v>316</v>
      </c>
      <c r="I37" s="986"/>
      <c r="J37" s="986"/>
      <c r="K37" s="987"/>
      <c r="L37" s="905" t="s">
        <v>112</v>
      </c>
      <c r="M37" s="906"/>
      <c r="N37" s="906"/>
      <c r="O37" s="907"/>
      <c r="P37" s="894" t="s">
        <v>308</v>
      </c>
      <c r="Q37" s="955"/>
      <c r="R37" s="955"/>
      <c r="S37" s="955"/>
      <c r="T37" s="956"/>
      <c r="U37" s="897" t="s">
        <v>349</v>
      </c>
      <c r="V37" s="722"/>
      <c r="W37" s="722"/>
      <c r="X37" s="722"/>
      <c r="Y37" s="722"/>
      <c r="Z37" s="722"/>
      <c r="AA37" s="723"/>
      <c r="AB37" s="850"/>
      <c r="AC37" s="851"/>
      <c r="AD37" s="851"/>
      <c r="AE37" s="851"/>
      <c r="AF37" s="851"/>
      <c r="AG37" s="851"/>
      <c r="AH37" s="851"/>
      <c r="AI37" s="851"/>
      <c r="AJ37" s="851"/>
      <c r="AK37" s="851"/>
      <c r="AL37" s="852"/>
      <c r="AM37" s="985">
        <v>20000300</v>
      </c>
      <c r="AN37" s="986"/>
      <c r="AO37" s="986"/>
      <c r="AP37" s="986"/>
      <c r="AQ37" s="986"/>
      <c r="AR37" s="986"/>
      <c r="AS37" s="987"/>
      <c r="AT37" s="985">
        <f t="shared" si="0"/>
        <v>300</v>
      </c>
      <c r="AU37" s="986"/>
      <c r="AV37" s="986"/>
      <c r="AW37" s="987"/>
      <c r="AX37" s="1074" t="s">
        <v>13</v>
      </c>
      <c r="AY37" s="986"/>
      <c r="AZ37" s="986"/>
      <c r="BA37" s="986"/>
      <c r="BB37" s="986"/>
      <c r="BC37" s="987"/>
      <c r="BD37" s="998">
        <v>300</v>
      </c>
      <c r="BE37" s="999"/>
      <c r="BF37" s="999"/>
      <c r="BG37" s="1000"/>
      <c r="BH37" s="985">
        <v>2.0499999999999998</v>
      </c>
      <c r="BI37" s="986"/>
      <c r="BJ37" s="986"/>
      <c r="BK37" s="986"/>
      <c r="BL37" s="997"/>
      <c r="BN37" s="881">
        <v>33</v>
      </c>
      <c r="BO37" s="882"/>
      <c r="BP37" s="883"/>
      <c r="BT37" s="746"/>
      <c r="BU37" s="747"/>
      <c r="BV37" s="784" t="str">
        <f>IF(BT37="","-",(IF(INDEX($A$5:$BP$257,MATCH(BT37,$BN$5:$BN$257,0),50)="Aço Inoxidável",('Densidade do AR'!$S$8*1000000),IF(INDEX($A$5:$BP$257,MATCH(BT37,$BN$5:$BN$257,0),50)="Ferro Fundido",('Densidade do AR'!$S$12*1000000),IF(INDEX($A$5:$BP$257,MATCH(BT37,$BN$5:$BN$257,0),50)="Latão",('Densidade do AR'!$S$10*1000000),IF(INDEX($A$5:$BP$257,MATCH(BT37,$BN$5:$BN$257,0),50)="Alumínio",('Densidade do AR'!$S$4*1000000)))))))</f>
        <v>-</v>
      </c>
      <c r="BW37" s="785"/>
      <c r="BX37" s="785"/>
      <c r="BY37" s="786"/>
      <c r="BZ37" s="787" t="str">
        <f t="shared" si="9"/>
        <v>-</v>
      </c>
      <c r="CA37" s="788"/>
      <c r="CB37" s="788"/>
      <c r="CC37" s="789"/>
      <c r="CD37" s="787" t="str">
        <f t="shared" si="1"/>
        <v>-</v>
      </c>
      <c r="CE37" s="788"/>
      <c r="CF37" s="788"/>
      <c r="CG37" s="789"/>
      <c r="CH37" s="790" t="str">
        <f t="shared" si="10"/>
        <v>-</v>
      </c>
      <c r="CI37" s="785"/>
      <c r="CJ37" s="785"/>
      <c r="CK37" s="786"/>
      <c r="CL37" s="790" t="str">
        <f t="shared" si="2"/>
        <v>-</v>
      </c>
      <c r="CM37" s="785"/>
      <c r="CN37" s="785"/>
      <c r="CO37" s="786"/>
      <c r="CP37" s="790" t="str">
        <f>IF(BT37="","-",INDEX($A$5:$BP$257,MATCH(BT37,$BN$5:$BN$257,0),39)*(IF(BT37="","-",(1+(((-('Densidade do AR'!$M$4))+('Densidade do AR'!$T$15*1000000))/(IF(INDEX($A$5:$BP$257,MATCH(BT37,$BN$5:$BN$257,0),50)="Aço Inoxidável",('Densidade do AR'!$S$8*1000000),IF(INDEX($A$5:$BP$257,MATCH(BT37,$BN$5:$BN$257,0),50)="Ferro Fundido",('Densidade do AR'!$S$12*1000000),IF(INDEX($A$5:$BP$257,MATCH(BT37,$BN$5:$BN$257,0),50)="Latão",('Densidade do AR'!$S$10*1000000),IF(INDEX($A$5:$BP$257,MATCH(BT37,$BN$5:$BN$257,0),50)="Alumínio",('Densidade do AR'!$S$4*1000000)))))))-(((-('Densidade do AR'!$M$4))+('Densidade do AR'!$T$15*1000000))/('Densidade do AR'!$S$14*1000000))))))</f>
        <v>-</v>
      </c>
      <c r="CQ37" s="785"/>
      <c r="CR37" s="785"/>
      <c r="CS37" s="791"/>
      <c r="CT37" s="91" t="str">
        <f t="shared" si="11"/>
        <v>-</v>
      </c>
      <c r="CU37" s="746"/>
      <c r="CV37" s="747"/>
      <c r="CW37" s="784" t="str">
        <f>IF(CU37="","-",(IF(INDEX($A$5:$BP$257,MATCH(CU37,$BN$5:$BN$257,0),50)="Aço Inoxidável",('Densidade do AR'!$S$8*1000000),IF(INDEX($A$5:$BP$257,MATCH(CU37,$BN$5:$BN$257,0),50)="Ferro Fundido",('Densidade do AR'!$S$12*1000000),IF(INDEX($A$5:$BP$257,MATCH(CU37,$BN$5:$BN$257,0),50)="Latão",('Densidade do AR'!$S$10*1000000),IF(INDEX($A$5:$BP$257,MATCH(CU37,$BN$5:$BN$257,0),50)="Alumínio",('Densidade do AR'!$S$4*1000000)))))))</f>
        <v>-</v>
      </c>
      <c r="CX37" s="785"/>
      <c r="CY37" s="785"/>
      <c r="CZ37" s="786"/>
      <c r="DA37" s="787" t="str">
        <f t="shared" si="12"/>
        <v>-</v>
      </c>
      <c r="DB37" s="788"/>
      <c r="DC37" s="788"/>
      <c r="DD37" s="789"/>
      <c r="DE37" s="787" t="str">
        <f t="shared" si="3"/>
        <v>-</v>
      </c>
      <c r="DF37" s="788"/>
      <c r="DG37" s="788"/>
      <c r="DH37" s="789"/>
      <c r="DI37" s="790" t="str">
        <f t="shared" si="13"/>
        <v>-</v>
      </c>
      <c r="DJ37" s="785"/>
      <c r="DK37" s="785"/>
      <c r="DL37" s="786"/>
      <c r="DM37" s="790" t="str">
        <f t="shared" si="4"/>
        <v>-</v>
      </c>
      <c r="DN37" s="785"/>
      <c r="DO37" s="785"/>
      <c r="DP37" s="786"/>
      <c r="DQ37" s="790" t="str">
        <f>IF(CU37="","-",INDEX($A$5:$BP$257,MATCH(CU37,$BN$5:$BN$257,0),39)*(IF(CU37="","-",(1+(((-('Densidade do AR'!$M$4))+('Densidade do AR'!$T$15*1000000))/(IF(INDEX($A$5:$BP$257,MATCH(CU37,$BN$5:$BN$257,0),50)="Aço Inoxidável",('Densidade do AR'!$S$8*1000000),IF(INDEX($A$5:$BP$257,MATCH(CU37,$BN$5:$BN$257,0),50)="Ferro Fundido",('Densidade do AR'!$S$12*1000000),IF(INDEX($A$5:$BP$257,MATCH(CU37,$BN$5:$BN$257,0),50)="Latão",('Densidade do AR'!$S$10*1000000),IF(INDEX($A$5:$BP$257,MATCH(CU37,$BN$5:$BN$257,0),50)="Alumínio",('Densidade do AR'!$S$4*1000000)))))))-(((-('Densidade do AR'!$M$4))+('Densidade do AR'!$T$15*1000000))/('Densidade do AR'!$S$14*1000000))))))</f>
        <v>-</v>
      </c>
      <c r="DR37" s="785"/>
      <c r="DS37" s="785"/>
      <c r="DT37" s="791"/>
      <c r="DU37" s="91" t="str">
        <f t="shared" si="14"/>
        <v>-</v>
      </c>
      <c r="DV37" s="746"/>
      <c r="DW37" s="747"/>
      <c r="DX37" s="784" t="str">
        <f>IF(DV37="","-",(IF(INDEX($A$5:$BP$257,MATCH(DV37,$BN$5:$BN$257,0),50)="Aço Inoxidável",('Densidade do AR'!$S$8*1000000),IF(INDEX($A$5:$BP$257,MATCH(DV37,$BN$5:$BN$257,0),50)="Ferro Fundido",('Densidade do AR'!$S$12*1000000),IF(INDEX($A$5:$BP$257,MATCH(DV37,$BN$5:$BN$257,0),50)="Latão",('Densidade do AR'!$S$10*1000000),IF(INDEX($A$5:$BP$257,MATCH(DV37,$BN$5:$BN$257,0),50)="Alumínio",('Densidade do AR'!$S$4*1000000)))))))</f>
        <v>-</v>
      </c>
      <c r="DY37" s="785"/>
      <c r="DZ37" s="785"/>
      <c r="EA37" s="786"/>
      <c r="EB37" s="787" t="str">
        <f t="shared" si="15"/>
        <v>-</v>
      </c>
      <c r="EC37" s="788"/>
      <c r="ED37" s="788"/>
      <c r="EE37" s="789"/>
      <c r="EF37" s="787" t="str">
        <f t="shared" si="5"/>
        <v>-</v>
      </c>
      <c r="EG37" s="788"/>
      <c r="EH37" s="788"/>
      <c r="EI37" s="789"/>
      <c r="EJ37" s="790" t="str">
        <f t="shared" si="16"/>
        <v>-</v>
      </c>
      <c r="EK37" s="785"/>
      <c r="EL37" s="785"/>
      <c r="EM37" s="786"/>
      <c r="EN37" s="790" t="str">
        <f t="shared" si="6"/>
        <v>-</v>
      </c>
      <c r="EO37" s="785"/>
      <c r="EP37" s="785"/>
      <c r="EQ37" s="786"/>
      <c r="ER37" s="790" t="str">
        <f>IF(DV37="","-",INDEX($A$5:$BP$257,MATCH(DV37,$BN$5:$BN$257,0),39)*(IF(DV37="","-",(1+(((-('Densidade do AR'!$M$4))+('Densidade do AR'!$T$15*1000000))/(IF(INDEX($A$5:$BP$257,MATCH(DV37,$BN$5:$BN$257,0),50)="Aço Inoxidável",('Densidade do AR'!$S$8*1000000),IF(INDEX($A$5:$BP$257,MATCH(DV37,$BN$5:$BN$257,0),50)="Ferro Fundido",('Densidade do AR'!$S$12*1000000),IF(INDEX($A$5:$BP$257,MATCH(DV37,$BN$5:$BN$257,0),50)="Latão",('Densidade do AR'!$S$10*1000000),IF(INDEX($A$5:$BP$257,MATCH(DV37,$BN$5:$BN$257,0),50)="Alumínio",('Densidade do AR'!$S$4*1000000)))))))-(((-('Densidade do AR'!$M$4))+('Densidade do AR'!$T$15*1000000))/('Densidade do AR'!$S$14*1000000))))))</f>
        <v>-</v>
      </c>
      <c r="ES37" s="785"/>
      <c r="ET37" s="785"/>
      <c r="EU37" s="791"/>
      <c r="EV37" s="91" t="str">
        <f t="shared" si="17"/>
        <v>-</v>
      </c>
      <c r="EW37" s="870"/>
      <c r="EX37" s="871"/>
      <c r="EY37" s="784" t="str">
        <f>IF(EW37="","-",(IF(INDEX($A$5:$BP$257,MATCH(EW37,$BN$5:$BN$257,0),50)="Aço Inoxidável",('Densidade do AR'!$S$8*1000000),IF(INDEX($A$5:$BP$257,MATCH(EW37,$BN$5:$BN$257,0),50)="Ferro Fundido",('Densidade do AR'!$S$12*1000000),IF(INDEX($A$5:$BP$257,MATCH(EW37,$BN$5:$BN$257,0),50)="Latão",('Densidade do AR'!$S$10*1000000),IF(INDEX($A$5:$BP$257,MATCH(EW37,$BN$5:$BN$257,0),50)="Alumínio",('Densidade do AR'!$S$4*1000000)))))))</f>
        <v>-</v>
      </c>
      <c r="EZ37" s="785"/>
      <c r="FA37" s="785"/>
      <c r="FB37" s="786"/>
      <c r="FC37" s="787" t="str">
        <f t="shared" si="18"/>
        <v>-</v>
      </c>
      <c r="FD37" s="788"/>
      <c r="FE37" s="788"/>
      <c r="FF37" s="789"/>
      <c r="FG37" s="787" t="str">
        <f t="shared" si="7"/>
        <v>-</v>
      </c>
      <c r="FH37" s="788"/>
      <c r="FI37" s="788"/>
      <c r="FJ37" s="789"/>
      <c r="FK37" s="790" t="str">
        <f t="shared" si="19"/>
        <v>-</v>
      </c>
      <c r="FL37" s="785"/>
      <c r="FM37" s="785"/>
      <c r="FN37" s="786"/>
      <c r="FO37" s="790" t="str">
        <f t="shared" si="8"/>
        <v>-</v>
      </c>
      <c r="FP37" s="785"/>
      <c r="FQ37" s="785"/>
      <c r="FR37" s="786"/>
      <c r="FS37" s="790" t="str">
        <f>IF(EW37="","-",INDEX($A$5:$BP$257,MATCH(EW37,$BN$5:$BN$257,0),39)*(IF(EW37="","-",(1+(((-('Densidade do AR'!$M$4))+('Densidade do AR'!$T$15*1000000))/(IF(INDEX($A$5:$BP$257,MATCH(EW37,$BN$5:$BN$257,0),50)="Aço Inoxidável",('Densidade do AR'!$S$8*1000000),IF(INDEX($A$5:$BP$257,MATCH(EW37,$BN$5:$BN$257,0),50)="Ferro Fundido",('Densidade do AR'!$S$12*1000000),IF(INDEX($A$5:$BP$257,MATCH(EW37,$BN$5:$BN$257,0),50)="Latão",('Densidade do AR'!$S$10*1000000),IF(INDEX($A$5:$BP$257,MATCH(EW37,$BN$5:$BN$257,0),50)="Alumínio",('Densidade do AR'!$S$4*1000000)))))))-(((-('Densidade do AR'!$M$4))+('Densidade do AR'!$T$15*1000000))/('Densidade do AR'!$S$14*1000000))))))</f>
        <v>-</v>
      </c>
      <c r="FT37" s="785"/>
      <c r="FU37" s="785"/>
      <c r="FV37" s="791"/>
      <c r="FW37" s="91" t="str">
        <f t="shared" si="20"/>
        <v>-</v>
      </c>
      <c r="FX37" s="135"/>
    </row>
    <row r="38" spans="1:180" x14ac:dyDescent="0.2">
      <c r="A38" s="1002">
        <v>34</v>
      </c>
      <c r="B38" s="904"/>
      <c r="C38" s="966">
        <v>20000</v>
      </c>
      <c r="D38" s="967"/>
      <c r="E38" s="967"/>
      <c r="F38" s="967"/>
      <c r="G38" s="968"/>
      <c r="H38" s="983" t="s">
        <v>316</v>
      </c>
      <c r="I38" s="903"/>
      <c r="J38" s="903"/>
      <c r="K38" s="904"/>
      <c r="L38" s="902" t="s">
        <v>112</v>
      </c>
      <c r="M38" s="903"/>
      <c r="N38" s="903"/>
      <c r="O38" s="904"/>
      <c r="P38" s="891" t="s">
        <v>308</v>
      </c>
      <c r="Q38" s="967"/>
      <c r="R38" s="967"/>
      <c r="S38" s="967"/>
      <c r="T38" s="968"/>
      <c r="U38" s="897" t="s">
        <v>349</v>
      </c>
      <c r="V38" s="722"/>
      <c r="W38" s="722"/>
      <c r="X38" s="722"/>
      <c r="Y38" s="722"/>
      <c r="Z38" s="722"/>
      <c r="AA38" s="723"/>
      <c r="AB38" s="853"/>
      <c r="AC38" s="854"/>
      <c r="AD38" s="854"/>
      <c r="AE38" s="854"/>
      <c r="AF38" s="854"/>
      <c r="AG38" s="854"/>
      <c r="AH38" s="854"/>
      <c r="AI38" s="854"/>
      <c r="AJ38" s="854"/>
      <c r="AK38" s="854"/>
      <c r="AL38" s="855"/>
      <c r="AM38" s="982">
        <v>20000300</v>
      </c>
      <c r="AN38" s="944"/>
      <c r="AO38" s="944"/>
      <c r="AP38" s="944"/>
      <c r="AQ38" s="944"/>
      <c r="AR38" s="944"/>
      <c r="AS38" s="945"/>
      <c r="AT38" s="982">
        <f t="shared" si="0"/>
        <v>300</v>
      </c>
      <c r="AU38" s="944"/>
      <c r="AV38" s="944"/>
      <c r="AW38" s="945"/>
      <c r="AX38" s="952" t="s">
        <v>13</v>
      </c>
      <c r="AY38" s="953"/>
      <c r="AZ38" s="953"/>
      <c r="BA38" s="953"/>
      <c r="BB38" s="953"/>
      <c r="BC38" s="954"/>
      <c r="BD38" s="946">
        <v>300</v>
      </c>
      <c r="BE38" s="947"/>
      <c r="BF38" s="947"/>
      <c r="BG38" s="948"/>
      <c r="BH38" s="982">
        <v>2.15</v>
      </c>
      <c r="BI38" s="944"/>
      <c r="BJ38" s="944"/>
      <c r="BK38" s="944"/>
      <c r="BL38" s="996"/>
      <c r="BN38" s="881">
        <v>34</v>
      </c>
      <c r="BO38" s="882"/>
      <c r="BP38" s="883"/>
      <c r="BT38" s="736"/>
      <c r="BU38" s="737"/>
      <c r="BV38" s="738" t="str">
        <f>IF(BT38="","-",(IF(INDEX($A$5:$BP$257,MATCH(BT38,$BN$5:$BN$257,0),50)="Aço Inoxidável",('Densidade do AR'!$S$8*1000000),IF(INDEX($A$5:$BP$257,MATCH(BT38,$BN$5:$BN$257,0),50)="Ferro Fundido",('Densidade do AR'!$S$12*1000000),IF(INDEX($A$5:$BP$257,MATCH(BT38,$BN$5:$BN$257,0),50)="Latão",('Densidade do AR'!$S$10*1000000),IF(INDEX($A$5:$BP$257,MATCH(BT38,$BN$5:$BN$257,0),50)="Alumínio",('Densidade do AR'!$S$4*1000000)))))))</f>
        <v>-</v>
      </c>
      <c r="BW38" s="739"/>
      <c r="BX38" s="739"/>
      <c r="BY38" s="740"/>
      <c r="BZ38" s="741" t="str">
        <f t="shared" si="9"/>
        <v>-</v>
      </c>
      <c r="CA38" s="742"/>
      <c r="CB38" s="742"/>
      <c r="CC38" s="743"/>
      <c r="CD38" s="741" t="str">
        <f t="shared" si="1"/>
        <v>-</v>
      </c>
      <c r="CE38" s="742"/>
      <c r="CF38" s="742"/>
      <c r="CG38" s="743"/>
      <c r="CH38" s="744" t="str">
        <f t="shared" si="10"/>
        <v>-</v>
      </c>
      <c r="CI38" s="739"/>
      <c r="CJ38" s="739"/>
      <c r="CK38" s="740"/>
      <c r="CL38" s="744" t="str">
        <f t="shared" si="2"/>
        <v>-</v>
      </c>
      <c r="CM38" s="739"/>
      <c r="CN38" s="739"/>
      <c r="CO38" s="740"/>
      <c r="CP38" s="744" t="str">
        <f>IF(BT38="","-",INDEX($A$5:$BP$257,MATCH(BT38,$BN$5:$BN$257,0),39)*(IF(BT38="","-",(1+(((-('Densidade do AR'!$M$4))+('Densidade do AR'!$T$15*1000000))/(IF(INDEX($A$5:$BP$257,MATCH(BT38,$BN$5:$BN$257,0),50)="Aço Inoxidável",('Densidade do AR'!$S$8*1000000),IF(INDEX($A$5:$BP$257,MATCH(BT38,$BN$5:$BN$257,0),50)="Ferro Fundido",('Densidade do AR'!$S$12*1000000),IF(INDEX($A$5:$BP$257,MATCH(BT38,$BN$5:$BN$257,0),50)="Latão",('Densidade do AR'!$S$10*1000000),IF(INDEX($A$5:$BP$257,MATCH(BT38,$BN$5:$BN$257,0),50)="Alumínio",('Densidade do AR'!$S$4*1000000)))))))-(((-('Densidade do AR'!$M$4))+('Densidade do AR'!$T$15*1000000))/('Densidade do AR'!$S$14*1000000))))))</f>
        <v>-</v>
      </c>
      <c r="CQ38" s="739"/>
      <c r="CR38" s="739"/>
      <c r="CS38" s="745"/>
      <c r="CT38" s="91" t="str">
        <f t="shared" si="11"/>
        <v>-</v>
      </c>
      <c r="CU38" s="736"/>
      <c r="CV38" s="737"/>
      <c r="CW38" s="738" t="str">
        <f>IF(CU38="","-",(IF(INDEX($A$5:$BP$257,MATCH(CU38,$BN$5:$BN$257,0),50)="Aço Inoxidável",('Densidade do AR'!$S$8*1000000),IF(INDEX($A$5:$BP$257,MATCH(CU38,$BN$5:$BN$257,0),50)="Ferro Fundido",('Densidade do AR'!$S$12*1000000),IF(INDEX($A$5:$BP$257,MATCH(CU38,$BN$5:$BN$257,0),50)="Latão",('Densidade do AR'!$S$10*1000000),IF(INDEX($A$5:$BP$257,MATCH(CU38,$BN$5:$BN$257,0),50)="Alumínio",('Densidade do AR'!$S$4*1000000)))))))</f>
        <v>-</v>
      </c>
      <c r="CX38" s="739"/>
      <c r="CY38" s="739"/>
      <c r="CZ38" s="740"/>
      <c r="DA38" s="741" t="str">
        <f t="shared" si="12"/>
        <v>-</v>
      </c>
      <c r="DB38" s="742"/>
      <c r="DC38" s="742"/>
      <c r="DD38" s="743"/>
      <c r="DE38" s="741" t="str">
        <f t="shared" si="3"/>
        <v>-</v>
      </c>
      <c r="DF38" s="742"/>
      <c r="DG38" s="742"/>
      <c r="DH38" s="743"/>
      <c r="DI38" s="744" t="str">
        <f t="shared" si="13"/>
        <v>-</v>
      </c>
      <c r="DJ38" s="739"/>
      <c r="DK38" s="739"/>
      <c r="DL38" s="740"/>
      <c r="DM38" s="744" t="str">
        <f t="shared" si="4"/>
        <v>-</v>
      </c>
      <c r="DN38" s="739"/>
      <c r="DO38" s="739"/>
      <c r="DP38" s="740"/>
      <c r="DQ38" s="744" t="str">
        <f>IF(CU38="","-",INDEX($A$5:$BP$257,MATCH(CU38,$BN$5:$BN$257,0),39)*(IF(CU38="","-",(1+(((-('Densidade do AR'!$M$4))+('Densidade do AR'!$T$15*1000000))/(IF(INDEX($A$5:$BP$257,MATCH(CU38,$BN$5:$BN$257,0),50)="Aço Inoxidável",('Densidade do AR'!$S$8*1000000),IF(INDEX($A$5:$BP$257,MATCH(CU38,$BN$5:$BN$257,0),50)="Ferro Fundido",('Densidade do AR'!$S$12*1000000),IF(INDEX($A$5:$BP$257,MATCH(CU38,$BN$5:$BN$257,0),50)="Latão",('Densidade do AR'!$S$10*1000000),IF(INDEX($A$5:$BP$257,MATCH(CU38,$BN$5:$BN$257,0),50)="Alumínio",('Densidade do AR'!$S$4*1000000)))))))-(((-('Densidade do AR'!$M$4))+('Densidade do AR'!$T$15*1000000))/('Densidade do AR'!$S$14*1000000))))))</f>
        <v>-</v>
      </c>
      <c r="DR38" s="739"/>
      <c r="DS38" s="739"/>
      <c r="DT38" s="745"/>
      <c r="DU38" s="91" t="str">
        <f t="shared" si="14"/>
        <v>-</v>
      </c>
      <c r="DV38" s="736"/>
      <c r="DW38" s="737"/>
      <c r="DX38" s="738" t="str">
        <f>IF(DV38="","-",(IF(INDEX($A$5:$BP$257,MATCH(DV38,$BN$5:$BN$257,0),50)="Aço Inoxidável",('Densidade do AR'!$S$8*1000000),IF(INDEX($A$5:$BP$257,MATCH(DV38,$BN$5:$BN$257,0),50)="Ferro Fundido",('Densidade do AR'!$S$12*1000000),IF(INDEX($A$5:$BP$257,MATCH(DV38,$BN$5:$BN$257,0),50)="Latão",('Densidade do AR'!$S$10*1000000),IF(INDEX($A$5:$BP$257,MATCH(DV38,$BN$5:$BN$257,0),50)="Alumínio",('Densidade do AR'!$S$4*1000000)))))))</f>
        <v>-</v>
      </c>
      <c r="DY38" s="739"/>
      <c r="DZ38" s="739"/>
      <c r="EA38" s="740"/>
      <c r="EB38" s="741" t="str">
        <f t="shared" si="15"/>
        <v>-</v>
      </c>
      <c r="EC38" s="742"/>
      <c r="ED38" s="742"/>
      <c r="EE38" s="743"/>
      <c r="EF38" s="741" t="str">
        <f t="shared" si="5"/>
        <v>-</v>
      </c>
      <c r="EG38" s="742"/>
      <c r="EH38" s="742"/>
      <c r="EI38" s="743"/>
      <c r="EJ38" s="744" t="str">
        <f t="shared" si="16"/>
        <v>-</v>
      </c>
      <c r="EK38" s="739"/>
      <c r="EL38" s="739"/>
      <c r="EM38" s="740"/>
      <c r="EN38" s="744" t="str">
        <f t="shared" si="6"/>
        <v>-</v>
      </c>
      <c r="EO38" s="739"/>
      <c r="EP38" s="739"/>
      <c r="EQ38" s="740"/>
      <c r="ER38" s="744" t="str">
        <f>IF(DV38="","-",INDEX($A$5:$BP$257,MATCH(DV38,$BN$5:$BN$257,0),39)*(IF(DV38="","-",(1+(((-('Densidade do AR'!$M$4))+('Densidade do AR'!$T$15*1000000))/(IF(INDEX($A$5:$BP$257,MATCH(DV38,$BN$5:$BN$257,0),50)="Aço Inoxidável",('Densidade do AR'!$S$8*1000000),IF(INDEX($A$5:$BP$257,MATCH(DV38,$BN$5:$BN$257,0),50)="Ferro Fundido",('Densidade do AR'!$S$12*1000000),IF(INDEX($A$5:$BP$257,MATCH(DV38,$BN$5:$BN$257,0),50)="Latão",('Densidade do AR'!$S$10*1000000),IF(INDEX($A$5:$BP$257,MATCH(DV38,$BN$5:$BN$257,0),50)="Alumínio",('Densidade do AR'!$S$4*1000000)))))))-(((-('Densidade do AR'!$M$4))+('Densidade do AR'!$T$15*1000000))/('Densidade do AR'!$S$14*1000000))))))</f>
        <v>-</v>
      </c>
      <c r="ES38" s="739"/>
      <c r="ET38" s="739"/>
      <c r="EU38" s="745"/>
      <c r="EV38" s="91" t="str">
        <f t="shared" si="17"/>
        <v>-</v>
      </c>
      <c r="EW38" s="736"/>
      <c r="EX38" s="737"/>
      <c r="EY38" s="738" t="str">
        <f>IF(EW38="","-",(IF(INDEX($A$5:$BP$257,MATCH(EW38,$BN$5:$BN$257,0),50)="Aço Inoxidável",('Densidade do AR'!$S$8*1000000),IF(INDEX($A$5:$BP$257,MATCH(EW38,$BN$5:$BN$257,0),50)="Ferro Fundido",('Densidade do AR'!$S$12*1000000),IF(INDEX($A$5:$BP$257,MATCH(EW38,$BN$5:$BN$257,0),50)="Latão",('Densidade do AR'!$S$10*1000000),IF(INDEX($A$5:$BP$257,MATCH(EW38,$BN$5:$BN$257,0),50)="Alumínio",('Densidade do AR'!$S$4*1000000)))))))</f>
        <v>-</v>
      </c>
      <c r="EZ38" s="739"/>
      <c r="FA38" s="739"/>
      <c r="FB38" s="740"/>
      <c r="FC38" s="741" t="str">
        <f t="shared" si="18"/>
        <v>-</v>
      </c>
      <c r="FD38" s="742"/>
      <c r="FE38" s="742"/>
      <c r="FF38" s="743"/>
      <c r="FG38" s="741" t="str">
        <f t="shared" si="7"/>
        <v>-</v>
      </c>
      <c r="FH38" s="742"/>
      <c r="FI38" s="742"/>
      <c r="FJ38" s="743"/>
      <c r="FK38" s="744" t="str">
        <f t="shared" si="19"/>
        <v>-</v>
      </c>
      <c r="FL38" s="739"/>
      <c r="FM38" s="739"/>
      <c r="FN38" s="740"/>
      <c r="FO38" s="744" t="str">
        <f t="shared" si="8"/>
        <v>-</v>
      </c>
      <c r="FP38" s="739"/>
      <c r="FQ38" s="739"/>
      <c r="FR38" s="740"/>
      <c r="FS38" s="744" t="str">
        <f>IF(EW38="","-",INDEX($A$5:$BP$257,MATCH(EW38,$BN$5:$BN$257,0),39)*(IF(EW38="","-",(1+(((-('Densidade do AR'!$M$4))+('Densidade do AR'!$T$15*1000000))/(IF(INDEX($A$5:$BP$257,MATCH(EW38,$BN$5:$BN$257,0),50)="Aço Inoxidável",('Densidade do AR'!$S$8*1000000),IF(INDEX($A$5:$BP$257,MATCH(EW38,$BN$5:$BN$257,0),50)="Ferro Fundido",('Densidade do AR'!$S$12*1000000),IF(INDEX($A$5:$BP$257,MATCH(EW38,$BN$5:$BN$257,0),50)="Latão",('Densidade do AR'!$S$10*1000000),IF(INDEX($A$5:$BP$257,MATCH(EW38,$BN$5:$BN$257,0),50)="Alumínio",('Densidade do AR'!$S$4*1000000)))))))-(((-('Densidade do AR'!$M$4))+('Densidade do AR'!$T$15*1000000))/('Densidade do AR'!$S$14*1000000))))))</f>
        <v>-</v>
      </c>
      <c r="FT38" s="739"/>
      <c r="FU38" s="739"/>
      <c r="FV38" s="745"/>
      <c r="FW38" s="91" t="str">
        <f t="shared" si="20"/>
        <v>-</v>
      </c>
      <c r="FX38" s="135"/>
    </row>
    <row r="39" spans="1:180" x14ac:dyDescent="0.2">
      <c r="A39" s="1001">
        <v>35</v>
      </c>
      <c r="B39" s="907"/>
      <c r="C39" s="957">
        <v>20000</v>
      </c>
      <c r="D39" s="955"/>
      <c r="E39" s="955"/>
      <c r="F39" s="955"/>
      <c r="G39" s="956"/>
      <c r="H39" s="984">
        <v>1</v>
      </c>
      <c r="I39" s="906"/>
      <c r="J39" s="906"/>
      <c r="K39" s="907"/>
      <c r="L39" s="905" t="s">
        <v>112</v>
      </c>
      <c r="M39" s="906"/>
      <c r="N39" s="906"/>
      <c r="O39" s="907"/>
      <c r="P39" s="894">
        <v>1</v>
      </c>
      <c r="Q39" s="955"/>
      <c r="R39" s="955"/>
      <c r="S39" s="955"/>
      <c r="T39" s="956"/>
      <c r="U39" s="898" t="s">
        <v>305</v>
      </c>
      <c r="V39" s="715"/>
      <c r="W39" s="715"/>
      <c r="X39" s="715"/>
      <c r="Y39" s="715"/>
      <c r="Z39" s="715"/>
      <c r="AA39" s="716"/>
      <c r="AB39" s="850"/>
      <c r="AC39" s="851"/>
      <c r="AD39" s="851"/>
      <c r="AE39" s="851"/>
      <c r="AF39" s="851"/>
      <c r="AG39" s="851"/>
      <c r="AH39" s="851"/>
      <c r="AI39" s="851"/>
      <c r="AJ39" s="851"/>
      <c r="AK39" s="851"/>
      <c r="AL39" s="852"/>
      <c r="AM39" s="985">
        <v>20000000</v>
      </c>
      <c r="AN39" s="986"/>
      <c r="AO39" s="986"/>
      <c r="AP39" s="986"/>
      <c r="AQ39" s="986"/>
      <c r="AR39" s="986"/>
      <c r="AS39" s="987"/>
      <c r="AT39" s="988">
        <f>AM39-C39*1000</f>
        <v>0</v>
      </c>
      <c r="AU39" s="989"/>
      <c r="AV39" s="989"/>
      <c r="AW39" s="990"/>
      <c r="AX39" s="949" t="s">
        <v>13</v>
      </c>
      <c r="AY39" s="950"/>
      <c r="AZ39" s="950"/>
      <c r="BA39" s="950"/>
      <c r="BB39" s="950"/>
      <c r="BC39" s="951"/>
      <c r="BD39" s="998">
        <v>200</v>
      </c>
      <c r="BE39" s="999"/>
      <c r="BF39" s="999"/>
      <c r="BG39" s="1000"/>
      <c r="BH39" s="985">
        <v>2</v>
      </c>
      <c r="BI39" s="986"/>
      <c r="BJ39" s="986"/>
      <c r="BK39" s="986"/>
      <c r="BL39" s="997"/>
      <c r="BN39" s="878">
        <v>35</v>
      </c>
      <c r="BO39" s="879"/>
      <c r="BP39" s="880"/>
      <c r="BT39" s="746"/>
      <c r="BU39" s="747"/>
      <c r="BV39" s="784" t="str">
        <f>IF(BT39="","-",(IF(INDEX($A$5:$BP$257,MATCH(BT39,$BN$5:$BN$257,0),50)="Aço Inoxidável",('Densidade do AR'!$S$8*1000000),IF(INDEX($A$5:$BP$257,MATCH(BT39,$BN$5:$BN$257,0),50)="Ferro Fundido",('Densidade do AR'!$S$12*1000000),IF(INDEX($A$5:$BP$257,MATCH(BT39,$BN$5:$BN$257,0),50)="Latão",('Densidade do AR'!$S$10*1000000),IF(INDEX($A$5:$BP$257,MATCH(BT39,$BN$5:$BN$257,0),50)="Alumínio",('Densidade do AR'!$S$4*1000000)))))))</f>
        <v>-</v>
      </c>
      <c r="BW39" s="785"/>
      <c r="BX39" s="785"/>
      <c r="BY39" s="786"/>
      <c r="BZ39" s="787" t="str">
        <f t="shared" si="9"/>
        <v>-</v>
      </c>
      <c r="CA39" s="788"/>
      <c r="CB39" s="788"/>
      <c r="CC39" s="789"/>
      <c r="CD39" s="787" t="str">
        <f t="shared" si="1"/>
        <v>-</v>
      </c>
      <c r="CE39" s="788"/>
      <c r="CF39" s="788"/>
      <c r="CG39" s="789"/>
      <c r="CH39" s="790" t="str">
        <f t="shared" si="10"/>
        <v>-</v>
      </c>
      <c r="CI39" s="785"/>
      <c r="CJ39" s="785"/>
      <c r="CK39" s="786"/>
      <c r="CL39" s="790" t="str">
        <f t="shared" si="2"/>
        <v>-</v>
      </c>
      <c r="CM39" s="785"/>
      <c r="CN39" s="785"/>
      <c r="CO39" s="786"/>
      <c r="CP39" s="790" t="str">
        <f>IF(BT39="","-",INDEX($A$5:$BP$257,MATCH(BT39,$BN$5:$BN$257,0),39)*(IF(BT39="","-",(1+(((-('Densidade do AR'!$M$4))+('Densidade do AR'!$T$15*1000000))/(IF(INDEX($A$5:$BP$257,MATCH(BT39,$BN$5:$BN$257,0),50)="Aço Inoxidável",('Densidade do AR'!$S$8*1000000),IF(INDEX($A$5:$BP$257,MATCH(BT39,$BN$5:$BN$257,0),50)="Ferro Fundido",('Densidade do AR'!$S$12*1000000),IF(INDEX($A$5:$BP$257,MATCH(BT39,$BN$5:$BN$257,0),50)="Latão",('Densidade do AR'!$S$10*1000000),IF(INDEX($A$5:$BP$257,MATCH(BT39,$BN$5:$BN$257,0),50)="Alumínio",('Densidade do AR'!$S$4*1000000)))))))-(((-('Densidade do AR'!$M$4))+('Densidade do AR'!$T$15*1000000))/('Densidade do AR'!$S$14*1000000))))))</f>
        <v>-</v>
      </c>
      <c r="CQ39" s="785"/>
      <c r="CR39" s="785"/>
      <c r="CS39" s="791"/>
      <c r="CT39" s="91" t="str">
        <f t="shared" si="11"/>
        <v>-</v>
      </c>
      <c r="CU39" s="746"/>
      <c r="CV39" s="747"/>
      <c r="CW39" s="784" t="str">
        <f>IF(CU39="","-",(IF(INDEX($A$5:$BP$257,MATCH(CU39,$BN$5:$BN$257,0),50)="Aço Inoxidável",('Densidade do AR'!$S$8*1000000),IF(INDEX($A$5:$BP$257,MATCH(CU39,$BN$5:$BN$257,0),50)="Ferro Fundido",('Densidade do AR'!$S$12*1000000),IF(INDEX($A$5:$BP$257,MATCH(CU39,$BN$5:$BN$257,0),50)="Latão",('Densidade do AR'!$S$10*1000000),IF(INDEX($A$5:$BP$257,MATCH(CU39,$BN$5:$BN$257,0),50)="Alumínio",('Densidade do AR'!$S$4*1000000)))))))</f>
        <v>-</v>
      </c>
      <c r="CX39" s="785"/>
      <c r="CY39" s="785"/>
      <c r="CZ39" s="786"/>
      <c r="DA39" s="787" t="str">
        <f t="shared" si="12"/>
        <v>-</v>
      </c>
      <c r="DB39" s="788"/>
      <c r="DC39" s="788"/>
      <c r="DD39" s="789"/>
      <c r="DE39" s="787" t="str">
        <f t="shared" si="3"/>
        <v>-</v>
      </c>
      <c r="DF39" s="788"/>
      <c r="DG39" s="788"/>
      <c r="DH39" s="789"/>
      <c r="DI39" s="790" t="str">
        <f t="shared" si="13"/>
        <v>-</v>
      </c>
      <c r="DJ39" s="785"/>
      <c r="DK39" s="785"/>
      <c r="DL39" s="786"/>
      <c r="DM39" s="790" t="str">
        <f t="shared" si="4"/>
        <v>-</v>
      </c>
      <c r="DN39" s="785"/>
      <c r="DO39" s="785"/>
      <c r="DP39" s="786"/>
      <c r="DQ39" s="790" t="str">
        <f>IF(CU39="","-",INDEX($A$5:$BP$257,MATCH(CU39,$BN$5:$BN$257,0),39)*(IF(CU39="","-",(1+(((-('Densidade do AR'!$M$4))+('Densidade do AR'!$T$15*1000000))/(IF(INDEX($A$5:$BP$257,MATCH(CU39,$BN$5:$BN$257,0),50)="Aço Inoxidável",('Densidade do AR'!$S$8*1000000),IF(INDEX($A$5:$BP$257,MATCH(CU39,$BN$5:$BN$257,0),50)="Ferro Fundido",('Densidade do AR'!$S$12*1000000),IF(INDEX($A$5:$BP$257,MATCH(CU39,$BN$5:$BN$257,0),50)="Latão",('Densidade do AR'!$S$10*1000000),IF(INDEX($A$5:$BP$257,MATCH(CU39,$BN$5:$BN$257,0),50)="Alumínio",('Densidade do AR'!$S$4*1000000)))))))-(((-('Densidade do AR'!$M$4))+('Densidade do AR'!$T$15*1000000))/('Densidade do AR'!$S$14*1000000))))))</f>
        <v>-</v>
      </c>
      <c r="DR39" s="785"/>
      <c r="DS39" s="785"/>
      <c r="DT39" s="791"/>
      <c r="DU39" s="91" t="str">
        <f t="shared" si="14"/>
        <v>-</v>
      </c>
      <c r="DV39" s="746"/>
      <c r="DW39" s="747"/>
      <c r="DX39" s="784" t="str">
        <f>IF(DV39="","-",(IF(INDEX($A$5:$BP$257,MATCH(DV39,$BN$5:$BN$257,0),50)="Aço Inoxidável",('Densidade do AR'!$S$8*1000000),IF(INDEX($A$5:$BP$257,MATCH(DV39,$BN$5:$BN$257,0),50)="Ferro Fundido",('Densidade do AR'!$S$12*1000000),IF(INDEX($A$5:$BP$257,MATCH(DV39,$BN$5:$BN$257,0),50)="Latão",('Densidade do AR'!$S$10*1000000),IF(INDEX($A$5:$BP$257,MATCH(DV39,$BN$5:$BN$257,0),50)="Alumínio",('Densidade do AR'!$S$4*1000000)))))))</f>
        <v>-</v>
      </c>
      <c r="DY39" s="785"/>
      <c r="DZ39" s="785"/>
      <c r="EA39" s="786"/>
      <c r="EB39" s="787" t="str">
        <f t="shared" si="15"/>
        <v>-</v>
      </c>
      <c r="EC39" s="788"/>
      <c r="ED39" s="788"/>
      <c r="EE39" s="789"/>
      <c r="EF39" s="787" t="str">
        <f t="shared" si="5"/>
        <v>-</v>
      </c>
      <c r="EG39" s="788"/>
      <c r="EH39" s="788"/>
      <c r="EI39" s="789"/>
      <c r="EJ39" s="790" t="str">
        <f t="shared" si="16"/>
        <v>-</v>
      </c>
      <c r="EK39" s="785"/>
      <c r="EL39" s="785"/>
      <c r="EM39" s="786"/>
      <c r="EN39" s="790" t="str">
        <f t="shared" si="6"/>
        <v>-</v>
      </c>
      <c r="EO39" s="785"/>
      <c r="EP39" s="785"/>
      <c r="EQ39" s="786"/>
      <c r="ER39" s="790" t="str">
        <f>IF(DV39="","-",INDEX($A$5:$BP$257,MATCH(DV39,$BN$5:$BN$257,0),39)*(IF(DV39="","-",(1+(((-('Densidade do AR'!$M$4))+('Densidade do AR'!$T$15*1000000))/(IF(INDEX($A$5:$BP$257,MATCH(DV39,$BN$5:$BN$257,0),50)="Aço Inoxidável",('Densidade do AR'!$S$8*1000000),IF(INDEX($A$5:$BP$257,MATCH(DV39,$BN$5:$BN$257,0),50)="Ferro Fundido",('Densidade do AR'!$S$12*1000000),IF(INDEX($A$5:$BP$257,MATCH(DV39,$BN$5:$BN$257,0),50)="Latão",('Densidade do AR'!$S$10*1000000),IF(INDEX($A$5:$BP$257,MATCH(DV39,$BN$5:$BN$257,0),50)="Alumínio",('Densidade do AR'!$S$4*1000000)))))))-(((-('Densidade do AR'!$M$4))+('Densidade do AR'!$T$15*1000000))/('Densidade do AR'!$S$14*1000000))))))</f>
        <v>-</v>
      </c>
      <c r="ES39" s="785"/>
      <c r="ET39" s="785"/>
      <c r="EU39" s="791"/>
      <c r="EV39" s="91" t="str">
        <f t="shared" si="17"/>
        <v>-</v>
      </c>
      <c r="EW39" s="746"/>
      <c r="EX39" s="747"/>
      <c r="EY39" s="784" t="str">
        <f>IF(EW39="","-",(IF(INDEX($A$5:$BP$257,MATCH(EW39,$BN$5:$BN$257,0),50)="Aço Inoxidável",('Densidade do AR'!$S$8*1000000),IF(INDEX($A$5:$BP$257,MATCH(EW39,$BN$5:$BN$257,0),50)="Ferro Fundido",('Densidade do AR'!$S$12*1000000),IF(INDEX($A$5:$BP$257,MATCH(EW39,$BN$5:$BN$257,0),50)="Latão",('Densidade do AR'!$S$10*1000000),IF(INDEX($A$5:$BP$257,MATCH(EW39,$BN$5:$BN$257,0),50)="Alumínio",('Densidade do AR'!$S$4*1000000)))))))</f>
        <v>-</v>
      </c>
      <c r="EZ39" s="785"/>
      <c r="FA39" s="785"/>
      <c r="FB39" s="786"/>
      <c r="FC39" s="787" t="str">
        <f t="shared" si="18"/>
        <v>-</v>
      </c>
      <c r="FD39" s="788"/>
      <c r="FE39" s="788"/>
      <c r="FF39" s="789"/>
      <c r="FG39" s="787" t="str">
        <f t="shared" si="7"/>
        <v>-</v>
      </c>
      <c r="FH39" s="788"/>
      <c r="FI39" s="788"/>
      <c r="FJ39" s="789"/>
      <c r="FK39" s="790" t="str">
        <f t="shared" si="19"/>
        <v>-</v>
      </c>
      <c r="FL39" s="785"/>
      <c r="FM39" s="785"/>
      <c r="FN39" s="786"/>
      <c r="FO39" s="790" t="str">
        <f t="shared" si="8"/>
        <v>-</v>
      </c>
      <c r="FP39" s="785"/>
      <c r="FQ39" s="785"/>
      <c r="FR39" s="786"/>
      <c r="FS39" s="790" t="str">
        <f>IF(EW39="","-",INDEX($A$5:$BP$257,MATCH(EW39,$BN$5:$BN$257,0),39)*(IF(EW39="","-",(1+(((-('Densidade do AR'!$M$4))+('Densidade do AR'!$T$15*1000000))/(IF(INDEX($A$5:$BP$257,MATCH(EW39,$BN$5:$BN$257,0),50)="Aço Inoxidável",('Densidade do AR'!$S$8*1000000),IF(INDEX($A$5:$BP$257,MATCH(EW39,$BN$5:$BN$257,0),50)="Ferro Fundido",('Densidade do AR'!$S$12*1000000),IF(INDEX($A$5:$BP$257,MATCH(EW39,$BN$5:$BN$257,0),50)="Latão",('Densidade do AR'!$S$10*1000000),IF(INDEX($A$5:$BP$257,MATCH(EW39,$BN$5:$BN$257,0),50)="Alumínio",('Densidade do AR'!$S$4*1000000)))))))-(((-('Densidade do AR'!$M$4))+('Densidade do AR'!$T$15*1000000))/('Densidade do AR'!$S$14*1000000))))))</f>
        <v>-</v>
      </c>
      <c r="FT39" s="785"/>
      <c r="FU39" s="785"/>
      <c r="FV39" s="791"/>
      <c r="FW39" s="91" t="str">
        <f t="shared" si="20"/>
        <v>-</v>
      </c>
      <c r="FX39" s="135"/>
    </row>
    <row r="40" spans="1:180" x14ac:dyDescent="0.2">
      <c r="A40" s="718">
        <v>36</v>
      </c>
      <c r="B40" s="713"/>
      <c r="C40" s="719">
        <v>20000</v>
      </c>
      <c r="D40" s="709"/>
      <c r="E40" s="709"/>
      <c r="F40" s="709"/>
      <c r="G40" s="710"/>
      <c r="H40" s="940">
        <v>2</v>
      </c>
      <c r="I40" s="1027"/>
      <c r="J40" s="1027"/>
      <c r="K40" s="1028"/>
      <c r="L40" s="719" t="s">
        <v>112</v>
      </c>
      <c r="M40" s="709"/>
      <c r="N40" s="709"/>
      <c r="O40" s="709"/>
      <c r="P40" s="1068">
        <v>2</v>
      </c>
      <c r="Q40" s="1069"/>
      <c r="R40" s="1069"/>
      <c r="S40" s="1069"/>
      <c r="T40" s="1070"/>
      <c r="U40" s="897" t="s">
        <v>305</v>
      </c>
      <c r="V40" s="722"/>
      <c r="W40" s="722"/>
      <c r="X40" s="722"/>
      <c r="Y40" s="722"/>
      <c r="Z40" s="722"/>
      <c r="AA40" s="723"/>
      <c r="AB40" s="853"/>
      <c r="AC40" s="854"/>
      <c r="AD40" s="854"/>
      <c r="AE40" s="854"/>
      <c r="AF40" s="854"/>
      <c r="AG40" s="854"/>
      <c r="AH40" s="854"/>
      <c r="AI40" s="854"/>
      <c r="AJ40" s="854"/>
      <c r="AK40" s="854"/>
      <c r="AL40" s="855"/>
      <c r="AM40" s="909">
        <v>20000000</v>
      </c>
      <c r="AN40" s="712"/>
      <c r="AO40" s="712"/>
      <c r="AP40" s="712"/>
      <c r="AQ40" s="712"/>
      <c r="AR40" s="712"/>
      <c r="AS40" s="713"/>
      <c r="AT40" s="909">
        <f t="shared" ref="AT40:AT83" si="21">AM40-C40*1000</f>
        <v>0</v>
      </c>
      <c r="AU40" s="712"/>
      <c r="AV40" s="712"/>
      <c r="AW40" s="713"/>
      <c r="AX40" s="744" t="s">
        <v>13</v>
      </c>
      <c r="AY40" s="712"/>
      <c r="AZ40" s="712"/>
      <c r="BA40" s="712"/>
      <c r="BB40" s="712"/>
      <c r="BC40" s="713"/>
      <c r="BD40" s="909">
        <v>150</v>
      </c>
      <c r="BE40" s="712"/>
      <c r="BF40" s="712"/>
      <c r="BG40" s="713"/>
      <c r="BH40" s="909">
        <v>2.37</v>
      </c>
      <c r="BI40" s="994"/>
      <c r="BJ40" s="994"/>
      <c r="BK40" s="994"/>
      <c r="BL40" s="995"/>
      <c r="BN40" s="881">
        <v>36</v>
      </c>
      <c r="BO40" s="882"/>
      <c r="BP40" s="883"/>
      <c r="BT40" s="736"/>
      <c r="BU40" s="737"/>
      <c r="BV40" s="738" t="str">
        <f>IF(BT40="","-",(IF(INDEX($A$5:$BP$257,MATCH(BT40,$BN$5:$BN$257,0),50)="Aço Inoxidável",('Densidade do AR'!$S$8*1000000),IF(INDEX($A$5:$BP$257,MATCH(BT40,$BN$5:$BN$257,0),50)="Ferro Fundido",('Densidade do AR'!$S$12*1000000),IF(INDEX($A$5:$BP$257,MATCH(BT40,$BN$5:$BN$257,0),50)="Latão",('Densidade do AR'!$S$10*1000000),IF(INDEX($A$5:$BP$257,MATCH(BT40,$BN$5:$BN$257,0),50)="Alumínio",('Densidade do AR'!$S$4*1000000)))))))</f>
        <v>-</v>
      </c>
      <c r="BW40" s="739"/>
      <c r="BX40" s="739"/>
      <c r="BY40" s="740"/>
      <c r="BZ40" s="741" t="str">
        <f t="shared" si="9"/>
        <v>-</v>
      </c>
      <c r="CA40" s="742"/>
      <c r="CB40" s="742"/>
      <c r="CC40" s="743"/>
      <c r="CD40" s="741" t="str">
        <f t="shared" si="1"/>
        <v>-</v>
      </c>
      <c r="CE40" s="742"/>
      <c r="CF40" s="742"/>
      <c r="CG40" s="743"/>
      <c r="CH40" s="744" t="str">
        <f t="shared" si="10"/>
        <v>-</v>
      </c>
      <c r="CI40" s="739"/>
      <c r="CJ40" s="739"/>
      <c r="CK40" s="740"/>
      <c r="CL40" s="744" t="str">
        <f t="shared" si="2"/>
        <v>-</v>
      </c>
      <c r="CM40" s="739"/>
      <c r="CN40" s="739"/>
      <c r="CO40" s="740"/>
      <c r="CP40" s="744" t="str">
        <f>IF(BT40="","-",INDEX($A$5:$BP$257,MATCH(BT40,$BN$5:$BN$257,0),39)*(IF(BT40="","-",(1+(((-('Densidade do AR'!$M$4))+('Densidade do AR'!$T$15*1000000))/(IF(INDEX($A$5:$BP$257,MATCH(BT40,$BN$5:$BN$257,0),50)="Aço Inoxidável",('Densidade do AR'!$S$8*1000000),IF(INDEX($A$5:$BP$257,MATCH(BT40,$BN$5:$BN$257,0),50)="Ferro Fundido",('Densidade do AR'!$S$12*1000000),IF(INDEX($A$5:$BP$257,MATCH(BT40,$BN$5:$BN$257,0),50)="Latão",('Densidade do AR'!$S$10*1000000),IF(INDEX($A$5:$BP$257,MATCH(BT40,$BN$5:$BN$257,0),50)="Alumínio",('Densidade do AR'!$S$4*1000000)))))))-(((-('Densidade do AR'!$M$4))+('Densidade do AR'!$T$15*1000000))/('Densidade do AR'!$S$14*1000000))))))</f>
        <v>-</v>
      </c>
      <c r="CQ40" s="739"/>
      <c r="CR40" s="739"/>
      <c r="CS40" s="745"/>
      <c r="CT40" s="91" t="str">
        <f t="shared" si="11"/>
        <v>-</v>
      </c>
      <c r="CU40" s="736"/>
      <c r="CV40" s="737"/>
      <c r="CW40" s="738" t="str">
        <f>IF(CU40="","-",(IF(INDEX($A$5:$BP$257,MATCH(CU40,$BN$5:$BN$257,0),50)="Aço Inoxidável",('Densidade do AR'!$S$8*1000000),IF(INDEX($A$5:$BP$257,MATCH(CU40,$BN$5:$BN$257,0),50)="Ferro Fundido",('Densidade do AR'!$S$12*1000000),IF(INDEX($A$5:$BP$257,MATCH(CU40,$BN$5:$BN$257,0),50)="Latão",('Densidade do AR'!$S$10*1000000),IF(INDEX($A$5:$BP$257,MATCH(CU40,$BN$5:$BN$257,0),50)="Alumínio",('Densidade do AR'!$S$4*1000000)))))))</f>
        <v>-</v>
      </c>
      <c r="CX40" s="739"/>
      <c r="CY40" s="739"/>
      <c r="CZ40" s="740"/>
      <c r="DA40" s="741" t="str">
        <f t="shared" si="12"/>
        <v>-</v>
      </c>
      <c r="DB40" s="742"/>
      <c r="DC40" s="742"/>
      <c r="DD40" s="743"/>
      <c r="DE40" s="741" t="str">
        <f t="shared" si="3"/>
        <v>-</v>
      </c>
      <c r="DF40" s="742"/>
      <c r="DG40" s="742"/>
      <c r="DH40" s="743"/>
      <c r="DI40" s="744" t="str">
        <f t="shared" si="13"/>
        <v>-</v>
      </c>
      <c r="DJ40" s="739"/>
      <c r="DK40" s="739"/>
      <c r="DL40" s="740"/>
      <c r="DM40" s="744" t="str">
        <f t="shared" si="4"/>
        <v>-</v>
      </c>
      <c r="DN40" s="739"/>
      <c r="DO40" s="739"/>
      <c r="DP40" s="740"/>
      <c r="DQ40" s="744" t="str">
        <f>IF(CU40="","-",INDEX($A$5:$BP$257,MATCH(CU40,$BN$5:$BN$257,0),39)*(IF(CU40="","-",(1+(((-('Densidade do AR'!$M$4))+('Densidade do AR'!$T$15*1000000))/(IF(INDEX($A$5:$BP$257,MATCH(CU40,$BN$5:$BN$257,0),50)="Aço Inoxidável",('Densidade do AR'!$S$8*1000000),IF(INDEX($A$5:$BP$257,MATCH(CU40,$BN$5:$BN$257,0),50)="Ferro Fundido",('Densidade do AR'!$S$12*1000000),IF(INDEX($A$5:$BP$257,MATCH(CU40,$BN$5:$BN$257,0),50)="Latão",('Densidade do AR'!$S$10*1000000),IF(INDEX($A$5:$BP$257,MATCH(CU40,$BN$5:$BN$257,0),50)="Alumínio",('Densidade do AR'!$S$4*1000000)))))))-(((-('Densidade do AR'!$M$4))+('Densidade do AR'!$T$15*1000000))/('Densidade do AR'!$S$14*1000000))))))</f>
        <v>-</v>
      </c>
      <c r="DR40" s="739"/>
      <c r="DS40" s="739"/>
      <c r="DT40" s="745"/>
      <c r="DU40" s="91" t="str">
        <f t="shared" si="14"/>
        <v>-</v>
      </c>
      <c r="DV40" s="736"/>
      <c r="DW40" s="737"/>
      <c r="DX40" s="738" t="str">
        <f>IF(DV40="","-",(IF(INDEX($A$5:$BP$257,MATCH(DV40,$BN$5:$BN$257,0),50)="Aço Inoxidável",('Densidade do AR'!$S$8*1000000),IF(INDEX($A$5:$BP$257,MATCH(DV40,$BN$5:$BN$257,0),50)="Ferro Fundido",('Densidade do AR'!$S$12*1000000),IF(INDEX($A$5:$BP$257,MATCH(DV40,$BN$5:$BN$257,0),50)="Latão",('Densidade do AR'!$S$10*1000000),IF(INDEX($A$5:$BP$257,MATCH(DV40,$BN$5:$BN$257,0),50)="Alumínio",('Densidade do AR'!$S$4*1000000)))))))</f>
        <v>-</v>
      </c>
      <c r="DY40" s="739"/>
      <c r="DZ40" s="739"/>
      <c r="EA40" s="740"/>
      <c r="EB40" s="741" t="str">
        <f t="shared" si="15"/>
        <v>-</v>
      </c>
      <c r="EC40" s="742"/>
      <c r="ED40" s="742"/>
      <c r="EE40" s="743"/>
      <c r="EF40" s="741" t="str">
        <f t="shared" si="5"/>
        <v>-</v>
      </c>
      <c r="EG40" s="742"/>
      <c r="EH40" s="742"/>
      <c r="EI40" s="743"/>
      <c r="EJ40" s="744" t="str">
        <f t="shared" si="16"/>
        <v>-</v>
      </c>
      <c r="EK40" s="739"/>
      <c r="EL40" s="739"/>
      <c r="EM40" s="740"/>
      <c r="EN40" s="744" t="str">
        <f t="shared" si="6"/>
        <v>-</v>
      </c>
      <c r="EO40" s="739"/>
      <c r="EP40" s="739"/>
      <c r="EQ40" s="740"/>
      <c r="ER40" s="744" t="str">
        <f>IF(DV40="","-",INDEX($A$5:$BP$257,MATCH(DV40,$BN$5:$BN$257,0),39)*(IF(DV40="","-",(1+(((-('Densidade do AR'!$M$4))+('Densidade do AR'!$T$15*1000000))/(IF(INDEX($A$5:$BP$257,MATCH(DV40,$BN$5:$BN$257,0),50)="Aço Inoxidável",('Densidade do AR'!$S$8*1000000),IF(INDEX($A$5:$BP$257,MATCH(DV40,$BN$5:$BN$257,0),50)="Ferro Fundido",('Densidade do AR'!$S$12*1000000),IF(INDEX($A$5:$BP$257,MATCH(DV40,$BN$5:$BN$257,0),50)="Latão",('Densidade do AR'!$S$10*1000000),IF(INDEX($A$5:$BP$257,MATCH(DV40,$BN$5:$BN$257,0),50)="Alumínio",('Densidade do AR'!$S$4*1000000)))))))-(((-('Densidade do AR'!$M$4))+('Densidade do AR'!$T$15*1000000))/('Densidade do AR'!$S$14*1000000))))))</f>
        <v>-</v>
      </c>
      <c r="ES40" s="739"/>
      <c r="ET40" s="739"/>
      <c r="EU40" s="745"/>
      <c r="EV40" s="91" t="str">
        <f t="shared" si="17"/>
        <v>-</v>
      </c>
      <c r="EW40" s="736"/>
      <c r="EX40" s="737"/>
      <c r="EY40" s="738" t="str">
        <f>IF(EW40="","-",(IF(INDEX($A$5:$BP$257,MATCH(EW40,$BN$5:$BN$257,0),50)="Aço Inoxidável",('Densidade do AR'!$S$8*1000000),IF(INDEX($A$5:$BP$257,MATCH(EW40,$BN$5:$BN$257,0),50)="Ferro Fundido",('Densidade do AR'!$S$12*1000000),IF(INDEX($A$5:$BP$257,MATCH(EW40,$BN$5:$BN$257,0),50)="Latão",('Densidade do AR'!$S$10*1000000),IF(INDEX($A$5:$BP$257,MATCH(EW40,$BN$5:$BN$257,0),50)="Alumínio",('Densidade do AR'!$S$4*1000000)))))))</f>
        <v>-</v>
      </c>
      <c r="EZ40" s="739"/>
      <c r="FA40" s="739"/>
      <c r="FB40" s="740"/>
      <c r="FC40" s="741" t="str">
        <f t="shared" si="18"/>
        <v>-</v>
      </c>
      <c r="FD40" s="742"/>
      <c r="FE40" s="742"/>
      <c r="FF40" s="743"/>
      <c r="FG40" s="741" t="str">
        <f t="shared" si="7"/>
        <v>-</v>
      </c>
      <c r="FH40" s="742"/>
      <c r="FI40" s="742"/>
      <c r="FJ40" s="743"/>
      <c r="FK40" s="744" t="str">
        <f t="shared" si="19"/>
        <v>-</v>
      </c>
      <c r="FL40" s="739"/>
      <c r="FM40" s="739"/>
      <c r="FN40" s="740"/>
      <c r="FO40" s="744" t="str">
        <f t="shared" si="8"/>
        <v>-</v>
      </c>
      <c r="FP40" s="739"/>
      <c r="FQ40" s="739"/>
      <c r="FR40" s="740"/>
      <c r="FS40" s="744" t="str">
        <f>IF(EW40="","-",INDEX($A$5:$BP$257,MATCH(EW40,$BN$5:$BN$257,0),39)*(IF(EW40="","-",(1+(((-('Densidade do AR'!$M$4))+('Densidade do AR'!$T$15*1000000))/(IF(INDEX($A$5:$BP$257,MATCH(EW40,$BN$5:$BN$257,0),50)="Aço Inoxidável",('Densidade do AR'!$S$8*1000000),IF(INDEX($A$5:$BP$257,MATCH(EW40,$BN$5:$BN$257,0),50)="Ferro Fundido",('Densidade do AR'!$S$12*1000000),IF(INDEX($A$5:$BP$257,MATCH(EW40,$BN$5:$BN$257,0),50)="Latão",('Densidade do AR'!$S$10*1000000),IF(INDEX($A$5:$BP$257,MATCH(EW40,$BN$5:$BN$257,0),50)="Alumínio",('Densidade do AR'!$S$4*1000000)))))))-(((-('Densidade do AR'!$M$4))+('Densidade do AR'!$T$15*1000000))/('Densidade do AR'!$S$14*1000000))))))</f>
        <v>-</v>
      </c>
      <c r="FT40" s="739"/>
      <c r="FU40" s="739"/>
      <c r="FV40" s="745"/>
      <c r="FW40" s="91" t="str">
        <f t="shared" si="20"/>
        <v>-</v>
      </c>
      <c r="FX40" s="135"/>
    </row>
    <row r="41" spans="1:180" x14ac:dyDescent="0.2">
      <c r="A41" s="717">
        <v>37</v>
      </c>
      <c r="B41" s="713"/>
      <c r="C41" s="957">
        <v>20000</v>
      </c>
      <c r="D41" s="955"/>
      <c r="E41" s="955"/>
      <c r="F41" s="955"/>
      <c r="G41" s="956"/>
      <c r="H41" s="933">
        <v>3</v>
      </c>
      <c r="I41" s="1027"/>
      <c r="J41" s="1027"/>
      <c r="K41" s="1028"/>
      <c r="L41" s="708" t="s">
        <v>112</v>
      </c>
      <c r="M41" s="709"/>
      <c r="N41" s="709"/>
      <c r="O41" s="709"/>
      <c r="P41" s="936">
        <v>3</v>
      </c>
      <c r="Q41" s="958"/>
      <c r="R41" s="958"/>
      <c r="S41" s="958"/>
      <c r="T41" s="959"/>
      <c r="U41" s="898" t="s">
        <v>305</v>
      </c>
      <c r="V41" s="715"/>
      <c r="W41" s="715"/>
      <c r="X41" s="715"/>
      <c r="Y41" s="715"/>
      <c r="Z41" s="715"/>
      <c r="AA41" s="716"/>
      <c r="AB41" s="850"/>
      <c r="AC41" s="851"/>
      <c r="AD41" s="851"/>
      <c r="AE41" s="851"/>
      <c r="AF41" s="851"/>
      <c r="AG41" s="851"/>
      <c r="AH41" s="851"/>
      <c r="AI41" s="851"/>
      <c r="AJ41" s="851"/>
      <c r="AK41" s="851"/>
      <c r="AL41" s="852"/>
      <c r="AM41" s="917">
        <v>20000000</v>
      </c>
      <c r="AN41" s="712"/>
      <c r="AO41" s="712"/>
      <c r="AP41" s="712"/>
      <c r="AQ41" s="712"/>
      <c r="AR41" s="712"/>
      <c r="AS41" s="713"/>
      <c r="AT41" s="917">
        <f t="shared" si="21"/>
        <v>0</v>
      </c>
      <c r="AU41" s="712"/>
      <c r="AV41" s="712"/>
      <c r="AW41" s="713"/>
      <c r="AX41" s="917" t="s">
        <v>13</v>
      </c>
      <c r="AY41" s="712"/>
      <c r="AZ41" s="712"/>
      <c r="BA41" s="712"/>
      <c r="BB41" s="712"/>
      <c r="BC41" s="713"/>
      <c r="BD41" s="917">
        <v>300</v>
      </c>
      <c r="BE41" s="712"/>
      <c r="BF41" s="712"/>
      <c r="BG41" s="713"/>
      <c r="BH41" s="917">
        <v>2</v>
      </c>
      <c r="BI41" s="994"/>
      <c r="BJ41" s="994"/>
      <c r="BK41" s="994"/>
      <c r="BL41" s="995"/>
      <c r="BN41" s="881">
        <v>37</v>
      </c>
      <c r="BO41" s="882"/>
      <c r="BP41" s="883"/>
      <c r="BT41" s="746"/>
      <c r="BU41" s="747"/>
      <c r="BV41" s="784" t="str">
        <f>IF(BT41="","-",(IF(INDEX($A$5:$BP$257,MATCH(BT41,$BN$5:$BN$257,0),50)="Aço Inoxidável",('Densidade do AR'!$S$8*1000000),IF(INDEX($A$5:$BP$257,MATCH(BT41,$BN$5:$BN$257,0),50)="Ferro Fundido",('Densidade do AR'!$S$12*1000000),IF(INDEX($A$5:$BP$257,MATCH(BT41,$BN$5:$BN$257,0),50)="Latão",('Densidade do AR'!$S$10*1000000),IF(INDEX($A$5:$BP$257,MATCH(BT41,$BN$5:$BN$257,0),50)="Alumínio",('Densidade do AR'!$S$4*1000000)))))))</f>
        <v>-</v>
      </c>
      <c r="BW41" s="785"/>
      <c r="BX41" s="785"/>
      <c r="BY41" s="786"/>
      <c r="BZ41" s="787" t="str">
        <f t="shared" si="9"/>
        <v>-</v>
      </c>
      <c r="CA41" s="788"/>
      <c r="CB41" s="788"/>
      <c r="CC41" s="789"/>
      <c r="CD41" s="787" t="str">
        <f t="shared" si="1"/>
        <v>-</v>
      </c>
      <c r="CE41" s="788"/>
      <c r="CF41" s="788"/>
      <c r="CG41" s="789"/>
      <c r="CH41" s="790" t="str">
        <f t="shared" si="10"/>
        <v>-</v>
      </c>
      <c r="CI41" s="785"/>
      <c r="CJ41" s="785"/>
      <c r="CK41" s="786"/>
      <c r="CL41" s="790" t="str">
        <f t="shared" si="2"/>
        <v>-</v>
      </c>
      <c r="CM41" s="785"/>
      <c r="CN41" s="785"/>
      <c r="CO41" s="786"/>
      <c r="CP41" s="790" t="str">
        <f>IF(BT41="","-",INDEX($A$5:$BP$257,MATCH(BT41,$BN$5:$BN$257,0),39)*(IF(BT41="","-",(1+(((-('Densidade do AR'!$M$4))+('Densidade do AR'!$T$15*1000000))/(IF(INDEX($A$5:$BP$257,MATCH(BT41,$BN$5:$BN$257,0),50)="Aço Inoxidável",('Densidade do AR'!$S$8*1000000),IF(INDEX($A$5:$BP$257,MATCH(BT41,$BN$5:$BN$257,0),50)="Ferro Fundido",('Densidade do AR'!$S$12*1000000),IF(INDEX($A$5:$BP$257,MATCH(BT41,$BN$5:$BN$257,0),50)="Latão",('Densidade do AR'!$S$10*1000000),IF(INDEX($A$5:$BP$257,MATCH(BT41,$BN$5:$BN$257,0),50)="Alumínio",('Densidade do AR'!$S$4*1000000)))))))-(((-('Densidade do AR'!$M$4))+('Densidade do AR'!$T$15*1000000))/('Densidade do AR'!$S$14*1000000))))))</f>
        <v>-</v>
      </c>
      <c r="CQ41" s="785"/>
      <c r="CR41" s="785"/>
      <c r="CS41" s="791"/>
      <c r="CT41" s="91" t="str">
        <f t="shared" si="11"/>
        <v>-</v>
      </c>
      <c r="CU41" s="746"/>
      <c r="CV41" s="747"/>
      <c r="CW41" s="784" t="str">
        <f>IF(CU41="","-",(IF(INDEX($A$5:$BP$257,MATCH(CU41,$BN$5:$BN$257,0),50)="Aço Inoxidável",('Densidade do AR'!$S$8*1000000),IF(INDEX($A$5:$BP$257,MATCH(CU41,$BN$5:$BN$257,0),50)="Ferro Fundido",('Densidade do AR'!$S$12*1000000),IF(INDEX($A$5:$BP$257,MATCH(CU41,$BN$5:$BN$257,0),50)="Latão",('Densidade do AR'!$S$10*1000000),IF(INDEX($A$5:$BP$257,MATCH(CU41,$BN$5:$BN$257,0),50)="Alumínio",('Densidade do AR'!$S$4*1000000)))))))</f>
        <v>-</v>
      </c>
      <c r="CX41" s="785"/>
      <c r="CY41" s="785"/>
      <c r="CZ41" s="786"/>
      <c r="DA41" s="787" t="str">
        <f t="shared" si="12"/>
        <v>-</v>
      </c>
      <c r="DB41" s="788"/>
      <c r="DC41" s="788"/>
      <c r="DD41" s="789"/>
      <c r="DE41" s="787" t="str">
        <f t="shared" si="3"/>
        <v>-</v>
      </c>
      <c r="DF41" s="788"/>
      <c r="DG41" s="788"/>
      <c r="DH41" s="789"/>
      <c r="DI41" s="790" t="str">
        <f t="shared" si="13"/>
        <v>-</v>
      </c>
      <c r="DJ41" s="785"/>
      <c r="DK41" s="785"/>
      <c r="DL41" s="786"/>
      <c r="DM41" s="790" t="str">
        <f t="shared" si="4"/>
        <v>-</v>
      </c>
      <c r="DN41" s="785"/>
      <c r="DO41" s="785"/>
      <c r="DP41" s="786"/>
      <c r="DQ41" s="790" t="str">
        <f>IF(CU41="","-",INDEX($A$5:$BP$257,MATCH(CU41,$BN$5:$BN$257,0),39)*(IF(CU41="","-",(1+(((-('Densidade do AR'!$M$4))+('Densidade do AR'!$T$15*1000000))/(IF(INDEX($A$5:$BP$257,MATCH(CU41,$BN$5:$BN$257,0),50)="Aço Inoxidável",('Densidade do AR'!$S$8*1000000),IF(INDEX($A$5:$BP$257,MATCH(CU41,$BN$5:$BN$257,0),50)="Ferro Fundido",('Densidade do AR'!$S$12*1000000),IF(INDEX($A$5:$BP$257,MATCH(CU41,$BN$5:$BN$257,0),50)="Latão",('Densidade do AR'!$S$10*1000000),IF(INDEX($A$5:$BP$257,MATCH(CU41,$BN$5:$BN$257,0),50)="Alumínio",('Densidade do AR'!$S$4*1000000)))))))-(((-('Densidade do AR'!$M$4))+('Densidade do AR'!$T$15*1000000))/('Densidade do AR'!$S$14*1000000))))))</f>
        <v>-</v>
      </c>
      <c r="DR41" s="785"/>
      <c r="DS41" s="785"/>
      <c r="DT41" s="791"/>
      <c r="DU41" s="91" t="str">
        <f t="shared" si="14"/>
        <v>-</v>
      </c>
      <c r="DV41" s="746"/>
      <c r="DW41" s="747"/>
      <c r="DX41" s="784" t="str">
        <f>IF(DV41="","-",(IF(INDEX($A$5:$BP$257,MATCH(DV41,$BN$5:$BN$257,0),50)="Aço Inoxidável",('Densidade do AR'!$S$8*1000000),IF(INDEX($A$5:$BP$257,MATCH(DV41,$BN$5:$BN$257,0),50)="Ferro Fundido",('Densidade do AR'!$S$12*1000000),IF(INDEX($A$5:$BP$257,MATCH(DV41,$BN$5:$BN$257,0),50)="Latão",('Densidade do AR'!$S$10*1000000),IF(INDEX($A$5:$BP$257,MATCH(DV41,$BN$5:$BN$257,0),50)="Alumínio",('Densidade do AR'!$S$4*1000000)))))))</f>
        <v>-</v>
      </c>
      <c r="DY41" s="785"/>
      <c r="DZ41" s="785"/>
      <c r="EA41" s="786"/>
      <c r="EB41" s="787" t="str">
        <f t="shared" si="15"/>
        <v>-</v>
      </c>
      <c r="EC41" s="788"/>
      <c r="ED41" s="788"/>
      <c r="EE41" s="789"/>
      <c r="EF41" s="787" t="str">
        <f t="shared" si="5"/>
        <v>-</v>
      </c>
      <c r="EG41" s="788"/>
      <c r="EH41" s="788"/>
      <c r="EI41" s="789"/>
      <c r="EJ41" s="790" t="str">
        <f t="shared" si="16"/>
        <v>-</v>
      </c>
      <c r="EK41" s="785"/>
      <c r="EL41" s="785"/>
      <c r="EM41" s="786"/>
      <c r="EN41" s="790" t="str">
        <f t="shared" si="6"/>
        <v>-</v>
      </c>
      <c r="EO41" s="785"/>
      <c r="EP41" s="785"/>
      <c r="EQ41" s="786"/>
      <c r="ER41" s="790" t="str">
        <f>IF(DV41="","-",INDEX($A$5:$BP$257,MATCH(DV41,$BN$5:$BN$257,0),39)*(IF(DV41="","-",(1+(((-('Densidade do AR'!$M$4))+('Densidade do AR'!$T$15*1000000))/(IF(INDEX($A$5:$BP$257,MATCH(DV41,$BN$5:$BN$257,0),50)="Aço Inoxidável",('Densidade do AR'!$S$8*1000000),IF(INDEX($A$5:$BP$257,MATCH(DV41,$BN$5:$BN$257,0),50)="Ferro Fundido",('Densidade do AR'!$S$12*1000000),IF(INDEX($A$5:$BP$257,MATCH(DV41,$BN$5:$BN$257,0),50)="Latão",('Densidade do AR'!$S$10*1000000),IF(INDEX($A$5:$BP$257,MATCH(DV41,$BN$5:$BN$257,0),50)="Alumínio",('Densidade do AR'!$S$4*1000000)))))))-(((-('Densidade do AR'!$M$4))+('Densidade do AR'!$T$15*1000000))/('Densidade do AR'!$S$14*1000000))))))</f>
        <v>-</v>
      </c>
      <c r="ES41" s="785"/>
      <c r="ET41" s="785"/>
      <c r="EU41" s="791"/>
      <c r="EV41" s="91" t="str">
        <f t="shared" si="17"/>
        <v>-</v>
      </c>
      <c r="EW41" s="746"/>
      <c r="EX41" s="747"/>
      <c r="EY41" s="784" t="str">
        <f>IF(EW41="","-",(IF(INDEX($A$5:$BP$257,MATCH(EW41,$BN$5:$BN$257,0),50)="Aço Inoxidável",('Densidade do AR'!$S$8*1000000),IF(INDEX($A$5:$BP$257,MATCH(EW41,$BN$5:$BN$257,0),50)="Ferro Fundido",('Densidade do AR'!$S$12*1000000),IF(INDEX($A$5:$BP$257,MATCH(EW41,$BN$5:$BN$257,0),50)="Latão",('Densidade do AR'!$S$10*1000000),IF(INDEX($A$5:$BP$257,MATCH(EW41,$BN$5:$BN$257,0),50)="Alumínio",('Densidade do AR'!$S$4*1000000)))))))</f>
        <v>-</v>
      </c>
      <c r="EZ41" s="785"/>
      <c r="FA41" s="785"/>
      <c r="FB41" s="786"/>
      <c r="FC41" s="787" t="str">
        <f t="shared" si="18"/>
        <v>-</v>
      </c>
      <c r="FD41" s="788"/>
      <c r="FE41" s="788"/>
      <c r="FF41" s="789"/>
      <c r="FG41" s="787" t="str">
        <f t="shared" si="7"/>
        <v>-</v>
      </c>
      <c r="FH41" s="788"/>
      <c r="FI41" s="788"/>
      <c r="FJ41" s="789"/>
      <c r="FK41" s="790" t="str">
        <f t="shared" si="19"/>
        <v>-</v>
      </c>
      <c r="FL41" s="785"/>
      <c r="FM41" s="785"/>
      <c r="FN41" s="786"/>
      <c r="FO41" s="790" t="str">
        <f t="shared" si="8"/>
        <v>-</v>
      </c>
      <c r="FP41" s="785"/>
      <c r="FQ41" s="785"/>
      <c r="FR41" s="786"/>
      <c r="FS41" s="790" t="str">
        <f>IF(EW41="","-",INDEX($A$5:$BP$257,MATCH(EW41,$BN$5:$BN$257,0),39)*(IF(EW41="","-",(1+(((-('Densidade do AR'!$M$4))+('Densidade do AR'!$T$15*1000000))/(IF(INDEX($A$5:$BP$257,MATCH(EW41,$BN$5:$BN$257,0),50)="Aço Inoxidável",('Densidade do AR'!$S$8*1000000),IF(INDEX($A$5:$BP$257,MATCH(EW41,$BN$5:$BN$257,0),50)="Ferro Fundido",('Densidade do AR'!$S$12*1000000),IF(INDEX($A$5:$BP$257,MATCH(EW41,$BN$5:$BN$257,0),50)="Latão",('Densidade do AR'!$S$10*1000000),IF(INDEX($A$5:$BP$257,MATCH(EW41,$BN$5:$BN$257,0),50)="Alumínio",('Densidade do AR'!$S$4*1000000)))))))-(((-('Densidade do AR'!$M$4))+('Densidade do AR'!$T$15*1000000))/('Densidade do AR'!$S$14*1000000))))))</f>
        <v>-</v>
      </c>
      <c r="FT41" s="785"/>
      <c r="FU41" s="785"/>
      <c r="FV41" s="791"/>
      <c r="FW41" s="91" t="str">
        <f t="shared" si="20"/>
        <v>-</v>
      </c>
      <c r="FX41" s="135"/>
    </row>
    <row r="42" spans="1:180" x14ac:dyDescent="0.2">
      <c r="A42" s="718">
        <v>38</v>
      </c>
      <c r="B42" s="713"/>
      <c r="C42" s="719">
        <v>20000</v>
      </c>
      <c r="D42" s="709"/>
      <c r="E42" s="709"/>
      <c r="F42" s="709"/>
      <c r="G42" s="710"/>
      <c r="H42" s="940">
        <v>4</v>
      </c>
      <c r="I42" s="1027"/>
      <c r="J42" s="1027"/>
      <c r="K42" s="1028"/>
      <c r="L42" s="719" t="s">
        <v>112</v>
      </c>
      <c r="M42" s="709"/>
      <c r="N42" s="709"/>
      <c r="O42" s="709"/>
      <c r="P42" s="938">
        <v>4</v>
      </c>
      <c r="Q42" s="960"/>
      <c r="R42" s="960"/>
      <c r="S42" s="960"/>
      <c r="T42" s="961"/>
      <c r="U42" s="897" t="s">
        <v>305</v>
      </c>
      <c r="V42" s="722"/>
      <c r="W42" s="722"/>
      <c r="X42" s="722"/>
      <c r="Y42" s="722"/>
      <c r="Z42" s="722"/>
      <c r="AA42" s="723"/>
      <c r="AB42" s="853"/>
      <c r="AC42" s="854"/>
      <c r="AD42" s="854"/>
      <c r="AE42" s="854"/>
      <c r="AF42" s="854"/>
      <c r="AG42" s="854"/>
      <c r="AH42" s="854"/>
      <c r="AI42" s="854"/>
      <c r="AJ42" s="854"/>
      <c r="AK42" s="854"/>
      <c r="AL42" s="855"/>
      <c r="AM42" s="909">
        <v>20000000</v>
      </c>
      <c r="AN42" s="712"/>
      <c r="AO42" s="712"/>
      <c r="AP42" s="712"/>
      <c r="AQ42" s="712"/>
      <c r="AR42" s="712"/>
      <c r="AS42" s="713"/>
      <c r="AT42" s="909">
        <f t="shared" si="21"/>
        <v>0</v>
      </c>
      <c r="AU42" s="712"/>
      <c r="AV42" s="712"/>
      <c r="AW42" s="713"/>
      <c r="AX42" s="908" t="s">
        <v>13</v>
      </c>
      <c r="AY42" s="712"/>
      <c r="AZ42" s="712"/>
      <c r="BA42" s="712"/>
      <c r="BB42" s="712"/>
      <c r="BC42" s="713"/>
      <c r="BD42" s="909">
        <v>300</v>
      </c>
      <c r="BE42" s="712"/>
      <c r="BF42" s="712"/>
      <c r="BG42" s="713"/>
      <c r="BH42" s="909">
        <v>2</v>
      </c>
      <c r="BI42" s="994"/>
      <c r="BJ42" s="994"/>
      <c r="BK42" s="994"/>
      <c r="BL42" s="995"/>
      <c r="BN42" s="878">
        <v>38</v>
      </c>
      <c r="BO42" s="879"/>
      <c r="BP42" s="880"/>
      <c r="BT42" s="736"/>
      <c r="BU42" s="737"/>
      <c r="BV42" s="738" t="str">
        <f>IF(BT42="","-",(IF(INDEX($A$5:$BP$257,MATCH(BT42,$BN$5:$BN$257,0),50)="Aço Inoxidável",('Densidade do AR'!$S$8*1000000),IF(INDEX($A$5:$BP$257,MATCH(BT42,$BN$5:$BN$257,0),50)="Ferro Fundido",('Densidade do AR'!$S$12*1000000),IF(INDEX($A$5:$BP$257,MATCH(BT42,$BN$5:$BN$257,0),50)="Latão",('Densidade do AR'!$S$10*1000000),IF(INDEX($A$5:$BP$257,MATCH(BT42,$BN$5:$BN$257,0),50)="Alumínio",('Densidade do AR'!$S$4*1000000)))))))</f>
        <v>-</v>
      </c>
      <c r="BW42" s="739"/>
      <c r="BX42" s="739"/>
      <c r="BY42" s="740"/>
      <c r="BZ42" s="741" t="str">
        <f t="shared" si="9"/>
        <v>-</v>
      </c>
      <c r="CA42" s="742"/>
      <c r="CB42" s="742"/>
      <c r="CC42" s="743"/>
      <c r="CD42" s="741" t="str">
        <f t="shared" si="1"/>
        <v>-</v>
      </c>
      <c r="CE42" s="742"/>
      <c r="CF42" s="742"/>
      <c r="CG42" s="743"/>
      <c r="CH42" s="744" t="str">
        <f t="shared" si="10"/>
        <v>-</v>
      </c>
      <c r="CI42" s="739"/>
      <c r="CJ42" s="739"/>
      <c r="CK42" s="740"/>
      <c r="CL42" s="744" t="str">
        <f t="shared" si="2"/>
        <v>-</v>
      </c>
      <c r="CM42" s="739"/>
      <c r="CN42" s="739"/>
      <c r="CO42" s="740"/>
      <c r="CP42" s="744" t="str">
        <f>IF(BT42="","-",INDEX($A$5:$BP$257,MATCH(BT42,$BN$5:$BN$257,0),39)*(IF(BT42="","-",(1+(((-('Densidade do AR'!$M$4))+('Densidade do AR'!$T$15*1000000))/(IF(INDEX($A$5:$BP$257,MATCH(BT42,$BN$5:$BN$257,0),50)="Aço Inoxidável",('Densidade do AR'!$S$8*1000000),IF(INDEX($A$5:$BP$257,MATCH(BT42,$BN$5:$BN$257,0),50)="Ferro Fundido",('Densidade do AR'!$S$12*1000000),IF(INDEX($A$5:$BP$257,MATCH(BT42,$BN$5:$BN$257,0),50)="Latão",('Densidade do AR'!$S$10*1000000),IF(INDEX($A$5:$BP$257,MATCH(BT42,$BN$5:$BN$257,0),50)="Alumínio",('Densidade do AR'!$S$4*1000000)))))))-(((-('Densidade do AR'!$M$4))+('Densidade do AR'!$T$15*1000000))/('Densidade do AR'!$S$14*1000000))))))</f>
        <v>-</v>
      </c>
      <c r="CQ42" s="739"/>
      <c r="CR42" s="739"/>
      <c r="CS42" s="745"/>
      <c r="CT42" s="91" t="str">
        <f t="shared" si="11"/>
        <v>-</v>
      </c>
      <c r="CU42" s="736"/>
      <c r="CV42" s="737"/>
      <c r="CW42" s="738" t="str">
        <f>IF(CU42="","-",(IF(INDEX($A$5:$BP$257,MATCH(CU42,$BN$5:$BN$257,0),50)="Aço Inoxidável",('Densidade do AR'!$S$8*1000000),IF(INDEX($A$5:$BP$257,MATCH(CU42,$BN$5:$BN$257,0),50)="Ferro Fundido",('Densidade do AR'!$S$12*1000000),IF(INDEX($A$5:$BP$257,MATCH(CU42,$BN$5:$BN$257,0),50)="Latão",('Densidade do AR'!$S$10*1000000),IF(INDEX($A$5:$BP$257,MATCH(CU42,$BN$5:$BN$257,0),50)="Alumínio",('Densidade do AR'!$S$4*1000000)))))))</f>
        <v>-</v>
      </c>
      <c r="CX42" s="739"/>
      <c r="CY42" s="739"/>
      <c r="CZ42" s="740"/>
      <c r="DA42" s="741" t="str">
        <f t="shared" si="12"/>
        <v>-</v>
      </c>
      <c r="DB42" s="742"/>
      <c r="DC42" s="742"/>
      <c r="DD42" s="743"/>
      <c r="DE42" s="741" t="str">
        <f t="shared" si="3"/>
        <v>-</v>
      </c>
      <c r="DF42" s="742"/>
      <c r="DG42" s="742"/>
      <c r="DH42" s="743"/>
      <c r="DI42" s="744" t="str">
        <f t="shared" si="13"/>
        <v>-</v>
      </c>
      <c r="DJ42" s="739"/>
      <c r="DK42" s="739"/>
      <c r="DL42" s="740"/>
      <c r="DM42" s="744" t="str">
        <f t="shared" si="4"/>
        <v>-</v>
      </c>
      <c r="DN42" s="739"/>
      <c r="DO42" s="739"/>
      <c r="DP42" s="740"/>
      <c r="DQ42" s="744" t="str">
        <f>IF(CU42="","-",INDEX($A$5:$BP$257,MATCH(CU42,$BN$5:$BN$257,0),39)*(IF(CU42="","-",(1+(((-('Densidade do AR'!$M$4))+('Densidade do AR'!$T$15*1000000))/(IF(INDEX($A$5:$BP$257,MATCH(CU42,$BN$5:$BN$257,0),50)="Aço Inoxidável",('Densidade do AR'!$S$8*1000000),IF(INDEX($A$5:$BP$257,MATCH(CU42,$BN$5:$BN$257,0),50)="Ferro Fundido",('Densidade do AR'!$S$12*1000000),IF(INDEX($A$5:$BP$257,MATCH(CU42,$BN$5:$BN$257,0),50)="Latão",('Densidade do AR'!$S$10*1000000),IF(INDEX($A$5:$BP$257,MATCH(CU42,$BN$5:$BN$257,0),50)="Alumínio",('Densidade do AR'!$S$4*1000000)))))))-(((-('Densidade do AR'!$M$4))+('Densidade do AR'!$T$15*1000000))/('Densidade do AR'!$S$14*1000000))))))</f>
        <v>-</v>
      </c>
      <c r="DR42" s="739"/>
      <c r="DS42" s="739"/>
      <c r="DT42" s="745"/>
      <c r="DU42" s="91" t="str">
        <f t="shared" si="14"/>
        <v>-</v>
      </c>
      <c r="DV42" s="736"/>
      <c r="DW42" s="737"/>
      <c r="DX42" s="738" t="str">
        <f>IF(DV42="","-",(IF(INDEX($A$5:$BP$257,MATCH(DV42,$BN$5:$BN$257,0),50)="Aço Inoxidável",('Densidade do AR'!$S$8*1000000),IF(INDEX($A$5:$BP$257,MATCH(DV42,$BN$5:$BN$257,0),50)="Ferro Fundido",('Densidade do AR'!$S$12*1000000),IF(INDEX($A$5:$BP$257,MATCH(DV42,$BN$5:$BN$257,0),50)="Latão",('Densidade do AR'!$S$10*1000000),IF(INDEX($A$5:$BP$257,MATCH(DV42,$BN$5:$BN$257,0),50)="Alumínio",('Densidade do AR'!$S$4*1000000)))))))</f>
        <v>-</v>
      </c>
      <c r="DY42" s="739"/>
      <c r="DZ42" s="739"/>
      <c r="EA42" s="740"/>
      <c r="EB42" s="741" t="str">
        <f t="shared" si="15"/>
        <v>-</v>
      </c>
      <c r="EC42" s="742"/>
      <c r="ED42" s="742"/>
      <c r="EE42" s="743"/>
      <c r="EF42" s="741" t="str">
        <f t="shared" si="5"/>
        <v>-</v>
      </c>
      <c r="EG42" s="742"/>
      <c r="EH42" s="742"/>
      <c r="EI42" s="743"/>
      <c r="EJ42" s="744" t="str">
        <f t="shared" si="16"/>
        <v>-</v>
      </c>
      <c r="EK42" s="739"/>
      <c r="EL42" s="739"/>
      <c r="EM42" s="740"/>
      <c r="EN42" s="744" t="str">
        <f t="shared" si="6"/>
        <v>-</v>
      </c>
      <c r="EO42" s="739"/>
      <c r="EP42" s="739"/>
      <c r="EQ42" s="740"/>
      <c r="ER42" s="744" t="str">
        <f>IF(DV42="","-",INDEX($A$5:$BP$257,MATCH(DV42,$BN$5:$BN$257,0),39)*(IF(DV42="","-",(1+(((-('Densidade do AR'!$M$4))+('Densidade do AR'!$T$15*1000000))/(IF(INDEX($A$5:$BP$257,MATCH(DV42,$BN$5:$BN$257,0),50)="Aço Inoxidável",('Densidade do AR'!$S$8*1000000),IF(INDEX($A$5:$BP$257,MATCH(DV42,$BN$5:$BN$257,0),50)="Ferro Fundido",('Densidade do AR'!$S$12*1000000),IF(INDEX($A$5:$BP$257,MATCH(DV42,$BN$5:$BN$257,0),50)="Latão",('Densidade do AR'!$S$10*1000000),IF(INDEX($A$5:$BP$257,MATCH(DV42,$BN$5:$BN$257,0),50)="Alumínio",('Densidade do AR'!$S$4*1000000)))))))-(((-('Densidade do AR'!$M$4))+('Densidade do AR'!$T$15*1000000))/('Densidade do AR'!$S$14*1000000))))))</f>
        <v>-</v>
      </c>
      <c r="ES42" s="739"/>
      <c r="ET42" s="739"/>
      <c r="EU42" s="745"/>
      <c r="EV42" s="91" t="str">
        <f t="shared" si="17"/>
        <v>-</v>
      </c>
      <c r="EW42" s="736"/>
      <c r="EX42" s="737"/>
      <c r="EY42" s="738" t="str">
        <f>IF(EW42="","-",(IF(INDEX($A$5:$BP$257,MATCH(EW42,$BN$5:$BN$257,0),50)="Aço Inoxidável",('Densidade do AR'!$S$8*1000000),IF(INDEX($A$5:$BP$257,MATCH(EW42,$BN$5:$BN$257,0),50)="Ferro Fundido",('Densidade do AR'!$S$12*1000000),IF(INDEX($A$5:$BP$257,MATCH(EW42,$BN$5:$BN$257,0),50)="Latão",('Densidade do AR'!$S$10*1000000),IF(INDEX($A$5:$BP$257,MATCH(EW42,$BN$5:$BN$257,0),50)="Alumínio",('Densidade do AR'!$S$4*1000000)))))))</f>
        <v>-</v>
      </c>
      <c r="EZ42" s="739"/>
      <c r="FA42" s="739"/>
      <c r="FB42" s="740"/>
      <c r="FC42" s="741" t="str">
        <f t="shared" si="18"/>
        <v>-</v>
      </c>
      <c r="FD42" s="742"/>
      <c r="FE42" s="742"/>
      <c r="FF42" s="743"/>
      <c r="FG42" s="741" t="str">
        <f t="shared" si="7"/>
        <v>-</v>
      </c>
      <c r="FH42" s="742"/>
      <c r="FI42" s="742"/>
      <c r="FJ42" s="743"/>
      <c r="FK42" s="744" t="str">
        <f t="shared" si="19"/>
        <v>-</v>
      </c>
      <c r="FL42" s="739"/>
      <c r="FM42" s="739"/>
      <c r="FN42" s="740"/>
      <c r="FO42" s="744" t="str">
        <f t="shared" si="8"/>
        <v>-</v>
      </c>
      <c r="FP42" s="739"/>
      <c r="FQ42" s="739"/>
      <c r="FR42" s="740"/>
      <c r="FS42" s="744" t="str">
        <f>IF(EW42="","-",INDEX($A$5:$BP$257,MATCH(EW42,$BN$5:$BN$257,0),39)*(IF(EW42="","-",(1+(((-('Densidade do AR'!$M$4))+('Densidade do AR'!$T$15*1000000))/(IF(INDEX($A$5:$BP$257,MATCH(EW42,$BN$5:$BN$257,0),50)="Aço Inoxidável",('Densidade do AR'!$S$8*1000000),IF(INDEX($A$5:$BP$257,MATCH(EW42,$BN$5:$BN$257,0),50)="Ferro Fundido",('Densidade do AR'!$S$12*1000000),IF(INDEX($A$5:$BP$257,MATCH(EW42,$BN$5:$BN$257,0),50)="Latão",('Densidade do AR'!$S$10*1000000),IF(INDEX($A$5:$BP$257,MATCH(EW42,$BN$5:$BN$257,0),50)="Alumínio",('Densidade do AR'!$S$4*1000000)))))))-(((-('Densidade do AR'!$M$4))+('Densidade do AR'!$T$15*1000000))/('Densidade do AR'!$S$14*1000000))))))</f>
        <v>-</v>
      </c>
      <c r="FT42" s="739"/>
      <c r="FU42" s="739"/>
      <c r="FV42" s="745"/>
      <c r="FW42" s="91" t="str">
        <f t="shared" si="20"/>
        <v>-</v>
      </c>
      <c r="FX42" s="135"/>
    </row>
    <row r="43" spans="1:180" x14ac:dyDescent="0.2">
      <c r="A43" s="717">
        <v>39</v>
      </c>
      <c r="B43" s="713"/>
      <c r="C43" s="957">
        <v>20000</v>
      </c>
      <c r="D43" s="955"/>
      <c r="E43" s="955"/>
      <c r="F43" s="955"/>
      <c r="G43" s="956"/>
      <c r="H43" s="933">
        <v>5</v>
      </c>
      <c r="I43" s="1027"/>
      <c r="J43" s="1027"/>
      <c r="K43" s="1028"/>
      <c r="L43" s="708" t="s">
        <v>112</v>
      </c>
      <c r="M43" s="709"/>
      <c r="N43" s="709"/>
      <c r="O43" s="709"/>
      <c r="P43" s="936">
        <v>5</v>
      </c>
      <c r="Q43" s="958"/>
      <c r="R43" s="958"/>
      <c r="S43" s="958"/>
      <c r="T43" s="959"/>
      <c r="U43" s="898" t="s">
        <v>305</v>
      </c>
      <c r="V43" s="715"/>
      <c r="W43" s="715"/>
      <c r="X43" s="715"/>
      <c r="Y43" s="715"/>
      <c r="Z43" s="715"/>
      <c r="AA43" s="716"/>
      <c r="AB43" s="850"/>
      <c r="AC43" s="851"/>
      <c r="AD43" s="851"/>
      <c r="AE43" s="851"/>
      <c r="AF43" s="851"/>
      <c r="AG43" s="851"/>
      <c r="AH43" s="851"/>
      <c r="AI43" s="851"/>
      <c r="AJ43" s="851"/>
      <c r="AK43" s="851"/>
      <c r="AL43" s="852"/>
      <c r="AM43" s="917">
        <v>20000000</v>
      </c>
      <c r="AN43" s="712"/>
      <c r="AO43" s="712"/>
      <c r="AP43" s="712"/>
      <c r="AQ43" s="712"/>
      <c r="AR43" s="712"/>
      <c r="AS43" s="713"/>
      <c r="AT43" s="917">
        <f t="shared" si="21"/>
        <v>0</v>
      </c>
      <c r="AU43" s="712"/>
      <c r="AV43" s="712"/>
      <c r="AW43" s="713"/>
      <c r="AX43" s="917" t="s">
        <v>13</v>
      </c>
      <c r="AY43" s="712"/>
      <c r="AZ43" s="712"/>
      <c r="BA43" s="712"/>
      <c r="BB43" s="712"/>
      <c r="BC43" s="713"/>
      <c r="BD43" s="917">
        <v>300</v>
      </c>
      <c r="BE43" s="712"/>
      <c r="BF43" s="712"/>
      <c r="BG43" s="713"/>
      <c r="BH43" s="917">
        <v>2</v>
      </c>
      <c r="BI43" s="994"/>
      <c r="BJ43" s="994"/>
      <c r="BK43" s="994"/>
      <c r="BL43" s="995"/>
      <c r="BN43" s="881">
        <v>39</v>
      </c>
      <c r="BO43" s="882"/>
      <c r="BP43" s="883"/>
      <c r="BT43" s="746"/>
      <c r="BU43" s="747"/>
      <c r="BV43" s="784" t="str">
        <f>IF(BT43="","-",(IF(INDEX($A$5:$BP$257,MATCH(BT43,$BN$5:$BN$257,0),50)="Aço Inoxidável",('Densidade do AR'!$S$8*1000000),IF(INDEX($A$5:$BP$257,MATCH(BT43,$BN$5:$BN$257,0),50)="Ferro Fundido",('Densidade do AR'!$S$12*1000000),IF(INDEX($A$5:$BP$257,MATCH(BT43,$BN$5:$BN$257,0),50)="Latão",('Densidade do AR'!$S$10*1000000),IF(INDEX($A$5:$BP$257,MATCH(BT43,$BN$5:$BN$257,0),50)="Alumínio",('Densidade do AR'!$S$4*1000000)))))))</f>
        <v>-</v>
      </c>
      <c r="BW43" s="785"/>
      <c r="BX43" s="785"/>
      <c r="BY43" s="786"/>
      <c r="BZ43" s="787" t="str">
        <f t="shared" si="9"/>
        <v>-</v>
      </c>
      <c r="CA43" s="788"/>
      <c r="CB43" s="788"/>
      <c r="CC43" s="789"/>
      <c r="CD43" s="787" t="str">
        <f t="shared" si="1"/>
        <v>-</v>
      </c>
      <c r="CE43" s="788"/>
      <c r="CF43" s="788"/>
      <c r="CG43" s="789"/>
      <c r="CH43" s="790" t="str">
        <f t="shared" si="10"/>
        <v>-</v>
      </c>
      <c r="CI43" s="785"/>
      <c r="CJ43" s="785"/>
      <c r="CK43" s="786"/>
      <c r="CL43" s="790" t="str">
        <f t="shared" si="2"/>
        <v>-</v>
      </c>
      <c r="CM43" s="785"/>
      <c r="CN43" s="785"/>
      <c r="CO43" s="786"/>
      <c r="CP43" s="790" t="str">
        <f>IF(BT43="","-",INDEX($A$5:$BP$257,MATCH(BT43,$BN$5:$BN$257,0),39)*(IF(BT43="","-",(1+(((-('Densidade do AR'!$M$4))+('Densidade do AR'!$T$15*1000000))/(IF(INDEX($A$5:$BP$257,MATCH(BT43,$BN$5:$BN$257,0),50)="Aço Inoxidável",('Densidade do AR'!$S$8*1000000),IF(INDEX($A$5:$BP$257,MATCH(BT43,$BN$5:$BN$257,0),50)="Ferro Fundido",('Densidade do AR'!$S$12*1000000),IF(INDEX($A$5:$BP$257,MATCH(BT43,$BN$5:$BN$257,0),50)="Latão",('Densidade do AR'!$S$10*1000000),IF(INDEX($A$5:$BP$257,MATCH(BT43,$BN$5:$BN$257,0),50)="Alumínio",('Densidade do AR'!$S$4*1000000)))))))-(((-('Densidade do AR'!$M$4))+('Densidade do AR'!$T$15*1000000))/('Densidade do AR'!$S$14*1000000))))))</f>
        <v>-</v>
      </c>
      <c r="CQ43" s="785"/>
      <c r="CR43" s="785"/>
      <c r="CS43" s="791"/>
      <c r="CT43" s="91" t="str">
        <f t="shared" si="11"/>
        <v>-</v>
      </c>
      <c r="CU43" s="746"/>
      <c r="CV43" s="747"/>
      <c r="CW43" s="784" t="str">
        <f>IF(CU43="","-",(IF(INDEX($A$5:$BP$257,MATCH(CU43,$BN$5:$BN$257,0),50)="Aço Inoxidável",('Densidade do AR'!$S$8*1000000),IF(INDEX($A$5:$BP$257,MATCH(CU43,$BN$5:$BN$257,0),50)="Ferro Fundido",('Densidade do AR'!$S$12*1000000),IF(INDEX($A$5:$BP$257,MATCH(CU43,$BN$5:$BN$257,0),50)="Latão",('Densidade do AR'!$S$10*1000000),IF(INDEX($A$5:$BP$257,MATCH(CU43,$BN$5:$BN$257,0),50)="Alumínio",('Densidade do AR'!$S$4*1000000)))))))</f>
        <v>-</v>
      </c>
      <c r="CX43" s="785"/>
      <c r="CY43" s="785"/>
      <c r="CZ43" s="786"/>
      <c r="DA43" s="787" t="str">
        <f t="shared" si="12"/>
        <v>-</v>
      </c>
      <c r="DB43" s="788"/>
      <c r="DC43" s="788"/>
      <c r="DD43" s="789"/>
      <c r="DE43" s="787" t="str">
        <f t="shared" si="3"/>
        <v>-</v>
      </c>
      <c r="DF43" s="788"/>
      <c r="DG43" s="788"/>
      <c r="DH43" s="789"/>
      <c r="DI43" s="790" t="str">
        <f t="shared" si="13"/>
        <v>-</v>
      </c>
      <c r="DJ43" s="785"/>
      <c r="DK43" s="785"/>
      <c r="DL43" s="786"/>
      <c r="DM43" s="790" t="str">
        <f t="shared" si="4"/>
        <v>-</v>
      </c>
      <c r="DN43" s="785"/>
      <c r="DO43" s="785"/>
      <c r="DP43" s="786"/>
      <c r="DQ43" s="790" t="str">
        <f>IF(CU43="","-",INDEX($A$5:$BP$257,MATCH(CU43,$BN$5:$BN$257,0),39)*(IF(CU43="","-",(1+(((-('Densidade do AR'!$M$4))+('Densidade do AR'!$T$15*1000000))/(IF(INDEX($A$5:$BP$257,MATCH(CU43,$BN$5:$BN$257,0),50)="Aço Inoxidável",('Densidade do AR'!$S$8*1000000),IF(INDEX($A$5:$BP$257,MATCH(CU43,$BN$5:$BN$257,0),50)="Ferro Fundido",('Densidade do AR'!$S$12*1000000),IF(INDEX($A$5:$BP$257,MATCH(CU43,$BN$5:$BN$257,0),50)="Latão",('Densidade do AR'!$S$10*1000000),IF(INDEX($A$5:$BP$257,MATCH(CU43,$BN$5:$BN$257,0),50)="Alumínio",('Densidade do AR'!$S$4*1000000)))))))-(((-('Densidade do AR'!$M$4))+('Densidade do AR'!$T$15*1000000))/('Densidade do AR'!$S$14*1000000))))))</f>
        <v>-</v>
      </c>
      <c r="DR43" s="785"/>
      <c r="DS43" s="785"/>
      <c r="DT43" s="791"/>
      <c r="DU43" s="91" t="str">
        <f t="shared" si="14"/>
        <v>-</v>
      </c>
      <c r="DV43" s="746"/>
      <c r="DW43" s="747"/>
      <c r="DX43" s="784" t="str">
        <f>IF(DV43="","-",(IF(INDEX($A$5:$BP$257,MATCH(DV43,$BN$5:$BN$257,0),50)="Aço Inoxidável",('Densidade do AR'!$S$8*1000000),IF(INDEX($A$5:$BP$257,MATCH(DV43,$BN$5:$BN$257,0),50)="Ferro Fundido",('Densidade do AR'!$S$12*1000000),IF(INDEX($A$5:$BP$257,MATCH(DV43,$BN$5:$BN$257,0),50)="Latão",('Densidade do AR'!$S$10*1000000),IF(INDEX($A$5:$BP$257,MATCH(DV43,$BN$5:$BN$257,0),50)="Alumínio",('Densidade do AR'!$S$4*1000000)))))))</f>
        <v>-</v>
      </c>
      <c r="DY43" s="785"/>
      <c r="DZ43" s="785"/>
      <c r="EA43" s="786"/>
      <c r="EB43" s="787" t="str">
        <f t="shared" si="15"/>
        <v>-</v>
      </c>
      <c r="EC43" s="788"/>
      <c r="ED43" s="788"/>
      <c r="EE43" s="789"/>
      <c r="EF43" s="787" t="str">
        <f t="shared" si="5"/>
        <v>-</v>
      </c>
      <c r="EG43" s="788"/>
      <c r="EH43" s="788"/>
      <c r="EI43" s="789"/>
      <c r="EJ43" s="790" t="str">
        <f t="shared" si="16"/>
        <v>-</v>
      </c>
      <c r="EK43" s="785"/>
      <c r="EL43" s="785"/>
      <c r="EM43" s="786"/>
      <c r="EN43" s="790" t="str">
        <f t="shared" si="6"/>
        <v>-</v>
      </c>
      <c r="EO43" s="785"/>
      <c r="EP43" s="785"/>
      <c r="EQ43" s="786"/>
      <c r="ER43" s="790" t="str">
        <f>IF(DV43="","-",INDEX($A$5:$BP$257,MATCH(DV43,$BN$5:$BN$257,0),39)*(IF(DV43="","-",(1+(((-('Densidade do AR'!$M$4))+('Densidade do AR'!$T$15*1000000))/(IF(INDEX($A$5:$BP$257,MATCH(DV43,$BN$5:$BN$257,0),50)="Aço Inoxidável",('Densidade do AR'!$S$8*1000000),IF(INDEX($A$5:$BP$257,MATCH(DV43,$BN$5:$BN$257,0),50)="Ferro Fundido",('Densidade do AR'!$S$12*1000000),IF(INDEX($A$5:$BP$257,MATCH(DV43,$BN$5:$BN$257,0),50)="Latão",('Densidade do AR'!$S$10*1000000),IF(INDEX($A$5:$BP$257,MATCH(DV43,$BN$5:$BN$257,0),50)="Alumínio",('Densidade do AR'!$S$4*1000000)))))))-(((-('Densidade do AR'!$M$4))+('Densidade do AR'!$T$15*1000000))/('Densidade do AR'!$S$14*1000000))))))</f>
        <v>-</v>
      </c>
      <c r="ES43" s="785"/>
      <c r="ET43" s="785"/>
      <c r="EU43" s="791"/>
      <c r="EV43" s="91" t="str">
        <f t="shared" si="17"/>
        <v>-</v>
      </c>
      <c r="EW43" s="746"/>
      <c r="EX43" s="747"/>
      <c r="EY43" s="784" t="str">
        <f>IF(EW43="","-",(IF(INDEX($A$5:$BP$257,MATCH(EW43,$BN$5:$BN$257,0),50)="Aço Inoxidável",('Densidade do AR'!$S$8*1000000),IF(INDEX($A$5:$BP$257,MATCH(EW43,$BN$5:$BN$257,0),50)="Ferro Fundido",('Densidade do AR'!$S$12*1000000),IF(INDEX($A$5:$BP$257,MATCH(EW43,$BN$5:$BN$257,0),50)="Latão",('Densidade do AR'!$S$10*1000000),IF(INDEX($A$5:$BP$257,MATCH(EW43,$BN$5:$BN$257,0),50)="Alumínio",('Densidade do AR'!$S$4*1000000)))))))</f>
        <v>-</v>
      </c>
      <c r="EZ43" s="785"/>
      <c r="FA43" s="785"/>
      <c r="FB43" s="786"/>
      <c r="FC43" s="787" t="str">
        <f t="shared" si="18"/>
        <v>-</v>
      </c>
      <c r="FD43" s="788"/>
      <c r="FE43" s="788"/>
      <c r="FF43" s="789"/>
      <c r="FG43" s="787" t="str">
        <f t="shared" si="7"/>
        <v>-</v>
      </c>
      <c r="FH43" s="788"/>
      <c r="FI43" s="788"/>
      <c r="FJ43" s="789"/>
      <c r="FK43" s="790" t="str">
        <f t="shared" si="19"/>
        <v>-</v>
      </c>
      <c r="FL43" s="785"/>
      <c r="FM43" s="785"/>
      <c r="FN43" s="786"/>
      <c r="FO43" s="790" t="str">
        <f t="shared" si="8"/>
        <v>-</v>
      </c>
      <c r="FP43" s="785"/>
      <c r="FQ43" s="785"/>
      <c r="FR43" s="786"/>
      <c r="FS43" s="790" t="str">
        <f>IF(EW43="","-",INDEX($A$5:$BP$257,MATCH(EW43,$BN$5:$BN$257,0),39)*(IF(EW43="","-",(1+(((-('Densidade do AR'!$M$4))+('Densidade do AR'!$T$15*1000000))/(IF(INDEX($A$5:$BP$257,MATCH(EW43,$BN$5:$BN$257,0),50)="Aço Inoxidável",('Densidade do AR'!$S$8*1000000),IF(INDEX($A$5:$BP$257,MATCH(EW43,$BN$5:$BN$257,0),50)="Ferro Fundido",('Densidade do AR'!$S$12*1000000),IF(INDEX($A$5:$BP$257,MATCH(EW43,$BN$5:$BN$257,0),50)="Latão",('Densidade do AR'!$S$10*1000000),IF(INDEX($A$5:$BP$257,MATCH(EW43,$BN$5:$BN$257,0),50)="Alumínio",('Densidade do AR'!$S$4*1000000)))))))-(((-('Densidade do AR'!$M$4))+('Densidade do AR'!$T$15*1000000))/('Densidade do AR'!$S$14*1000000))))))</f>
        <v>-</v>
      </c>
      <c r="FT43" s="785"/>
      <c r="FU43" s="785"/>
      <c r="FV43" s="791"/>
      <c r="FW43" s="91" t="str">
        <f t="shared" si="20"/>
        <v>-</v>
      </c>
      <c r="FX43" s="135"/>
    </row>
    <row r="44" spans="1:180" x14ac:dyDescent="0.2">
      <c r="A44" s="718">
        <v>40</v>
      </c>
      <c r="B44" s="713"/>
      <c r="C44" s="719">
        <v>20000</v>
      </c>
      <c r="D44" s="709"/>
      <c r="E44" s="709"/>
      <c r="F44" s="709"/>
      <c r="G44" s="710"/>
      <c r="H44" s="940">
        <v>6</v>
      </c>
      <c r="I44" s="1027"/>
      <c r="J44" s="1027"/>
      <c r="K44" s="1028"/>
      <c r="L44" s="719" t="s">
        <v>112</v>
      </c>
      <c r="M44" s="709"/>
      <c r="N44" s="709"/>
      <c r="O44" s="709"/>
      <c r="P44" s="938">
        <v>6</v>
      </c>
      <c r="Q44" s="960"/>
      <c r="R44" s="960"/>
      <c r="S44" s="960"/>
      <c r="T44" s="961"/>
      <c r="U44" s="897" t="s">
        <v>305</v>
      </c>
      <c r="V44" s="722"/>
      <c r="W44" s="722"/>
      <c r="X44" s="722"/>
      <c r="Y44" s="722"/>
      <c r="Z44" s="722"/>
      <c r="AA44" s="723"/>
      <c r="AB44" s="853"/>
      <c r="AC44" s="854"/>
      <c r="AD44" s="854"/>
      <c r="AE44" s="854"/>
      <c r="AF44" s="854"/>
      <c r="AG44" s="854"/>
      <c r="AH44" s="854"/>
      <c r="AI44" s="854"/>
      <c r="AJ44" s="854"/>
      <c r="AK44" s="854"/>
      <c r="AL44" s="855"/>
      <c r="AM44" s="909">
        <v>20000000</v>
      </c>
      <c r="AN44" s="712"/>
      <c r="AO44" s="712"/>
      <c r="AP44" s="712"/>
      <c r="AQ44" s="712"/>
      <c r="AR44" s="712"/>
      <c r="AS44" s="713"/>
      <c r="AT44" s="909">
        <f t="shared" si="21"/>
        <v>0</v>
      </c>
      <c r="AU44" s="712"/>
      <c r="AV44" s="712"/>
      <c r="AW44" s="713"/>
      <c r="AX44" s="908" t="s">
        <v>13</v>
      </c>
      <c r="AY44" s="712"/>
      <c r="AZ44" s="712"/>
      <c r="BA44" s="712"/>
      <c r="BB44" s="712"/>
      <c r="BC44" s="713"/>
      <c r="BD44" s="909">
        <v>300</v>
      </c>
      <c r="BE44" s="712"/>
      <c r="BF44" s="712"/>
      <c r="BG44" s="713"/>
      <c r="BH44" s="909">
        <v>2</v>
      </c>
      <c r="BI44" s="994"/>
      <c r="BJ44" s="994"/>
      <c r="BK44" s="994"/>
      <c r="BL44" s="995"/>
      <c r="BN44" s="881">
        <v>40</v>
      </c>
      <c r="BO44" s="882"/>
      <c r="BP44" s="883"/>
      <c r="BT44" s="736"/>
      <c r="BU44" s="737"/>
      <c r="BV44" s="738" t="str">
        <f>IF(BT44="","-",(IF(INDEX($A$5:$BP$257,MATCH(BT44,$BN$5:$BN$257,0),50)="Aço Inoxidável",('Densidade do AR'!$S$8*1000000),IF(INDEX($A$5:$BP$257,MATCH(BT44,$BN$5:$BN$257,0),50)="Ferro Fundido",('Densidade do AR'!$S$12*1000000),IF(INDEX($A$5:$BP$257,MATCH(BT44,$BN$5:$BN$257,0),50)="Latão",('Densidade do AR'!$S$10*1000000),IF(INDEX($A$5:$BP$257,MATCH(BT44,$BN$5:$BN$257,0),50)="Alumínio",('Densidade do AR'!$S$4*1000000)))))))</f>
        <v>-</v>
      </c>
      <c r="BW44" s="739"/>
      <c r="BX44" s="739"/>
      <c r="BY44" s="740"/>
      <c r="BZ44" s="741" t="str">
        <f t="shared" si="9"/>
        <v>-</v>
      </c>
      <c r="CA44" s="742"/>
      <c r="CB44" s="742"/>
      <c r="CC44" s="743"/>
      <c r="CD44" s="741" t="str">
        <f t="shared" si="1"/>
        <v>-</v>
      </c>
      <c r="CE44" s="742"/>
      <c r="CF44" s="742"/>
      <c r="CG44" s="743"/>
      <c r="CH44" s="744" t="str">
        <f t="shared" si="10"/>
        <v>-</v>
      </c>
      <c r="CI44" s="739"/>
      <c r="CJ44" s="739"/>
      <c r="CK44" s="740"/>
      <c r="CL44" s="744" t="str">
        <f t="shared" si="2"/>
        <v>-</v>
      </c>
      <c r="CM44" s="739"/>
      <c r="CN44" s="739"/>
      <c r="CO44" s="740"/>
      <c r="CP44" s="744" t="str">
        <f>IF(BT44="","-",INDEX($A$5:$BP$257,MATCH(BT44,$BN$5:$BN$257,0),39)*(IF(BT44="","-",(1+(((-('Densidade do AR'!$M$4))+('Densidade do AR'!$T$15*1000000))/(IF(INDEX($A$5:$BP$257,MATCH(BT44,$BN$5:$BN$257,0),50)="Aço Inoxidável",('Densidade do AR'!$S$8*1000000),IF(INDEX($A$5:$BP$257,MATCH(BT44,$BN$5:$BN$257,0),50)="Ferro Fundido",('Densidade do AR'!$S$12*1000000),IF(INDEX($A$5:$BP$257,MATCH(BT44,$BN$5:$BN$257,0),50)="Latão",('Densidade do AR'!$S$10*1000000),IF(INDEX($A$5:$BP$257,MATCH(BT44,$BN$5:$BN$257,0),50)="Alumínio",('Densidade do AR'!$S$4*1000000)))))))-(((-('Densidade do AR'!$M$4))+('Densidade do AR'!$T$15*1000000))/('Densidade do AR'!$S$14*1000000))))))</f>
        <v>-</v>
      </c>
      <c r="CQ44" s="739"/>
      <c r="CR44" s="739"/>
      <c r="CS44" s="745"/>
      <c r="CT44" s="91" t="str">
        <f t="shared" si="11"/>
        <v>-</v>
      </c>
      <c r="CU44" s="736"/>
      <c r="CV44" s="737"/>
      <c r="CW44" s="738" t="str">
        <f>IF(CU44="","-",(IF(INDEX($A$5:$BP$257,MATCH(CU44,$BN$5:$BN$257,0),50)="Aço Inoxidável",('Densidade do AR'!$S$8*1000000),IF(INDEX($A$5:$BP$257,MATCH(CU44,$BN$5:$BN$257,0),50)="Ferro Fundido",('Densidade do AR'!$S$12*1000000),IF(INDEX($A$5:$BP$257,MATCH(CU44,$BN$5:$BN$257,0),50)="Latão",('Densidade do AR'!$S$10*1000000),IF(INDEX($A$5:$BP$257,MATCH(CU44,$BN$5:$BN$257,0),50)="Alumínio",('Densidade do AR'!$S$4*1000000)))))))</f>
        <v>-</v>
      </c>
      <c r="CX44" s="739"/>
      <c r="CY44" s="739"/>
      <c r="CZ44" s="740"/>
      <c r="DA44" s="741" t="str">
        <f t="shared" si="12"/>
        <v>-</v>
      </c>
      <c r="DB44" s="742"/>
      <c r="DC44" s="742"/>
      <c r="DD44" s="743"/>
      <c r="DE44" s="741" t="str">
        <f t="shared" si="3"/>
        <v>-</v>
      </c>
      <c r="DF44" s="742"/>
      <c r="DG44" s="742"/>
      <c r="DH44" s="743"/>
      <c r="DI44" s="744" t="str">
        <f t="shared" si="13"/>
        <v>-</v>
      </c>
      <c r="DJ44" s="739"/>
      <c r="DK44" s="739"/>
      <c r="DL44" s="740"/>
      <c r="DM44" s="744" t="str">
        <f t="shared" si="4"/>
        <v>-</v>
      </c>
      <c r="DN44" s="739"/>
      <c r="DO44" s="739"/>
      <c r="DP44" s="740"/>
      <c r="DQ44" s="744" t="str">
        <f>IF(CU44="","-",INDEX($A$5:$BP$257,MATCH(CU44,$BN$5:$BN$257,0),39)*(IF(CU44="","-",(1+(((-('Densidade do AR'!$M$4))+('Densidade do AR'!$T$15*1000000))/(IF(INDEX($A$5:$BP$257,MATCH(CU44,$BN$5:$BN$257,0),50)="Aço Inoxidável",('Densidade do AR'!$S$8*1000000),IF(INDEX($A$5:$BP$257,MATCH(CU44,$BN$5:$BN$257,0),50)="Ferro Fundido",('Densidade do AR'!$S$12*1000000),IF(INDEX($A$5:$BP$257,MATCH(CU44,$BN$5:$BN$257,0),50)="Latão",('Densidade do AR'!$S$10*1000000),IF(INDEX($A$5:$BP$257,MATCH(CU44,$BN$5:$BN$257,0),50)="Alumínio",('Densidade do AR'!$S$4*1000000)))))))-(((-('Densidade do AR'!$M$4))+('Densidade do AR'!$T$15*1000000))/('Densidade do AR'!$S$14*1000000))))))</f>
        <v>-</v>
      </c>
      <c r="DR44" s="739"/>
      <c r="DS44" s="739"/>
      <c r="DT44" s="745"/>
      <c r="DU44" s="91" t="str">
        <f t="shared" si="14"/>
        <v>-</v>
      </c>
      <c r="DV44" s="736"/>
      <c r="DW44" s="737"/>
      <c r="DX44" s="738" t="str">
        <f>IF(DV44="","-",(IF(INDEX($A$5:$BP$257,MATCH(DV44,$BN$5:$BN$257,0),50)="Aço Inoxidável",('Densidade do AR'!$S$8*1000000),IF(INDEX($A$5:$BP$257,MATCH(DV44,$BN$5:$BN$257,0),50)="Ferro Fundido",('Densidade do AR'!$S$12*1000000),IF(INDEX($A$5:$BP$257,MATCH(DV44,$BN$5:$BN$257,0),50)="Latão",('Densidade do AR'!$S$10*1000000),IF(INDEX($A$5:$BP$257,MATCH(DV44,$BN$5:$BN$257,0),50)="Alumínio",('Densidade do AR'!$S$4*1000000)))))))</f>
        <v>-</v>
      </c>
      <c r="DY44" s="739"/>
      <c r="DZ44" s="739"/>
      <c r="EA44" s="740"/>
      <c r="EB44" s="741" t="str">
        <f t="shared" si="15"/>
        <v>-</v>
      </c>
      <c r="EC44" s="742"/>
      <c r="ED44" s="742"/>
      <c r="EE44" s="743"/>
      <c r="EF44" s="741" t="str">
        <f t="shared" si="5"/>
        <v>-</v>
      </c>
      <c r="EG44" s="742"/>
      <c r="EH44" s="742"/>
      <c r="EI44" s="743"/>
      <c r="EJ44" s="744" t="str">
        <f t="shared" si="16"/>
        <v>-</v>
      </c>
      <c r="EK44" s="739"/>
      <c r="EL44" s="739"/>
      <c r="EM44" s="740"/>
      <c r="EN44" s="744" t="str">
        <f t="shared" si="6"/>
        <v>-</v>
      </c>
      <c r="EO44" s="739"/>
      <c r="EP44" s="739"/>
      <c r="EQ44" s="740"/>
      <c r="ER44" s="744" t="str">
        <f>IF(DV44="","-",INDEX($A$5:$BP$257,MATCH(DV44,$BN$5:$BN$257,0),39)*(IF(DV44="","-",(1+(((-('Densidade do AR'!$M$4))+('Densidade do AR'!$T$15*1000000))/(IF(INDEX($A$5:$BP$257,MATCH(DV44,$BN$5:$BN$257,0),50)="Aço Inoxidável",('Densidade do AR'!$S$8*1000000),IF(INDEX($A$5:$BP$257,MATCH(DV44,$BN$5:$BN$257,0),50)="Ferro Fundido",('Densidade do AR'!$S$12*1000000),IF(INDEX($A$5:$BP$257,MATCH(DV44,$BN$5:$BN$257,0),50)="Latão",('Densidade do AR'!$S$10*1000000),IF(INDEX($A$5:$BP$257,MATCH(DV44,$BN$5:$BN$257,0),50)="Alumínio",('Densidade do AR'!$S$4*1000000)))))))-(((-('Densidade do AR'!$M$4))+('Densidade do AR'!$T$15*1000000))/('Densidade do AR'!$S$14*1000000))))))</f>
        <v>-</v>
      </c>
      <c r="ES44" s="739"/>
      <c r="ET44" s="739"/>
      <c r="EU44" s="745"/>
      <c r="EV44" s="91" t="str">
        <f t="shared" si="17"/>
        <v>-</v>
      </c>
      <c r="EW44" s="736"/>
      <c r="EX44" s="737"/>
      <c r="EY44" s="738" t="str">
        <f>IF(EW44="","-",(IF(INDEX($A$5:$BP$257,MATCH(EW44,$BN$5:$BN$257,0),50)="Aço Inoxidável",('Densidade do AR'!$S$8*1000000),IF(INDEX($A$5:$BP$257,MATCH(EW44,$BN$5:$BN$257,0),50)="Ferro Fundido",('Densidade do AR'!$S$12*1000000),IF(INDEX($A$5:$BP$257,MATCH(EW44,$BN$5:$BN$257,0),50)="Latão",('Densidade do AR'!$S$10*1000000),IF(INDEX($A$5:$BP$257,MATCH(EW44,$BN$5:$BN$257,0),50)="Alumínio",('Densidade do AR'!$S$4*1000000)))))))</f>
        <v>-</v>
      </c>
      <c r="EZ44" s="739"/>
      <c r="FA44" s="739"/>
      <c r="FB44" s="740"/>
      <c r="FC44" s="741" t="str">
        <f t="shared" si="18"/>
        <v>-</v>
      </c>
      <c r="FD44" s="742"/>
      <c r="FE44" s="742"/>
      <c r="FF44" s="743"/>
      <c r="FG44" s="741" t="str">
        <f t="shared" si="7"/>
        <v>-</v>
      </c>
      <c r="FH44" s="742"/>
      <c r="FI44" s="742"/>
      <c r="FJ44" s="743"/>
      <c r="FK44" s="744" t="str">
        <f t="shared" si="19"/>
        <v>-</v>
      </c>
      <c r="FL44" s="739"/>
      <c r="FM44" s="739"/>
      <c r="FN44" s="740"/>
      <c r="FO44" s="744" t="str">
        <f t="shared" si="8"/>
        <v>-</v>
      </c>
      <c r="FP44" s="739"/>
      <c r="FQ44" s="739"/>
      <c r="FR44" s="740"/>
      <c r="FS44" s="744" t="str">
        <f>IF(EW44="","-",INDEX($A$5:$BP$257,MATCH(EW44,$BN$5:$BN$257,0),39)*(IF(EW44="","-",(1+(((-('Densidade do AR'!$M$4))+('Densidade do AR'!$T$15*1000000))/(IF(INDEX($A$5:$BP$257,MATCH(EW44,$BN$5:$BN$257,0),50)="Aço Inoxidável",('Densidade do AR'!$S$8*1000000),IF(INDEX($A$5:$BP$257,MATCH(EW44,$BN$5:$BN$257,0),50)="Ferro Fundido",('Densidade do AR'!$S$12*1000000),IF(INDEX($A$5:$BP$257,MATCH(EW44,$BN$5:$BN$257,0),50)="Latão",('Densidade do AR'!$S$10*1000000),IF(INDEX($A$5:$BP$257,MATCH(EW44,$BN$5:$BN$257,0),50)="Alumínio",('Densidade do AR'!$S$4*1000000)))))))-(((-('Densidade do AR'!$M$4))+('Densidade do AR'!$T$15*1000000))/('Densidade do AR'!$S$14*1000000))))))</f>
        <v>-</v>
      </c>
      <c r="FT44" s="739"/>
      <c r="FU44" s="739"/>
      <c r="FV44" s="745"/>
      <c r="FW44" s="91" t="str">
        <f t="shared" si="20"/>
        <v>-</v>
      </c>
      <c r="FX44" s="135"/>
    </row>
    <row r="45" spans="1:180" x14ac:dyDescent="0.2">
      <c r="A45" s="717">
        <v>41</v>
      </c>
      <c r="B45" s="713"/>
      <c r="C45" s="708">
        <v>20000</v>
      </c>
      <c r="D45" s="709"/>
      <c r="E45" s="709"/>
      <c r="F45" s="709"/>
      <c r="G45" s="710"/>
      <c r="H45" s="790">
        <v>7</v>
      </c>
      <c r="I45" s="934"/>
      <c r="J45" s="934"/>
      <c r="K45" s="935"/>
      <c r="L45" s="708" t="s">
        <v>112</v>
      </c>
      <c r="M45" s="709"/>
      <c r="N45" s="709"/>
      <c r="O45" s="709"/>
      <c r="P45" s="936">
        <v>7</v>
      </c>
      <c r="Q45" s="958"/>
      <c r="R45" s="958"/>
      <c r="S45" s="958"/>
      <c r="T45" s="959"/>
      <c r="U45" s="898" t="s">
        <v>305</v>
      </c>
      <c r="V45" s="715"/>
      <c r="W45" s="715"/>
      <c r="X45" s="715"/>
      <c r="Y45" s="715"/>
      <c r="Z45" s="715"/>
      <c r="AA45" s="716"/>
      <c r="AB45" s="850"/>
      <c r="AC45" s="851"/>
      <c r="AD45" s="851"/>
      <c r="AE45" s="851"/>
      <c r="AF45" s="851"/>
      <c r="AG45" s="851"/>
      <c r="AH45" s="851"/>
      <c r="AI45" s="851"/>
      <c r="AJ45" s="851"/>
      <c r="AK45" s="851"/>
      <c r="AL45" s="852"/>
      <c r="AM45" s="917">
        <v>20000000</v>
      </c>
      <c r="AN45" s="712"/>
      <c r="AO45" s="712"/>
      <c r="AP45" s="712"/>
      <c r="AQ45" s="712"/>
      <c r="AR45" s="712"/>
      <c r="AS45" s="713"/>
      <c r="AT45" s="917">
        <f t="shared" si="21"/>
        <v>0</v>
      </c>
      <c r="AU45" s="712"/>
      <c r="AV45" s="712"/>
      <c r="AW45" s="713"/>
      <c r="AX45" s="917" t="s">
        <v>13</v>
      </c>
      <c r="AY45" s="712"/>
      <c r="AZ45" s="712"/>
      <c r="BA45" s="712"/>
      <c r="BB45" s="712"/>
      <c r="BC45" s="713"/>
      <c r="BD45" s="917">
        <v>300</v>
      </c>
      <c r="BE45" s="712"/>
      <c r="BF45" s="712"/>
      <c r="BG45" s="713"/>
      <c r="BH45" s="917">
        <v>2</v>
      </c>
      <c r="BI45" s="994"/>
      <c r="BJ45" s="994"/>
      <c r="BK45" s="994"/>
      <c r="BL45" s="995"/>
      <c r="BN45" s="878">
        <v>41</v>
      </c>
      <c r="BO45" s="879"/>
      <c r="BP45" s="880"/>
      <c r="BT45" s="746"/>
      <c r="BU45" s="747"/>
      <c r="BV45" s="784" t="str">
        <f>IF(BT45="","-",(IF(INDEX($A$5:$BP$257,MATCH(BT45,$BN$5:$BN$257,0),50)="Aço Inoxidável",('Densidade do AR'!$S$8*1000000),IF(INDEX($A$5:$BP$257,MATCH(BT45,$BN$5:$BN$257,0),50)="Ferro Fundido",('Densidade do AR'!$S$12*1000000),IF(INDEX($A$5:$BP$257,MATCH(BT45,$BN$5:$BN$257,0),50)="Latão",('Densidade do AR'!$S$10*1000000),IF(INDEX($A$5:$BP$257,MATCH(BT45,$BN$5:$BN$257,0),50)="Alumínio",('Densidade do AR'!$S$4*1000000)))))))</f>
        <v>-</v>
      </c>
      <c r="BW45" s="785"/>
      <c r="BX45" s="785"/>
      <c r="BY45" s="786"/>
      <c r="BZ45" s="787" t="str">
        <f t="shared" si="9"/>
        <v>-</v>
      </c>
      <c r="CA45" s="788"/>
      <c r="CB45" s="788"/>
      <c r="CC45" s="789"/>
      <c r="CD45" s="787" t="str">
        <f t="shared" si="1"/>
        <v>-</v>
      </c>
      <c r="CE45" s="788"/>
      <c r="CF45" s="788"/>
      <c r="CG45" s="789"/>
      <c r="CH45" s="790" t="str">
        <f t="shared" si="10"/>
        <v>-</v>
      </c>
      <c r="CI45" s="785"/>
      <c r="CJ45" s="785"/>
      <c r="CK45" s="786"/>
      <c r="CL45" s="790" t="str">
        <f t="shared" si="2"/>
        <v>-</v>
      </c>
      <c r="CM45" s="785"/>
      <c r="CN45" s="785"/>
      <c r="CO45" s="786"/>
      <c r="CP45" s="790" t="str">
        <f>IF(BT45="","-",INDEX($A$5:$BP$257,MATCH(BT45,$BN$5:$BN$257,0),39)*(IF(BT45="","-",(1+(((-('Densidade do AR'!$M$4))+('Densidade do AR'!$T$15*1000000))/(IF(INDEX($A$5:$BP$257,MATCH(BT45,$BN$5:$BN$257,0),50)="Aço Inoxidável",('Densidade do AR'!$S$8*1000000),IF(INDEX($A$5:$BP$257,MATCH(BT45,$BN$5:$BN$257,0),50)="Ferro Fundido",('Densidade do AR'!$S$12*1000000),IF(INDEX($A$5:$BP$257,MATCH(BT45,$BN$5:$BN$257,0),50)="Latão",('Densidade do AR'!$S$10*1000000),IF(INDEX($A$5:$BP$257,MATCH(BT45,$BN$5:$BN$257,0),50)="Alumínio",('Densidade do AR'!$S$4*1000000)))))))-(((-('Densidade do AR'!$M$4))+('Densidade do AR'!$T$15*1000000))/('Densidade do AR'!$S$14*1000000))))))</f>
        <v>-</v>
      </c>
      <c r="CQ45" s="785"/>
      <c r="CR45" s="785"/>
      <c r="CS45" s="791"/>
      <c r="CT45" s="91" t="str">
        <f t="shared" si="11"/>
        <v>-</v>
      </c>
      <c r="CU45" s="746"/>
      <c r="CV45" s="747"/>
      <c r="CW45" s="784" t="str">
        <f>IF(CU45="","-",(IF(INDEX($A$5:$BP$257,MATCH(CU45,$BN$5:$BN$257,0),50)="Aço Inoxidável",('Densidade do AR'!$S$8*1000000),IF(INDEX($A$5:$BP$257,MATCH(CU45,$BN$5:$BN$257,0),50)="Ferro Fundido",('Densidade do AR'!$S$12*1000000),IF(INDEX($A$5:$BP$257,MATCH(CU45,$BN$5:$BN$257,0),50)="Latão",('Densidade do AR'!$S$10*1000000),IF(INDEX($A$5:$BP$257,MATCH(CU45,$BN$5:$BN$257,0),50)="Alumínio",('Densidade do AR'!$S$4*1000000)))))))</f>
        <v>-</v>
      </c>
      <c r="CX45" s="785"/>
      <c r="CY45" s="785"/>
      <c r="CZ45" s="786"/>
      <c r="DA45" s="787" t="str">
        <f t="shared" si="12"/>
        <v>-</v>
      </c>
      <c r="DB45" s="788"/>
      <c r="DC45" s="788"/>
      <c r="DD45" s="789"/>
      <c r="DE45" s="787" t="str">
        <f t="shared" si="3"/>
        <v>-</v>
      </c>
      <c r="DF45" s="788"/>
      <c r="DG45" s="788"/>
      <c r="DH45" s="789"/>
      <c r="DI45" s="790" t="str">
        <f t="shared" si="13"/>
        <v>-</v>
      </c>
      <c r="DJ45" s="785"/>
      <c r="DK45" s="785"/>
      <c r="DL45" s="786"/>
      <c r="DM45" s="790" t="str">
        <f t="shared" si="4"/>
        <v>-</v>
      </c>
      <c r="DN45" s="785"/>
      <c r="DO45" s="785"/>
      <c r="DP45" s="786"/>
      <c r="DQ45" s="790" t="str">
        <f>IF(CU45="","-",INDEX($A$5:$BP$257,MATCH(CU45,$BN$5:$BN$257,0),39)*(IF(CU45="","-",(1+(((-('Densidade do AR'!$M$4))+('Densidade do AR'!$T$15*1000000))/(IF(INDEX($A$5:$BP$257,MATCH(CU45,$BN$5:$BN$257,0),50)="Aço Inoxidável",('Densidade do AR'!$S$8*1000000),IF(INDEX($A$5:$BP$257,MATCH(CU45,$BN$5:$BN$257,0),50)="Ferro Fundido",('Densidade do AR'!$S$12*1000000),IF(INDEX($A$5:$BP$257,MATCH(CU45,$BN$5:$BN$257,0),50)="Latão",('Densidade do AR'!$S$10*1000000),IF(INDEX($A$5:$BP$257,MATCH(CU45,$BN$5:$BN$257,0),50)="Alumínio",('Densidade do AR'!$S$4*1000000)))))))-(((-('Densidade do AR'!$M$4))+('Densidade do AR'!$T$15*1000000))/('Densidade do AR'!$S$14*1000000))))))</f>
        <v>-</v>
      </c>
      <c r="DR45" s="785"/>
      <c r="DS45" s="785"/>
      <c r="DT45" s="791"/>
      <c r="DU45" s="91" t="str">
        <f t="shared" si="14"/>
        <v>-</v>
      </c>
      <c r="DV45" s="746"/>
      <c r="DW45" s="747"/>
      <c r="DX45" s="784" t="str">
        <f>IF(DV45="","-",(IF(INDEX($A$5:$BP$257,MATCH(DV45,$BN$5:$BN$257,0),50)="Aço Inoxidável",('Densidade do AR'!$S$8*1000000),IF(INDEX($A$5:$BP$257,MATCH(DV45,$BN$5:$BN$257,0),50)="Ferro Fundido",('Densidade do AR'!$S$12*1000000),IF(INDEX($A$5:$BP$257,MATCH(DV45,$BN$5:$BN$257,0),50)="Latão",('Densidade do AR'!$S$10*1000000),IF(INDEX($A$5:$BP$257,MATCH(DV45,$BN$5:$BN$257,0),50)="Alumínio",('Densidade do AR'!$S$4*1000000)))))))</f>
        <v>-</v>
      </c>
      <c r="DY45" s="785"/>
      <c r="DZ45" s="785"/>
      <c r="EA45" s="786"/>
      <c r="EB45" s="787" t="str">
        <f t="shared" si="15"/>
        <v>-</v>
      </c>
      <c r="EC45" s="788"/>
      <c r="ED45" s="788"/>
      <c r="EE45" s="789"/>
      <c r="EF45" s="787" t="str">
        <f t="shared" si="5"/>
        <v>-</v>
      </c>
      <c r="EG45" s="788"/>
      <c r="EH45" s="788"/>
      <c r="EI45" s="789"/>
      <c r="EJ45" s="790" t="str">
        <f t="shared" si="16"/>
        <v>-</v>
      </c>
      <c r="EK45" s="785"/>
      <c r="EL45" s="785"/>
      <c r="EM45" s="786"/>
      <c r="EN45" s="790" t="str">
        <f t="shared" si="6"/>
        <v>-</v>
      </c>
      <c r="EO45" s="785"/>
      <c r="EP45" s="785"/>
      <c r="EQ45" s="786"/>
      <c r="ER45" s="790" t="str">
        <f>IF(DV45="","-",INDEX($A$5:$BP$257,MATCH(DV45,$BN$5:$BN$257,0),39)*(IF(DV45="","-",(1+(((-('Densidade do AR'!$M$4))+('Densidade do AR'!$T$15*1000000))/(IF(INDEX($A$5:$BP$257,MATCH(DV45,$BN$5:$BN$257,0),50)="Aço Inoxidável",('Densidade do AR'!$S$8*1000000),IF(INDEX($A$5:$BP$257,MATCH(DV45,$BN$5:$BN$257,0),50)="Ferro Fundido",('Densidade do AR'!$S$12*1000000),IF(INDEX($A$5:$BP$257,MATCH(DV45,$BN$5:$BN$257,0),50)="Latão",('Densidade do AR'!$S$10*1000000),IF(INDEX($A$5:$BP$257,MATCH(DV45,$BN$5:$BN$257,0),50)="Alumínio",('Densidade do AR'!$S$4*1000000)))))))-(((-('Densidade do AR'!$M$4))+('Densidade do AR'!$T$15*1000000))/('Densidade do AR'!$S$14*1000000))))))</f>
        <v>-</v>
      </c>
      <c r="ES45" s="785"/>
      <c r="ET45" s="785"/>
      <c r="EU45" s="791"/>
      <c r="EV45" s="91" t="str">
        <f t="shared" si="17"/>
        <v>-</v>
      </c>
      <c r="EW45" s="746"/>
      <c r="EX45" s="747"/>
      <c r="EY45" s="784" t="str">
        <f>IF(EW45="","-",(IF(INDEX($A$5:$BP$257,MATCH(EW45,$BN$5:$BN$257,0),50)="Aço Inoxidável",('Densidade do AR'!$S$8*1000000),IF(INDEX($A$5:$BP$257,MATCH(EW45,$BN$5:$BN$257,0),50)="Ferro Fundido",('Densidade do AR'!$S$12*1000000),IF(INDEX($A$5:$BP$257,MATCH(EW45,$BN$5:$BN$257,0),50)="Latão",('Densidade do AR'!$S$10*1000000),IF(INDEX($A$5:$BP$257,MATCH(EW45,$BN$5:$BN$257,0),50)="Alumínio",('Densidade do AR'!$S$4*1000000)))))))</f>
        <v>-</v>
      </c>
      <c r="EZ45" s="785"/>
      <c r="FA45" s="785"/>
      <c r="FB45" s="786"/>
      <c r="FC45" s="787" t="str">
        <f t="shared" si="18"/>
        <v>-</v>
      </c>
      <c r="FD45" s="788"/>
      <c r="FE45" s="788"/>
      <c r="FF45" s="789"/>
      <c r="FG45" s="787" t="str">
        <f t="shared" si="7"/>
        <v>-</v>
      </c>
      <c r="FH45" s="788"/>
      <c r="FI45" s="788"/>
      <c r="FJ45" s="789"/>
      <c r="FK45" s="790" t="str">
        <f t="shared" si="19"/>
        <v>-</v>
      </c>
      <c r="FL45" s="785"/>
      <c r="FM45" s="785"/>
      <c r="FN45" s="786"/>
      <c r="FO45" s="790" t="str">
        <f t="shared" si="8"/>
        <v>-</v>
      </c>
      <c r="FP45" s="785"/>
      <c r="FQ45" s="785"/>
      <c r="FR45" s="786"/>
      <c r="FS45" s="790" t="str">
        <f>IF(EW45="","-",INDEX($A$5:$BP$257,MATCH(EW45,$BN$5:$BN$257,0),39)*(IF(EW45="","-",(1+(((-('Densidade do AR'!$M$4))+('Densidade do AR'!$T$15*1000000))/(IF(INDEX($A$5:$BP$257,MATCH(EW45,$BN$5:$BN$257,0),50)="Aço Inoxidável",('Densidade do AR'!$S$8*1000000),IF(INDEX($A$5:$BP$257,MATCH(EW45,$BN$5:$BN$257,0),50)="Ferro Fundido",('Densidade do AR'!$S$12*1000000),IF(INDEX($A$5:$BP$257,MATCH(EW45,$BN$5:$BN$257,0),50)="Latão",('Densidade do AR'!$S$10*1000000),IF(INDEX($A$5:$BP$257,MATCH(EW45,$BN$5:$BN$257,0),50)="Alumínio",('Densidade do AR'!$S$4*1000000)))))))-(((-('Densidade do AR'!$M$4))+('Densidade do AR'!$T$15*1000000))/('Densidade do AR'!$S$14*1000000))))))</f>
        <v>-</v>
      </c>
      <c r="FT45" s="785"/>
      <c r="FU45" s="785"/>
      <c r="FV45" s="791"/>
      <c r="FW45" s="91" t="str">
        <f t="shared" si="20"/>
        <v>-</v>
      </c>
      <c r="FX45" s="135"/>
    </row>
    <row r="46" spans="1:180" ht="13.5" customHeight="1" x14ac:dyDescent="0.2">
      <c r="A46" s="718">
        <v>42</v>
      </c>
      <c r="B46" s="713"/>
      <c r="C46" s="719">
        <v>20000</v>
      </c>
      <c r="D46" s="709"/>
      <c r="E46" s="709"/>
      <c r="F46" s="709"/>
      <c r="G46" s="710"/>
      <c r="H46" s="744">
        <v>8</v>
      </c>
      <c r="I46" s="941"/>
      <c r="J46" s="941"/>
      <c r="K46" s="942"/>
      <c r="L46" s="719" t="s">
        <v>112</v>
      </c>
      <c r="M46" s="709"/>
      <c r="N46" s="709"/>
      <c r="O46" s="709"/>
      <c r="P46" s="938">
        <v>8</v>
      </c>
      <c r="Q46" s="960"/>
      <c r="R46" s="960"/>
      <c r="S46" s="960"/>
      <c r="T46" s="961"/>
      <c r="U46" s="897" t="s">
        <v>305</v>
      </c>
      <c r="V46" s="722"/>
      <c r="W46" s="722"/>
      <c r="X46" s="722"/>
      <c r="Y46" s="722"/>
      <c r="Z46" s="722"/>
      <c r="AA46" s="723"/>
      <c r="AB46" s="853"/>
      <c r="AC46" s="854"/>
      <c r="AD46" s="854"/>
      <c r="AE46" s="854"/>
      <c r="AF46" s="854"/>
      <c r="AG46" s="854"/>
      <c r="AH46" s="854"/>
      <c r="AI46" s="854"/>
      <c r="AJ46" s="854"/>
      <c r="AK46" s="854"/>
      <c r="AL46" s="855"/>
      <c r="AM46" s="909">
        <v>20000000</v>
      </c>
      <c r="AN46" s="712"/>
      <c r="AO46" s="712"/>
      <c r="AP46" s="712"/>
      <c r="AQ46" s="712"/>
      <c r="AR46" s="712"/>
      <c r="AS46" s="713"/>
      <c r="AT46" s="909">
        <f t="shared" si="21"/>
        <v>0</v>
      </c>
      <c r="AU46" s="712"/>
      <c r="AV46" s="712"/>
      <c r="AW46" s="713"/>
      <c r="AX46" s="908" t="s">
        <v>13</v>
      </c>
      <c r="AY46" s="712"/>
      <c r="AZ46" s="712"/>
      <c r="BA46" s="712"/>
      <c r="BB46" s="712"/>
      <c r="BC46" s="713"/>
      <c r="BD46" s="909">
        <v>300</v>
      </c>
      <c r="BE46" s="712"/>
      <c r="BF46" s="712"/>
      <c r="BG46" s="713"/>
      <c r="BH46" s="909">
        <v>2</v>
      </c>
      <c r="BI46" s="994"/>
      <c r="BJ46" s="994"/>
      <c r="BK46" s="994"/>
      <c r="BL46" s="995"/>
      <c r="BN46" s="881">
        <v>42</v>
      </c>
      <c r="BO46" s="882"/>
      <c r="BP46" s="883"/>
      <c r="BT46" s="736"/>
      <c r="BU46" s="737"/>
      <c r="BV46" s="738" t="str">
        <f>IF(BT46="","-",(IF(INDEX($A$5:$BP$257,MATCH(BT46,$BN$5:$BN$257,0),50)="Aço Inoxidável",('Densidade do AR'!$S$8*1000000),IF(INDEX($A$5:$BP$257,MATCH(BT46,$BN$5:$BN$257,0),50)="Ferro Fundido",('Densidade do AR'!$S$12*1000000),IF(INDEX($A$5:$BP$257,MATCH(BT46,$BN$5:$BN$257,0),50)="Latão",('Densidade do AR'!$S$10*1000000),IF(INDEX($A$5:$BP$257,MATCH(BT46,$BN$5:$BN$257,0),50)="Alumínio",('Densidade do AR'!$S$4*1000000)))))))</f>
        <v>-</v>
      </c>
      <c r="BW46" s="739"/>
      <c r="BX46" s="739"/>
      <c r="BY46" s="740"/>
      <c r="BZ46" s="741" t="str">
        <f t="shared" si="9"/>
        <v>-</v>
      </c>
      <c r="CA46" s="742"/>
      <c r="CB46" s="742"/>
      <c r="CC46" s="743"/>
      <c r="CD46" s="741" t="str">
        <f t="shared" si="1"/>
        <v>-</v>
      </c>
      <c r="CE46" s="742"/>
      <c r="CF46" s="742"/>
      <c r="CG46" s="743"/>
      <c r="CH46" s="744" t="str">
        <f t="shared" si="10"/>
        <v>-</v>
      </c>
      <c r="CI46" s="739"/>
      <c r="CJ46" s="739"/>
      <c r="CK46" s="740"/>
      <c r="CL46" s="744" t="str">
        <f t="shared" si="2"/>
        <v>-</v>
      </c>
      <c r="CM46" s="739"/>
      <c r="CN46" s="739"/>
      <c r="CO46" s="740"/>
      <c r="CP46" s="744" t="str">
        <f>IF(BT46="","-",INDEX($A$5:$BP$257,MATCH(BT46,$BN$5:$BN$257,0),39)*(IF(BT46="","-",(1+(((-('Densidade do AR'!$M$4))+('Densidade do AR'!$T$15*1000000))/(IF(INDEX($A$5:$BP$257,MATCH(BT46,$BN$5:$BN$257,0),50)="Aço Inoxidável",('Densidade do AR'!$S$8*1000000),IF(INDEX($A$5:$BP$257,MATCH(BT46,$BN$5:$BN$257,0),50)="Ferro Fundido",('Densidade do AR'!$S$12*1000000),IF(INDEX($A$5:$BP$257,MATCH(BT46,$BN$5:$BN$257,0),50)="Latão",('Densidade do AR'!$S$10*1000000),IF(INDEX($A$5:$BP$257,MATCH(BT46,$BN$5:$BN$257,0),50)="Alumínio",('Densidade do AR'!$S$4*1000000)))))))-(((-('Densidade do AR'!$M$4))+('Densidade do AR'!$T$15*1000000))/('Densidade do AR'!$S$14*1000000))))))</f>
        <v>-</v>
      </c>
      <c r="CQ46" s="739"/>
      <c r="CR46" s="739"/>
      <c r="CS46" s="745"/>
      <c r="CT46" s="91" t="str">
        <f t="shared" si="11"/>
        <v>-</v>
      </c>
      <c r="CU46" s="736"/>
      <c r="CV46" s="737"/>
      <c r="CW46" s="738" t="str">
        <f>IF(CU46="","-",(IF(INDEX($A$5:$BP$257,MATCH(CU46,$BN$5:$BN$257,0),50)="Aço Inoxidável",('Densidade do AR'!$S$8*1000000),IF(INDEX($A$5:$BP$257,MATCH(CU46,$BN$5:$BN$257,0),50)="Ferro Fundido",('Densidade do AR'!$S$12*1000000),IF(INDEX($A$5:$BP$257,MATCH(CU46,$BN$5:$BN$257,0),50)="Latão",('Densidade do AR'!$S$10*1000000),IF(INDEX($A$5:$BP$257,MATCH(CU46,$BN$5:$BN$257,0),50)="Alumínio",('Densidade do AR'!$S$4*1000000)))))))</f>
        <v>-</v>
      </c>
      <c r="CX46" s="739"/>
      <c r="CY46" s="739"/>
      <c r="CZ46" s="740"/>
      <c r="DA46" s="741" t="str">
        <f t="shared" si="12"/>
        <v>-</v>
      </c>
      <c r="DB46" s="742"/>
      <c r="DC46" s="742"/>
      <c r="DD46" s="743"/>
      <c r="DE46" s="741" t="str">
        <f t="shared" si="3"/>
        <v>-</v>
      </c>
      <c r="DF46" s="742"/>
      <c r="DG46" s="742"/>
      <c r="DH46" s="743"/>
      <c r="DI46" s="744" t="str">
        <f t="shared" si="13"/>
        <v>-</v>
      </c>
      <c r="DJ46" s="739"/>
      <c r="DK46" s="739"/>
      <c r="DL46" s="740"/>
      <c r="DM46" s="744" t="str">
        <f t="shared" si="4"/>
        <v>-</v>
      </c>
      <c r="DN46" s="739"/>
      <c r="DO46" s="739"/>
      <c r="DP46" s="740"/>
      <c r="DQ46" s="744" t="str">
        <f>IF(CU46="","-",INDEX($A$5:$BP$257,MATCH(CU46,$BN$5:$BN$257,0),39)*(IF(CU46="","-",(1+(((-('Densidade do AR'!$M$4))+('Densidade do AR'!$T$15*1000000))/(IF(INDEX($A$5:$BP$257,MATCH(CU46,$BN$5:$BN$257,0),50)="Aço Inoxidável",('Densidade do AR'!$S$8*1000000),IF(INDEX($A$5:$BP$257,MATCH(CU46,$BN$5:$BN$257,0),50)="Ferro Fundido",('Densidade do AR'!$S$12*1000000),IF(INDEX($A$5:$BP$257,MATCH(CU46,$BN$5:$BN$257,0),50)="Latão",('Densidade do AR'!$S$10*1000000),IF(INDEX($A$5:$BP$257,MATCH(CU46,$BN$5:$BN$257,0),50)="Alumínio",('Densidade do AR'!$S$4*1000000)))))))-(((-('Densidade do AR'!$M$4))+('Densidade do AR'!$T$15*1000000))/('Densidade do AR'!$S$14*1000000))))))</f>
        <v>-</v>
      </c>
      <c r="DR46" s="739"/>
      <c r="DS46" s="739"/>
      <c r="DT46" s="745"/>
      <c r="DU46" s="91" t="str">
        <f t="shared" si="14"/>
        <v>-</v>
      </c>
      <c r="DV46" s="736"/>
      <c r="DW46" s="737"/>
      <c r="DX46" s="738" t="str">
        <f>IF(DV46="","-",(IF(INDEX($A$5:$BP$257,MATCH(DV46,$BN$5:$BN$257,0),50)="Aço Inoxidável",('Densidade do AR'!$S$8*1000000),IF(INDEX($A$5:$BP$257,MATCH(DV46,$BN$5:$BN$257,0),50)="Ferro Fundido",('Densidade do AR'!$S$12*1000000),IF(INDEX($A$5:$BP$257,MATCH(DV46,$BN$5:$BN$257,0),50)="Latão",('Densidade do AR'!$S$10*1000000),IF(INDEX($A$5:$BP$257,MATCH(DV46,$BN$5:$BN$257,0),50)="Alumínio",('Densidade do AR'!$S$4*1000000)))))))</f>
        <v>-</v>
      </c>
      <c r="DY46" s="739"/>
      <c r="DZ46" s="739"/>
      <c r="EA46" s="740"/>
      <c r="EB46" s="741" t="str">
        <f t="shared" si="15"/>
        <v>-</v>
      </c>
      <c r="EC46" s="742"/>
      <c r="ED46" s="742"/>
      <c r="EE46" s="743"/>
      <c r="EF46" s="741" t="str">
        <f t="shared" si="5"/>
        <v>-</v>
      </c>
      <c r="EG46" s="742"/>
      <c r="EH46" s="742"/>
      <c r="EI46" s="743"/>
      <c r="EJ46" s="744" t="str">
        <f t="shared" si="16"/>
        <v>-</v>
      </c>
      <c r="EK46" s="739"/>
      <c r="EL46" s="739"/>
      <c r="EM46" s="740"/>
      <c r="EN46" s="744" t="str">
        <f t="shared" si="6"/>
        <v>-</v>
      </c>
      <c r="EO46" s="739"/>
      <c r="EP46" s="739"/>
      <c r="EQ46" s="740"/>
      <c r="ER46" s="744" t="str">
        <f>IF(DV46="","-",INDEX($A$5:$BP$257,MATCH(DV46,$BN$5:$BN$257,0),39)*(IF(DV46="","-",(1+(((-('Densidade do AR'!$M$4))+('Densidade do AR'!$T$15*1000000))/(IF(INDEX($A$5:$BP$257,MATCH(DV46,$BN$5:$BN$257,0),50)="Aço Inoxidável",('Densidade do AR'!$S$8*1000000),IF(INDEX($A$5:$BP$257,MATCH(DV46,$BN$5:$BN$257,0),50)="Ferro Fundido",('Densidade do AR'!$S$12*1000000),IF(INDEX($A$5:$BP$257,MATCH(DV46,$BN$5:$BN$257,0),50)="Latão",('Densidade do AR'!$S$10*1000000),IF(INDEX($A$5:$BP$257,MATCH(DV46,$BN$5:$BN$257,0),50)="Alumínio",('Densidade do AR'!$S$4*1000000)))))))-(((-('Densidade do AR'!$M$4))+('Densidade do AR'!$T$15*1000000))/('Densidade do AR'!$S$14*1000000))))))</f>
        <v>-</v>
      </c>
      <c r="ES46" s="739"/>
      <c r="ET46" s="739"/>
      <c r="EU46" s="745"/>
      <c r="EV46" s="91" t="str">
        <f t="shared" si="17"/>
        <v>-</v>
      </c>
      <c r="EW46" s="736"/>
      <c r="EX46" s="737"/>
      <c r="EY46" s="738" t="str">
        <f>IF(EW46="","-",(IF(INDEX($A$5:$BP$257,MATCH(EW46,$BN$5:$BN$257,0),50)="Aço Inoxidável",('Densidade do AR'!$S$8*1000000),IF(INDEX($A$5:$BP$257,MATCH(EW46,$BN$5:$BN$257,0),50)="Ferro Fundido",('Densidade do AR'!$S$12*1000000),IF(INDEX($A$5:$BP$257,MATCH(EW46,$BN$5:$BN$257,0),50)="Latão",('Densidade do AR'!$S$10*1000000),IF(INDEX($A$5:$BP$257,MATCH(EW46,$BN$5:$BN$257,0),50)="Alumínio",('Densidade do AR'!$S$4*1000000)))))))</f>
        <v>-</v>
      </c>
      <c r="EZ46" s="739"/>
      <c r="FA46" s="739"/>
      <c r="FB46" s="740"/>
      <c r="FC46" s="741" t="str">
        <f t="shared" si="18"/>
        <v>-</v>
      </c>
      <c r="FD46" s="742"/>
      <c r="FE46" s="742"/>
      <c r="FF46" s="743"/>
      <c r="FG46" s="741" t="str">
        <f t="shared" si="7"/>
        <v>-</v>
      </c>
      <c r="FH46" s="742"/>
      <c r="FI46" s="742"/>
      <c r="FJ46" s="743"/>
      <c r="FK46" s="744" t="str">
        <f t="shared" si="19"/>
        <v>-</v>
      </c>
      <c r="FL46" s="739"/>
      <c r="FM46" s="739"/>
      <c r="FN46" s="740"/>
      <c r="FO46" s="744" t="str">
        <f t="shared" si="8"/>
        <v>-</v>
      </c>
      <c r="FP46" s="739"/>
      <c r="FQ46" s="739"/>
      <c r="FR46" s="740"/>
      <c r="FS46" s="744" t="str">
        <f>IF(EW46="","-",INDEX($A$5:$BP$257,MATCH(EW46,$BN$5:$BN$257,0),39)*(IF(EW46="","-",(1+(((-('Densidade do AR'!$M$4))+('Densidade do AR'!$T$15*1000000))/(IF(INDEX($A$5:$BP$257,MATCH(EW46,$BN$5:$BN$257,0),50)="Aço Inoxidável",('Densidade do AR'!$S$8*1000000),IF(INDEX($A$5:$BP$257,MATCH(EW46,$BN$5:$BN$257,0),50)="Ferro Fundido",('Densidade do AR'!$S$12*1000000),IF(INDEX($A$5:$BP$257,MATCH(EW46,$BN$5:$BN$257,0),50)="Latão",('Densidade do AR'!$S$10*1000000),IF(INDEX($A$5:$BP$257,MATCH(EW46,$BN$5:$BN$257,0),50)="Alumínio",('Densidade do AR'!$S$4*1000000)))))))-(((-('Densidade do AR'!$M$4))+('Densidade do AR'!$T$15*1000000))/('Densidade do AR'!$S$14*1000000))))))</f>
        <v>-</v>
      </c>
      <c r="FT46" s="739"/>
      <c r="FU46" s="739"/>
      <c r="FV46" s="745"/>
      <c r="FW46" s="91" t="str">
        <f t="shared" si="20"/>
        <v>-</v>
      </c>
      <c r="FX46" s="135"/>
    </row>
    <row r="47" spans="1:180" x14ac:dyDescent="0.2">
      <c r="A47" s="717">
        <v>43</v>
      </c>
      <c r="B47" s="713"/>
      <c r="C47" s="708">
        <v>20000</v>
      </c>
      <c r="D47" s="709"/>
      <c r="E47" s="709"/>
      <c r="F47" s="709"/>
      <c r="G47" s="710"/>
      <c r="H47" s="711">
        <v>9</v>
      </c>
      <c r="I47" s="934"/>
      <c r="J47" s="934"/>
      <c r="K47" s="935"/>
      <c r="L47" s="708" t="s">
        <v>112</v>
      </c>
      <c r="M47" s="709"/>
      <c r="N47" s="709"/>
      <c r="O47" s="709"/>
      <c r="P47" s="936">
        <v>9</v>
      </c>
      <c r="Q47" s="958"/>
      <c r="R47" s="958"/>
      <c r="S47" s="958"/>
      <c r="T47" s="959"/>
      <c r="U47" s="898" t="s">
        <v>305</v>
      </c>
      <c r="V47" s="715"/>
      <c r="W47" s="715"/>
      <c r="X47" s="715"/>
      <c r="Y47" s="715"/>
      <c r="Z47" s="715"/>
      <c r="AA47" s="716"/>
      <c r="AB47" s="850"/>
      <c r="AC47" s="851"/>
      <c r="AD47" s="851"/>
      <c r="AE47" s="851"/>
      <c r="AF47" s="851"/>
      <c r="AG47" s="851"/>
      <c r="AH47" s="851"/>
      <c r="AI47" s="851"/>
      <c r="AJ47" s="851"/>
      <c r="AK47" s="851"/>
      <c r="AL47" s="852"/>
      <c r="AM47" s="917">
        <v>20000000</v>
      </c>
      <c r="AN47" s="712"/>
      <c r="AO47" s="712"/>
      <c r="AP47" s="712"/>
      <c r="AQ47" s="712"/>
      <c r="AR47" s="712"/>
      <c r="AS47" s="713"/>
      <c r="AT47" s="917">
        <f t="shared" si="21"/>
        <v>0</v>
      </c>
      <c r="AU47" s="712"/>
      <c r="AV47" s="712"/>
      <c r="AW47" s="713"/>
      <c r="AX47" s="917" t="s">
        <v>13</v>
      </c>
      <c r="AY47" s="712"/>
      <c r="AZ47" s="712"/>
      <c r="BA47" s="712"/>
      <c r="BB47" s="712"/>
      <c r="BC47" s="713"/>
      <c r="BD47" s="917">
        <v>300</v>
      </c>
      <c r="BE47" s="712"/>
      <c r="BF47" s="712"/>
      <c r="BG47" s="713"/>
      <c r="BH47" s="917">
        <v>2</v>
      </c>
      <c r="BI47" s="994"/>
      <c r="BJ47" s="994"/>
      <c r="BK47" s="994"/>
      <c r="BL47" s="995"/>
      <c r="BN47" s="881">
        <v>43</v>
      </c>
      <c r="BO47" s="882"/>
      <c r="BP47" s="883"/>
      <c r="BT47" s="746"/>
      <c r="BU47" s="747"/>
      <c r="BV47" s="784" t="str">
        <f>IF(BT47="","-",(IF(INDEX($A$5:$BP$257,MATCH(BT47,$BN$5:$BN$257,0),50)="Aço Inoxidável",('Densidade do AR'!$S$8*1000000),IF(INDEX($A$5:$BP$257,MATCH(BT47,$BN$5:$BN$257,0),50)="Ferro Fundido",('Densidade do AR'!$S$12*1000000),IF(INDEX($A$5:$BP$257,MATCH(BT47,$BN$5:$BN$257,0),50)="Latão",('Densidade do AR'!$S$10*1000000),IF(INDEX($A$5:$BP$257,MATCH(BT47,$BN$5:$BN$257,0),50)="Alumínio",('Densidade do AR'!$S$4*1000000)))))))</f>
        <v>-</v>
      </c>
      <c r="BW47" s="785"/>
      <c r="BX47" s="785"/>
      <c r="BY47" s="786"/>
      <c r="BZ47" s="787" t="str">
        <f t="shared" si="9"/>
        <v>-</v>
      </c>
      <c r="CA47" s="788"/>
      <c r="CB47" s="788"/>
      <c r="CC47" s="789"/>
      <c r="CD47" s="787" t="str">
        <f t="shared" si="1"/>
        <v>-</v>
      </c>
      <c r="CE47" s="788"/>
      <c r="CF47" s="788"/>
      <c r="CG47" s="789"/>
      <c r="CH47" s="790" t="str">
        <f t="shared" si="10"/>
        <v>-</v>
      </c>
      <c r="CI47" s="785"/>
      <c r="CJ47" s="785"/>
      <c r="CK47" s="786"/>
      <c r="CL47" s="790" t="str">
        <f t="shared" si="2"/>
        <v>-</v>
      </c>
      <c r="CM47" s="785"/>
      <c r="CN47" s="785"/>
      <c r="CO47" s="786"/>
      <c r="CP47" s="790" t="str">
        <f>IF(BT47="","-",INDEX($A$5:$BP$257,MATCH(BT47,$BN$5:$BN$257,0),39)*(IF(BT47="","-",(1+(((-('Densidade do AR'!$M$4))+('Densidade do AR'!$T$15*1000000))/(IF(INDEX($A$5:$BP$257,MATCH(BT47,$BN$5:$BN$257,0),50)="Aço Inoxidável",('Densidade do AR'!$S$8*1000000),IF(INDEX($A$5:$BP$257,MATCH(BT47,$BN$5:$BN$257,0),50)="Ferro Fundido",('Densidade do AR'!$S$12*1000000),IF(INDEX($A$5:$BP$257,MATCH(BT47,$BN$5:$BN$257,0),50)="Latão",('Densidade do AR'!$S$10*1000000),IF(INDEX($A$5:$BP$257,MATCH(BT47,$BN$5:$BN$257,0),50)="Alumínio",('Densidade do AR'!$S$4*1000000)))))))-(((-('Densidade do AR'!$M$4))+('Densidade do AR'!$T$15*1000000))/('Densidade do AR'!$S$14*1000000))))))</f>
        <v>-</v>
      </c>
      <c r="CQ47" s="785"/>
      <c r="CR47" s="785"/>
      <c r="CS47" s="791"/>
      <c r="CT47" s="91" t="str">
        <f t="shared" si="11"/>
        <v>-</v>
      </c>
      <c r="CU47" s="746"/>
      <c r="CV47" s="747"/>
      <c r="CW47" s="784" t="str">
        <f>IF(CU47="","-",(IF(INDEX($A$5:$BP$257,MATCH(CU47,$BN$5:$BN$257,0),50)="Aço Inoxidável",('Densidade do AR'!$S$8*1000000),IF(INDEX($A$5:$BP$257,MATCH(CU47,$BN$5:$BN$257,0),50)="Ferro Fundido",('Densidade do AR'!$S$12*1000000),IF(INDEX($A$5:$BP$257,MATCH(CU47,$BN$5:$BN$257,0),50)="Latão",('Densidade do AR'!$S$10*1000000),IF(INDEX($A$5:$BP$257,MATCH(CU47,$BN$5:$BN$257,0),50)="Alumínio",('Densidade do AR'!$S$4*1000000)))))))</f>
        <v>-</v>
      </c>
      <c r="CX47" s="785"/>
      <c r="CY47" s="785"/>
      <c r="CZ47" s="786"/>
      <c r="DA47" s="787" t="str">
        <f t="shared" si="12"/>
        <v>-</v>
      </c>
      <c r="DB47" s="788"/>
      <c r="DC47" s="788"/>
      <c r="DD47" s="789"/>
      <c r="DE47" s="787" t="str">
        <f t="shared" si="3"/>
        <v>-</v>
      </c>
      <c r="DF47" s="788"/>
      <c r="DG47" s="788"/>
      <c r="DH47" s="789"/>
      <c r="DI47" s="790" t="str">
        <f t="shared" si="13"/>
        <v>-</v>
      </c>
      <c r="DJ47" s="785"/>
      <c r="DK47" s="785"/>
      <c r="DL47" s="786"/>
      <c r="DM47" s="790" t="str">
        <f t="shared" si="4"/>
        <v>-</v>
      </c>
      <c r="DN47" s="785"/>
      <c r="DO47" s="785"/>
      <c r="DP47" s="786"/>
      <c r="DQ47" s="790" t="str">
        <f>IF(CU47="","-",INDEX($A$5:$BP$257,MATCH(CU47,$BN$5:$BN$257,0),39)*(IF(CU47="","-",(1+(((-('Densidade do AR'!$M$4))+('Densidade do AR'!$T$15*1000000))/(IF(INDEX($A$5:$BP$257,MATCH(CU47,$BN$5:$BN$257,0),50)="Aço Inoxidável",('Densidade do AR'!$S$8*1000000),IF(INDEX($A$5:$BP$257,MATCH(CU47,$BN$5:$BN$257,0),50)="Ferro Fundido",('Densidade do AR'!$S$12*1000000),IF(INDEX($A$5:$BP$257,MATCH(CU47,$BN$5:$BN$257,0),50)="Latão",('Densidade do AR'!$S$10*1000000),IF(INDEX($A$5:$BP$257,MATCH(CU47,$BN$5:$BN$257,0),50)="Alumínio",('Densidade do AR'!$S$4*1000000)))))))-(((-('Densidade do AR'!$M$4))+('Densidade do AR'!$T$15*1000000))/('Densidade do AR'!$S$14*1000000))))))</f>
        <v>-</v>
      </c>
      <c r="DR47" s="785"/>
      <c r="DS47" s="785"/>
      <c r="DT47" s="791"/>
      <c r="DU47" s="91" t="str">
        <f t="shared" si="14"/>
        <v>-</v>
      </c>
      <c r="DV47" s="746"/>
      <c r="DW47" s="747"/>
      <c r="DX47" s="784" t="str">
        <f>IF(DV47="","-",(IF(INDEX($A$5:$BP$257,MATCH(DV47,$BN$5:$BN$257,0),50)="Aço Inoxidável",('Densidade do AR'!$S$8*1000000),IF(INDEX($A$5:$BP$257,MATCH(DV47,$BN$5:$BN$257,0),50)="Ferro Fundido",('Densidade do AR'!$S$12*1000000),IF(INDEX($A$5:$BP$257,MATCH(DV47,$BN$5:$BN$257,0),50)="Latão",('Densidade do AR'!$S$10*1000000),IF(INDEX($A$5:$BP$257,MATCH(DV47,$BN$5:$BN$257,0),50)="Alumínio",('Densidade do AR'!$S$4*1000000)))))))</f>
        <v>-</v>
      </c>
      <c r="DY47" s="785"/>
      <c r="DZ47" s="785"/>
      <c r="EA47" s="786"/>
      <c r="EB47" s="787" t="str">
        <f t="shared" si="15"/>
        <v>-</v>
      </c>
      <c r="EC47" s="788"/>
      <c r="ED47" s="788"/>
      <c r="EE47" s="789"/>
      <c r="EF47" s="787" t="str">
        <f t="shared" si="5"/>
        <v>-</v>
      </c>
      <c r="EG47" s="788"/>
      <c r="EH47" s="788"/>
      <c r="EI47" s="789"/>
      <c r="EJ47" s="790" t="str">
        <f t="shared" si="16"/>
        <v>-</v>
      </c>
      <c r="EK47" s="785"/>
      <c r="EL47" s="785"/>
      <c r="EM47" s="786"/>
      <c r="EN47" s="790" t="str">
        <f t="shared" si="6"/>
        <v>-</v>
      </c>
      <c r="EO47" s="785"/>
      <c r="EP47" s="785"/>
      <c r="EQ47" s="786"/>
      <c r="ER47" s="790" t="str">
        <f>IF(DV47="","-",INDEX($A$5:$BP$257,MATCH(DV47,$BN$5:$BN$257,0),39)*(IF(DV47="","-",(1+(((-('Densidade do AR'!$M$4))+('Densidade do AR'!$T$15*1000000))/(IF(INDEX($A$5:$BP$257,MATCH(DV47,$BN$5:$BN$257,0),50)="Aço Inoxidável",('Densidade do AR'!$S$8*1000000),IF(INDEX($A$5:$BP$257,MATCH(DV47,$BN$5:$BN$257,0),50)="Ferro Fundido",('Densidade do AR'!$S$12*1000000),IF(INDEX($A$5:$BP$257,MATCH(DV47,$BN$5:$BN$257,0),50)="Latão",('Densidade do AR'!$S$10*1000000),IF(INDEX($A$5:$BP$257,MATCH(DV47,$BN$5:$BN$257,0),50)="Alumínio",('Densidade do AR'!$S$4*1000000)))))))-(((-('Densidade do AR'!$M$4))+('Densidade do AR'!$T$15*1000000))/('Densidade do AR'!$S$14*1000000))))))</f>
        <v>-</v>
      </c>
      <c r="ES47" s="785"/>
      <c r="ET47" s="785"/>
      <c r="EU47" s="791"/>
      <c r="EV47" s="91" t="str">
        <f t="shared" si="17"/>
        <v>-</v>
      </c>
      <c r="EW47" s="746"/>
      <c r="EX47" s="747"/>
      <c r="EY47" s="784" t="str">
        <f>IF(EW47="","-",(IF(INDEX($A$5:$BP$257,MATCH(EW47,$BN$5:$BN$257,0),50)="Aço Inoxidável",('Densidade do AR'!$S$8*1000000),IF(INDEX($A$5:$BP$257,MATCH(EW47,$BN$5:$BN$257,0),50)="Ferro Fundido",('Densidade do AR'!$S$12*1000000),IF(INDEX($A$5:$BP$257,MATCH(EW47,$BN$5:$BN$257,0),50)="Latão",('Densidade do AR'!$S$10*1000000),IF(INDEX($A$5:$BP$257,MATCH(EW47,$BN$5:$BN$257,0),50)="Alumínio",('Densidade do AR'!$S$4*1000000)))))))</f>
        <v>-</v>
      </c>
      <c r="EZ47" s="785"/>
      <c r="FA47" s="785"/>
      <c r="FB47" s="786"/>
      <c r="FC47" s="787" t="str">
        <f t="shared" si="18"/>
        <v>-</v>
      </c>
      <c r="FD47" s="788"/>
      <c r="FE47" s="788"/>
      <c r="FF47" s="789"/>
      <c r="FG47" s="787" t="str">
        <f t="shared" si="7"/>
        <v>-</v>
      </c>
      <c r="FH47" s="788"/>
      <c r="FI47" s="788"/>
      <c r="FJ47" s="789"/>
      <c r="FK47" s="790" t="str">
        <f t="shared" si="19"/>
        <v>-</v>
      </c>
      <c r="FL47" s="785"/>
      <c r="FM47" s="785"/>
      <c r="FN47" s="786"/>
      <c r="FO47" s="790" t="str">
        <f t="shared" si="8"/>
        <v>-</v>
      </c>
      <c r="FP47" s="785"/>
      <c r="FQ47" s="785"/>
      <c r="FR47" s="786"/>
      <c r="FS47" s="790" t="str">
        <f>IF(EW47="","-",INDEX($A$5:$BP$257,MATCH(EW47,$BN$5:$BN$257,0),39)*(IF(EW47="","-",(1+(((-('Densidade do AR'!$M$4))+('Densidade do AR'!$T$15*1000000))/(IF(INDEX($A$5:$BP$257,MATCH(EW47,$BN$5:$BN$257,0),50)="Aço Inoxidável",('Densidade do AR'!$S$8*1000000),IF(INDEX($A$5:$BP$257,MATCH(EW47,$BN$5:$BN$257,0),50)="Ferro Fundido",('Densidade do AR'!$S$12*1000000),IF(INDEX($A$5:$BP$257,MATCH(EW47,$BN$5:$BN$257,0),50)="Latão",('Densidade do AR'!$S$10*1000000),IF(INDEX($A$5:$BP$257,MATCH(EW47,$BN$5:$BN$257,0),50)="Alumínio",('Densidade do AR'!$S$4*1000000)))))))-(((-('Densidade do AR'!$M$4))+('Densidade do AR'!$T$15*1000000))/('Densidade do AR'!$S$14*1000000))))))</f>
        <v>-</v>
      </c>
      <c r="FT47" s="785"/>
      <c r="FU47" s="785"/>
      <c r="FV47" s="791"/>
      <c r="FW47" s="91" t="str">
        <f t="shared" si="20"/>
        <v>-</v>
      </c>
      <c r="FX47" s="135"/>
    </row>
    <row r="48" spans="1:180" x14ac:dyDescent="0.2">
      <c r="A48" s="718">
        <v>44</v>
      </c>
      <c r="B48" s="713"/>
      <c r="C48" s="719">
        <v>20000</v>
      </c>
      <c r="D48" s="709"/>
      <c r="E48" s="709"/>
      <c r="F48" s="709"/>
      <c r="G48" s="710"/>
      <c r="H48" s="720">
        <v>10</v>
      </c>
      <c r="I48" s="941"/>
      <c r="J48" s="941"/>
      <c r="K48" s="942"/>
      <c r="L48" s="719" t="s">
        <v>112</v>
      </c>
      <c r="M48" s="709"/>
      <c r="N48" s="709"/>
      <c r="O48" s="709"/>
      <c r="P48" s="938">
        <v>10</v>
      </c>
      <c r="Q48" s="960"/>
      <c r="R48" s="960"/>
      <c r="S48" s="960"/>
      <c r="T48" s="961"/>
      <c r="U48" s="897" t="s">
        <v>305</v>
      </c>
      <c r="V48" s="722"/>
      <c r="W48" s="722"/>
      <c r="X48" s="722"/>
      <c r="Y48" s="722"/>
      <c r="Z48" s="722"/>
      <c r="AA48" s="723"/>
      <c r="AB48" s="853"/>
      <c r="AC48" s="854"/>
      <c r="AD48" s="854"/>
      <c r="AE48" s="854"/>
      <c r="AF48" s="854"/>
      <c r="AG48" s="854"/>
      <c r="AH48" s="854"/>
      <c r="AI48" s="854"/>
      <c r="AJ48" s="854"/>
      <c r="AK48" s="854"/>
      <c r="AL48" s="855"/>
      <c r="AM48" s="909">
        <v>20000000</v>
      </c>
      <c r="AN48" s="712"/>
      <c r="AO48" s="712"/>
      <c r="AP48" s="712"/>
      <c r="AQ48" s="712"/>
      <c r="AR48" s="712"/>
      <c r="AS48" s="713"/>
      <c r="AT48" s="909">
        <f t="shared" si="21"/>
        <v>0</v>
      </c>
      <c r="AU48" s="712"/>
      <c r="AV48" s="712"/>
      <c r="AW48" s="713"/>
      <c r="AX48" s="908" t="s">
        <v>13</v>
      </c>
      <c r="AY48" s="712"/>
      <c r="AZ48" s="712"/>
      <c r="BA48" s="712"/>
      <c r="BB48" s="712"/>
      <c r="BC48" s="713"/>
      <c r="BD48" s="909">
        <v>300</v>
      </c>
      <c r="BE48" s="712"/>
      <c r="BF48" s="712"/>
      <c r="BG48" s="713"/>
      <c r="BH48" s="909">
        <v>2</v>
      </c>
      <c r="BI48" s="994"/>
      <c r="BJ48" s="994"/>
      <c r="BK48" s="994"/>
      <c r="BL48" s="995"/>
      <c r="BN48" s="878">
        <v>44</v>
      </c>
      <c r="BO48" s="879"/>
      <c r="BP48" s="880"/>
      <c r="BT48" s="736"/>
      <c r="BU48" s="737"/>
      <c r="BV48" s="738" t="str">
        <f>IF(BT48="","-",(IF(INDEX($A$5:$BP$257,MATCH(BT48,$BN$5:$BN$257,0),50)="Aço Inoxidável",('Densidade do AR'!$S$8*1000000),IF(INDEX($A$5:$BP$257,MATCH(BT48,$BN$5:$BN$257,0),50)="Ferro Fundido",('Densidade do AR'!$S$12*1000000),IF(INDEX($A$5:$BP$257,MATCH(BT48,$BN$5:$BN$257,0),50)="Latão",('Densidade do AR'!$S$10*1000000),IF(INDEX($A$5:$BP$257,MATCH(BT48,$BN$5:$BN$257,0),50)="Alumínio",('Densidade do AR'!$S$4*1000000)))))))</f>
        <v>-</v>
      </c>
      <c r="BW48" s="739"/>
      <c r="BX48" s="739"/>
      <c r="BY48" s="740"/>
      <c r="BZ48" s="741" t="str">
        <f t="shared" si="9"/>
        <v>-</v>
      </c>
      <c r="CA48" s="742"/>
      <c r="CB48" s="742"/>
      <c r="CC48" s="743"/>
      <c r="CD48" s="741" t="str">
        <f t="shared" si="1"/>
        <v>-</v>
      </c>
      <c r="CE48" s="742"/>
      <c r="CF48" s="742"/>
      <c r="CG48" s="743"/>
      <c r="CH48" s="744" t="str">
        <f t="shared" si="10"/>
        <v>-</v>
      </c>
      <c r="CI48" s="739"/>
      <c r="CJ48" s="739"/>
      <c r="CK48" s="740"/>
      <c r="CL48" s="744" t="str">
        <f t="shared" si="2"/>
        <v>-</v>
      </c>
      <c r="CM48" s="739"/>
      <c r="CN48" s="739"/>
      <c r="CO48" s="740"/>
      <c r="CP48" s="744" t="str">
        <f>IF(BT48="","-",INDEX($A$5:$BP$257,MATCH(BT48,$BN$5:$BN$257,0),39)*(IF(BT48="","-",(1+(((-('Densidade do AR'!$M$4))+('Densidade do AR'!$T$15*1000000))/(IF(INDEX($A$5:$BP$257,MATCH(BT48,$BN$5:$BN$257,0),50)="Aço Inoxidável",('Densidade do AR'!$S$8*1000000),IF(INDEX($A$5:$BP$257,MATCH(BT48,$BN$5:$BN$257,0),50)="Ferro Fundido",('Densidade do AR'!$S$12*1000000),IF(INDEX($A$5:$BP$257,MATCH(BT48,$BN$5:$BN$257,0),50)="Latão",('Densidade do AR'!$S$10*1000000),IF(INDEX($A$5:$BP$257,MATCH(BT48,$BN$5:$BN$257,0),50)="Alumínio",('Densidade do AR'!$S$4*1000000)))))))-(((-('Densidade do AR'!$M$4))+('Densidade do AR'!$T$15*1000000))/('Densidade do AR'!$S$14*1000000))))))</f>
        <v>-</v>
      </c>
      <c r="CQ48" s="739"/>
      <c r="CR48" s="739"/>
      <c r="CS48" s="745"/>
      <c r="CT48" s="91" t="str">
        <f t="shared" si="11"/>
        <v>-</v>
      </c>
      <c r="CU48" s="736"/>
      <c r="CV48" s="737"/>
      <c r="CW48" s="738" t="str">
        <f>IF(CU48="","-",(IF(INDEX($A$5:$BP$257,MATCH(CU48,$BN$5:$BN$257,0),50)="Aço Inoxidável",('Densidade do AR'!$S$8*1000000),IF(INDEX($A$5:$BP$257,MATCH(CU48,$BN$5:$BN$257,0),50)="Ferro Fundido",('Densidade do AR'!$S$12*1000000),IF(INDEX($A$5:$BP$257,MATCH(CU48,$BN$5:$BN$257,0),50)="Latão",('Densidade do AR'!$S$10*1000000),IF(INDEX($A$5:$BP$257,MATCH(CU48,$BN$5:$BN$257,0),50)="Alumínio",('Densidade do AR'!$S$4*1000000)))))))</f>
        <v>-</v>
      </c>
      <c r="CX48" s="739"/>
      <c r="CY48" s="739"/>
      <c r="CZ48" s="740"/>
      <c r="DA48" s="741" t="str">
        <f t="shared" si="12"/>
        <v>-</v>
      </c>
      <c r="DB48" s="742"/>
      <c r="DC48" s="742"/>
      <c r="DD48" s="743"/>
      <c r="DE48" s="741" t="str">
        <f t="shared" si="3"/>
        <v>-</v>
      </c>
      <c r="DF48" s="742"/>
      <c r="DG48" s="742"/>
      <c r="DH48" s="743"/>
      <c r="DI48" s="744" t="str">
        <f t="shared" si="13"/>
        <v>-</v>
      </c>
      <c r="DJ48" s="739"/>
      <c r="DK48" s="739"/>
      <c r="DL48" s="740"/>
      <c r="DM48" s="744" t="str">
        <f t="shared" si="4"/>
        <v>-</v>
      </c>
      <c r="DN48" s="739"/>
      <c r="DO48" s="739"/>
      <c r="DP48" s="740"/>
      <c r="DQ48" s="744" t="str">
        <f>IF(CU48="","-",INDEX($A$5:$BP$257,MATCH(CU48,$BN$5:$BN$257,0),39)*(IF(CU48="","-",(1+(((-('Densidade do AR'!$M$4))+('Densidade do AR'!$T$15*1000000))/(IF(INDEX($A$5:$BP$257,MATCH(CU48,$BN$5:$BN$257,0),50)="Aço Inoxidável",('Densidade do AR'!$S$8*1000000),IF(INDEX($A$5:$BP$257,MATCH(CU48,$BN$5:$BN$257,0),50)="Ferro Fundido",('Densidade do AR'!$S$12*1000000),IF(INDEX($A$5:$BP$257,MATCH(CU48,$BN$5:$BN$257,0),50)="Latão",('Densidade do AR'!$S$10*1000000),IF(INDEX($A$5:$BP$257,MATCH(CU48,$BN$5:$BN$257,0),50)="Alumínio",('Densidade do AR'!$S$4*1000000)))))))-(((-('Densidade do AR'!$M$4))+('Densidade do AR'!$T$15*1000000))/('Densidade do AR'!$S$14*1000000))))))</f>
        <v>-</v>
      </c>
      <c r="DR48" s="739"/>
      <c r="DS48" s="739"/>
      <c r="DT48" s="745"/>
      <c r="DU48" s="91" t="str">
        <f t="shared" si="14"/>
        <v>-</v>
      </c>
      <c r="DV48" s="736"/>
      <c r="DW48" s="737"/>
      <c r="DX48" s="738" t="str">
        <f>IF(DV48="","-",(IF(INDEX($A$5:$BP$257,MATCH(DV48,$BN$5:$BN$257,0),50)="Aço Inoxidável",('Densidade do AR'!$S$8*1000000),IF(INDEX($A$5:$BP$257,MATCH(DV48,$BN$5:$BN$257,0),50)="Ferro Fundido",('Densidade do AR'!$S$12*1000000),IF(INDEX($A$5:$BP$257,MATCH(DV48,$BN$5:$BN$257,0),50)="Latão",('Densidade do AR'!$S$10*1000000),IF(INDEX($A$5:$BP$257,MATCH(DV48,$BN$5:$BN$257,0),50)="Alumínio",('Densidade do AR'!$S$4*1000000)))))))</f>
        <v>-</v>
      </c>
      <c r="DY48" s="739"/>
      <c r="DZ48" s="739"/>
      <c r="EA48" s="740"/>
      <c r="EB48" s="741" t="str">
        <f t="shared" si="15"/>
        <v>-</v>
      </c>
      <c r="EC48" s="742"/>
      <c r="ED48" s="742"/>
      <c r="EE48" s="743"/>
      <c r="EF48" s="741" t="str">
        <f t="shared" si="5"/>
        <v>-</v>
      </c>
      <c r="EG48" s="742"/>
      <c r="EH48" s="742"/>
      <c r="EI48" s="743"/>
      <c r="EJ48" s="744" t="str">
        <f t="shared" si="16"/>
        <v>-</v>
      </c>
      <c r="EK48" s="739"/>
      <c r="EL48" s="739"/>
      <c r="EM48" s="740"/>
      <c r="EN48" s="744" t="str">
        <f t="shared" si="6"/>
        <v>-</v>
      </c>
      <c r="EO48" s="739"/>
      <c r="EP48" s="739"/>
      <c r="EQ48" s="740"/>
      <c r="ER48" s="744" t="str">
        <f>IF(DV48="","-",INDEX($A$5:$BP$257,MATCH(DV48,$BN$5:$BN$257,0),39)*(IF(DV48="","-",(1+(((-('Densidade do AR'!$M$4))+('Densidade do AR'!$T$15*1000000))/(IF(INDEX($A$5:$BP$257,MATCH(DV48,$BN$5:$BN$257,0),50)="Aço Inoxidável",('Densidade do AR'!$S$8*1000000),IF(INDEX($A$5:$BP$257,MATCH(DV48,$BN$5:$BN$257,0),50)="Ferro Fundido",('Densidade do AR'!$S$12*1000000),IF(INDEX($A$5:$BP$257,MATCH(DV48,$BN$5:$BN$257,0),50)="Latão",('Densidade do AR'!$S$10*1000000),IF(INDEX($A$5:$BP$257,MATCH(DV48,$BN$5:$BN$257,0),50)="Alumínio",('Densidade do AR'!$S$4*1000000)))))))-(((-('Densidade do AR'!$M$4))+('Densidade do AR'!$T$15*1000000))/('Densidade do AR'!$S$14*1000000))))))</f>
        <v>-</v>
      </c>
      <c r="ES48" s="739"/>
      <c r="ET48" s="739"/>
      <c r="EU48" s="745"/>
      <c r="EV48" s="91" t="str">
        <f t="shared" si="17"/>
        <v>-</v>
      </c>
      <c r="EW48" s="736"/>
      <c r="EX48" s="737"/>
      <c r="EY48" s="738" t="str">
        <f>IF(EW48="","-",(IF(INDEX($A$5:$BP$257,MATCH(EW48,$BN$5:$BN$257,0),50)="Aço Inoxidável",('Densidade do AR'!$S$8*1000000),IF(INDEX($A$5:$BP$257,MATCH(EW48,$BN$5:$BN$257,0),50)="Ferro Fundido",('Densidade do AR'!$S$12*1000000),IF(INDEX($A$5:$BP$257,MATCH(EW48,$BN$5:$BN$257,0),50)="Latão",('Densidade do AR'!$S$10*1000000),IF(INDEX($A$5:$BP$257,MATCH(EW48,$BN$5:$BN$257,0),50)="Alumínio",('Densidade do AR'!$S$4*1000000)))))))</f>
        <v>-</v>
      </c>
      <c r="EZ48" s="739"/>
      <c r="FA48" s="739"/>
      <c r="FB48" s="740"/>
      <c r="FC48" s="741" t="str">
        <f t="shared" si="18"/>
        <v>-</v>
      </c>
      <c r="FD48" s="742"/>
      <c r="FE48" s="742"/>
      <c r="FF48" s="743"/>
      <c r="FG48" s="741" t="str">
        <f t="shared" si="7"/>
        <v>-</v>
      </c>
      <c r="FH48" s="742"/>
      <c r="FI48" s="742"/>
      <c r="FJ48" s="743"/>
      <c r="FK48" s="744" t="str">
        <f t="shared" si="19"/>
        <v>-</v>
      </c>
      <c r="FL48" s="739"/>
      <c r="FM48" s="739"/>
      <c r="FN48" s="740"/>
      <c r="FO48" s="744" t="str">
        <f t="shared" si="8"/>
        <v>-</v>
      </c>
      <c r="FP48" s="739"/>
      <c r="FQ48" s="739"/>
      <c r="FR48" s="740"/>
      <c r="FS48" s="744" t="str">
        <f>IF(EW48="","-",INDEX($A$5:$BP$257,MATCH(EW48,$BN$5:$BN$257,0),39)*(IF(EW48="","-",(1+(((-('Densidade do AR'!$M$4))+('Densidade do AR'!$T$15*1000000))/(IF(INDEX($A$5:$BP$257,MATCH(EW48,$BN$5:$BN$257,0),50)="Aço Inoxidável",('Densidade do AR'!$S$8*1000000),IF(INDEX($A$5:$BP$257,MATCH(EW48,$BN$5:$BN$257,0),50)="Ferro Fundido",('Densidade do AR'!$S$12*1000000),IF(INDEX($A$5:$BP$257,MATCH(EW48,$BN$5:$BN$257,0),50)="Latão",('Densidade do AR'!$S$10*1000000),IF(INDEX($A$5:$BP$257,MATCH(EW48,$BN$5:$BN$257,0),50)="Alumínio",('Densidade do AR'!$S$4*1000000)))))))-(((-('Densidade do AR'!$M$4))+('Densidade do AR'!$T$15*1000000))/('Densidade do AR'!$S$14*1000000))))))</f>
        <v>-</v>
      </c>
      <c r="FT48" s="739"/>
      <c r="FU48" s="739"/>
      <c r="FV48" s="745"/>
      <c r="FW48" s="91" t="str">
        <f t="shared" si="20"/>
        <v>-</v>
      </c>
      <c r="FX48" s="135"/>
    </row>
    <row r="49" spans="1:180" x14ac:dyDescent="0.2">
      <c r="A49" s="717">
        <v>45</v>
      </c>
      <c r="B49" s="713"/>
      <c r="C49" s="708">
        <v>20000</v>
      </c>
      <c r="D49" s="709"/>
      <c r="E49" s="709"/>
      <c r="F49" s="709"/>
      <c r="G49" s="710"/>
      <c r="H49" s="711">
        <v>11</v>
      </c>
      <c r="I49" s="934"/>
      <c r="J49" s="934"/>
      <c r="K49" s="935"/>
      <c r="L49" s="708" t="s">
        <v>112</v>
      </c>
      <c r="M49" s="709"/>
      <c r="N49" s="709"/>
      <c r="O49" s="709"/>
      <c r="P49" s="708">
        <v>11</v>
      </c>
      <c r="Q49" s="879"/>
      <c r="R49" s="879"/>
      <c r="S49" s="879"/>
      <c r="T49" s="937"/>
      <c r="U49" s="898" t="s">
        <v>305</v>
      </c>
      <c r="V49" s="715"/>
      <c r="W49" s="715"/>
      <c r="X49" s="715"/>
      <c r="Y49" s="715"/>
      <c r="Z49" s="715"/>
      <c r="AA49" s="716"/>
      <c r="AB49" s="850"/>
      <c r="AC49" s="851"/>
      <c r="AD49" s="851"/>
      <c r="AE49" s="851"/>
      <c r="AF49" s="851"/>
      <c r="AG49" s="851"/>
      <c r="AH49" s="851"/>
      <c r="AI49" s="851"/>
      <c r="AJ49" s="851"/>
      <c r="AK49" s="851"/>
      <c r="AL49" s="852"/>
      <c r="AM49" s="917">
        <v>20000000</v>
      </c>
      <c r="AN49" s="712"/>
      <c r="AO49" s="712"/>
      <c r="AP49" s="712"/>
      <c r="AQ49" s="712"/>
      <c r="AR49" s="712"/>
      <c r="AS49" s="713"/>
      <c r="AT49" s="917">
        <f t="shared" si="21"/>
        <v>0</v>
      </c>
      <c r="AU49" s="712"/>
      <c r="AV49" s="712"/>
      <c r="AW49" s="713"/>
      <c r="AX49" s="917" t="s">
        <v>13</v>
      </c>
      <c r="AY49" s="712"/>
      <c r="AZ49" s="712"/>
      <c r="BA49" s="712"/>
      <c r="BB49" s="712"/>
      <c r="BC49" s="713"/>
      <c r="BD49" s="917">
        <v>300</v>
      </c>
      <c r="BE49" s="712"/>
      <c r="BF49" s="712"/>
      <c r="BG49" s="713"/>
      <c r="BH49" s="917">
        <v>2</v>
      </c>
      <c r="BI49" s="994"/>
      <c r="BJ49" s="994"/>
      <c r="BK49" s="994"/>
      <c r="BL49" s="995"/>
      <c r="BN49" s="881">
        <v>45</v>
      </c>
      <c r="BO49" s="882"/>
      <c r="BP49" s="883"/>
      <c r="BT49" s="746"/>
      <c r="BU49" s="747"/>
      <c r="BV49" s="784" t="str">
        <f>IF(BT49="","-",(IF(INDEX($A$5:$BP$257,MATCH(BT49,$BN$5:$BN$257,0),50)="Aço Inoxidável",('Densidade do AR'!$S$8*1000000),IF(INDEX($A$5:$BP$257,MATCH(BT49,$BN$5:$BN$257,0),50)="Ferro Fundido",('Densidade do AR'!$S$12*1000000),IF(INDEX($A$5:$BP$257,MATCH(BT49,$BN$5:$BN$257,0),50)="Latão",('Densidade do AR'!$S$10*1000000),IF(INDEX($A$5:$BP$257,MATCH(BT49,$BN$5:$BN$257,0),50)="Alumínio",('Densidade do AR'!$S$4*1000000)))))))</f>
        <v>-</v>
      </c>
      <c r="BW49" s="785"/>
      <c r="BX49" s="785"/>
      <c r="BY49" s="786"/>
      <c r="BZ49" s="787" t="str">
        <f t="shared" si="9"/>
        <v>-</v>
      </c>
      <c r="CA49" s="788"/>
      <c r="CB49" s="788"/>
      <c r="CC49" s="789"/>
      <c r="CD49" s="787" t="str">
        <f t="shared" si="1"/>
        <v>-</v>
      </c>
      <c r="CE49" s="788"/>
      <c r="CF49" s="788"/>
      <c r="CG49" s="789"/>
      <c r="CH49" s="790" t="str">
        <f t="shared" si="10"/>
        <v>-</v>
      </c>
      <c r="CI49" s="785"/>
      <c r="CJ49" s="785"/>
      <c r="CK49" s="786"/>
      <c r="CL49" s="790" t="str">
        <f t="shared" si="2"/>
        <v>-</v>
      </c>
      <c r="CM49" s="785"/>
      <c r="CN49" s="785"/>
      <c r="CO49" s="786"/>
      <c r="CP49" s="790" t="str">
        <f>IF(BT49="","-",INDEX($A$5:$BP$257,MATCH(BT49,$BN$5:$BN$257,0),39)*(IF(BT49="","-",(1+(((-('Densidade do AR'!$M$4))+('Densidade do AR'!$T$15*1000000))/(IF(INDEX($A$5:$BP$257,MATCH(BT49,$BN$5:$BN$257,0),50)="Aço Inoxidável",('Densidade do AR'!$S$8*1000000),IF(INDEX($A$5:$BP$257,MATCH(BT49,$BN$5:$BN$257,0),50)="Ferro Fundido",('Densidade do AR'!$S$12*1000000),IF(INDEX($A$5:$BP$257,MATCH(BT49,$BN$5:$BN$257,0),50)="Latão",('Densidade do AR'!$S$10*1000000),IF(INDEX($A$5:$BP$257,MATCH(BT49,$BN$5:$BN$257,0),50)="Alumínio",('Densidade do AR'!$S$4*1000000)))))))-(((-('Densidade do AR'!$M$4))+('Densidade do AR'!$T$15*1000000))/('Densidade do AR'!$S$14*1000000))))))</f>
        <v>-</v>
      </c>
      <c r="CQ49" s="785"/>
      <c r="CR49" s="785"/>
      <c r="CS49" s="791"/>
      <c r="CT49" s="91" t="str">
        <f t="shared" si="11"/>
        <v>-</v>
      </c>
      <c r="CU49" s="746"/>
      <c r="CV49" s="747"/>
      <c r="CW49" s="784" t="str">
        <f>IF(CU49="","-",(IF(INDEX($A$5:$BP$257,MATCH(CU49,$BN$5:$BN$257,0),50)="Aço Inoxidável",('Densidade do AR'!$S$8*1000000),IF(INDEX($A$5:$BP$257,MATCH(CU49,$BN$5:$BN$257,0),50)="Ferro Fundido",('Densidade do AR'!$S$12*1000000),IF(INDEX($A$5:$BP$257,MATCH(CU49,$BN$5:$BN$257,0),50)="Latão",('Densidade do AR'!$S$10*1000000),IF(INDEX($A$5:$BP$257,MATCH(CU49,$BN$5:$BN$257,0),50)="Alumínio",('Densidade do AR'!$S$4*1000000)))))))</f>
        <v>-</v>
      </c>
      <c r="CX49" s="785"/>
      <c r="CY49" s="785"/>
      <c r="CZ49" s="786"/>
      <c r="DA49" s="787" t="str">
        <f t="shared" si="12"/>
        <v>-</v>
      </c>
      <c r="DB49" s="788"/>
      <c r="DC49" s="788"/>
      <c r="DD49" s="789"/>
      <c r="DE49" s="787" t="str">
        <f t="shared" si="3"/>
        <v>-</v>
      </c>
      <c r="DF49" s="788"/>
      <c r="DG49" s="788"/>
      <c r="DH49" s="789"/>
      <c r="DI49" s="790" t="str">
        <f t="shared" si="13"/>
        <v>-</v>
      </c>
      <c r="DJ49" s="785"/>
      <c r="DK49" s="785"/>
      <c r="DL49" s="786"/>
      <c r="DM49" s="790" t="str">
        <f t="shared" si="4"/>
        <v>-</v>
      </c>
      <c r="DN49" s="785"/>
      <c r="DO49" s="785"/>
      <c r="DP49" s="786"/>
      <c r="DQ49" s="790" t="str">
        <f>IF(CU49="","-",INDEX($A$5:$BP$257,MATCH(CU49,$BN$5:$BN$257,0),39)*(IF(CU49="","-",(1+(((-('Densidade do AR'!$M$4))+('Densidade do AR'!$T$15*1000000))/(IF(INDEX($A$5:$BP$257,MATCH(CU49,$BN$5:$BN$257,0),50)="Aço Inoxidável",('Densidade do AR'!$S$8*1000000),IF(INDEX($A$5:$BP$257,MATCH(CU49,$BN$5:$BN$257,0),50)="Ferro Fundido",('Densidade do AR'!$S$12*1000000),IF(INDEX($A$5:$BP$257,MATCH(CU49,$BN$5:$BN$257,0),50)="Latão",('Densidade do AR'!$S$10*1000000),IF(INDEX($A$5:$BP$257,MATCH(CU49,$BN$5:$BN$257,0),50)="Alumínio",('Densidade do AR'!$S$4*1000000)))))))-(((-('Densidade do AR'!$M$4))+('Densidade do AR'!$T$15*1000000))/('Densidade do AR'!$S$14*1000000))))))</f>
        <v>-</v>
      </c>
      <c r="DR49" s="785"/>
      <c r="DS49" s="785"/>
      <c r="DT49" s="791"/>
      <c r="DU49" s="91" t="str">
        <f t="shared" si="14"/>
        <v>-</v>
      </c>
      <c r="DV49" s="746"/>
      <c r="DW49" s="747"/>
      <c r="DX49" s="784" t="str">
        <f>IF(DV49="","-",(IF(INDEX($A$5:$BP$257,MATCH(DV49,$BN$5:$BN$257,0),50)="Aço Inoxidável",('Densidade do AR'!$S$8*1000000),IF(INDEX($A$5:$BP$257,MATCH(DV49,$BN$5:$BN$257,0),50)="Ferro Fundido",('Densidade do AR'!$S$12*1000000),IF(INDEX($A$5:$BP$257,MATCH(DV49,$BN$5:$BN$257,0),50)="Latão",('Densidade do AR'!$S$10*1000000),IF(INDEX($A$5:$BP$257,MATCH(DV49,$BN$5:$BN$257,0),50)="Alumínio",('Densidade do AR'!$S$4*1000000)))))))</f>
        <v>-</v>
      </c>
      <c r="DY49" s="785"/>
      <c r="DZ49" s="785"/>
      <c r="EA49" s="786"/>
      <c r="EB49" s="787" t="str">
        <f t="shared" si="15"/>
        <v>-</v>
      </c>
      <c r="EC49" s="788"/>
      <c r="ED49" s="788"/>
      <c r="EE49" s="789"/>
      <c r="EF49" s="787" t="str">
        <f t="shared" si="5"/>
        <v>-</v>
      </c>
      <c r="EG49" s="788"/>
      <c r="EH49" s="788"/>
      <c r="EI49" s="789"/>
      <c r="EJ49" s="790" t="str">
        <f t="shared" si="16"/>
        <v>-</v>
      </c>
      <c r="EK49" s="785"/>
      <c r="EL49" s="785"/>
      <c r="EM49" s="786"/>
      <c r="EN49" s="790" t="str">
        <f t="shared" si="6"/>
        <v>-</v>
      </c>
      <c r="EO49" s="785"/>
      <c r="EP49" s="785"/>
      <c r="EQ49" s="786"/>
      <c r="ER49" s="790" t="str">
        <f>IF(DV49="","-",INDEX($A$5:$BP$257,MATCH(DV49,$BN$5:$BN$257,0),39)*(IF(DV49="","-",(1+(((-('Densidade do AR'!$M$4))+('Densidade do AR'!$T$15*1000000))/(IF(INDEX($A$5:$BP$257,MATCH(DV49,$BN$5:$BN$257,0),50)="Aço Inoxidável",('Densidade do AR'!$S$8*1000000),IF(INDEX($A$5:$BP$257,MATCH(DV49,$BN$5:$BN$257,0),50)="Ferro Fundido",('Densidade do AR'!$S$12*1000000),IF(INDEX($A$5:$BP$257,MATCH(DV49,$BN$5:$BN$257,0),50)="Latão",('Densidade do AR'!$S$10*1000000),IF(INDEX($A$5:$BP$257,MATCH(DV49,$BN$5:$BN$257,0),50)="Alumínio",('Densidade do AR'!$S$4*1000000)))))))-(((-('Densidade do AR'!$M$4))+('Densidade do AR'!$T$15*1000000))/('Densidade do AR'!$S$14*1000000))))))</f>
        <v>-</v>
      </c>
      <c r="ES49" s="785"/>
      <c r="ET49" s="785"/>
      <c r="EU49" s="791"/>
      <c r="EV49" s="91" t="str">
        <f t="shared" si="17"/>
        <v>-</v>
      </c>
      <c r="EW49" s="746"/>
      <c r="EX49" s="747"/>
      <c r="EY49" s="784" t="str">
        <f>IF(EW49="","-",(IF(INDEX($A$5:$BP$257,MATCH(EW49,$BN$5:$BN$257,0),50)="Aço Inoxidável",('Densidade do AR'!$S$8*1000000),IF(INDEX($A$5:$BP$257,MATCH(EW49,$BN$5:$BN$257,0),50)="Ferro Fundido",('Densidade do AR'!$S$12*1000000),IF(INDEX($A$5:$BP$257,MATCH(EW49,$BN$5:$BN$257,0),50)="Latão",('Densidade do AR'!$S$10*1000000),IF(INDEX($A$5:$BP$257,MATCH(EW49,$BN$5:$BN$257,0),50)="Alumínio",('Densidade do AR'!$S$4*1000000)))))))</f>
        <v>-</v>
      </c>
      <c r="EZ49" s="785"/>
      <c r="FA49" s="785"/>
      <c r="FB49" s="786"/>
      <c r="FC49" s="787" t="str">
        <f t="shared" si="18"/>
        <v>-</v>
      </c>
      <c r="FD49" s="788"/>
      <c r="FE49" s="788"/>
      <c r="FF49" s="789"/>
      <c r="FG49" s="787" t="str">
        <f t="shared" si="7"/>
        <v>-</v>
      </c>
      <c r="FH49" s="788"/>
      <c r="FI49" s="788"/>
      <c r="FJ49" s="789"/>
      <c r="FK49" s="790" t="str">
        <f t="shared" si="19"/>
        <v>-</v>
      </c>
      <c r="FL49" s="785"/>
      <c r="FM49" s="785"/>
      <c r="FN49" s="786"/>
      <c r="FO49" s="790" t="str">
        <f t="shared" si="8"/>
        <v>-</v>
      </c>
      <c r="FP49" s="785"/>
      <c r="FQ49" s="785"/>
      <c r="FR49" s="786"/>
      <c r="FS49" s="790" t="str">
        <f>IF(EW49="","-",INDEX($A$5:$BP$257,MATCH(EW49,$BN$5:$BN$257,0),39)*(IF(EW49="","-",(1+(((-('Densidade do AR'!$M$4))+('Densidade do AR'!$T$15*1000000))/(IF(INDEX($A$5:$BP$257,MATCH(EW49,$BN$5:$BN$257,0),50)="Aço Inoxidável",('Densidade do AR'!$S$8*1000000),IF(INDEX($A$5:$BP$257,MATCH(EW49,$BN$5:$BN$257,0),50)="Ferro Fundido",('Densidade do AR'!$S$12*1000000),IF(INDEX($A$5:$BP$257,MATCH(EW49,$BN$5:$BN$257,0),50)="Latão",('Densidade do AR'!$S$10*1000000),IF(INDEX($A$5:$BP$257,MATCH(EW49,$BN$5:$BN$257,0),50)="Alumínio",('Densidade do AR'!$S$4*1000000)))))))-(((-('Densidade do AR'!$M$4))+('Densidade do AR'!$T$15*1000000))/('Densidade do AR'!$S$14*1000000))))))</f>
        <v>-</v>
      </c>
      <c r="FT49" s="785"/>
      <c r="FU49" s="785"/>
      <c r="FV49" s="791"/>
      <c r="FW49" s="91" t="str">
        <f t="shared" si="20"/>
        <v>-</v>
      </c>
      <c r="FX49" s="135"/>
    </row>
    <row r="50" spans="1:180" x14ac:dyDescent="0.2">
      <c r="A50" s="718">
        <v>46</v>
      </c>
      <c r="B50" s="713"/>
      <c r="C50" s="719">
        <v>20000</v>
      </c>
      <c r="D50" s="709"/>
      <c r="E50" s="709"/>
      <c r="F50" s="709"/>
      <c r="G50" s="710"/>
      <c r="H50" s="720">
        <v>12</v>
      </c>
      <c r="I50" s="941"/>
      <c r="J50" s="941"/>
      <c r="K50" s="942"/>
      <c r="L50" s="719" t="s">
        <v>112</v>
      </c>
      <c r="M50" s="709"/>
      <c r="N50" s="709"/>
      <c r="O50" s="709"/>
      <c r="P50" s="719">
        <v>12</v>
      </c>
      <c r="Q50" s="882"/>
      <c r="R50" s="882"/>
      <c r="S50" s="882"/>
      <c r="T50" s="939"/>
      <c r="U50" s="897" t="s">
        <v>305</v>
      </c>
      <c r="V50" s="722"/>
      <c r="W50" s="722"/>
      <c r="X50" s="722"/>
      <c r="Y50" s="722"/>
      <c r="Z50" s="722"/>
      <c r="AA50" s="723"/>
      <c r="AB50" s="853"/>
      <c r="AC50" s="854"/>
      <c r="AD50" s="854"/>
      <c r="AE50" s="854"/>
      <c r="AF50" s="854"/>
      <c r="AG50" s="854"/>
      <c r="AH50" s="854"/>
      <c r="AI50" s="854"/>
      <c r="AJ50" s="854"/>
      <c r="AK50" s="854"/>
      <c r="AL50" s="855"/>
      <c r="AM50" s="909">
        <v>20000000</v>
      </c>
      <c r="AN50" s="712"/>
      <c r="AO50" s="712"/>
      <c r="AP50" s="712"/>
      <c r="AQ50" s="712"/>
      <c r="AR50" s="712"/>
      <c r="AS50" s="713"/>
      <c r="AT50" s="909">
        <f t="shared" si="21"/>
        <v>0</v>
      </c>
      <c r="AU50" s="712"/>
      <c r="AV50" s="712"/>
      <c r="AW50" s="713"/>
      <c r="AX50" s="908" t="s">
        <v>13</v>
      </c>
      <c r="AY50" s="712"/>
      <c r="AZ50" s="712"/>
      <c r="BA50" s="712"/>
      <c r="BB50" s="712"/>
      <c r="BC50" s="713"/>
      <c r="BD50" s="909">
        <v>300</v>
      </c>
      <c r="BE50" s="712"/>
      <c r="BF50" s="712"/>
      <c r="BG50" s="713"/>
      <c r="BH50" s="909">
        <v>2</v>
      </c>
      <c r="BI50" s="994"/>
      <c r="BJ50" s="994"/>
      <c r="BK50" s="994"/>
      <c r="BL50" s="995"/>
      <c r="BN50" s="881">
        <v>46</v>
      </c>
      <c r="BO50" s="882"/>
      <c r="BP50" s="883"/>
      <c r="BT50" s="736"/>
      <c r="BU50" s="737"/>
      <c r="BV50" s="738" t="str">
        <f>IF(BT50="","-",(IF(INDEX($A$5:$BP$257,MATCH(BT50,$BN$5:$BN$257,0),50)="Aço Inoxidável",('Densidade do AR'!$S$8*1000000),IF(INDEX($A$5:$BP$257,MATCH(BT50,$BN$5:$BN$257,0),50)="Ferro Fundido",('Densidade do AR'!$S$12*1000000),IF(INDEX($A$5:$BP$257,MATCH(BT50,$BN$5:$BN$257,0),50)="Latão",('Densidade do AR'!$S$10*1000000),IF(INDEX($A$5:$BP$257,MATCH(BT50,$BN$5:$BN$257,0),50)="Alumínio",('Densidade do AR'!$S$4*1000000)))))))</f>
        <v>-</v>
      </c>
      <c r="BW50" s="739"/>
      <c r="BX50" s="739"/>
      <c r="BY50" s="740"/>
      <c r="BZ50" s="741" t="str">
        <f t="shared" si="9"/>
        <v>-</v>
      </c>
      <c r="CA50" s="742"/>
      <c r="CB50" s="742"/>
      <c r="CC50" s="743"/>
      <c r="CD50" s="741" t="str">
        <f t="shared" si="1"/>
        <v>-</v>
      </c>
      <c r="CE50" s="742"/>
      <c r="CF50" s="742"/>
      <c r="CG50" s="743"/>
      <c r="CH50" s="744" t="str">
        <f t="shared" si="10"/>
        <v>-</v>
      </c>
      <c r="CI50" s="739"/>
      <c r="CJ50" s="739"/>
      <c r="CK50" s="740"/>
      <c r="CL50" s="744" t="str">
        <f t="shared" si="2"/>
        <v>-</v>
      </c>
      <c r="CM50" s="739"/>
      <c r="CN50" s="739"/>
      <c r="CO50" s="740"/>
      <c r="CP50" s="744" t="str">
        <f>IF(BT50="","-",INDEX($A$5:$BP$257,MATCH(BT50,$BN$5:$BN$257,0),39)*(IF(BT50="","-",(1+(((-('Densidade do AR'!$M$4))+('Densidade do AR'!$T$15*1000000))/(IF(INDEX($A$5:$BP$257,MATCH(BT50,$BN$5:$BN$257,0),50)="Aço Inoxidável",('Densidade do AR'!$S$8*1000000),IF(INDEX($A$5:$BP$257,MATCH(BT50,$BN$5:$BN$257,0),50)="Ferro Fundido",('Densidade do AR'!$S$12*1000000),IF(INDEX($A$5:$BP$257,MATCH(BT50,$BN$5:$BN$257,0),50)="Latão",('Densidade do AR'!$S$10*1000000),IF(INDEX($A$5:$BP$257,MATCH(BT50,$BN$5:$BN$257,0),50)="Alumínio",('Densidade do AR'!$S$4*1000000)))))))-(((-('Densidade do AR'!$M$4))+('Densidade do AR'!$T$15*1000000))/('Densidade do AR'!$S$14*1000000))))))</f>
        <v>-</v>
      </c>
      <c r="CQ50" s="739"/>
      <c r="CR50" s="739"/>
      <c r="CS50" s="745"/>
      <c r="CT50" s="91" t="str">
        <f t="shared" si="11"/>
        <v>-</v>
      </c>
      <c r="CU50" s="736"/>
      <c r="CV50" s="737"/>
      <c r="CW50" s="738" t="str">
        <f>IF(CU50="","-",(IF(INDEX($A$5:$BP$257,MATCH(CU50,$BN$5:$BN$257,0),50)="Aço Inoxidável",('Densidade do AR'!$S$8*1000000),IF(INDEX($A$5:$BP$257,MATCH(CU50,$BN$5:$BN$257,0),50)="Ferro Fundido",('Densidade do AR'!$S$12*1000000),IF(INDEX($A$5:$BP$257,MATCH(CU50,$BN$5:$BN$257,0),50)="Latão",('Densidade do AR'!$S$10*1000000),IF(INDEX($A$5:$BP$257,MATCH(CU50,$BN$5:$BN$257,0),50)="Alumínio",('Densidade do AR'!$S$4*1000000)))))))</f>
        <v>-</v>
      </c>
      <c r="CX50" s="739"/>
      <c r="CY50" s="739"/>
      <c r="CZ50" s="740"/>
      <c r="DA50" s="741" t="str">
        <f t="shared" si="12"/>
        <v>-</v>
      </c>
      <c r="DB50" s="742"/>
      <c r="DC50" s="742"/>
      <c r="DD50" s="743"/>
      <c r="DE50" s="741" t="str">
        <f t="shared" si="3"/>
        <v>-</v>
      </c>
      <c r="DF50" s="742"/>
      <c r="DG50" s="742"/>
      <c r="DH50" s="743"/>
      <c r="DI50" s="744" t="str">
        <f t="shared" si="13"/>
        <v>-</v>
      </c>
      <c r="DJ50" s="739"/>
      <c r="DK50" s="739"/>
      <c r="DL50" s="740"/>
      <c r="DM50" s="744" t="str">
        <f t="shared" si="4"/>
        <v>-</v>
      </c>
      <c r="DN50" s="739"/>
      <c r="DO50" s="739"/>
      <c r="DP50" s="740"/>
      <c r="DQ50" s="744" t="str">
        <f>IF(CU50="","-",INDEX($A$5:$BP$257,MATCH(CU50,$BN$5:$BN$257,0),39)*(IF(CU50="","-",(1+(((-('Densidade do AR'!$M$4))+('Densidade do AR'!$T$15*1000000))/(IF(INDEX($A$5:$BP$257,MATCH(CU50,$BN$5:$BN$257,0),50)="Aço Inoxidável",('Densidade do AR'!$S$8*1000000),IF(INDEX($A$5:$BP$257,MATCH(CU50,$BN$5:$BN$257,0),50)="Ferro Fundido",('Densidade do AR'!$S$12*1000000),IF(INDEX($A$5:$BP$257,MATCH(CU50,$BN$5:$BN$257,0),50)="Latão",('Densidade do AR'!$S$10*1000000),IF(INDEX($A$5:$BP$257,MATCH(CU50,$BN$5:$BN$257,0),50)="Alumínio",('Densidade do AR'!$S$4*1000000)))))))-(((-('Densidade do AR'!$M$4))+('Densidade do AR'!$T$15*1000000))/('Densidade do AR'!$S$14*1000000))))))</f>
        <v>-</v>
      </c>
      <c r="DR50" s="739"/>
      <c r="DS50" s="739"/>
      <c r="DT50" s="745"/>
      <c r="DU50" s="91" t="str">
        <f t="shared" si="14"/>
        <v>-</v>
      </c>
      <c r="DV50" s="736"/>
      <c r="DW50" s="737"/>
      <c r="DX50" s="738" t="str">
        <f>IF(DV50="","-",(IF(INDEX($A$5:$BP$257,MATCH(DV50,$BN$5:$BN$257,0),50)="Aço Inoxidável",('Densidade do AR'!$S$8*1000000),IF(INDEX($A$5:$BP$257,MATCH(DV50,$BN$5:$BN$257,0),50)="Ferro Fundido",('Densidade do AR'!$S$12*1000000),IF(INDEX($A$5:$BP$257,MATCH(DV50,$BN$5:$BN$257,0),50)="Latão",('Densidade do AR'!$S$10*1000000),IF(INDEX($A$5:$BP$257,MATCH(DV50,$BN$5:$BN$257,0),50)="Alumínio",('Densidade do AR'!$S$4*1000000)))))))</f>
        <v>-</v>
      </c>
      <c r="DY50" s="739"/>
      <c r="DZ50" s="739"/>
      <c r="EA50" s="740"/>
      <c r="EB50" s="741" t="str">
        <f t="shared" si="15"/>
        <v>-</v>
      </c>
      <c r="EC50" s="742"/>
      <c r="ED50" s="742"/>
      <c r="EE50" s="743"/>
      <c r="EF50" s="741" t="str">
        <f t="shared" si="5"/>
        <v>-</v>
      </c>
      <c r="EG50" s="742"/>
      <c r="EH50" s="742"/>
      <c r="EI50" s="743"/>
      <c r="EJ50" s="744" t="str">
        <f t="shared" si="16"/>
        <v>-</v>
      </c>
      <c r="EK50" s="739"/>
      <c r="EL50" s="739"/>
      <c r="EM50" s="740"/>
      <c r="EN50" s="744" t="str">
        <f t="shared" si="6"/>
        <v>-</v>
      </c>
      <c r="EO50" s="739"/>
      <c r="EP50" s="739"/>
      <c r="EQ50" s="740"/>
      <c r="ER50" s="744" t="str">
        <f>IF(DV50="","-",INDEX($A$5:$BP$257,MATCH(DV50,$BN$5:$BN$257,0),39)*(IF(DV50="","-",(1+(((-('Densidade do AR'!$M$4))+('Densidade do AR'!$T$15*1000000))/(IF(INDEX($A$5:$BP$257,MATCH(DV50,$BN$5:$BN$257,0),50)="Aço Inoxidável",('Densidade do AR'!$S$8*1000000),IF(INDEX($A$5:$BP$257,MATCH(DV50,$BN$5:$BN$257,0),50)="Ferro Fundido",('Densidade do AR'!$S$12*1000000),IF(INDEX($A$5:$BP$257,MATCH(DV50,$BN$5:$BN$257,0),50)="Latão",('Densidade do AR'!$S$10*1000000),IF(INDEX($A$5:$BP$257,MATCH(DV50,$BN$5:$BN$257,0),50)="Alumínio",('Densidade do AR'!$S$4*1000000)))))))-(((-('Densidade do AR'!$M$4))+('Densidade do AR'!$T$15*1000000))/('Densidade do AR'!$S$14*1000000))))))</f>
        <v>-</v>
      </c>
      <c r="ES50" s="739"/>
      <c r="ET50" s="739"/>
      <c r="EU50" s="745"/>
      <c r="EV50" s="91" t="str">
        <f t="shared" si="17"/>
        <v>-</v>
      </c>
      <c r="EW50" s="736"/>
      <c r="EX50" s="737"/>
      <c r="EY50" s="738" t="str">
        <f>IF(EW50="","-",(IF(INDEX($A$5:$BP$257,MATCH(EW50,$BN$5:$BN$257,0),50)="Aço Inoxidável",('Densidade do AR'!$S$8*1000000),IF(INDEX($A$5:$BP$257,MATCH(EW50,$BN$5:$BN$257,0),50)="Ferro Fundido",('Densidade do AR'!$S$12*1000000),IF(INDEX($A$5:$BP$257,MATCH(EW50,$BN$5:$BN$257,0),50)="Latão",('Densidade do AR'!$S$10*1000000),IF(INDEX($A$5:$BP$257,MATCH(EW50,$BN$5:$BN$257,0),50)="Alumínio",('Densidade do AR'!$S$4*1000000)))))))</f>
        <v>-</v>
      </c>
      <c r="EZ50" s="739"/>
      <c r="FA50" s="739"/>
      <c r="FB50" s="740"/>
      <c r="FC50" s="741" t="str">
        <f t="shared" si="18"/>
        <v>-</v>
      </c>
      <c r="FD50" s="742"/>
      <c r="FE50" s="742"/>
      <c r="FF50" s="743"/>
      <c r="FG50" s="741" t="str">
        <f t="shared" si="7"/>
        <v>-</v>
      </c>
      <c r="FH50" s="742"/>
      <c r="FI50" s="742"/>
      <c r="FJ50" s="743"/>
      <c r="FK50" s="744" t="str">
        <f t="shared" si="19"/>
        <v>-</v>
      </c>
      <c r="FL50" s="739"/>
      <c r="FM50" s="739"/>
      <c r="FN50" s="740"/>
      <c r="FO50" s="744" t="str">
        <f t="shared" si="8"/>
        <v>-</v>
      </c>
      <c r="FP50" s="739"/>
      <c r="FQ50" s="739"/>
      <c r="FR50" s="740"/>
      <c r="FS50" s="744" t="str">
        <f>IF(EW50="","-",INDEX($A$5:$BP$257,MATCH(EW50,$BN$5:$BN$257,0),39)*(IF(EW50="","-",(1+(((-('Densidade do AR'!$M$4))+('Densidade do AR'!$T$15*1000000))/(IF(INDEX($A$5:$BP$257,MATCH(EW50,$BN$5:$BN$257,0),50)="Aço Inoxidável",('Densidade do AR'!$S$8*1000000),IF(INDEX($A$5:$BP$257,MATCH(EW50,$BN$5:$BN$257,0),50)="Ferro Fundido",('Densidade do AR'!$S$12*1000000),IF(INDEX($A$5:$BP$257,MATCH(EW50,$BN$5:$BN$257,0),50)="Latão",('Densidade do AR'!$S$10*1000000),IF(INDEX($A$5:$BP$257,MATCH(EW50,$BN$5:$BN$257,0),50)="Alumínio",('Densidade do AR'!$S$4*1000000)))))))-(((-('Densidade do AR'!$M$4))+('Densidade do AR'!$T$15*1000000))/('Densidade do AR'!$S$14*1000000))))))</f>
        <v>-</v>
      </c>
      <c r="FT50" s="739"/>
      <c r="FU50" s="739"/>
      <c r="FV50" s="745"/>
      <c r="FW50" s="91" t="str">
        <f t="shared" si="20"/>
        <v>-</v>
      </c>
      <c r="FX50" s="135"/>
    </row>
    <row r="51" spans="1:180" x14ac:dyDescent="0.2">
      <c r="A51" s="717">
        <v>47</v>
      </c>
      <c r="B51" s="713"/>
      <c r="C51" s="708">
        <v>20000</v>
      </c>
      <c r="D51" s="709"/>
      <c r="E51" s="709"/>
      <c r="F51" s="709"/>
      <c r="G51" s="710"/>
      <c r="H51" s="711">
        <v>13</v>
      </c>
      <c r="I51" s="934"/>
      <c r="J51" s="934"/>
      <c r="K51" s="935"/>
      <c r="L51" s="708" t="s">
        <v>112</v>
      </c>
      <c r="M51" s="709"/>
      <c r="N51" s="709"/>
      <c r="O51" s="709"/>
      <c r="P51" s="708">
        <v>13</v>
      </c>
      <c r="Q51" s="879"/>
      <c r="R51" s="879"/>
      <c r="S51" s="879"/>
      <c r="T51" s="937"/>
      <c r="U51" s="898" t="s">
        <v>305</v>
      </c>
      <c r="V51" s="715"/>
      <c r="W51" s="715"/>
      <c r="X51" s="715"/>
      <c r="Y51" s="715"/>
      <c r="Z51" s="715"/>
      <c r="AA51" s="716"/>
      <c r="AB51" s="850"/>
      <c r="AC51" s="851"/>
      <c r="AD51" s="851"/>
      <c r="AE51" s="851"/>
      <c r="AF51" s="851"/>
      <c r="AG51" s="851"/>
      <c r="AH51" s="851"/>
      <c r="AI51" s="851"/>
      <c r="AJ51" s="851"/>
      <c r="AK51" s="851"/>
      <c r="AL51" s="852"/>
      <c r="AM51" s="917">
        <v>20000000</v>
      </c>
      <c r="AN51" s="712"/>
      <c r="AO51" s="712"/>
      <c r="AP51" s="712"/>
      <c r="AQ51" s="712"/>
      <c r="AR51" s="712"/>
      <c r="AS51" s="713"/>
      <c r="AT51" s="917">
        <f t="shared" si="21"/>
        <v>0</v>
      </c>
      <c r="AU51" s="712"/>
      <c r="AV51" s="712"/>
      <c r="AW51" s="713"/>
      <c r="AX51" s="917" t="s">
        <v>13</v>
      </c>
      <c r="AY51" s="712"/>
      <c r="AZ51" s="712"/>
      <c r="BA51" s="712"/>
      <c r="BB51" s="712"/>
      <c r="BC51" s="713"/>
      <c r="BD51" s="917">
        <v>300</v>
      </c>
      <c r="BE51" s="712"/>
      <c r="BF51" s="712"/>
      <c r="BG51" s="713"/>
      <c r="BH51" s="917">
        <v>2</v>
      </c>
      <c r="BI51" s="994"/>
      <c r="BJ51" s="994"/>
      <c r="BK51" s="994"/>
      <c r="BL51" s="995"/>
      <c r="BN51" s="878">
        <v>47</v>
      </c>
      <c r="BO51" s="879"/>
      <c r="BP51" s="880"/>
      <c r="BT51" s="746"/>
      <c r="BU51" s="747"/>
      <c r="BV51" s="784" t="str">
        <f>IF(BT51="","-",(IF(INDEX($A$5:$BP$257,MATCH(BT51,$BN$5:$BN$257,0),50)="Aço Inoxidável",('Densidade do AR'!$S$8*1000000),IF(INDEX($A$5:$BP$257,MATCH(BT51,$BN$5:$BN$257,0),50)="Ferro Fundido",('Densidade do AR'!$S$12*1000000),IF(INDEX($A$5:$BP$257,MATCH(BT51,$BN$5:$BN$257,0),50)="Latão",('Densidade do AR'!$S$10*1000000),IF(INDEX($A$5:$BP$257,MATCH(BT51,$BN$5:$BN$257,0),50)="Alumínio",('Densidade do AR'!$S$4*1000000)))))))</f>
        <v>-</v>
      </c>
      <c r="BW51" s="785"/>
      <c r="BX51" s="785"/>
      <c r="BY51" s="786"/>
      <c r="BZ51" s="787" t="str">
        <f t="shared" si="9"/>
        <v>-</v>
      </c>
      <c r="CA51" s="788"/>
      <c r="CB51" s="788"/>
      <c r="CC51" s="789"/>
      <c r="CD51" s="787" t="str">
        <f t="shared" si="1"/>
        <v>-</v>
      </c>
      <c r="CE51" s="788"/>
      <c r="CF51" s="788"/>
      <c r="CG51" s="789"/>
      <c r="CH51" s="790" t="str">
        <f t="shared" si="10"/>
        <v>-</v>
      </c>
      <c r="CI51" s="785"/>
      <c r="CJ51" s="785"/>
      <c r="CK51" s="786"/>
      <c r="CL51" s="790" t="str">
        <f t="shared" si="2"/>
        <v>-</v>
      </c>
      <c r="CM51" s="785"/>
      <c r="CN51" s="785"/>
      <c r="CO51" s="786"/>
      <c r="CP51" s="790" t="str">
        <f>IF(BT51="","-",INDEX($A$5:$BP$257,MATCH(BT51,$BN$5:$BN$257,0),39)*(IF(BT51="","-",(1+(((-('Densidade do AR'!$M$4))+('Densidade do AR'!$T$15*1000000))/(IF(INDEX($A$5:$BP$257,MATCH(BT51,$BN$5:$BN$257,0),50)="Aço Inoxidável",('Densidade do AR'!$S$8*1000000),IF(INDEX($A$5:$BP$257,MATCH(BT51,$BN$5:$BN$257,0),50)="Ferro Fundido",('Densidade do AR'!$S$12*1000000),IF(INDEX($A$5:$BP$257,MATCH(BT51,$BN$5:$BN$257,0),50)="Latão",('Densidade do AR'!$S$10*1000000),IF(INDEX($A$5:$BP$257,MATCH(BT51,$BN$5:$BN$257,0),50)="Alumínio",('Densidade do AR'!$S$4*1000000)))))))-(((-('Densidade do AR'!$M$4))+('Densidade do AR'!$T$15*1000000))/('Densidade do AR'!$S$14*1000000))))))</f>
        <v>-</v>
      </c>
      <c r="CQ51" s="785"/>
      <c r="CR51" s="785"/>
      <c r="CS51" s="791"/>
      <c r="CT51" s="91" t="str">
        <f t="shared" si="11"/>
        <v>-</v>
      </c>
      <c r="CU51" s="746"/>
      <c r="CV51" s="747"/>
      <c r="CW51" s="784" t="str">
        <f>IF(CU51="","-",(IF(INDEX($A$5:$BP$257,MATCH(CU51,$BN$5:$BN$257,0),50)="Aço Inoxidável",('Densidade do AR'!$S$8*1000000),IF(INDEX($A$5:$BP$257,MATCH(CU51,$BN$5:$BN$257,0),50)="Ferro Fundido",('Densidade do AR'!$S$12*1000000),IF(INDEX($A$5:$BP$257,MATCH(CU51,$BN$5:$BN$257,0),50)="Latão",('Densidade do AR'!$S$10*1000000),IF(INDEX($A$5:$BP$257,MATCH(CU51,$BN$5:$BN$257,0),50)="Alumínio",('Densidade do AR'!$S$4*1000000)))))))</f>
        <v>-</v>
      </c>
      <c r="CX51" s="785"/>
      <c r="CY51" s="785"/>
      <c r="CZ51" s="786"/>
      <c r="DA51" s="787" t="str">
        <f t="shared" si="12"/>
        <v>-</v>
      </c>
      <c r="DB51" s="788"/>
      <c r="DC51" s="788"/>
      <c r="DD51" s="789"/>
      <c r="DE51" s="787" t="str">
        <f t="shared" si="3"/>
        <v>-</v>
      </c>
      <c r="DF51" s="788"/>
      <c r="DG51" s="788"/>
      <c r="DH51" s="789"/>
      <c r="DI51" s="790" t="str">
        <f t="shared" si="13"/>
        <v>-</v>
      </c>
      <c r="DJ51" s="785"/>
      <c r="DK51" s="785"/>
      <c r="DL51" s="786"/>
      <c r="DM51" s="790" t="str">
        <f t="shared" si="4"/>
        <v>-</v>
      </c>
      <c r="DN51" s="785"/>
      <c r="DO51" s="785"/>
      <c r="DP51" s="786"/>
      <c r="DQ51" s="790" t="str">
        <f>IF(CU51="","-",INDEX($A$5:$BP$257,MATCH(CU51,$BN$5:$BN$257,0),39)*(IF(CU51="","-",(1+(((-('Densidade do AR'!$M$4))+('Densidade do AR'!$T$15*1000000))/(IF(INDEX($A$5:$BP$257,MATCH(CU51,$BN$5:$BN$257,0),50)="Aço Inoxidável",('Densidade do AR'!$S$8*1000000),IF(INDEX($A$5:$BP$257,MATCH(CU51,$BN$5:$BN$257,0),50)="Ferro Fundido",('Densidade do AR'!$S$12*1000000),IF(INDEX($A$5:$BP$257,MATCH(CU51,$BN$5:$BN$257,0),50)="Latão",('Densidade do AR'!$S$10*1000000),IF(INDEX($A$5:$BP$257,MATCH(CU51,$BN$5:$BN$257,0),50)="Alumínio",('Densidade do AR'!$S$4*1000000)))))))-(((-('Densidade do AR'!$M$4))+('Densidade do AR'!$T$15*1000000))/('Densidade do AR'!$S$14*1000000))))))</f>
        <v>-</v>
      </c>
      <c r="DR51" s="785"/>
      <c r="DS51" s="785"/>
      <c r="DT51" s="791"/>
      <c r="DU51" s="91" t="str">
        <f t="shared" si="14"/>
        <v>-</v>
      </c>
      <c r="DV51" s="746"/>
      <c r="DW51" s="747"/>
      <c r="DX51" s="784" t="str">
        <f>IF(DV51="","-",(IF(INDEX($A$5:$BP$257,MATCH(DV51,$BN$5:$BN$257,0),50)="Aço Inoxidável",('Densidade do AR'!$S$8*1000000),IF(INDEX($A$5:$BP$257,MATCH(DV51,$BN$5:$BN$257,0),50)="Ferro Fundido",('Densidade do AR'!$S$12*1000000),IF(INDEX($A$5:$BP$257,MATCH(DV51,$BN$5:$BN$257,0),50)="Latão",('Densidade do AR'!$S$10*1000000),IF(INDEX($A$5:$BP$257,MATCH(DV51,$BN$5:$BN$257,0),50)="Alumínio",('Densidade do AR'!$S$4*1000000)))))))</f>
        <v>-</v>
      </c>
      <c r="DY51" s="785"/>
      <c r="DZ51" s="785"/>
      <c r="EA51" s="786"/>
      <c r="EB51" s="787" t="str">
        <f t="shared" si="15"/>
        <v>-</v>
      </c>
      <c r="EC51" s="788"/>
      <c r="ED51" s="788"/>
      <c r="EE51" s="789"/>
      <c r="EF51" s="787" t="str">
        <f t="shared" si="5"/>
        <v>-</v>
      </c>
      <c r="EG51" s="788"/>
      <c r="EH51" s="788"/>
      <c r="EI51" s="789"/>
      <c r="EJ51" s="790" t="str">
        <f t="shared" si="16"/>
        <v>-</v>
      </c>
      <c r="EK51" s="785"/>
      <c r="EL51" s="785"/>
      <c r="EM51" s="786"/>
      <c r="EN51" s="790" t="str">
        <f t="shared" si="6"/>
        <v>-</v>
      </c>
      <c r="EO51" s="785"/>
      <c r="EP51" s="785"/>
      <c r="EQ51" s="786"/>
      <c r="ER51" s="790" t="str">
        <f>IF(DV51="","-",INDEX($A$5:$BP$257,MATCH(DV51,$BN$5:$BN$257,0),39)*(IF(DV51="","-",(1+(((-('Densidade do AR'!$M$4))+('Densidade do AR'!$T$15*1000000))/(IF(INDEX($A$5:$BP$257,MATCH(DV51,$BN$5:$BN$257,0),50)="Aço Inoxidável",('Densidade do AR'!$S$8*1000000),IF(INDEX($A$5:$BP$257,MATCH(DV51,$BN$5:$BN$257,0),50)="Ferro Fundido",('Densidade do AR'!$S$12*1000000),IF(INDEX($A$5:$BP$257,MATCH(DV51,$BN$5:$BN$257,0),50)="Latão",('Densidade do AR'!$S$10*1000000),IF(INDEX($A$5:$BP$257,MATCH(DV51,$BN$5:$BN$257,0),50)="Alumínio",('Densidade do AR'!$S$4*1000000)))))))-(((-('Densidade do AR'!$M$4))+('Densidade do AR'!$T$15*1000000))/('Densidade do AR'!$S$14*1000000))))))</f>
        <v>-</v>
      </c>
      <c r="ES51" s="785"/>
      <c r="ET51" s="785"/>
      <c r="EU51" s="791"/>
      <c r="EV51" s="91" t="str">
        <f t="shared" si="17"/>
        <v>-</v>
      </c>
      <c r="EW51" s="746"/>
      <c r="EX51" s="747"/>
      <c r="EY51" s="784" t="str">
        <f>IF(EW51="","-",(IF(INDEX($A$5:$BP$257,MATCH(EW51,$BN$5:$BN$257,0),50)="Aço Inoxidável",('Densidade do AR'!$S$8*1000000),IF(INDEX($A$5:$BP$257,MATCH(EW51,$BN$5:$BN$257,0),50)="Ferro Fundido",('Densidade do AR'!$S$12*1000000),IF(INDEX($A$5:$BP$257,MATCH(EW51,$BN$5:$BN$257,0),50)="Latão",('Densidade do AR'!$S$10*1000000),IF(INDEX($A$5:$BP$257,MATCH(EW51,$BN$5:$BN$257,0),50)="Alumínio",('Densidade do AR'!$S$4*1000000)))))))</f>
        <v>-</v>
      </c>
      <c r="EZ51" s="785"/>
      <c r="FA51" s="785"/>
      <c r="FB51" s="786"/>
      <c r="FC51" s="787" t="str">
        <f t="shared" si="18"/>
        <v>-</v>
      </c>
      <c r="FD51" s="788"/>
      <c r="FE51" s="788"/>
      <c r="FF51" s="789"/>
      <c r="FG51" s="787" t="str">
        <f t="shared" si="7"/>
        <v>-</v>
      </c>
      <c r="FH51" s="788"/>
      <c r="FI51" s="788"/>
      <c r="FJ51" s="789"/>
      <c r="FK51" s="790" t="str">
        <f t="shared" si="19"/>
        <v>-</v>
      </c>
      <c r="FL51" s="785"/>
      <c r="FM51" s="785"/>
      <c r="FN51" s="786"/>
      <c r="FO51" s="790" t="str">
        <f t="shared" si="8"/>
        <v>-</v>
      </c>
      <c r="FP51" s="785"/>
      <c r="FQ51" s="785"/>
      <c r="FR51" s="786"/>
      <c r="FS51" s="790" t="str">
        <f>IF(EW51="","-",INDEX($A$5:$BP$257,MATCH(EW51,$BN$5:$BN$257,0),39)*(IF(EW51="","-",(1+(((-('Densidade do AR'!$M$4))+('Densidade do AR'!$T$15*1000000))/(IF(INDEX($A$5:$BP$257,MATCH(EW51,$BN$5:$BN$257,0),50)="Aço Inoxidável",('Densidade do AR'!$S$8*1000000),IF(INDEX($A$5:$BP$257,MATCH(EW51,$BN$5:$BN$257,0),50)="Ferro Fundido",('Densidade do AR'!$S$12*1000000),IF(INDEX($A$5:$BP$257,MATCH(EW51,$BN$5:$BN$257,0),50)="Latão",('Densidade do AR'!$S$10*1000000),IF(INDEX($A$5:$BP$257,MATCH(EW51,$BN$5:$BN$257,0),50)="Alumínio",('Densidade do AR'!$S$4*1000000)))))))-(((-('Densidade do AR'!$M$4))+('Densidade do AR'!$T$15*1000000))/('Densidade do AR'!$S$14*1000000))))))</f>
        <v>-</v>
      </c>
      <c r="FT51" s="785"/>
      <c r="FU51" s="785"/>
      <c r="FV51" s="791"/>
      <c r="FW51" s="91" t="str">
        <f t="shared" si="20"/>
        <v>-</v>
      </c>
      <c r="FX51" s="135"/>
    </row>
    <row r="52" spans="1:180" x14ac:dyDescent="0.2">
      <c r="A52" s="718">
        <v>48</v>
      </c>
      <c r="B52" s="713"/>
      <c r="C52" s="719">
        <v>20000</v>
      </c>
      <c r="D52" s="709"/>
      <c r="E52" s="709"/>
      <c r="F52" s="709"/>
      <c r="G52" s="710"/>
      <c r="H52" s="720">
        <v>14</v>
      </c>
      <c r="I52" s="941"/>
      <c r="J52" s="941"/>
      <c r="K52" s="942"/>
      <c r="L52" s="719" t="s">
        <v>112</v>
      </c>
      <c r="M52" s="709"/>
      <c r="N52" s="709"/>
      <c r="O52" s="709"/>
      <c r="P52" s="719">
        <v>14</v>
      </c>
      <c r="Q52" s="882"/>
      <c r="R52" s="882"/>
      <c r="S52" s="882"/>
      <c r="T52" s="939"/>
      <c r="U52" s="897" t="s">
        <v>305</v>
      </c>
      <c r="V52" s="722"/>
      <c r="W52" s="722"/>
      <c r="X52" s="722"/>
      <c r="Y52" s="722"/>
      <c r="Z52" s="722"/>
      <c r="AA52" s="723"/>
      <c r="AB52" s="853"/>
      <c r="AC52" s="854"/>
      <c r="AD52" s="854"/>
      <c r="AE52" s="854"/>
      <c r="AF52" s="854"/>
      <c r="AG52" s="854"/>
      <c r="AH52" s="854"/>
      <c r="AI52" s="854"/>
      <c r="AJ52" s="854"/>
      <c r="AK52" s="854"/>
      <c r="AL52" s="855"/>
      <c r="AM52" s="909">
        <v>20000000</v>
      </c>
      <c r="AN52" s="712"/>
      <c r="AO52" s="712"/>
      <c r="AP52" s="712"/>
      <c r="AQ52" s="712"/>
      <c r="AR52" s="712"/>
      <c r="AS52" s="713"/>
      <c r="AT52" s="909">
        <f t="shared" si="21"/>
        <v>0</v>
      </c>
      <c r="AU52" s="712"/>
      <c r="AV52" s="712"/>
      <c r="AW52" s="713"/>
      <c r="AX52" s="908" t="s">
        <v>13</v>
      </c>
      <c r="AY52" s="712"/>
      <c r="AZ52" s="712"/>
      <c r="BA52" s="712"/>
      <c r="BB52" s="712"/>
      <c r="BC52" s="713"/>
      <c r="BD52" s="909">
        <v>300</v>
      </c>
      <c r="BE52" s="712"/>
      <c r="BF52" s="712"/>
      <c r="BG52" s="713"/>
      <c r="BH52" s="909">
        <v>2</v>
      </c>
      <c r="BI52" s="994"/>
      <c r="BJ52" s="994"/>
      <c r="BK52" s="994"/>
      <c r="BL52" s="995"/>
      <c r="BN52" s="881">
        <v>48</v>
      </c>
      <c r="BO52" s="882"/>
      <c r="BP52" s="883"/>
      <c r="BT52" s="736"/>
      <c r="BU52" s="737"/>
      <c r="BV52" s="738" t="str">
        <f>IF(BT52="","-",(IF(INDEX($A$5:$BP$257,MATCH(BT52,$BN$5:$BN$257,0),50)="Aço Inoxidável",('Densidade do AR'!$S$8*1000000),IF(INDEX($A$5:$BP$257,MATCH(BT52,$BN$5:$BN$257,0),50)="Ferro Fundido",('Densidade do AR'!$S$12*1000000),IF(INDEX($A$5:$BP$257,MATCH(BT52,$BN$5:$BN$257,0),50)="Latão",('Densidade do AR'!$S$10*1000000),IF(INDEX($A$5:$BP$257,MATCH(BT52,$BN$5:$BN$257,0),50)="Alumínio",('Densidade do AR'!$S$4*1000000)))))))</f>
        <v>-</v>
      </c>
      <c r="BW52" s="739"/>
      <c r="BX52" s="739"/>
      <c r="BY52" s="740"/>
      <c r="BZ52" s="741" t="str">
        <f t="shared" si="9"/>
        <v>-</v>
      </c>
      <c r="CA52" s="742"/>
      <c r="CB52" s="742"/>
      <c r="CC52" s="743"/>
      <c r="CD52" s="741" t="str">
        <f t="shared" si="1"/>
        <v>-</v>
      </c>
      <c r="CE52" s="742"/>
      <c r="CF52" s="742"/>
      <c r="CG52" s="743"/>
      <c r="CH52" s="744" t="str">
        <f t="shared" si="10"/>
        <v>-</v>
      </c>
      <c r="CI52" s="739"/>
      <c r="CJ52" s="739"/>
      <c r="CK52" s="740"/>
      <c r="CL52" s="744" t="str">
        <f t="shared" si="2"/>
        <v>-</v>
      </c>
      <c r="CM52" s="739"/>
      <c r="CN52" s="739"/>
      <c r="CO52" s="740"/>
      <c r="CP52" s="744" t="str">
        <f>IF(BT52="","-",INDEX($A$5:$BP$257,MATCH(BT52,$BN$5:$BN$257,0),39)*(IF(BT52="","-",(1+(((-('Densidade do AR'!$M$4))+('Densidade do AR'!$T$15*1000000))/(IF(INDEX($A$5:$BP$257,MATCH(BT52,$BN$5:$BN$257,0),50)="Aço Inoxidável",('Densidade do AR'!$S$8*1000000),IF(INDEX($A$5:$BP$257,MATCH(BT52,$BN$5:$BN$257,0),50)="Ferro Fundido",('Densidade do AR'!$S$12*1000000),IF(INDEX($A$5:$BP$257,MATCH(BT52,$BN$5:$BN$257,0),50)="Latão",('Densidade do AR'!$S$10*1000000),IF(INDEX($A$5:$BP$257,MATCH(BT52,$BN$5:$BN$257,0),50)="Alumínio",('Densidade do AR'!$S$4*1000000)))))))-(((-('Densidade do AR'!$M$4))+('Densidade do AR'!$T$15*1000000))/('Densidade do AR'!$S$14*1000000))))))</f>
        <v>-</v>
      </c>
      <c r="CQ52" s="739"/>
      <c r="CR52" s="739"/>
      <c r="CS52" s="745"/>
      <c r="CT52" s="91" t="str">
        <f t="shared" si="11"/>
        <v>-</v>
      </c>
      <c r="CU52" s="736"/>
      <c r="CV52" s="737"/>
      <c r="CW52" s="738" t="str">
        <f>IF(CU52="","-",(IF(INDEX($A$5:$BP$257,MATCH(CU52,$BN$5:$BN$257,0),50)="Aço Inoxidável",('Densidade do AR'!$S$8*1000000),IF(INDEX($A$5:$BP$257,MATCH(CU52,$BN$5:$BN$257,0),50)="Ferro Fundido",('Densidade do AR'!$S$12*1000000),IF(INDEX($A$5:$BP$257,MATCH(CU52,$BN$5:$BN$257,0),50)="Latão",('Densidade do AR'!$S$10*1000000),IF(INDEX($A$5:$BP$257,MATCH(CU52,$BN$5:$BN$257,0),50)="Alumínio",('Densidade do AR'!$S$4*1000000)))))))</f>
        <v>-</v>
      </c>
      <c r="CX52" s="739"/>
      <c r="CY52" s="739"/>
      <c r="CZ52" s="740"/>
      <c r="DA52" s="741" t="str">
        <f t="shared" si="12"/>
        <v>-</v>
      </c>
      <c r="DB52" s="742"/>
      <c r="DC52" s="742"/>
      <c r="DD52" s="743"/>
      <c r="DE52" s="741" t="str">
        <f t="shared" si="3"/>
        <v>-</v>
      </c>
      <c r="DF52" s="742"/>
      <c r="DG52" s="742"/>
      <c r="DH52" s="743"/>
      <c r="DI52" s="744" t="str">
        <f t="shared" si="13"/>
        <v>-</v>
      </c>
      <c r="DJ52" s="739"/>
      <c r="DK52" s="739"/>
      <c r="DL52" s="740"/>
      <c r="DM52" s="744" t="str">
        <f t="shared" si="4"/>
        <v>-</v>
      </c>
      <c r="DN52" s="739"/>
      <c r="DO52" s="739"/>
      <c r="DP52" s="740"/>
      <c r="DQ52" s="744" t="str">
        <f>IF(CU52="","-",INDEX($A$5:$BP$257,MATCH(CU52,$BN$5:$BN$257,0),39)*(IF(CU52="","-",(1+(((-('Densidade do AR'!$M$4))+('Densidade do AR'!$T$15*1000000))/(IF(INDEX($A$5:$BP$257,MATCH(CU52,$BN$5:$BN$257,0),50)="Aço Inoxidável",('Densidade do AR'!$S$8*1000000),IF(INDEX($A$5:$BP$257,MATCH(CU52,$BN$5:$BN$257,0),50)="Ferro Fundido",('Densidade do AR'!$S$12*1000000),IF(INDEX($A$5:$BP$257,MATCH(CU52,$BN$5:$BN$257,0),50)="Latão",('Densidade do AR'!$S$10*1000000),IF(INDEX($A$5:$BP$257,MATCH(CU52,$BN$5:$BN$257,0),50)="Alumínio",('Densidade do AR'!$S$4*1000000)))))))-(((-('Densidade do AR'!$M$4))+('Densidade do AR'!$T$15*1000000))/('Densidade do AR'!$S$14*1000000))))))</f>
        <v>-</v>
      </c>
      <c r="DR52" s="739"/>
      <c r="DS52" s="739"/>
      <c r="DT52" s="745"/>
      <c r="DU52" s="91" t="str">
        <f t="shared" si="14"/>
        <v>-</v>
      </c>
      <c r="DV52" s="736"/>
      <c r="DW52" s="737"/>
      <c r="DX52" s="738" t="str">
        <f>IF(DV52="","-",(IF(INDEX($A$5:$BP$257,MATCH(DV52,$BN$5:$BN$257,0),50)="Aço Inoxidável",('Densidade do AR'!$S$8*1000000),IF(INDEX($A$5:$BP$257,MATCH(DV52,$BN$5:$BN$257,0),50)="Ferro Fundido",('Densidade do AR'!$S$12*1000000),IF(INDEX($A$5:$BP$257,MATCH(DV52,$BN$5:$BN$257,0),50)="Latão",('Densidade do AR'!$S$10*1000000),IF(INDEX($A$5:$BP$257,MATCH(DV52,$BN$5:$BN$257,0),50)="Alumínio",('Densidade do AR'!$S$4*1000000)))))))</f>
        <v>-</v>
      </c>
      <c r="DY52" s="739"/>
      <c r="DZ52" s="739"/>
      <c r="EA52" s="740"/>
      <c r="EB52" s="741" t="str">
        <f t="shared" si="15"/>
        <v>-</v>
      </c>
      <c r="EC52" s="742"/>
      <c r="ED52" s="742"/>
      <c r="EE52" s="743"/>
      <c r="EF52" s="741" t="str">
        <f t="shared" si="5"/>
        <v>-</v>
      </c>
      <c r="EG52" s="742"/>
      <c r="EH52" s="742"/>
      <c r="EI52" s="743"/>
      <c r="EJ52" s="744" t="str">
        <f t="shared" si="16"/>
        <v>-</v>
      </c>
      <c r="EK52" s="739"/>
      <c r="EL52" s="739"/>
      <c r="EM52" s="740"/>
      <c r="EN52" s="744" t="str">
        <f t="shared" si="6"/>
        <v>-</v>
      </c>
      <c r="EO52" s="739"/>
      <c r="EP52" s="739"/>
      <c r="EQ52" s="740"/>
      <c r="ER52" s="744" t="str">
        <f>IF(DV52="","-",INDEX($A$5:$BP$257,MATCH(DV52,$BN$5:$BN$257,0),39)*(IF(DV52="","-",(1+(((-('Densidade do AR'!$M$4))+('Densidade do AR'!$T$15*1000000))/(IF(INDEX($A$5:$BP$257,MATCH(DV52,$BN$5:$BN$257,0),50)="Aço Inoxidável",('Densidade do AR'!$S$8*1000000),IF(INDEX($A$5:$BP$257,MATCH(DV52,$BN$5:$BN$257,0),50)="Ferro Fundido",('Densidade do AR'!$S$12*1000000),IF(INDEX($A$5:$BP$257,MATCH(DV52,$BN$5:$BN$257,0),50)="Latão",('Densidade do AR'!$S$10*1000000),IF(INDEX($A$5:$BP$257,MATCH(DV52,$BN$5:$BN$257,0),50)="Alumínio",('Densidade do AR'!$S$4*1000000)))))))-(((-('Densidade do AR'!$M$4))+('Densidade do AR'!$T$15*1000000))/('Densidade do AR'!$S$14*1000000))))))</f>
        <v>-</v>
      </c>
      <c r="ES52" s="739"/>
      <c r="ET52" s="739"/>
      <c r="EU52" s="745"/>
      <c r="EV52" s="91" t="str">
        <f t="shared" si="17"/>
        <v>-</v>
      </c>
      <c r="EW52" s="736"/>
      <c r="EX52" s="737"/>
      <c r="EY52" s="738" t="str">
        <f>IF(EW52="","-",(IF(INDEX($A$5:$BP$257,MATCH(EW52,$BN$5:$BN$257,0),50)="Aço Inoxidável",('Densidade do AR'!$S$8*1000000),IF(INDEX($A$5:$BP$257,MATCH(EW52,$BN$5:$BN$257,0),50)="Ferro Fundido",('Densidade do AR'!$S$12*1000000),IF(INDEX($A$5:$BP$257,MATCH(EW52,$BN$5:$BN$257,0),50)="Latão",('Densidade do AR'!$S$10*1000000),IF(INDEX($A$5:$BP$257,MATCH(EW52,$BN$5:$BN$257,0),50)="Alumínio",('Densidade do AR'!$S$4*1000000)))))))</f>
        <v>-</v>
      </c>
      <c r="EZ52" s="739"/>
      <c r="FA52" s="739"/>
      <c r="FB52" s="740"/>
      <c r="FC52" s="741" t="str">
        <f t="shared" si="18"/>
        <v>-</v>
      </c>
      <c r="FD52" s="742"/>
      <c r="FE52" s="742"/>
      <c r="FF52" s="743"/>
      <c r="FG52" s="741" t="str">
        <f t="shared" si="7"/>
        <v>-</v>
      </c>
      <c r="FH52" s="742"/>
      <c r="FI52" s="742"/>
      <c r="FJ52" s="743"/>
      <c r="FK52" s="744" t="str">
        <f t="shared" si="19"/>
        <v>-</v>
      </c>
      <c r="FL52" s="739"/>
      <c r="FM52" s="739"/>
      <c r="FN52" s="740"/>
      <c r="FO52" s="744" t="str">
        <f t="shared" si="8"/>
        <v>-</v>
      </c>
      <c r="FP52" s="739"/>
      <c r="FQ52" s="739"/>
      <c r="FR52" s="740"/>
      <c r="FS52" s="744" t="str">
        <f>IF(EW52="","-",INDEX($A$5:$BP$257,MATCH(EW52,$BN$5:$BN$257,0),39)*(IF(EW52="","-",(1+(((-('Densidade do AR'!$M$4))+('Densidade do AR'!$T$15*1000000))/(IF(INDEX($A$5:$BP$257,MATCH(EW52,$BN$5:$BN$257,0),50)="Aço Inoxidável",('Densidade do AR'!$S$8*1000000),IF(INDEX($A$5:$BP$257,MATCH(EW52,$BN$5:$BN$257,0),50)="Ferro Fundido",('Densidade do AR'!$S$12*1000000),IF(INDEX($A$5:$BP$257,MATCH(EW52,$BN$5:$BN$257,0),50)="Latão",('Densidade do AR'!$S$10*1000000),IF(INDEX($A$5:$BP$257,MATCH(EW52,$BN$5:$BN$257,0),50)="Alumínio",('Densidade do AR'!$S$4*1000000)))))))-(((-('Densidade do AR'!$M$4))+('Densidade do AR'!$T$15*1000000))/('Densidade do AR'!$S$14*1000000))))))</f>
        <v>-</v>
      </c>
      <c r="FT52" s="739"/>
      <c r="FU52" s="739"/>
      <c r="FV52" s="745"/>
      <c r="FW52" s="91" t="str">
        <f t="shared" si="20"/>
        <v>-</v>
      </c>
      <c r="FX52" s="135"/>
    </row>
    <row r="53" spans="1:180" x14ac:dyDescent="0.2">
      <c r="A53" s="717">
        <v>49</v>
      </c>
      <c r="B53" s="713"/>
      <c r="C53" s="708">
        <v>20000</v>
      </c>
      <c r="D53" s="709"/>
      <c r="E53" s="709"/>
      <c r="F53" s="709"/>
      <c r="G53" s="710"/>
      <c r="H53" s="711">
        <v>15</v>
      </c>
      <c r="I53" s="934"/>
      <c r="J53" s="934"/>
      <c r="K53" s="935"/>
      <c r="L53" s="708" t="s">
        <v>112</v>
      </c>
      <c r="M53" s="709"/>
      <c r="N53" s="709"/>
      <c r="O53" s="709"/>
      <c r="P53" s="708">
        <v>15</v>
      </c>
      <c r="Q53" s="879"/>
      <c r="R53" s="879"/>
      <c r="S53" s="879"/>
      <c r="T53" s="937"/>
      <c r="U53" s="898" t="s">
        <v>305</v>
      </c>
      <c r="V53" s="715"/>
      <c r="W53" s="715"/>
      <c r="X53" s="715"/>
      <c r="Y53" s="715"/>
      <c r="Z53" s="715"/>
      <c r="AA53" s="716"/>
      <c r="AB53" s="850"/>
      <c r="AC53" s="851"/>
      <c r="AD53" s="851"/>
      <c r="AE53" s="851"/>
      <c r="AF53" s="851"/>
      <c r="AG53" s="851"/>
      <c r="AH53" s="851"/>
      <c r="AI53" s="851"/>
      <c r="AJ53" s="851"/>
      <c r="AK53" s="851"/>
      <c r="AL53" s="852"/>
      <c r="AM53" s="917">
        <v>20000000</v>
      </c>
      <c r="AN53" s="712"/>
      <c r="AO53" s="712"/>
      <c r="AP53" s="712"/>
      <c r="AQ53" s="712"/>
      <c r="AR53" s="712"/>
      <c r="AS53" s="713"/>
      <c r="AT53" s="917">
        <f t="shared" si="21"/>
        <v>0</v>
      </c>
      <c r="AU53" s="712"/>
      <c r="AV53" s="712"/>
      <c r="AW53" s="713"/>
      <c r="AX53" s="917" t="s">
        <v>13</v>
      </c>
      <c r="AY53" s="712"/>
      <c r="AZ53" s="712"/>
      <c r="BA53" s="712"/>
      <c r="BB53" s="712"/>
      <c r="BC53" s="713"/>
      <c r="BD53" s="917">
        <v>300</v>
      </c>
      <c r="BE53" s="712"/>
      <c r="BF53" s="712"/>
      <c r="BG53" s="713"/>
      <c r="BH53" s="917">
        <v>2</v>
      </c>
      <c r="BI53" s="994"/>
      <c r="BJ53" s="994"/>
      <c r="BK53" s="994"/>
      <c r="BL53" s="995"/>
      <c r="BN53" s="881">
        <v>49</v>
      </c>
      <c r="BO53" s="882"/>
      <c r="BP53" s="883"/>
      <c r="BT53" s="746"/>
      <c r="BU53" s="747"/>
      <c r="BV53" s="784" t="str">
        <f>IF(BT53="","-",(IF(INDEX($A$5:$BP$257,MATCH(BT53,$BN$5:$BN$257,0),50)="Aço Inoxidável",('Densidade do AR'!$S$8*1000000),IF(INDEX($A$5:$BP$257,MATCH(BT53,$BN$5:$BN$257,0),50)="Ferro Fundido",('Densidade do AR'!$S$12*1000000),IF(INDEX($A$5:$BP$257,MATCH(BT53,$BN$5:$BN$257,0),50)="Latão",('Densidade do AR'!$S$10*1000000),IF(INDEX($A$5:$BP$257,MATCH(BT53,$BN$5:$BN$257,0),50)="Alumínio",('Densidade do AR'!$S$4*1000000)))))))</f>
        <v>-</v>
      </c>
      <c r="BW53" s="785"/>
      <c r="BX53" s="785"/>
      <c r="BY53" s="786"/>
      <c r="BZ53" s="787" t="str">
        <f t="shared" si="9"/>
        <v>-</v>
      </c>
      <c r="CA53" s="788"/>
      <c r="CB53" s="788"/>
      <c r="CC53" s="789"/>
      <c r="CD53" s="787" t="str">
        <f t="shared" si="1"/>
        <v>-</v>
      </c>
      <c r="CE53" s="788"/>
      <c r="CF53" s="788"/>
      <c r="CG53" s="789"/>
      <c r="CH53" s="790" t="str">
        <f t="shared" si="10"/>
        <v>-</v>
      </c>
      <c r="CI53" s="785"/>
      <c r="CJ53" s="785"/>
      <c r="CK53" s="786"/>
      <c r="CL53" s="790" t="str">
        <f t="shared" si="2"/>
        <v>-</v>
      </c>
      <c r="CM53" s="785"/>
      <c r="CN53" s="785"/>
      <c r="CO53" s="786"/>
      <c r="CP53" s="790" t="str">
        <f>IF(BT53="","-",INDEX($A$5:$BP$257,MATCH(BT53,$BN$5:$BN$257,0),39)*(IF(BT53="","-",(1+(((-('Densidade do AR'!$M$4))+('Densidade do AR'!$T$15*1000000))/(IF(INDEX($A$5:$BP$257,MATCH(BT53,$BN$5:$BN$257,0),50)="Aço Inoxidável",('Densidade do AR'!$S$8*1000000),IF(INDEX($A$5:$BP$257,MATCH(BT53,$BN$5:$BN$257,0),50)="Ferro Fundido",('Densidade do AR'!$S$12*1000000),IF(INDEX($A$5:$BP$257,MATCH(BT53,$BN$5:$BN$257,0),50)="Latão",('Densidade do AR'!$S$10*1000000),IF(INDEX($A$5:$BP$257,MATCH(BT53,$BN$5:$BN$257,0),50)="Alumínio",('Densidade do AR'!$S$4*1000000)))))))-(((-('Densidade do AR'!$M$4))+('Densidade do AR'!$T$15*1000000))/('Densidade do AR'!$S$14*1000000))))))</f>
        <v>-</v>
      </c>
      <c r="CQ53" s="785"/>
      <c r="CR53" s="785"/>
      <c r="CS53" s="791"/>
      <c r="CT53" s="91" t="str">
        <f t="shared" si="11"/>
        <v>-</v>
      </c>
      <c r="CU53" s="746"/>
      <c r="CV53" s="747"/>
      <c r="CW53" s="784" t="str">
        <f>IF(CU53="","-",(IF(INDEX($A$5:$BP$257,MATCH(CU53,$BN$5:$BN$257,0),50)="Aço Inoxidável",('Densidade do AR'!$S$8*1000000),IF(INDEX($A$5:$BP$257,MATCH(CU53,$BN$5:$BN$257,0),50)="Ferro Fundido",('Densidade do AR'!$S$12*1000000),IF(INDEX($A$5:$BP$257,MATCH(CU53,$BN$5:$BN$257,0),50)="Latão",('Densidade do AR'!$S$10*1000000),IF(INDEX($A$5:$BP$257,MATCH(CU53,$BN$5:$BN$257,0),50)="Alumínio",('Densidade do AR'!$S$4*1000000)))))))</f>
        <v>-</v>
      </c>
      <c r="CX53" s="785"/>
      <c r="CY53" s="785"/>
      <c r="CZ53" s="786"/>
      <c r="DA53" s="787" t="str">
        <f t="shared" si="12"/>
        <v>-</v>
      </c>
      <c r="DB53" s="788"/>
      <c r="DC53" s="788"/>
      <c r="DD53" s="789"/>
      <c r="DE53" s="787" t="str">
        <f t="shared" si="3"/>
        <v>-</v>
      </c>
      <c r="DF53" s="788"/>
      <c r="DG53" s="788"/>
      <c r="DH53" s="789"/>
      <c r="DI53" s="790" t="str">
        <f t="shared" si="13"/>
        <v>-</v>
      </c>
      <c r="DJ53" s="785"/>
      <c r="DK53" s="785"/>
      <c r="DL53" s="786"/>
      <c r="DM53" s="790" t="str">
        <f t="shared" si="4"/>
        <v>-</v>
      </c>
      <c r="DN53" s="785"/>
      <c r="DO53" s="785"/>
      <c r="DP53" s="786"/>
      <c r="DQ53" s="790" t="str">
        <f>IF(CU53="","-",INDEX($A$5:$BP$257,MATCH(CU53,$BN$5:$BN$257,0),39)*(IF(CU53="","-",(1+(((-('Densidade do AR'!$M$4))+('Densidade do AR'!$T$15*1000000))/(IF(INDEX($A$5:$BP$257,MATCH(CU53,$BN$5:$BN$257,0),50)="Aço Inoxidável",('Densidade do AR'!$S$8*1000000),IF(INDEX($A$5:$BP$257,MATCH(CU53,$BN$5:$BN$257,0),50)="Ferro Fundido",('Densidade do AR'!$S$12*1000000),IF(INDEX($A$5:$BP$257,MATCH(CU53,$BN$5:$BN$257,0),50)="Latão",('Densidade do AR'!$S$10*1000000),IF(INDEX($A$5:$BP$257,MATCH(CU53,$BN$5:$BN$257,0),50)="Alumínio",('Densidade do AR'!$S$4*1000000)))))))-(((-('Densidade do AR'!$M$4))+('Densidade do AR'!$T$15*1000000))/('Densidade do AR'!$S$14*1000000))))))</f>
        <v>-</v>
      </c>
      <c r="DR53" s="785"/>
      <c r="DS53" s="785"/>
      <c r="DT53" s="791"/>
      <c r="DU53" s="91" t="str">
        <f t="shared" si="14"/>
        <v>-</v>
      </c>
      <c r="DV53" s="746"/>
      <c r="DW53" s="747"/>
      <c r="DX53" s="784" t="str">
        <f>IF(DV53="","-",(IF(INDEX($A$5:$BP$257,MATCH(DV53,$BN$5:$BN$257,0),50)="Aço Inoxidável",('Densidade do AR'!$S$8*1000000),IF(INDEX($A$5:$BP$257,MATCH(DV53,$BN$5:$BN$257,0),50)="Ferro Fundido",('Densidade do AR'!$S$12*1000000),IF(INDEX($A$5:$BP$257,MATCH(DV53,$BN$5:$BN$257,0),50)="Latão",('Densidade do AR'!$S$10*1000000),IF(INDEX($A$5:$BP$257,MATCH(DV53,$BN$5:$BN$257,0),50)="Alumínio",('Densidade do AR'!$S$4*1000000)))))))</f>
        <v>-</v>
      </c>
      <c r="DY53" s="785"/>
      <c r="DZ53" s="785"/>
      <c r="EA53" s="786"/>
      <c r="EB53" s="787" t="str">
        <f t="shared" si="15"/>
        <v>-</v>
      </c>
      <c r="EC53" s="788"/>
      <c r="ED53" s="788"/>
      <c r="EE53" s="789"/>
      <c r="EF53" s="787" t="str">
        <f t="shared" si="5"/>
        <v>-</v>
      </c>
      <c r="EG53" s="788"/>
      <c r="EH53" s="788"/>
      <c r="EI53" s="789"/>
      <c r="EJ53" s="790" t="str">
        <f t="shared" si="16"/>
        <v>-</v>
      </c>
      <c r="EK53" s="785"/>
      <c r="EL53" s="785"/>
      <c r="EM53" s="786"/>
      <c r="EN53" s="790" t="str">
        <f t="shared" si="6"/>
        <v>-</v>
      </c>
      <c r="EO53" s="785"/>
      <c r="EP53" s="785"/>
      <c r="EQ53" s="786"/>
      <c r="ER53" s="790" t="str">
        <f>IF(DV53="","-",INDEX($A$5:$BP$257,MATCH(DV53,$BN$5:$BN$257,0),39)*(IF(DV53="","-",(1+(((-('Densidade do AR'!$M$4))+('Densidade do AR'!$T$15*1000000))/(IF(INDEX($A$5:$BP$257,MATCH(DV53,$BN$5:$BN$257,0),50)="Aço Inoxidável",('Densidade do AR'!$S$8*1000000),IF(INDEX($A$5:$BP$257,MATCH(DV53,$BN$5:$BN$257,0),50)="Ferro Fundido",('Densidade do AR'!$S$12*1000000),IF(INDEX($A$5:$BP$257,MATCH(DV53,$BN$5:$BN$257,0),50)="Latão",('Densidade do AR'!$S$10*1000000),IF(INDEX($A$5:$BP$257,MATCH(DV53,$BN$5:$BN$257,0),50)="Alumínio",('Densidade do AR'!$S$4*1000000)))))))-(((-('Densidade do AR'!$M$4))+('Densidade do AR'!$T$15*1000000))/('Densidade do AR'!$S$14*1000000))))))</f>
        <v>-</v>
      </c>
      <c r="ES53" s="785"/>
      <c r="ET53" s="785"/>
      <c r="EU53" s="791"/>
      <c r="EV53" s="91" t="str">
        <f t="shared" si="17"/>
        <v>-</v>
      </c>
      <c r="EW53" s="746"/>
      <c r="EX53" s="747"/>
      <c r="EY53" s="784" t="str">
        <f>IF(EW53="","-",(IF(INDEX($A$5:$BP$257,MATCH(EW53,$BN$5:$BN$257,0),50)="Aço Inoxidável",('Densidade do AR'!$S$8*1000000),IF(INDEX($A$5:$BP$257,MATCH(EW53,$BN$5:$BN$257,0),50)="Ferro Fundido",('Densidade do AR'!$S$12*1000000),IF(INDEX($A$5:$BP$257,MATCH(EW53,$BN$5:$BN$257,0),50)="Latão",('Densidade do AR'!$S$10*1000000),IF(INDEX($A$5:$BP$257,MATCH(EW53,$BN$5:$BN$257,0),50)="Alumínio",('Densidade do AR'!$S$4*1000000)))))))</f>
        <v>-</v>
      </c>
      <c r="EZ53" s="785"/>
      <c r="FA53" s="785"/>
      <c r="FB53" s="786"/>
      <c r="FC53" s="787" t="str">
        <f t="shared" si="18"/>
        <v>-</v>
      </c>
      <c r="FD53" s="788"/>
      <c r="FE53" s="788"/>
      <c r="FF53" s="789"/>
      <c r="FG53" s="787" t="str">
        <f t="shared" si="7"/>
        <v>-</v>
      </c>
      <c r="FH53" s="788"/>
      <c r="FI53" s="788"/>
      <c r="FJ53" s="789"/>
      <c r="FK53" s="790" t="str">
        <f t="shared" si="19"/>
        <v>-</v>
      </c>
      <c r="FL53" s="785"/>
      <c r="FM53" s="785"/>
      <c r="FN53" s="786"/>
      <c r="FO53" s="790" t="str">
        <f t="shared" si="8"/>
        <v>-</v>
      </c>
      <c r="FP53" s="785"/>
      <c r="FQ53" s="785"/>
      <c r="FR53" s="786"/>
      <c r="FS53" s="790" t="str">
        <f>IF(EW53="","-",INDEX($A$5:$BP$257,MATCH(EW53,$BN$5:$BN$257,0),39)*(IF(EW53="","-",(1+(((-('Densidade do AR'!$M$4))+('Densidade do AR'!$T$15*1000000))/(IF(INDEX($A$5:$BP$257,MATCH(EW53,$BN$5:$BN$257,0),50)="Aço Inoxidável",('Densidade do AR'!$S$8*1000000),IF(INDEX($A$5:$BP$257,MATCH(EW53,$BN$5:$BN$257,0),50)="Ferro Fundido",('Densidade do AR'!$S$12*1000000),IF(INDEX($A$5:$BP$257,MATCH(EW53,$BN$5:$BN$257,0),50)="Latão",('Densidade do AR'!$S$10*1000000),IF(INDEX($A$5:$BP$257,MATCH(EW53,$BN$5:$BN$257,0),50)="Alumínio",('Densidade do AR'!$S$4*1000000)))))))-(((-('Densidade do AR'!$M$4))+('Densidade do AR'!$T$15*1000000))/('Densidade do AR'!$S$14*1000000))))))</f>
        <v>-</v>
      </c>
      <c r="FT53" s="785"/>
      <c r="FU53" s="785"/>
      <c r="FV53" s="791"/>
      <c r="FW53" s="91" t="str">
        <f t="shared" si="20"/>
        <v>-</v>
      </c>
      <c r="FX53" s="135"/>
    </row>
    <row r="54" spans="1:180" x14ac:dyDescent="0.2">
      <c r="A54" s="718">
        <v>50</v>
      </c>
      <c r="B54" s="713"/>
      <c r="C54" s="719">
        <v>20000</v>
      </c>
      <c r="D54" s="709"/>
      <c r="E54" s="709"/>
      <c r="F54" s="709"/>
      <c r="G54" s="710"/>
      <c r="H54" s="720">
        <v>16</v>
      </c>
      <c r="I54" s="941"/>
      <c r="J54" s="941"/>
      <c r="K54" s="942"/>
      <c r="L54" s="719" t="s">
        <v>112</v>
      </c>
      <c r="M54" s="709"/>
      <c r="N54" s="709"/>
      <c r="O54" s="709"/>
      <c r="P54" s="719">
        <v>16</v>
      </c>
      <c r="Q54" s="882"/>
      <c r="R54" s="882"/>
      <c r="S54" s="882"/>
      <c r="T54" s="939"/>
      <c r="U54" s="897" t="s">
        <v>305</v>
      </c>
      <c r="V54" s="722"/>
      <c r="W54" s="722"/>
      <c r="X54" s="722"/>
      <c r="Y54" s="722"/>
      <c r="Z54" s="722"/>
      <c r="AA54" s="723"/>
      <c r="AB54" s="853"/>
      <c r="AC54" s="854"/>
      <c r="AD54" s="854"/>
      <c r="AE54" s="854"/>
      <c r="AF54" s="854"/>
      <c r="AG54" s="854"/>
      <c r="AH54" s="854"/>
      <c r="AI54" s="854"/>
      <c r="AJ54" s="854"/>
      <c r="AK54" s="854"/>
      <c r="AL54" s="855"/>
      <c r="AM54" s="909">
        <v>20000000</v>
      </c>
      <c r="AN54" s="712"/>
      <c r="AO54" s="712"/>
      <c r="AP54" s="712"/>
      <c r="AQ54" s="712"/>
      <c r="AR54" s="712"/>
      <c r="AS54" s="713"/>
      <c r="AT54" s="909">
        <f t="shared" si="21"/>
        <v>0</v>
      </c>
      <c r="AU54" s="712"/>
      <c r="AV54" s="712"/>
      <c r="AW54" s="713"/>
      <c r="AX54" s="908" t="s">
        <v>13</v>
      </c>
      <c r="AY54" s="712"/>
      <c r="AZ54" s="712"/>
      <c r="BA54" s="712"/>
      <c r="BB54" s="712"/>
      <c r="BC54" s="713"/>
      <c r="BD54" s="909">
        <v>300</v>
      </c>
      <c r="BE54" s="712"/>
      <c r="BF54" s="712"/>
      <c r="BG54" s="713"/>
      <c r="BH54" s="909">
        <v>2</v>
      </c>
      <c r="BI54" s="994"/>
      <c r="BJ54" s="994"/>
      <c r="BK54" s="994"/>
      <c r="BL54" s="995"/>
      <c r="BN54" s="878">
        <v>50</v>
      </c>
      <c r="BO54" s="879"/>
      <c r="BP54" s="880"/>
      <c r="BT54" s="736"/>
      <c r="BU54" s="737"/>
      <c r="BV54" s="738" t="str">
        <f>IF(BT54="","-",(IF(INDEX($A$5:$BP$257,MATCH(BT54,$BN$5:$BN$257,0),50)="Aço Inoxidável",('Densidade do AR'!$S$8*1000000),IF(INDEX($A$5:$BP$257,MATCH(BT54,$BN$5:$BN$257,0),50)="Ferro Fundido",('Densidade do AR'!$S$12*1000000),IF(INDEX($A$5:$BP$257,MATCH(BT54,$BN$5:$BN$257,0),50)="Latão",('Densidade do AR'!$S$10*1000000),IF(INDEX($A$5:$BP$257,MATCH(BT54,$BN$5:$BN$257,0),50)="Alumínio",('Densidade do AR'!$S$4*1000000)))))))</f>
        <v>-</v>
      </c>
      <c r="BW54" s="739"/>
      <c r="BX54" s="739"/>
      <c r="BY54" s="740"/>
      <c r="BZ54" s="741" t="str">
        <f t="shared" si="9"/>
        <v>-</v>
      </c>
      <c r="CA54" s="742"/>
      <c r="CB54" s="742"/>
      <c r="CC54" s="743"/>
      <c r="CD54" s="741" t="str">
        <f t="shared" si="1"/>
        <v>-</v>
      </c>
      <c r="CE54" s="742"/>
      <c r="CF54" s="742"/>
      <c r="CG54" s="743"/>
      <c r="CH54" s="744" t="str">
        <f t="shared" si="10"/>
        <v>-</v>
      </c>
      <c r="CI54" s="739"/>
      <c r="CJ54" s="739"/>
      <c r="CK54" s="740"/>
      <c r="CL54" s="744" t="str">
        <f t="shared" si="2"/>
        <v>-</v>
      </c>
      <c r="CM54" s="739"/>
      <c r="CN54" s="739"/>
      <c r="CO54" s="740"/>
      <c r="CP54" s="744" t="str">
        <f>IF(BT54="","-",INDEX($A$5:$BP$257,MATCH(BT54,$BN$5:$BN$257,0),39)*(IF(BT54="","-",(1+(((-('Densidade do AR'!$M$4))+('Densidade do AR'!$T$15*1000000))/(IF(INDEX($A$5:$BP$257,MATCH(BT54,$BN$5:$BN$257,0),50)="Aço Inoxidável",('Densidade do AR'!$S$8*1000000),IF(INDEX($A$5:$BP$257,MATCH(BT54,$BN$5:$BN$257,0),50)="Ferro Fundido",('Densidade do AR'!$S$12*1000000),IF(INDEX($A$5:$BP$257,MATCH(BT54,$BN$5:$BN$257,0),50)="Latão",('Densidade do AR'!$S$10*1000000),IF(INDEX($A$5:$BP$257,MATCH(BT54,$BN$5:$BN$257,0),50)="Alumínio",('Densidade do AR'!$S$4*1000000)))))))-(((-('Densidade do AR'!$M$4))+('Densidade do AR'!$T$15*1000000))/('Densidade do AR'!$S$14*1000000))))))</f>
        <v>-</v>
      </c>
      <c r="CQ54" s="739"/>
      <c r="CR54" s="739"/>
      <c r="CS54" s="745"/>
      <c r="CT54" s="91" t="str">
        <f t="shared" si="11"/>
        <v>-</v>
      </c>
      <c r="CU54" s="736"/>
      <c r="CV54" s="737"/>
      <c r="CW54" s="738" t="str">
        <f>IF(CU54="","-",(IF(INDEX($A$5:$BP$257,MATCH(CU54,$BN$5:$BN$257,0),50)="Aço Inoxidável",('Densidade do AR'!$S$8*1000000),IF(INDEX($A$5:$BP$257,MATCH(CU54,$BN$5:$BN$257,0),50)="Ferro Fundido",('Densidade do AR'!$S$12*1000000),IF(INDEX($A$5:$BP$257,MATCH(CU54,$BN$5:$BN$257,0),50)="Latão",('Densidade do AR'!$S$10*1000000),IF(INDEX($A$5:$BP$257,MATCH(CU54,$BN$5:$BN$257,0),50)="Alumínio",('Densidade do AR'!$S$4*1000000)))))))</f>
        <v>-</v>
      </c>
      <c r="CX54" s="739"/>
      <c r="CY54" s="739"/>
      <c r="CZ54" s="740"/>
      <c r="DA54" s="741" t="str">
        <f t="shared" si="12"/>
        <v>-</v>
      </c>
      <c r="DB54" s="742"/>
      <c r="DC54" s="742"/>
      <c r="DD54" s="743"/>
      <c r="DE54" s="741" t="str">
        <f t="shared" si="3"/>
        <v>-</v>
      </c>
      <c r="DF54" s="742"/>
      <c r="DG54" s="742"/>
      <c r="DH54" s="743"/>
      <c r="DI54" s="744" t="str">
        <f t="shared" si="13"/>
        <v>-</v>
      </c>
      <c r="DJ54" s="739"/>
      <c r="DK54" s="739"/>
      <c r="DL54" s="740"/>
      <c r="DM54" s="744" t="str">
        <f t="shared" si="4"/>
        <v>-</v>
      </c>
      <c r="DN54" s="739"/>
      <c r="DO54" s="739"/>
      <c r="DP54" s="740"/>
      <c r="DQ54" s="744" t="str">
        <f>IF(CU54="","-",INDEX($A$5:$BP$257,MATCH(CU54,$BN$5:$BN$257,0),39)*(IF(CU54="","-",(1+(((-('Densidade do AR'!$M$4))+('Densidade do AR'!$T$15*1000000))/(IF(INDEX($A$5:$BP$257,MATCH(CU54,$BN$5:$BN$257,0),50)="Aço Inoxidável",('Densidade do AR'!$S$8*1000000),IF(INDEX($A$5:$BP$257,MATCH(CU54,$BN$5:$BN$257,0),50)="Ferro Fundido",('Densidade do AR'!$S$12*1000000),IF(INDEX($A$5:$BP$257,MATCH(CU54,$BN$5:$BN$257,0),50)="Latão",('Densidade do AR'!$S$10*1000000),IF(INDEX($A$5:$BP$257,MATCH(CU54,$BN$5:$BN$257,0),50)="Alumínio",('Densidade do AR'!$S$4*1000000)))))))-(((-('Densidade do AR'!$M$4))+('Densidade do AR'!$T$15*1000000))/('Densidade do AR'!$S$14*1000000))))))</f>
        <v>-</v>
      </c>
      <c r="DR54" s="739"/>
      <c r="DS54" s="739"/>
      <c r="DT54" s="745"/>
      <c r="DU54" s="91" t="str">
        <f t="shared" si="14"/>
        <v>-</v>
      </c>
      <c r="DV54" s="736"/>
      <c r="DW54" s="737"/>
      <c r="DX54" s="738" t="str">
        <f>IF(DV54="","-",(IF(INDEX($A$5:$BP$257,MATCH(DV54,$BN$5:$BN$257,0),50)="Aço Inoxidável",('Densidade do AR'!$S$8*1000000),IF(INDEX($A$5:$BP$257,MATCH(DV54,$BN$5:$BN$257,0),50)="Ferro Fundido",('Densidade do AR'!$S$12*1000000),IF(INDEX($A$5:$BP$257,MATCH(DV54,$BN$5:$BN$257,0),50)="Latão",('Densidade do AR'!$S$10*1000000),IF(INDEX($A$5:$BP$257,MATCH(DV54,$BN$5:$BN$257,0),50)="Alumínio",('Densidade do AR'!$S$4*1000000)))))))</f>
        <v>-</v>
      </c>
      <c r="DY54" s="739"/>
      <c r="DZ54" s="739"/>
      <c r="EA54" s="740"/>
      <c r="EB54" s="741" t="str">
        <f t="shared" si="15"/>
        <v>-</v>
      </c>
      <c r="EC54" s="742"/>
      <c r="ED54" s="742"/>
      <c r="EE54" s="743"/>
      <c r="EF54" s="741" t="str">
        <f t="shared" si="5"/>
        <v>-</v>
      </c>
      <c r="EG54" s="742"/>
      <c r="EH54" s="742"/>
      <c r="EI54" s="743"/>
      <c r="EJ54" s="744" t="str">
        <f t="shared" si="16"/>
        <v>-</v>
      </c>
      <c r="EK54" s="739"/>
      <c r="EL54" s="739"/>
      <c r="EM54" s="740"/>
      <c r="EN54" s="744" t="str">
        <f t="shared" si="6"/>
        <v>-</v>
      </c>
      <c r="EO54" s="739"/>
      <c r="EP54" s="739"/>
      <c r="EQ54" s="740"/>
      <c r="ER54" s="744" t="str">
        <f>IF(DV54="","-",INDEX($A$5:$BP$257,MATCH(DV54,$BN$5:$BN$257,0),39)*(IF(DV54="","-",(1+(((-('Densidade do AR'!$M$4))+('Densidade do AR'!$T$15*1000000))/(IF(INDEX($A$5:$BP$257,MATCH(DV54,$BN$5:$BN$257,0),50)="Aço Inoxidável",('Densidade do AR'!$S$8*1000000),IF(INDEX($A$5:$BP$257,MATCH(DV54,$BN$5:$BN$257,0),50)="Ferro Fundido",('Densidade do AR'!$S$12*1000000),IF(INDEX($A$5:$BP$257,MATCH(DV54,$BN$5:$BN$257,0),50)="Latão",('Densidade do AR'!$S$10*1000000),IF(INDEX($A$5:$BP$257,MATCH(DV54,$BN$5:$BN$257,0),50)="Alumínio",('Densidade do AR'!$S$4*1000000)))))))-(((-('Densidade do AR'!$M$4))+('Densidade do AR'!$T$15*1000000))/('Densidade do AR'!$S$14*1000000))))))</f>
        <v>-</v>
      </c>
      <c r="ES54" s="739"/>
      <c r="ET54" s="739"/>
      <c r="EU54" s="745"/>
      <c r="EV54" s="91" t="str">
        <f t="shared" si="17"/>
        <v>-</v>
      </c>
      <c r="EW54" s="736"/>
      <c r="EX54" s="737"/>
      <c r="EY54" s="738" t="str">
        <f>IF(EW54="","-",(IF(INDEX($A$5:$BP$257,MATCH(EW54,$BN$5:$BN$257,0),50)="Aço Inoxidável",('Densidade do AR'!$S$8*1000000),IF(INDEX($A$5:$BP$257,MATCH(EW54,$BN$5:$BN$257,0),50)="Ferro Fundido",('Densidade do AR'!$S$12*1000000),IF(INDEX($A$5:$BP$257,MATCH(EW54,$BN$5:$BN$257,0),50)="Latão",('Densidade do AR'!$S$10*1000000),IF(INDEX($A$5:$BP$257,MATCH(EW54,$BN$5:$BN$257,0),50)="Alumínio",('Densidade do AR'!$S$4*1000000)))))))</f>
        <v>-</v>
      </c>
      <c r="EZ54" s="739"/>
      <c r="FA54" s="739"/>
      <c r="FB54" s="740"/>
      <c r="FC54" s="741" t="str">
        <f t="shared" si="18"/>
        <v>-</v>
      </c>
      <c r="FD54" s="742"/>
      <c r="FE54" s="742"/>
      <c r="FF54" s="743"/>
      <c r="FG54" s="741" t="str">
        <f t="shared" si="7"/>
        <v>-</v>
      </c>
      <c r="FH54" s="742"/>
      <c r="FI54" s="742"/>
      <c r="FJ54" s="743"/>
      <c r="FK54" s="744" t="str">
        <f t="shared" si="19"/>
        <v>-</v>
      </c>
      <c r="FL54" s="739"/>
      <c r="FM54" s="739"/>
      <c r="FN54" s="740"/>
      <c r="FO54" s="744" t="str">
        <f t="shared" si="8"/>
        <v>-</v>
      </c>
      <c r="FP54" s="739"/>
      <c r="FQ54" s="739"/>
      <c r="FR54" s="740"/>
      <c r="FS54" s="744" t="str">
        <f>IF(EW54="","-",INDEX($A$5:$BP$257,MATCH(EW54,$BN$5:$BN$257,0),39)*(IF(EW54="","-",(1+(((-('Densidade do AR'!$M$4))+('Densidade do AR'!$T$15*1000000))/(IF(INDEX($A$5:$BP$257,MATCH(EW54,$BN$5:$BN$257,0),50)="Aço Inoxidável",('Densidade do AR'!$S$8*1000000),IF(INDEX($A$5:$BP$257,MATCH(EW54,$BN$5:$BN$257,0),50)="Ferro Fundido",('Densidade do AR'!$S$12*1000000),IF(INDEX($A$5:$BP$257,MATCH(EW54,$BN$5:$BN$257,0),50)="Latão",('Densidade do AR'!$S$10*1000000),IF(INDEX($A$5:$BP$257,MATCH(EW54,$BN$5:$BN$257,0),50)="Alumínio",('Densidade do AR'!$S$4*1000000)))))))-(((-('Densidade do AR'!$M$4))+('Densidade do AR'!$T$15*1000000))/('Densidade do AR'!$S$14*1000000))))))</f>
        <v>-</v>
      </c>
      <c r="FT54" s="739"/>
      <c r="FU54" s="739"/>
      <c r="FV54" s="745"/>
      <c r="FW54" s="91" t="str">
        <f t="shared" si="20"/>
        <v>-</v>
      </c>
      <c r="FX54" s="135"/>
    </row>
    <row r="55" spans="1:180" x14ac:dyDescent="0.2">
      <c r="A55" s="717">
        <v>51</v>
      </c>
      <c r="B55" s="713"/>
      <c r="C55" s="708">
        <v>20000</v>
      </c>
      <c r="D55" s="709"/>
      <c r="E55" s="709"/>
      <c r="F55" s="709"/>
      <c r="G55" s="710"/>
      <c r="H55" s="711">
        <v>17</v>
      </c>
      <c r="I55" s="934"/>
      <c r="J55" s="934"/>
      <c r="K55" s="935"/>
      <c r="L55" s="708" t="s">
        <v>112</v>
      </c>
      <c r="M55" s="709"/>
      <c r="N55" s="709"/>
      <c r="O55" s="709"/>
      <c r="P55" s="708">
        <v>17</v>
      </c>
      <c r="Q55" s="879"/>
      <c r="R55" s="879"/>
      <c r="S55" s="879"/>
      <c r="T55" s="937"/>
      <c r="U55" s="898" t="s">
        <v>305</v>
      </c>
      <c r="V55" s="715"/>
      <c r="W55" s="715"/>
      <c r="X55" s="715"/>
      <c r="Y55" s="715"/>
      <c r="Z55" s="715"/>
      <c r="AA55" s="716"/>
      <c r="AB55" s="850"/>
      <c r="AC55" s="851"/>
      <c r="AD55" s="851"/>
      <c r="AE55" s="851"/>
      <c r="AF55" s="851"/>
      <c r="AG55" s="851"/>
      <c r="AH55" s="851"/>
      <c r="AI55" s="851"/>
      <c r="AJ55" s="851"/>
      <c r="AK55" s="851"/>
      <c r="AL55" s="852"/>
      <c r="AM55" s="917">
        <v>20000000</v>
      </c>
      <c r="AN55" s="712"/>
      <c r="AO55" s="712"/>
      <c r="AP55" s="712"/>
      <c r="AQ55" s="712"/>
      <c r="AR55" s="712"/>
      <c r="AS55" s="713"/>
      <c r="AT55" s="917">
        <f t="shared" si="21"/>
        <v>0</v>
      </c>
      <c r="AU55" s="712"/>
      <c r="AV55" s="712"/>
      <c r="AW55" s="713"/>
      <c r="AX55" s="917" t="s">
        <v>13</v>
      </c>
      <c r="AY55" s="712"/>
      <c r="AZ55" s="712"/>
      <c r="BA55" s="712"/>
      <c r="BB55" s="712"/>
      <c r="BC55" s="713"/>
      <c r="BD55" s="917">
        <v>300</v>
      </c>
      <c r="BE55" s="712"/>
      <c r="BF55" s="712"/>
      <c r="BG55" s="713"/>
      <c r="BH55" s="917">
        <v>2</v>
      </c>
      <c r="BI55" s="994"/>
      <c r="BJ55" s="994"/>
      <c r="BK55" s="994"/>
      <c r="BL55" s="995"/>
      <c r="BN55" s="881">
        <v>51</v>
      </c>
      <c r="BO55" s="882"/>
      <c r="BP55" s="883"/>
      <c r="BT55" s="746"/>
      <c r="BU55" s="747"/>
      <c r="BV55" s="784" t="str">
        <f>IF(BT55="","-",(IF(INDEX($A$5:$BP$257,MATCH(BT55,$BN$5:$BN$257,0),50)="Aço Inoxidável",('Densidade do AR'!$S$8*1000000),IF(INDEX($A$5:$BP$257,MATCH(BT55,$BN$5:$BN$257,0),50)="Ferro Fundido",('Densidade do AR'!$S$12*1000000),IF(INDEX($A$5:$BP$257,MATCH(BT55,$BN$5:$BN$257,0),50)="Latão",('Densidade do AR'!$S$10*1000000),IF(INDEX($A$5:$BP$257,MATCH(BT55,$BN$5:$BN$257,0),50)="Alumínio",('Densidade do AR'!$S$4*1000000)))))))</f>
        <v>-</v>
      </c>
      <c r="BW55" s="785"/>
      <c r="BX55" s="785"/>
      <c r="BY55" s="786"/>
      <c r="BZ55" s="787" t="str">
        <f t="shared" si="9"/>
        <v>-</v>
      </c>
      <c r="CA55" s="788"/>
      <c r="CB55" s="788"/>
      <c r="CC55" s="789"/>
      <c r="CD55" s="787" t="str">
        <f t="shared" si="1"/>
        <v>-</v>
      </c>
      <c r="CE55" s="788"/>
      <c r="CF55" s="788"/>
      <c r="CG55" s="789"/>
      <c r="CH55" s="790" t="str">
        <f t="shared" si="10"/>
        <v>-</v>
      </c>
      <c r="CI55" s="785"/>
      <c r="CJ55" s="785"/>
      <c r="CK55" s="786"/>
      <c r="CL55" s="790" t="str">
        <f t="shared" si="2"/>
        <v>-</v>
      </c>
      <c r="CM55" s="785"/>
      <c r="CN55" s="785"/>
      <c r="CO55" s="786"/>
      <c r="CP55" s="790" t="str">
        <f>IF(BT55="","-",INDEX($A$5:$BP$257,MATCH(BT55,$BN$5:$BN$257,0),39)*(IF(BT55="","-",(1+(((-('Densidade do AR'!$M$4))+('Densidade do AR'!$T$15*1000000))/(IF(INDEX($A$5:$BP$257,MATCH(BT55,$BN$5:$BN$257,0),50)="Aço Inoxidável",('Densidade do AR'!$S$8*1000000),IF(INDEX($A$5:$BP$257,MATCH(BT55,$BN$5:$BN$257,0),50)="Ferro Fundido",('Densidade do AR'!$S$12*1000000),IF(INDEX($A$5:$BP$257,MATCH(BT55,$BN$5:$BN$257,0),50)="Latão",('Densidade do AR'!$S$10*1000000),IF(INDEX($A$5:$BP$257,MATCH(BT55,$BN$5:$BN$257,0),50)="Alumínio",('Densidade do AR'!$S$4*1000000)))))))-(((-('Densidade do AR'!$M$4))+('Densidade do AR'!$T$15*1000000))/('Densidade do AR'!$S$14*1000000))))))</f>
        <v>-</v>
      </c>
      <c r="CQ55" s="785"/>
      <c r="CR55" s="785"/>
      <c r="CS55" s="791"/>
      <c r="CT55" s="91" t="str">
        <f t="shared" si="11"/>
        <v>-</v>
      </c>
      <c r="CU55" s="746"/>
      <c r="CV55" s="747"/>
      <c r="CW55" s="784" t="str">
        <f>IF(CU55="","-",(IF(INDEX($A$5:$BP$257,MATCH(CU55,$BN$5:$BN$257,0),50)="Aço Inoxidável",('Densidade do AR'!$S$8*1000000),IF(INDEX($A$5:$BP$257,MATCH(CU55,$BN$5:$BN$257,0),50)="Ferro Fundido",('Densidade do AR'!$S$12*1000000),IF(INDEX($A$5:$BP$257,MATCH(CU55,$BN$5:$BN$257,0),50)="Latão",('Densidade do AR'!$S$10*1000000),IF(INDEX($A$5:$BP$257,MATCH(CU55,$BN$5:$BN$257,0),50)="Alumínio",('Densidade do AR'!$S$4*1000000)))))))</f>
        <v>-</v>
      </c>
      <c r="CX55" s="785"/>
      <c r="CY55" s="785"/>
      <c r="CZ55" s="786"/>
      <c r="DA55" s="787" t="str">
        <f t="shared" si="12"/>
        <v>-</v>
      </c>
      <c r="DB55" s="788"/>
      <c r="DC55" s="788"/>
      <c r="DD55" s="789"/>
      <c r="DE55" s="787" t="str">
        <f t="shared" si="3"/>
        <v>-</v>
      </c>
      <c r="DF55" s="788"/>
      <c r="DG55" s="788"/>
      <c r="DH55" s="789"/>
      <c r="DI55" s="790" t="str">
        <f t="shared" si="13"/>
        <v>-</v>
      </c>
      <c r="DJ55" s="785"/>
      <c r="DK55" s="785"/>
      <c r="DL55" s="786"/>
      <c r="DM55" s="790" t="str">
        <f t="shared" si="4"/>
        <v>-</v>
      </c>
      <c r="DN55" s="785"/>
      <c r="DO55" s="785"/>
      <c r="DP55" s="786"/>
      <c r="DQ55" s="790" t="str">
        <f>IF(CU55="","-",INDEX($A$5:$BP$257,MATCH(CU55,$BN$5:$BN$257,0),39)*(IF(CU55="","-",(1+(((-('Densidade do AR'!$M$4))+('Densidade do AR'!$T$15*1000000))/(IF(INDEX($A$5:$BP$257,MATCH(CU55,$BN$5:$BN$257,0),50)="Aço Inoxidável",('Densidade do AR'!$S$8*1000000),IF(INDEX($A$5:$BP$257,MATCH(CU55,$BN$5:$BN$257,0),50)="Ferro Fundido",('Densidade do AR'!$S$12*1000000),IF(INDEX($A$5:$BP$257,MATCH(CU55,$BN$5:$BN$257,0),50)="Latão",('Densidade do AR'!$S$10*1000000),IF(INDEX($A$5:$BP$257,MATCH(CU55,$BN$5:$BN$257,0),50)="Alumínio",('Densidade do AR'!$S$4*1000000)))))))-(((-('Densidade do AR'!$M$4))+('Densidade do AR'!$T$15*1000000))/('Densidade do AR'!$S$14*1000000))))))</f>
        <v>-</v>
      </c>
      <c r="DR55" s="785"/>
      <c r="DS55" s="785"/>
      <c r="DT55" s="791"/>
      <c r="DU55" s="91" t="str">
        <f t="shared" si="14"/>
        <v>-</v>
      </c>
      <c r="DV55" s="746"/>
      <c r="DW55" s="747"/>
      <c r="DX55" s="784" t="str">
        <f>IF(DV55="","-",(IF(INDEX($A$5:$BP$257,MATCH(DV55,$BN$5:$BN$257,0),50)="Aço Inoxidável",('Densidade do AR'!$S$8*1000000),IF(INDEX($A$5:$BP$257,MATCH(DV55,$BN$5:$BN$257,0),50)="Ferro Fundido",('Densidade do AR'!$S$12*1000000),IF(INDEX($A$5:$BP$257,MATCH(DV55,$BN$5:$BN$257,0),50)="Latão",('Densidade do AR'!$S$10*1000000),IF(INDEX($A$5:$BP$257,MATCH(DV55,$BN$5:$BN$257,0),50)="Alumínio",('Densidade do AR'!$S$4*1000000)))))))</f>
        <v>-</v>
      </c>
      <c r="DY55" s="785"/>
      <c r="DZ55" s="785"/>
      <c r="EA55" s="786"/>
      <c r="EB55" s="787" t="str">
        <f t="shared" si="15"/>
        <v>-</v>
      </c>
      <c r="EC55" s="788"/>
      <c r="ED55" s="788"/>
      <c r="EE55" s="789"/>
      <c r="EF55" s="787" t="str">
        <f t="shared" si="5"/>
        <v>-</v>
      </c>
      <c r="EG55" s="788"/>
      <c r="EH55" s="788"/>
      <c r="EI55" s="789"/>
      <c r="EJ55" s="790" t="str">
        <f t="shared" si="16"/>
        <v>-</v>
      </c>
      <c r="EK55" s="785"/>
      <c r="EL55" s="785"/>
      <c r="EM55" s="786"/>
      <c r="EN55" s="790" t="str">
        <f t="shared" si="6"/>
        <v>-</v>
      </c>
      <c r="EO55" s="785"/>
      <c r="EP55" s="785"/>
      <c r="EQ55" s="786"/>
      <c r="ER55" s="790" t="str">
        <f>IF(DV55="","-",INDEX($A$5:$BP$257,MATCH(DV55,$BN$5:$BN$257,0),39)*(IF(DV55="","-",(1+(((-('Densidade do AR'!$M$4))+('Densidade do AR'!$T$15*1000000))/(IF(INDEX($A$5:$BP$257,MATCH(DV55,$BN$5:$BN$257,0),50)="Aço Inoxidável",('Densidade do AR'!$S$8*1000000),IF(INDEX($A$5:$BP$257,MATCH(DV55,$BN$5:$BN$257,0),50)="Ferro Fundido",('Densidade do AR'!$S$12*1000000),IF(INDEX($A$5:$BP$257,MATCH(DV55,$BN$5:$BN$257,0),50)="Latão",('Densidade do AR'!$S$10*1000000),IF(INDEX($A$5:$BP$257,MATCH(DV55,$BN$5:$BN$257,0),50)="Alumínio",('Densidade do AR'!$S$4*1000000)))))))-(((-('Densidade do AR'!$M$4))+('Densidade do AR'!$T$15*1000000))/('Densidade do AR'!$S$14*1000000))))))</f>
        <v>-</v>
      </c>
      <c r="ES55" s="785"/>
      <c r="ET55" s="785"/>
      <c r="EU55" s="791"/>
      <c r="EV55" s="91" t="str">
        <f t="shared" si="17"/>
        <v>-</v>
      </c>
      <c r="EW55" s="746"/>
      <c r="EX55" s="747"/>
      <c r="EY55" s="784" t="str">
        <f>IF(EW55="","-",(IF(INDEX($A$5:$BP$257,MATCH(EW55,$BN$5:$BN$257,0),50)="Aço Inoxidável",('Densidade do AR'!$S$8*1000000),IF(INDEX($A$5:$BP$257,MATCH(EW55,$BN$5:$BN$257,0),50)="Ferro Fundido",('Densidade do AR'!$S$12*1000000),IF(INDEX($A$5:$BP$257,MATCH(EW55,$BN$5:$BN$257,0),50)="Latão",('Densidade do AR'!$S$10*1000000),IF(INDEX($A$5:$BP$257,MATCH(EW55,$BN$5:$BN$257,0),50)="Alumínio",('Densidade do AR'!$S$4*1000000)))))))</f>
        <v>-</v>
      </c>
      <c r="EZ55" s="785"/>
      <c r="FA55" s="785"/>
      <c r="FB55" s="786"/>
      <c r="FC55" s="787" t="str">
        <f t="shared" si="18"/>
        <v>-</v>
      </c>
      <c r="FD55" s="788"/>
      <c r="FE55" s="788"/>
      <c r="FF55" s="789"/>
      <c r="FG55" s="787" t="str">
        <f t="shared" si="7"/>
        <v>-</v>
      </c>
      <c r="FH55" s="788"/>
      <c r="FI55" s="788"/>
      <c r="FJ55" s="789"/>
      <c r="FK55" s="790" t="str">
        <f t="shared" si="19"/>
        <v>-</v>
      </c>
      <c r="FL55" s="785"/>
      <c r="FM55" s="785"/>
      <c r="FN55" s="786"/>
      <c r="FO55" s="790" t="str">
        <f t="shared" si="8"/>
        <v>-</v>
      </c>
      <c r="FP55" s="785"/>
      <c r="FQ55" s="785"/>
      <c r="FR55" s="786"/>
      <c r="FS55" s="790" t="str">
        <f>IF(EW55="","-",INDEX($A$5:$BP$257,MATCH(EW55,$BN$5:$BN$257,0),39)*(IF(EW55="","-",(1+(((-('Densidade do AR'!$M$4))+('Densidade do AR'!$T$15*1000000))/(IF(INDEX($A$5:$BP$257,MATCH(EW55,$BN$5:$BN$257,0),50)="Aço Inoxidável",('Densidade do AR'!$S$8*1000000),IF(INDEX($A$5:$BP$257,MATCH(EW55,$BN$5:$BN$257,0),50)="Ferro Fundido",('Densidade do AR'!$S$12*1000000),IF(INDEX($A$5:$BP$257,MATCH(EW55,$BN$5:$BN$257,0),50)="Latão",('Densidade do AR'!$S$10*1000000),IF(INDEX($A$5:$BP$257,MATCH(EW55,$BN$5:$BN$257,0),50)="Alumínio",('Densidade do AR'!$S$4*1000000)))))))-(((-('Densidade do AR'!$M$4))+('Densidade do AR'!$T$15*1000000))/('Densidade do AR'!$S$14*1000000))))))</f>
        <v>-</v>
      </c>
      <c r="FT55" s="785"/>
      <c r="FU55" s="785"/>
      <c r="FV55" s="791"/>
      <c r="FW55" s="91" t="str">
        <f t="shared" si="20"/>
        <v>-</v>
      </c>
      <c r="FX55" s="135"/>
    </row>
    <row r="56" spans="1:180" x14ac:dyDescent="0.2">
      <c r="A56" s="718">
        <v>52</v>
      </c>
      <c r="B56" s="713"/>
      <c r="C56" s="719">
        <v>20000</v>
      </c>
      <c r="D56" s="709"/>
      <c r="E56" s="709"/>
      <c r="F56" s="709"/>
      <c r="G56" s="710"/>
      <c r="H56" s="720">
        <v>18</v>
      </c>
      <c r="I56" s="941"/>
      <c r="J56" s="941"/>
      <c r="K56" s="942"/>
      <c r="L56" s="719" t="s">
        <v>112</v>
      </c>
      <c r="M56" s="709"/>
      <c r="N56" s="709"/>
      <c r="O56" s="709"/>
      <c r="P56" s="719">
        <v>18</v>
      </c>
      <c r="Q56" s="882"/>
      <c r="R56" s="882"/>
      <c r="S56" s="882"/>
      <c r="T56" s="939"/>
      <c r="U56" s="897" t="s">
        <v>305</v>
      </c>
      <c r="V56" s="722"/>
      <c r="W56" s="722"/>
      <c r="X56" s="722"/>
      <c r="Y56" s="722"/>
      <c r="Z56" s="722"/>
      <c r="AA56" s="723"/>
      <c r="AB56" s="853"/>
      <c r="AC56" s="854"/>
      <c r="AD56" s="854"/>
      <c r="AE56" s="854"/>
      <c r="AF56" s="854"/>
      <c r="AG56" s="854"/>
      <c r="AH56" s="854"/>
      <c r="AI56" s="854"/>
      <c r="AJ56" s="854"/>
      <c r="AK56" s="854"/>
      <c r="AL56" s="855"/>
      <c r="AM56" s="909">
        <v>20000000</v>
      </c>
      <c r="AN56" s="712"/>
      <c r="AO56" s="712"/>
      <c r="AP56" s="712"/>
      <c r="AQ56" s="712"/>
      <c r="AR56" s="712"/>
      <c r="AS56" s="713"/>
      <c r="AT56" s="909">
        <f t="shared" si="21"/>
        <v>0</v>
      </c>
      <c r="AU56" s="712"/>
      <c r="AV56" s="712"/>
      <c r="AW56" s="713"/>
      <c r="AX56" s="908" t="s">
        <v>13</v>
      </c>
      <c r="AY56" s="712"/>
      <c r="AZ56" s="712"/>
      <c r="BA56" s="712"/>
      <c r="BB56" s="712"/>
      <c r="BC56" s="713"/>
      <c r="BD56" s="909">
        <v>300</v>
      </c>
      <c r="BE56" s="712"/>
      <c r="BF56" s="712"/>
      <c r="BG56" s="713"/>
      <c r="BH56" s="909">
        <v>2</v>
      </c>
      <c r="BI56" s="994"/>
      <c r="BJ56" s="994"/>
      <c r="BK56" s="994"/>
      <c r="BL56" s="995"/>
      <c r="BN56" s="881">
        <v>52</v>
      </c>
      <c r="BO56" s="882"/>
      <c r="BP56" s="883"/>
      <c r="BT56" s="736"/>
      <c r="BU56" s="737"/>
      <c r="BV56" s="738" t="str">
        <f>IF(BT56="","-",(IF(INDEX($A$5:$BP$257,MATCH(BT56,$BN$5:$BN$257,0),50)="Aço Inoxidável",('Densidade do AR'!$S$8*1000000),IF(INDEX($A$5:$BP$257,MATCH(BT56,$BN$5:$BN$257,0),50)="Ferro Fundido",('Densidade do AR'!$S$12*1000000),IF(INDEX($A$5:$BP$257,MATCH(BT56,$BN$5:$BN$257,0),50)="Latão",('Densidade do AR'!$S$10*1000000),IF(INDEX($A$5:$BP$257,MATCH(BT56,$BN$5:$BN$257,0),50)="Alumínio",('Densidade do AR'!$S$4*1000000)))))))</f>
        <v>-</v>
      </c>
      <c r="BW56" s="739"/>
      <c r="BX56" s="739"/>
      <c r="BY56" s="740"/>
      <c r="BZ56" s="741" t="str">
        <f t="shared" si="9"/>
        <v>-</v>
      </c>
      <c r="CA56" s="742"/>
      <c r="CB56" s="742"/>
      <c r="CC56" s="743"/>
      <c r="CD56" s="741" t="str">
        <f t="shared" si="1"/>
        <v>-</v>
      </c>
      <c r="CE56" s="742"/>
      <c r="CF56" s="742"/>
      <c r="CG56" s="743"/>
      <c r="CH56" s="744" t="str">
        <f t="shared" si="10"/>
        <v>-</v>
      </c>
      <c r="CI56" s="739"/>
      <c r="CJ56" s="739"/>
      <c r="CK56" s="740"/>
      <c r="CL56" s="744" t="str">
        <f t="shared" si="2"/>
        <v>-</v>
      </c>
      <c r="CM56" s="739"/>
      <c r="CN56" s="739"/>
      <c r="CO56" s="740"/>
      <c r="CP56" s="744" t="str">
        <f>IF(BT56="","-",INDEX($A$5:$BP$257,MATCH(BT56,$BN$5:$BN$257,0),39)*(IF(BT56="","-",(1+(((-('Densidade do AR'!$M$4))+('Densidade do AR'!$T$15*1000000))/(IF(INDEX($A$5:$BP$257,MATCH(BT56,$BN$5:$BN$257,0),50)="Aço Inoxidável",('Densidade do AR'!$S$8*1000000),IF(INDEX($A$5:$BP$257,MATCH(BT56,$BN$5:$BN$257,0),50)="Ferro Fundido",('Densidade do AR'!$S$12*1000000),IF(INDEX($A$5:$BP$257,MATCH(BT56,$BN$5:$BN$257,0),50)="Latão",('Densidade do AR'!$S$10*1000000),IF(INDEX($A$5:$BP$257,MATCH(BT56,$BN$5:$BN$257,0),50)="Alumínio",('Densidade do AR'!$S$4*1000000)))))))-(((-('Densidade do AR'!$M$4))+('Densidade do AR'!$T$15*1000000))/('Densidade do AR'!$S$14*1000000))))))</f>
        <v>-</v>
      </c>
      <c r="CQ56" s="739"/>
      <c r="CR56" s="739"/>
      <c r="CS56" s="745"/>
      <c r="CT56" s="91" t="str">
        <f t="shared" si="11"/>
        <v>-</v>
      </c>
      <c r="CU56" s="736"/>
      <c r="CV56" s="737"/>
      <c r="CW56" s="738" t="str">
        <f>IF(CU56="","-",(IF(INDEX($A$5:$BP$257,MATCH(CU56,$BN$5:$BN$257,0),50)="Aço Inoxidável",('Densidade do AR'!$S$8*1000000),IF(INDEX($A$5:$BP$257,MATCH(CU56,$BN$5:$BN$257,0),50)="Ferro Fundido",('Densidade do AR'!$S$12*1000000),IF(INDEX($A$5:$BP$257,MATCH(CU56,$BN$5:$BN$257,0),50)="Latão",('Densidade do AR'!$S$10*1000000),IF(INDEX($A$5:$BP$257,MATCH(CU56,$BN$5:$BN$257,0),50)="Alumínio",('Densidade do AR'!$S$4*1000000)))))))</f>
        <v>-</v>
      </c>
      <c r="CX56" s="739"/>
      <c r="CY56" s="739"/>
      <c r="CZ56" s="740"/>
      <c r="DA56" s="741" t="str">
        <f t="shared" si="12"/>
        <v>-</v>
      </c>
      <c r="DB56" s="742"/>
      <c r="DC56" s="742"/>
      <c r="DD56" s="743"/>
      <c r="DE56" s="741" t="str">
        <f t="shared" si="3"/>
        <v>-</v>
      </c>
      <c r="DF56" s="742"/>
      <c r="DG56" s="742"/>
      <c r="DH56" s="743"/>
      <c r="DI56" s="744" t="str">
        <f t="shared" si="13"/>
        <v>-</v>
      </c>
      <c r="DJ56" s="739"/>
      <c r="DK56" s="739"/>
      <c r="DL56" s="740"/>
      <c r="DM56" s="744" t="str">
        <f t="shared" si="4"/>
        <v>-</v>
      </c>
      <c r="DN56" s="739"/>
      <c r="DO56" s="739"/>
      <c r="DP56" s="740"/>
      <c r="DQ56" s="744" t="str">
        <f>IF(CU56="","-",INDEX($A$5:$BP$257,MATCH(CU56,$BN$5:$BN$257,0),39)*(IF(CU56="","-",(1+(((-('Densidade do AR'!$M$4))+('Densidade do AR'!$T$15*1000000))/(IF(INDEX($A$5:$BP$257,MATCH(CU56,$BN$5:$BN$257,0),50)="Aço Inoxidável",('Densidade do AR'!$S$8*1000000),IF(INDEX($A$5:$BP$257,MATCH(CU56,$BN$5:$BN$257,0),50)="Ferro Fundido",('Densidade do AR'!$S$12*1000000),IF(INDEX($A$5:$BP$257,MATCH(CU56,$BN$5:$BN$257,0),50)="Latão",('Densidade do AR'!$S$10*1000000),IF(INDEX($A$5:$BP$257,MATCH(CU56,$BN$5:$BN$257,0),50)="Alumínio",('Densidade do AR'!$S$4*1000000)))))))-(((-('Densidade do AR'!$M$4))+('Densidade do AR'!$T$15*1000000))/('Densidade do AR'!$S$14*1000000))))))</f>
        <v>-</v>
      </c>
      <c r="DR56" s="739"/>
      <c r="DS56" s="739"/>
      <c r="DT56" s="745"/>
      <c r="DU56" s="91" t="str">
        <f t="shared" si="14"/>
        <v>-</v>
      </c>
      <c r="DV56" s="736"/>
      <c r="DW56" s="737"/>
      <c r="DX56" s="738" t="str">
        <f>IF(DV56="","-",(IF(INDEX($A$5:$BP$257,MATCH(DV56,$BN$5:$BN$257,0),50)="Aço Inoxidável",('Densidade do AR'!$S$8*1000000),IF(INDEX($A$5:$BP$257,MATCH(DV56,$BN$5:$BN$257,0),50)="Ferro Fundido",('Densidade do AR'!$S$12*1000000),IF(INDEX($A$5:$BP$257,MATCH(DV56,$BN$5:$BN$257,0),50)="Latão",('Densidade do AR'!$S$10*1000000),IF(INDEX($A$5:$BP$257,MATCH(DV56,$BN$5:$BN$257,0),50)="Alumínio",('Densidade do AR'!$S$4*1000000)))))))</f>
        <v>-</v>
      </c>
      <c r="DY56" s="739"/>
      <c r="DZ56" s="739"/>
      <c r="EA56" s="740"/>
      <c r="EB56" s="741" t="str">
        <f t="shared" si="15"/>
        <v>-</v>
      </c>
      <c r="EC56" s="742"/>
      <c r="ED56" s="742"/>
      <c r="EE56" s="743"/>
      <c r="EF56" s="741" t="str">
        <f t="shared" si="5"/>
        <v>-</v>
      </c>
      <c r="EG56" s="742"/>
      <c r="EH56" s="742"/>
      <c r="EI56" s="743"/>
      <c r="EJ56" s="744" t="str">
        <f t="shared" si="16"/>
        <v>-</v>
      </c>
      <c r="EK56" s="739"/>
      <c r="EL56" s="739"/>
      <c r="EM56" s="740"/>
      <c r="EN56" s="744" t="str">
        <f t="shared" si="6"/>
        <v>-</v>
      </c>
      <c r="EO56" s="739"/>
      <c r="EP56" s="739"/>
      <c r="EQ56" s="740"/>
      <c r="ER56" s="744" t="str">
        <f>IF(DV56="","-",INDEX($A$5:$BP$257,MATCH(DV56,$BN$5:$BN$257,0),39)*(IF(DV56="","-",(1+(((-('Densidade do AR'!$M$4))+('Densidade do AR'!$T$15*1000000))/(IF(INDEX($A$5:$BP$257,MATCH(DV56,$BN$5:$BN$257,0),50)="Aço Inoxidável",('Densidade do AR'!$S$8*1000000),IF(INDEX($A$5:$BP$257,MATCH(DV56,$BN$5:$BN$257,0),50)="Ferro Fundido",('Densidade do AR'!$S$12*1000000),IF(INDEX($A$5:$BP$257,MATCH(DV56,$BN$5:$BN$257,0),50)="Latão",('Densidade do AR'!$S$10*1000000),IF(INDEX($A$5:$BP$257,MATCH(DV56,$BN$5:$BN$257,0),50)="Alumínio",('Densidade do AR'!$S$4*1000000)))))))-(((-('Densidade do AR'!$M$4))+('Densidade do AR'!$T$15*1000000))/('Densidade do AR'!$S$14*1000000))))))</f>
        <v>-</v>
      </c>
      <c r="ES56" s="739"/>
      <c r="ET56" s="739"/>
      <c r="EU56" s="745"/>
      <c r="EV56" s="91" t="str">
        <f t="shared" si="17"/>
        <v>-</v>
      </c>
      <c r="EW56" s="736"/>
      <c r="EX56" s="737"/>
      <c r="EY56" s="738" t="str">
        <f>IF(EW56="","-",(IF(INDEX($A$5:$BP$257,MATCH(EW56,$BN$5:$BN$257,0),50)="Aço Inoxidável",('Densidade do AR'!$S$8*1000000),IF(INDEX($A$5:$BP$257,MATCH(EW56,$BN$5:$BN$257,0),50)="Ferro Fundido",('Densidade do AR'!$S$12*1000000),IF(INDEX($A$5:$BP$257,MATCH(EW56,$BN$5:$BN$257,0),50)="Latão",('Densidade do AR'!$S$10*1000000),IF(INDEX($A$5:$BP$257,MATCH(EW56,$BN$5:$BN$257,0),50)="Alumínio",('Densidade do AR'!$S$4*1000000)))))))</f>
        <v>-</v>
      </c>
      <c r="EZ56" s="739"/>
      <c r="FA56" s="739"/>
      <c r="FB56" s="740"/>
      <c r="FC56" s="741" t="str">
        <f t="shared" si="18"/>
        <v>-</v>
      </c>
      <c r="FD56" s="742"/>
      <c r="FE56" s="742"/>
      <c r="FF56" s="743"/>
      <c r="FG56" s="741" t="str">
        <f t="shared" si="7"/>
        <v>-</v>
      </c>
      <c r="FH56" s="742"/>
      <c r="FI56" s="742"/>
      <c r="FJ56" s="743"/>
      <c r="FK56" s="744" t="str">
        <f t="shared" si="19"/>
        <v>-</v>
      </c>
      <c r="FL56" s="739"/>
      <c r="FM56" s="739"/>
      <c r="FN56" s="740"/>
      <c r="FO56" s="744" t="str">
        <f t="shared" si="8"/>
        <v>-</v>
      </c>
      <c r="FP56" s="739"/>
      <c r="FQ56" s="739"/>
      <c r="FR56" s="740"/>
      <c r="FS56" s="744" t="str">
        <f>IF(EW56="","-",INDEX($A$5:$BP$257,MATCH(EW56,$BN$5:$BN$257,0),39)*(IF(EW56="","-",(1+(((-('Densidade do AR'!$M$4))+('Densidade do AR'!$T$15*1000000))/(IF(INDEX($A$5:$BP$257,MATCH(EW56,$BN$5:$BN$257,0),50)="Aço Inoxidável",('Densidade do AR'!$S$8*1000000),IF(INDEX($A$5:$BP$257,MATCH(EW56,$BN$5:$BN$257,0),50)="Ferro Fundido",('Densidade do AR'!$S$12*1000000),IF(INDEX($A$5:$BP$257,MATCH(EW56,$BN$5:$BN$257,0),50)="Latão",('Densidade do AR'!$S$10*1000000),IF(INDEX($A$5:$BP$257,MATCH(EW56,$BN$5:$BN$257,0),50)="Alumínio",('Densidade do AR'!$S$4*1000000)))))))-(((-('Densidade do AR'!$M$4))+('Densidade do AR'!$T$15*1000000))/('Densidade do AR'!$S$14*1000000))))))</f>
        <v>-</v>
      </c>
      <c r="FT56" s="739"/>
      <c r="FU56" s="739"/>
      <c r="FV56" s="745"/>
      <c r="FW56" s="91" t="str">
        <f t="shared" si="20"/>
        <v>-</v>
      </c>
      <c r="FX56" s="135"/>
    </row>
    <row r="57" spans="1:180" x14ac:dyDescent="0.2">
      <c r="A57" s="717">
        <v>53</v>
      </c>
      <c r="B57" s="713"/>
      <c r="C57" s="708">
        <v>20000</v>
      </c>
      <c r="D57" s="709"/>
      <c r="E57" s="709"/>
      <c r="F57" s="709"/>
      <c r="G57" s="710"/>
      <c r="H57" s="711">
        <v>19</v>
      </c>
      <c r="I57" s="934"/>
      <c r="J57" s="934"/>
      <c r="K57" s="935"/>
      <c r="L57" s="708" t="s">
        <v>112</v>
      </c>
      <c r="M57" s="709"/>
      <c r="N57" s="709"/>
      <c r="O57" s="709"/>
      <c r="P57" s="708">
        <v>19</v>
      </c>
      <c r="Q57" s="879"/>
      <c r="R57" s="879"/>
      <c r="S57" s="879"/>
      <c r="T57" s="937"/>
      <c r="U57" s="898" t="s">
        <v>305</v>
      </c>
      <c r="V57" s="715"/>
      <c r="W57" s="715"/>
      <c r="X57" s="715"/>
      <c r="Y57" s="715"/>
      <c r="Z57" s="715"/>
      <c r="AA57" s="716"/>
      <c r="AB57" s="850"/>
      <c r="AC57" s="851"/>
      <c r="AD57" s="851"/>
      <c r="AE57" s="851"/>
      <c r="AF57" s="851"/>
      <c r="AG57" s="851"/>
      <c r="AH57" s="851"/>
      <c r="AI57" s="851"/>
      <c r="AJ57" s="851"/>
      <c r="AK57" s="851"/>
      <c r="AL57" s="852"/>
      <c r="AM57" s="917">
        <v>20000000</v>
      </c>
      <c r="AN57" s="712"/>
      <c r="AO57" s="712"/>
      <c r="AP57" s="712"/>
      <c r="AQ57" s="712"/>
      <c r="AR57" s="712"/>
      <c r="AS57" s="713"/>
      <c r="AT57" s="917">
        <f t="shared" si="21"/>
        <v>0</v>
      </c>
      <c r="AU57" s="712"/>
      <c r="AV57" s="712"/>
      <c r="AW57" s="713"/>
      <c r="AX57" s="917" t="s">
        <v>13</v>
      </c>
      <c r="AY57" s="712"/>
      <c r="AZ57" s="712"/>
      <c r="BA57" s="712"/>
      <c r="BB57" s="712"/>
      <c r="BC57" s="713"/>
      <c r="BD57" s="917">
        <v>300</v>
      </c>
      <c r="BE57" s="712"/>
      <c r="BF57" s="712"/>
      <c r="BG57" s="713"/>
      <c r="BH57" s="917">
        <v>2</v>
      </c>
      <c r="BI57" s="994"/>
      <c r="BJ57" s="994"/>
      <c r="BK57" s="994"/>
      <c r="BL57" s="995"/>
      <c r="BN57" s="878">
        <v>53</v>
      </c>
      <c r="BO57" s="879"/>
      <c r="BP57" s="880"/>
      <c r="BT57" s="746"/>
      <c r="BU57" s="747"/>
      <c r="BV57" s="784" t="str">
        <f>IF(BT57="","-",(IF(INDEX($A$5:$BP$257,MATCH(BT57,$BN$5:$BN$257,0),50)="Aço Inoxidável",('Densidade do AR'!$S$8*1000000),IF(INDEX($A$5:$BP$257,MATCH(BT57,$BN$5:$BN$257,0),50)="Ferro Fundido",('Densidade do AR'!$S$12*1000000),IF(INDEX($A$5:$BP$257,MATCH(BT57,$BN$5:$BN$257,0),50)="Latão",('Densidade do AR'!$S$10*1000000),IF(INDEX($A$5:$BP$257,MATCH(BT57,$BN$5:$BN$257,0),50)="Alumínio",('Densidade do AR'!$S$4*1000000)))))))</f>
        <v>-</v>
      </c>
      <c r="BW57" s="785"/>
      <c r="BX57" s="785"/>
      <c r="BY57" s="786"/>
      <c r="BZ57" s="787" t="str">
        <f t="shared" si="9"/>
        <v>-</v>
      </c>
      <c r="CA57" s="788"/>
      <c r="CB57" s="788"/>
      <c r="CC57" s="789"/>
      <c r="CD57" s="787" t="str">
        <f t="shared" si="1"/>
        <v>-</v>
      </c>
      <c r="CE57" s="788"/>
      <c r="CF57" s="788"/>
      <c r="CG57" s="789"/>
      <c r="CH57" s="790" t="str">
        <f t="shared" si="10"/>
        <v>-</v>
      </c>
      <c r="CI57" s="785"/>
      <c r="CJ57" s="785"/>
      <c r="CK57" s="786"/>
      <c r="CL57" s="790" t="str">
        <f t="shared" si="2"/>
        <v>-</v>
      </c>
      <c r="CM57" s="785"/>
      <c r="CN57" s="785"/>
      <c r="CO57" s="786"/>
      <c r="CP57" s="790" t="str">
        <f>IF(BT57="","-",INDEX($A$5:$BP$257,MATCH(BT57,$BN$5:$BN$257,0),39)*(IF(BT57="","-",(1+(((-('Densidade do AR'!$M$4))+('Densidade do AR'!$T$15*1000000))/(IF(INDEX($A$5:$BP$257,MATCH(BT57,$BN$5:$BN$257,0),50)="Aço Inoxidável",('Densidade do AR'!$S$8*1000000),IF(INDEX($A$5:$BP$257,MATCH(BT57,$BN$5:$BN$257,0),50)="Ferro Fundido",('Densidade do AR'!$S$12*1000000),IF(INDEX($A$5:$BP$257,MATCH(BT57,$BN$5:$BN$257,0),50)="Latão",('Densidade do AR'!$S$10*1000000),IF(INDEX($A$5:$BP$257,MATCH(BT57,$BN$5:$BN$257,0),50)="Alumínio",('Densidade do AR'!$S$4*1000000)))))))-(((-('Densidade do AR'!$M$4))+('Densidade do AR'!$T$15*1000000))/('Densidade do AR'!$S$14*1000000))))))</f>
        <v>-</v>
      </c>
      <c r="CQ57" s="785"/>
      <c r="CR57" s="785"/>
      <c r="CS57" s="791"/>
      <c r="CT57" s="91" t="str">
        <f t="shared" si="11"/>
        <v>-</v>
      </c>
      <c r="CU57" s="746"/>
      <c r="CV57" s="747"/>
      <c r="CW57" s="784" t="str">
        <f>IF(CU57="","-",(IF(INDEX($A$5:$BP$257,MATCH(CU57,$BN$5:$BN$257,0),50)="Aço Inoxidável",('Densidade do AR'!$S$8*1000000),IF(INDEX($A$5:$BP$257,MATCH(CU57,$BN$5:$BN$257,0),50)="Ferro Fundido",('Densidade do AR'!$S$12*1000000),IF(INDEX($A$5:$BP$257,MATCH(CU57,$BN$5:$BN$257,0),50)="Latão",('Densidade do AR'!$S$10*1000000),IF(INDEX($A$5:$BP$257,MATCH(CU57,$BN$5:$BN$257,0),50)="Alumínio",('Densidade do AR'!$S$4*1000000)))))))</f>
        <v>-</v>
      </c>
      <c r="CX57" s="785"/>
      <c r="CY57" s="785"/>
      <c r="CZ57" s="786"/>
      <c r="DA57" s="787" t="str">
        <f t="shared" si="12"/>
        <v>-</v>
      </c>
      <c r="DB57" s="788"/>
      <c r="DC57" s="788"/>
      <c r="DD57" s="789"/>
      <c r="DE57" s="787" t="str">
        <f t="shared" si="3"/>
        <v>-</v>
      </c>
      <c r="DF57" s="788"/>
      <c r="DG57" s="788"/>
      <c r="DH57" s="789"/>
      <c r="DI57" s="790" t="str">
        <f t="shared" si="13"/>
        <v>-</v>
      </c>
      <c r="DJ57" s="785"/>
      <c r="DK57" s="785"/>
      <c r="DL57" s="786"/>
      <c r="DM57" s="790" t="str">
        <f t="shared" si="4"/>
        <v>-</v>
      </c>
      <c r="DN57" s="785"/>
      <c r="DO57" s="785"/>
      <c r="DP57" s="786"/>
      <c r="DQ57" s="790" t="str">
        <f>IF(CU57="","-",INDEX($A$5:$BP$257,MATCH(CU57,$BN$5:$BN$257,0),39)*(IF(CU57="","-",(1+(((-('Densidade do AR'!$M$4))+('Densidade do AR'!$T$15*1000000))/(IF(INDEX($A$5:$BP$257,MATCH(CU57,$BN$5:$BN$257,0),50)="Aço Inoxidável",('Densidade do AR'!$S$8*1000000),IF(INDEX($A$5:$BP$257,MATCH(CU57,$BN$5:$BN$257,0),50)="Ferro Fundido",('Densidade do AR'!$S$12*1000000),IF(INDEX($A$5:$BP$257,MATCH(CU57,$BN$5:$BN$257,0),50)="Latão",('Densidade do AR'!$S$10*1000000),IF(INDEX($A$5:$BP$257,MATCH(CU57,$BN$5:$BN$257,0),50)="Alumínio",('Densidade do AR'!$S$4*1000000)))))))-(((-('Densidade do AR'!$M$4))+('Densidade do AR'!$T$15*1000000))/('Densidade do AR'!$S$14*1000000))))))</f>
        <v>-</v>
      </c>
      <c r="DR57" s="785"/>
      <c r="DS57" s="785"/>
      <c r="DT57" s="791"/>
      <c r="DU57" s="91" t="str">
        <f t="shared" si="14"/>
        <v>-</v>
      </c>
      <c r="DV57" s="746"/>
      <c r="DW57" s="747"/>
      <c r="DX57" s="784" t="str">
        <f>IF(DV57="","-",(IF(INDEX($A$5:$BP$257,MATCH(DV57,$BN$5:$BN$257,0),50)="Aço Inoxidável",('Densidade do AR'!$S$8*1000000),IF(INDEX($A$5:$BP$257,MATCH(DV57,$BN$5:$BN$257,0),50)="Ferro Fundido",('Densidade do AR'!$S$12*1000000),IF(INDEX($A$5:$BP$257,MATCH(DV57,$BN$5:$BN$257,0),50)="Latão",('Densidade do AR'!$S$10*1000000),IF(INDEX($A$5:$BP$257,MATCH(DV57,$BN$5:$BN$257,0),50)="Alumínio",('Densidade do AR'!$S$4*1000000)))))))</f>
        <v>-</v>
      </c>
      <c r="DY57" s="785"/>
      <c r="DZ57" s="785"/>
      <c r="EA57" s="786"/>
      <c r="EB57" s="787" t="str">
        <f t="shared" si="15"/>
        <v>-</v>
      </c>
      <c r="EC57" s="788"/>
      <c r="ED57" s="788"/>
      <c r="EE57" s="789"/>
      <c r="EF57" s="787" t="str">
        <f t="shared" si="5"/>
        <v>-</v>
      </c>
      <c r="EG57" s="788"/>
      <c r="EH57" s="788"/>
      <c r="EI57" s="789"/>
      <c r="EJ57" s="790" t="str">
        <f t="shared" si="16"/>
        <v>-</v>
      </c>
      <c r="EK57" s="785"/>
      <c r="EL57" s="785"/>
      <c r="EM57" s="786"/>
      <c r="EN57" s="790" t="str">
        <f t="shared" si="6"/>
        <v>-</v>
      </c>
      <c r="EO57" s="785"/>
      <c r="EP57" s="785"/>
      <c r="EQ57" s="786"/>
      <c r="ER57" s="790" t="str">
        <f>IF(DV57="","-",INDEX($A$5:$BP$257,MATCH(DV57,$BN$5:$BN$257,0),39)*(IF(DV57="","-",(1+(((-('Densidade do AR'!$M$4))+('Densidade do AR'!$T$15*1000000))/(IF(INDEX($A$5:$BP$257,MATCH(DV57,$BN$5:$BN$257,0),50)="Aço Inoxidável",('Densidade do AR'!$S$8*1000000),IF(INDEX($A$5:$BP$257,MATCH(DV57,$BN$5:$BN$257,0),50)="Ferro Fundido",('Densidade do AR'!$S$12*1000000),IF(INDEX($A$5:$BP$257,MATCH(DV57,$BN$5:$BN$257,0),50)="Latão",('Densidade do AR'!$S$10*1000000),IF(INDEX($A$5:$BP$257,MATCH(DV57,$BN$5:$BN$257,0),50)="Alumínio",('Densidade do AR'!$S$4*1000000)))))))-(((-('Densidade do AR'!$M$4))+('Densidade do AR'!$T$15*1000000))/('Densidade do AR'!$S$14*1000000))))))</f>
        <v>-</v>
      </c>
      <c r="ES57" s="785"/>
      <c r="ET57" s="785"/>
      <c r="EU57" s="791"/>
      <c r="EV57" s="91" t="str">
        <f t="shared" si="17"/>
        <v>-</v>
      </c>
      <c r="EW57" s="746"/>
      <c r="EX57" s="747"/>
      <c r="EY57" s="784" t="str">
        <f>IF(EW57="","-",(IF(INDEX($A$5:$BP$257,MATCH(EW57,$BN$5:$BN$257,0),50)="Aço Inoxidável",('Densidade do AR'!$S$8*1000000),IF(INDEX($A$5:$BP$257,MATCH(EW57,$BN$5:$BN$257,0),50)="Ferro Fundido",('Densidade do AR'!$S$12*1000000),IF(INDEX($A$5:$BP$257,MATCH(EW57,$BN$5:$BN$257,0),50)="Latão",('Densidade do AR'!$S$10*1000000),IF(INDEX($A$5:$BP$257,MATCH(EW57,$BN$5:$BN$257,0),50)="Alumínio",('Densidade do AR'!$S$4*1000000)))))))</f>
        <v>-</v>
      </c>
      <c r="EZ57" s="785"/>
      <c r="FA57" s="785"/>
      <c r="FB57" s="786"/>
      <c r="FC57" s="787" t="str">
        <f t="shared" si="18"/>
        <v>-</v>
      </c>
      <c r="FD57" s="788"/>
      <c r="FE57" s="788"/>
      <c r="FF57" s="789"/>
      <c r="FG57" s="787" t="str">
        <f t="shared" si="7"/>
        <v>-</v>
      </c>
      <c r="FH57" s="788"/>
      <c r="FI57" s="788"/>
      <c r="FJ57" s="789"/>
      <c r="FK57" s="790" t="str">
        <f t="shared" si="19"/>
        <v>-</v>
      </c>
      <c r="FL57" s="785"/>
      <c r="FM57" s="785"/>
      <c r="FN57" s="786"/>
      <c r="FO57" s="790" t="str">
        <f t="shared" si="8"/>
        <v>-</v>
      </c>
      <c r="FP57" s="785"/>
      <c r="FQ57" s="785"/>
      <c r="FR57" s="786"/>
      <c r="FS57" s="790" t="str">
        <f>IF(EW57="","-",INDEX($A$5:$BP$257,MATCH(EW57,$BN$5:$BN$257,0),39)*(IF(EW57="","-",(1+(((-('Densidade do AR'!$M$4))+('Densidade do AR'!$T$15*1000000))/(IF(INDEX($A$5:$BP$257,MATCH(EW57,$BN$5:$BN$257,0),50)="Aço Inoxidável",('Densidade do AR'!$S$8*1000000),IF(INDEX($A$5:$BP$257,MATCH(EW57,$BN$5:$BN$257,0),50)="Ferro Fundido",('Densidade do AR'!$S$12*1000000),IF(INDEX($A$5:$BP$257,MATCH(EW57,$BN$5:$BN$257,0),50)="Latão",('Densidade do AR'!$S$10*1000000),IF(INDEX($A$5:$BP$257,MATCH(EW57,$BN$5:$BN$257,0),50)="Alumínio",('Densidade do AR'!$S$4*1000000)))))))-(((-('Densidade do AR'!$M$4))+('Densidade do AR'!$T$15*1000000))/('Densidade do AR'!$S$14*1000000))))))</f>
        <v>-</v>
      </c>
      <c r="FT57" s="785"/>
      <c r="FU57" s="785"/>
      <c r="FV57" s="791"/>
      <c r="FW57" s="91" t="str">
        <f t="shared" si="20"/>
        <v>-</v>
      </c>
      <c r="FX57" s="135"/>
    </row>
    <row r="58" spans="1:180" x14ac:dyDescent="0.2">
      <c r="A58" s="718">
        <v>54</v>
      </c>
      <c r="B58" s="713"/>
      <c r="C58" s="719">
        <v>20000</v>
      </c>
      <c r="D58" s="709"/>
      <c r="E58" s="709"/>
      <c r="F58" s="709"/>
      <c r="G58" s="710"/>
      <c r="H58" s="720">
        <v>20</v>
      </c>
      <c r="I58" s="941"/>
      <c r="J58" s="941"/>
      <c r="K58" s="942"/>
      <c r="L58" s="719" t="s">
        <v>112</v>
      </c>
      <c r="M58" s="709"/>
      <c r="N58" s="709"/>
      <c r="O58" s="709"/>
      <c r="P58" s="719">
        <v>20</v>
      </c>
      <c r="Q58" s="882"/>
      <c r="R58" s="882"/>
      <c r="S58" s="882"/>
      <c r="T58" s="939"/>
      <c r="U58" s="897" t="s">
        <v>305</v>
      </c>
      <c r="V58" s="722"/>
      <c r="W58" s="722"/>
      <c r="X58" s="722"/>
      <c r="Y58" s="722"/>
      <c r="Z58" s="722"/>
      <c r="AA58" s="723"/>
      <c r="AB58" s="853"/>
      <c r="AC58" s="854"/>
      <c r="AD58" s="854"/>
      <c r="AE58" s="854"/>
      <c r="AF58" s="854"/>
      <c r="AG58" s="854"/>
      <c r="AH58" s="854"/>
      <c r="AI58" s="854"/>
      <c r="AJ58" s="854"/>
      <c r="AK58" s="854"/>
      <c r="AL58" s="855"/>
      <c r="AM58" s="909">
        <v>20000000</v>
      </c>
      <c r="AN58" s="712"/>
      <c r="AO58" s="712"/>
      <c r="AP58" s="712"/>
      <c r="AQ58" s="712"/>
      <c r="AR58" s="712"/>
      <c r="AS58" s="713"/>
      <c r="AT58" s="909">
        <f t="shared" si="21"/>
        <v>0</v>
      </c>
      <c r="AU58" s="712"/>
      <c r="AV58" s="712"/>
      <c r="AW58" s="713"/>
      <c r="AX58" s="908" t="s">
        <v>13</v>
      </c>
      <c r="AY58" s="712"/>
      <c r="AZ58" s="712"/>
      <c r="BA58" s="712"/>
      <c r="BB58" s="712"/>
      <c r="BC58" s="713"/>
      <c r="BD58" s="909">
        <v>300</v>
      </c>
      <c r="BE58" s="712"/>
      <c r="BF58" s="712"/>
      <c r="BG58" s="713"/>
      <c r="BH58" s="909">
        <v>2</v>
      </c>
      <c r="BI58" s="994"/>
      <c r="BJ58" s="994"/>
      <c r="BK58" s="994"/>
      <c r="BL58" s="995"/>
      <c r="BN58" s="881">
        <v>54</v>
      </c>
      <c r="BO58" s="882"/>
      <c r="BP58" s="883"/>
      <c r="BT58" s="736"/>
      <c r="BU58" s="737"/>
      <c r="BV58" s="738" t="str">
        <f>IF(BT58="","-",(IF(INDEX($A$5:$BP$257,MATCH(BT58,$BN$5:$BN$257,0),50)="Aço Inoxidável",('Densidade do AR'!$S$8*1000000),IF(INDEX($A$5:$BP$257,MATCH(BT58,$BN$5:$BN$257,0),50)="Ferro Fundido",('Densidade do AR'!$S$12*1000000),IF(INDEX($A$5:$BP$257,MATCH(BT58,$BN$5:$BN$257,0),50)="Latão",('Densidade do AR'!$S$10*1000000),IF(INDEX($A$5:$BP$257,MATCH(BT58,$BN$5:$BN$257,0),50)="Alumínio",('Densidade do AR'!$S$4*1000000)))))))</f>
        <v>-</v>
      </c>
      <c r="BW58" s="739"/>
      <c r="BX58" s="739"/>
      <c r="BY58" s="740"/>
      <c r="BZ58" s="741" t="str">
        <f t="shared" si="9"/>
        <v>-</v>
      </c>
      <c r="CA58" s="742"/>
      <c r="CB58" s="742"/>
      <c r="CC58" s="743"/>
      <c r="CD58" s="741" t="str">
        <f t="shared" si="1"/>
        <v>-</v>
      </c>
      <c r="CE58" s="742"/>
      <c r="CF58" s="742"/>
      <c r="CG58" s="743"/>
      <c r="CH58" s="744" t="str">
        <f t="shared" si="10"/>
        <v>-</v>
      </c>
      <c r="CI58" s="739"/>
      <c r="CJ58" s="739"/>
      <c r="CK58" s="740"/>
      <c r="CL58" s="744" t="str">
        <f t="shared" si="2"/>
        <v>-</v>
      </c>
      <c r="CM58" s="739"/>
      <c r="CN58" s="739"/>
      <c r="CO58" s="740"/>
      <c r="CP58" s="744" t="str">
        <f>IF(BT58="","-",INDEX($A$5:$BP$257,MATCH(BT58,$BN$5:$BN$257,0),39)*(IF(BT58="","-",(1+(((-('Densidade do AR'!$M$4))+('Densidade do AR'!$T$15*1000000))/(IF(INDEX($A$5:$BP$257,MATCH(BT58,$BN$5:$BN$257,0),50)="Aço Inoxidável",('Densidade do AR'!$S$8*1000000),IF(INDEX($A$5:$BP$257,MATCH(BT58,$BN$5:$BN$257,0),50)="Ferro Fundido",('Densidade do AR'!$S$12*1000000),IF(INDEX($A$5:$BP$257,MATCH(BT58,$BN$5:$BN$257,0),50)="Latão",('Densidade do AR'!$S$10*1000000),IF(INDEX($A$5:$BP$257,MATCH(BT58,$BN$5:$BN$257,0),50)="Alumínio",('Densidade do AR'!$S$4*1000000)))))))-(((-('Densidade do AR'!$M$4))+('Densidade do AR'!$T$15*1000000))/('Densidade do AR'!$S$14*1000000))))))</f>
        <v>-</v>
      </c>
      <c r="CQ58" s="739"/>
      <c r="CR58" s="739"/>
      <c r="CS58" s="745"/>
      <c r="CT58" s="91" t="str">
        <f t="shared" si="11"/>
        <v>-</v>
      </c>
      <c r="CU58" s="736"/>
      <c r="CV58" s="737"/>
      <c r="CW58" s="738" t="str">
        <f>IF(CU58="","-",(IF(INDEX($A$5:$BP$257,MATCH(CU58,$BN$5:$BN$257,0),50)="Aço Inoxidável",('Densidade do AR'!$S$8*1000000),IF(INDEX($A$5:$BP$257,MATCH(CU58,$BN$5:$BN$257,0),50)="Ferro Fundido",('Densidade do AR'!$S$12*1000000),IF(INDEX($A$5:$BP$257,MATCH(CU58,$BN$5:$BN$257,0),50)="Latão",('Densidade do AR'!$S$10*1000000),IF(INDEX($A$5:$BP$257,MATCH(CU58,$BN$5:$BN$257,0),50)="Alumínio",('Densidade do AR'!$S$4*1000000)))))))</f>
        <v>-</v>
      </c>
      <c r="CX58" s="739"/>
      <c r="CY58" s="739"/>
      <c r="CZ58" s="740"/>
      <c r="DA58" s="741" t="str">
        <f t="shared" si="12"/>
        <v>-</v>
      </c>
      <c r="DB58" s="742"/>
      <c r="DC58" s="742"/>
      <c r="DD58" s="743"/>
      <c r="DE58" s="741" t="str">
        <f t="shared" si="3"/>
        <v>-</v>
      </c>
      <c r="DF58" s="742"/>
      <c r="DG58" s="742"/>
      <c r="DH58" s="743"/>
      <c r="DI58" s="744" t="str">
        <f t="shared" si="13"/>
        <v>-</v>
      </c>
      <c r="DJ58" s="739"/>
      <c r="DK58" s="739"/>
      <c r="DL58" s="740"/>
      <c r="DM58" s="744" t="str">
        <f t="shared" si="4"/>
        <v>-</v>
      </c>
      <c r="DN58" s="739"/>
      <c r="DO58" s="739"/>
      <c r="DP58" s="740"/>
      <c r="DQ58" s="744" t="str">
        <f>IF(CU58="","-",INDEX($A$5:$BP$257,MATCH(CU58,$BN$5:$BN$257,0),39)*(IF(CU58="","-",(1+(((-('Densidade do AR'!$M$4))+('Densidade do AR'!$T$15*1000000))/(IF(INDEX($A$5:$BP$257,MATCH(CU58,$BN$5:$BN$257,0),50)="Aço Inoxidável",('Densidade do AR'!$S$8*1000000),IF(INDEX($A$5:$BP$257,MATCH(CU58,$BN$5:$BN$257,0),50)="Ferro Fundido",('Densidade do AR'!$S$12*1000000),IF(INDEX($A$5:$BP$257,MATCH(CU58,$BN$5:$BN$257,0),50)="Latão",('Densidade do AR'!$S$10*1000000),IF(INDEX($A$5:$BP$257,MATCH(CU58,$BN$5:$BN$257,0),50)="Alumínio",('Densidade do AR'!$S$4*1000000)))))))-(((-('Densidade do AR'!$M$4))+('Densidade do AR'!$T$15*1000000))/('Densidade do AR'!$S$14*1000000))))))</f>
        <v>-</v>
      </c>
      <c r="DR58" s="739"/>
      <c r="DS58" s="739"/>
      <c r="DT58" s="745"/>
      <c r="DU58" s="91" t="str">
        <f t="shared" si="14"/>
        <v>-</v>
      </c>
      <c r="DV58" s="736"/>
      <c r="DW58" s="737"/>
      <c r="DX58" s="738" t="str">
        <f>IF(DV58="","-",(IF(INDEX($A$5:$BP$257,MATCH(DV58,$BN$5:$BN$257,0),50)="Aço Inoxidável",('Densidade do AR'!$S$8*1000000),IF(INDEX($A$5:$BP$257,MATCH(DV58,$BN$5:$BN$257,0),50)="Ferro Fundido",('Densidade do AR'!$S$12*1000000),IF(INDEX($A$5:$BP$257,MATCH(DV58,$BN$5:$BN$257,0),50)="Latão",('Densidade do AR'!$S$10*1000000),IF(INDEX($A$5:$BP$257,MATCH(DV58,$BN$5:$BN$257,0),50)="Alumínio",('Densidade do AR'!$S$4*1000000)))))))</f>
        <v>-</v>
      </c>
      <c r="DY58" s="739"/>
      <c r="DZ58" s="739"/>
      <c r="EA58" s="740"/>
      <c r="EB58" s="741" t="str">
        <f t="shared" si="15"/>
        <v>-</v>
      </c>
      <c r="EC58" s="742"/>
      <c r="ED58" s="742"/>
      <c r="EE58" s="743"/>
      <c r="EF58" s="741" t="str">
        <f t="shared" si="5"/>
        <v>-</v>
      </c>
      <c r="EG58" s="742"/>
      <c r="EH58" s="742"/>
      <c r="EI58" s="743"/>
      <c r="EJ58" s="744" t="str">
        <f t="shared" si="16"/>
        <v>-</v>
      </c>
      <c r="EK58" s="739"/>
      <c r="EL58" s="739"/>
      <c r="EM58" s="740"/>
      <c r="EN58" s="744" t="str">
        <f t="shared" si="6"/>
        <v>-</v>
      </c>
      <c r="EO58" s="739"/>
      <c r="EP58" s="739"/>
      <c r="EQ58" s="740"/>
      <c r="ER58" s="744" t="str">
        <f>IF(DV58="","-",INDEX($A$5:$BP$257,MATCH(DV58,$BN$5:$BN$257,0),39)*(IF(DV58="","-",(1+(((-('Densidade do AR'!$M$4))+('Densidade do AR'!$T$15*1000000))/(IF(INDEX($A$5:$BP$257,MATCH(DV58,$BN$5:$BN$257,0),50)="Aço Inoxidável",('Densidade do AR'!$S$8*1000000),IF(INDEX($A$5:$BP$257,MATCH(DV58,$BN$5:$BN$257,0),50)="Ferro Fundido",('Densidade do AR'!$S$12*1000000),IF(INDEX($A$5:$BP$257,MATCH(DV58,$BN$5:$BN$257,0),50)="Latão",('Densidade do AR'!$S$10*1000000),IF(INDEX($A$5:$BP$257,MATCH(DV58,$BN$5:$BN$257,0),50)="Alumínio",('Densidade do AR'!$S$4*1000000)))))))-(((-('Densidade do AR'!$M$4))+('Densidade do AR'!$T$15*1000000))/('Densidade do AR'!$S$14*1000000))))))</f>
        <v>-</v>
      </c>
      <c r="ES58" s="739"/>
      <c r="ET58" s="739"/>
      <c r="EU58" s="745"/>
      <c r="EV58" s="91" t="str">
        <f t="shared" si="17"/>
        <v>-</v>
      </c>
      <c r="EW58" s="736"/>
      <c r="EX58" s="737"/>
      <c r="EY58" s="738" t="str">
        <f>IF(EW58="","-",(IF(INDEX($A$5:$BP$257,MATCH(EW58,$BN$5:$BN$257,0),50)="Aço Inoxidável",('Densidade do AR'!$S$8*1000000),IF(INDEX($A$5:$BP$257,MATCH(EW58,$BN$5:$BN$257,0),50)="Ferro Fundido",('Densidade do AR'!$S$12*1000000),IF(INDEX($A$5:$BP$257,MATCH(EW58,$BN$5:$BN$257,0),50)="Latão",('Densidade do AR'!$S$10*1000000),IF(INDEX($A$5:$BP$257,MATCH(EW58,$BN$5:$BN$257,0),50)="Alumínio",('Densidade do AR'!$S$4*1000000)))))))</f>
        <v>-</v>
      </c>
      <c r="EZ58" s="739"/>
      <c r="FA58" s="739"/>
      <c r="FB58" s="740"/>
      <c r="FC58" s="741" t="str">
        <f t="shared" si="18"/>
        <v>-</v>
      </c>
      <c r="FD58" s="742"/>
      <c r="FE58" s="742"/>
      <c r="FF58" s="743"/>
      <c r="FG58" s="741" t="str">
        <f t="shared" si="7"/>
        <v>-</v>
      </c>
      <c r="FH58" s="742"/>
      <c r="FI58" s="742"/>
      <c r="FJ58" s="743"/>
      <c r="FK58" s="744" t="str">
        <f t="shared" si="19"/>
        <v>-</v>
      </c>
      <c r="FL58" s="739"/>
      <c r="FM58" s="739"/>
      <c r="FN58" s="740"/>
      <c r="FO58" s="744" t="str">
        <f t="shared" si="8"/>
        <v>-</v>
      </c>
      <c r="FP58" s="739"/>
      <c r="FQ58" s="739"/>
      <c r="FR58" s="740"/>
      <c r="FS58" s="744" t="str">
        <f>IF(EW58="","-",INDEX($A$5:$BP$257,MATCH(EW58,$BN$5:$BN$257,0),39)*(IF(EW58="","-",(1+(((-('Densidade do AR'!$M$4))+('Densidade do AR'!$T$15*1000000))/(IF(INDEX($A$5:$BP$257,MATCH(EW58,$BN$5:$BN$257,0),50)="Aço Inoxidável",('Densidade do AR'!$S$8*1000000),IF(INDEX($A$5:$BP$257,MATCH(EW58,$BN$5:$BN$257,0),50)="Ferro Fundido",('Densidade do AR'!$S$12*1000000),IF(INDEX($A$5:$BP$257,MATCH(EW58,$BN$5:$BN$257,0),50)="Latão",('Densidade do AR'!$S$10*1000000),IF(INDEX($A$5:$BP$257,MATCH(EW58,$BN$5:$BN$257,0),50)="Alumínio",('Densidade do AR'!$S$4*1000000)))))))-(((-('Densidade do AR'!$M$4))+('Densidade do AR'!$T$15*1000000))/('Densidade do AR'!$S$14*1000000))))))</f>
        <v>-</v>
      </c>
      <c r="FT58" s="739"/>
      <c r="FU58" s="739"/>
      <c r="FV58" s="745"/>
      <c r="FW58" s="91" t="str">
        <f t="shared" si="20"/>
        <v>-</v>
      </c>
      <c r="FX58" s="135"/>
    </row>
    <row r="59" spans="1:180" x14ac:dyDescent="0.2">
      <c r="A59" s="717">
        <v>55</v>
      </c>
      <c r="B59" s="713"/>
      <c r="C59" s="708">
        <v>20000</v>
      </c>
      <c r="D59" s="709"/>
      <c r="E59" s="709"/>
      <c r="F59" s="709"/>
      <c r="G59" s="710"/>
      <c r="H59" s="711">
        <v>21</v>
      </c>
      <c r="I59" s="934"/>
      <c r="J59" s="934"/>
      <c r="K59" s="935"/>
      <c r="L59" s="708" t="s">
        <v>112</v>
      </c>
      <c r="M59" s="709"/>
      <c r="N59" s="709"/>
      <c r="O59" s="709"/>
      <c r="P59" s="708">
        <v>21</v>
      </c>
      <c r="Q59" s="879"/>
      <c r="R59" s="879"/>
      <c r="S59" s="879"/>
      <c r="T59" s="937"/>
      <c r="U59" s="898" t="s">
        <v>305</v>
      </c>
      <c r="V59" s="715"/>
      <c r="W59" s="715"/>
      <c r="X59" s="715"/>
      <c r="Y59" s="715"/>
      <c r="Z59" s="715"/>
      <c r="AA59" s="716"/>
      <c r="AB59" s="850"/>
      <c r="AC59" s="851"/>
      <c r="AD59" s="851"/>
      <c r="AE59" s="851"/>
      <c r="AF59" s="851"/>
      <c r="AG59" s="851"/>
      <c r="AH59" s="851"/>
      <c r="AI59" s="851"/>
      <c r="AJ59" s="851"/>
      <c r="AK59" s="851"/>
      <c r="AL59" s="852"/>
      <c r="AM59" s="917">
        <v>20000000</v>
      </c>
      <c r="AN59" s="712"/>
      <c r="AO59" s="712"/>
      <c r="AP59" s="712"/>
      <c r="AQ59" s="712"/>
      <c r="AR59" s="712"/>
      <c r="AS59" s="713"/>
      <c r="AT59" s="917">
        <f t="shared" si="21"/>
        <v>0</v>
      </c>
      <c r="AU59" s="712"/>
      <c r="AV59" s="712"/>
      <c r="AW59" s="713"/>
      <c r="AX59" s="917" t="s">
        <v>13</v>
      </c>
      <c r="AY59" s="712"/>
      <c r="AZ59" s="712"/>
      <c r="BA59" s="712"/>
      <c r="BB59" s="712"/>
      <c r="BC59" s="713"/>
      <c r="BD59" s="917">
        <v>300</v>
      </c>
      <c r="BE59" s="712"/>
      <c r="BF59" s="712"/>
      <c r="BG59" s="713"/>
      <c r="BH59" s="917">
        <v>2</v>
      </c>
      <c r="BI59" s="994"/>
      <c r="BJ59" s="994"/>
      <c r="BK59" s="994"/>
      <c r="BL59" s="995"/>
      <c r="BN59" s="881">
        <v>55</v>
      </c>
      <c r="BO59" s="882"/>
      <c r="BP59" s="883"/>
      <c r="BT59" s="746"/>
      <c r="BU59" s="747"/>
      <c r="BV59" s="784" t="str">
        <f>IF(BT59="","-",(IF(INDEX($A$5:$BP$257,MATCH(BT59,$BN$5:$BN$257,0),50)="Aço Inoxidável",('Densidade do AR'!$S$8*1000000),IF(INDEX($A$5:$BP$257,MATCH(BT59,$BN$5:$BN$257,0),50)="Ferro Fundido",('Densidade do AR'!$S$12*1000000),IF(INDEX($A$5:$BP$257,MATCH(BT59,$BN$5:$BN$257,0),50)="Latão",('Densidade do AR'!$S$10*1000000),IF(INDEX($A$5:$BP$257,MATCH(BT59,$BN$5:$BN$257,0),50)="Alumínio",('Densidade do AR'!$S$4*1000000)))))))</f>
        <v>-</v>
      </c>
      <c r="BW59" s="785"/>
      <c r="BX59" s="785"/>
      <c r="BY59" s="786"/>
      <c r="BZ59" s="787" t="str">
        <f t="shared" si="9"/>
        <v>-</v>
      </c>
      <c r="CA59" s="788"/>
      <c r="CB59" s="788"/>
      <c r="CC59" s="789"/>
      <c r="CD59" s="787" t="str">
        <f t="shared" si="1"/>
        <v>-</v>
      </c>
      <c r="CE59" s="788"/>
      <c r="CF59" s="788"/>
      <c r="CG59" s="789"/>
      <c r="CH59" s="790" t="str">
        <f t="shared" si="10"/>
        <v>-</v>
      </c>
      <c r="CI59" s="785"/>
      <c r="CJ59" s="785"/>
      <c r="CK59" s="786"/>
      <c r="CL59" s="790" t="str">
        <f t="shared" si="2"/>
        <v>-</v>
      </c>
      <c r="CM59" s="785"/>
      <c r="CN59" s="785"/>
      <c r="CO59" s="786"/>
      <c r="CP59" s="790" t="str">
        <f>IF(BT59="","-",INDEX($A$5:$BP$257,MATCH(BT59,$BN$5:$BN$257,0),39)*(IF(BT59="","-",(1+(((-('Densidade do AR'!$M$4))+('Densidade do AR'!$T$15*1000000))/(IF(INDEX($A$5:$BP$257,MATCH(BT59,$BN$5:$BN$257,0),50)="Aço Inoxidável",('Densidade do AR'!$S$8*1000000),IF(INDEX($A$5:$BP$257,MATCH(BT59,$BN$5:$BN$257,0),50)="Ferro Fundido",('Densidade do AR'!$S$12*1000000),IF(INDEX($A$5:$BP$257,MATCH(BT59,$BN$5:$BN$257,0),50)="Latão",('Densidade do AR'!$S$10*1000000),IF(INDEX($A$5:$BP$257,MATCH(BT59,$BN$5:$BN$257,0),50)="Alumínio",('Densidade do AR'!$S$4*1000000)))))))-(((-('Densidade do AR'!$M$4))+('Densidade do AR'!$T$15*1000000))/('Densidade do AR'!$S$14*1000000))))))</f>
        <v>-</v>
      </c>
      <c r="CQ59" s="785"/>
      <c r="CR59" s="785"/>
      <c r="CS59" s="791"/>
      <c r="CT59" s="91" t="str">
        <f t="shared" si="11"/>
        <v>-</v>
      </c>
      <c r="CU59" s="746"/>
      <c r="CV59" s="747"/>
      <c r="CW59" s="784" t="str">
        <f>IF(CU59="","-",(IF(INDEX($A$5:$BP$257,MATCH(CU59,$BN$5:$BN$257,0),50)="Aço Inoxidável",('Densidade do AR'!$S$8*1000000),IF(INDEX($A$5:$BP$257,MATCH(CU59,$BN$5:$BN$257,0),50)="Ferro Fundido",('Densidade do AR'!$S$12*1000000),IF(INDEX($A$5:$BP$257,MATCH(CU59,$BN$5:$BN$257,0),50)="Latão",('Densidade do AR'!$S$10*1000000),IF(INDEX($A$5:$BP$257,MATCH(CU59,$BN$5:$BN$257,0),50)="Alumínio",('Densidade do AR'!$S$4*1000000)))))))</f>
        <v>-</v>
      </c>
      <c r="CX59" s="785"/>
      <c r="CY59" s="785"/>
      <c r="CZ59" s="786"/>
      <c r="DA59" s="787" t="str">
        <f t="shared" si="12"/>
        <v>-</v>
      </c>
      <c r="DB59" s="788"/>
      <c r="DC59" s="788"/>
      <c r="DD59" s="789"/>
      <c r="DE59" s="787" t="str">
        <f t="shared" si="3"/>
        <v>-</v>
      </c>
      <c r="DF59" s="788"/>
      <c r="DG59" s="788"/>
      <c r="DH59" s="789"/>
      <c r="DI59" s="790" t="str">
        <f t="shared" si="13"/>
        <v>-</v>
      </c>
      <c r="DJ59" s="785"/>
      <c r="DK59" s="785"/>
      <c r="DL59" s="786"/>
      <c r="DM59" s="790" t="str">
        <f t="shared" si="4"/>
        <v>-</v>
      </c>
      <c r="DN59" s="785"/>
      <c r="DO59" s="785"/>
      <c r="DP59" s="786"/>
      <c r="DQ59" s="790" t="str">
        <f>IF(CU59="","-",INDEX($A$5:$BP$257,MATCH(CU59,$BN$5:$BN$257,0),39)*(IF(CU59="","-",(1+(((-('Densidade do AR'!$M$4))+('Densidade do AR'!$T$15*1000000))/(IF(INDEX($A$5:$BP$257,MATCH(CU59,$BN$5:$BN$257,0),50)="Aço Inoxidável",('Densidade do AR'!$S$8*1000000),IF(INDEX($A$5:$BP$257,MATCH(CU59,$BN$5:$BN$257,0),50)="Ferro Fundido",('Densidade do AR'!$S$12*1000000),IF(INDEX($A$5:$BP$257,MATCH(CU59,$BN$5:$BN$257,0),50)="Latão",('Densidade do AR'!$S$10*1000000),IF(INDEX($A$5:$BP$257,MATCH(CU59,$BN$5:$BN$257,0),50)="Alumínio",('Densidade do AR'!$S$4*1000000)))))))-(((-('Densidade do AR'!$M$4))+('Densidade do AR'!$T$15*1000000))/('Densidade do AR'!$S$14*1000000))))))</f>
        <v>-</v>
      </c>
      <c r="DR59" s="785"/>
      <c r="DS59" s="785"/>
      <c r="DT59" s="791"/>
      <c r="DU59" s="91" t="str">
        <f t="shared" si="14"/>
        <v>-</v>
      </c>
      <c r="DV59" s="746"/>
      <c r="DW59" s="747"/>
      <c r="DX59" s="784" t="str">
        <f>IF(DV59="","-",(IF(INDEX($A$5:$BP$257,MATCH(DV59,$BN$5:$BN$257,0),50)="Aço Inoxidável",('Densidade do AR'!$S$8*1000000),IF(INDEX($A$5:$BP$257,MATCH(DV59,$BN$5:$BN$257,0),50)="Ferro Fundido",('Densidade do AR'!$S$12*1000000),IF(INDEX($A$5:$BP$257,MATCH(DV59,$BN$5:$BN$257,0),50)="Latão",('Densidade do AR'!$S$10*1000000),IF(INDEX($A$5:$BP$257,MATCH(DV59,$BN$5:$BN$257,0),50)="Alumínio",('Densidade do AR'!$S$4*1000000)))))))</f>
        <v>-</v>
      </c>
      <c r="DY59" s="785"/>
      <c r="DZ59" s="785"/>
      <c r="EA59" s="786"/>
      <c r="EB59" s="787" t="str">
        <f t="shared" si="15"/>
        <v>-</v>
      </c>
      <c r="EC59" s="788"/>
      <c r="ED59" s="788"/>
      <c r="EE59" s="789"/>
      <c r="EF59" s="787" t="str">
        <f t="shared" si="5"/>
        <v>-</v>
      </c>
      <c r="EG59" s="788"/>
      <c r="EH59" s="788"/>
      <c r="EI59" s="789"/>
      <c r="EJ59" s="790" t="str">
        <f t="shared" si="16"/>
        <v>-</v>
      </c>
      <c r="EK59" s="785"/>
      <c r="EL59" s="785"/>
      <c r="EM59" s="786"/>
      <c r="EN59" s="790" t="str">
        <f t="shared" si="6"/>
        <v>-</v>
      </c>
      <c r="EO59" s="785"/>
      <c r="EP59" s="785"/>
      <c r="EQ59" s="786"/>
      <c r="ER59" s="790" t="str">
        <f>IF(DV59="","-",INDEX($A$5:$BP$257,MATCH(DV59,$BN$5:$BN$257,0),39)*(IF(DV59="","-",(1+(((-('Densidade do AR'!$M$4))+('Densidade do AR'!$T$15*1000000))/(IF(INDEX($A$5:$BP$257,MATCH(DV59,$BN$5:$BN$257,0),50)="Aço Inoxidável",('Densidade do AR'!$S$8*1000000),IF(INDEX($A$5:$BP$257,MATCH(DV59,$BN$5:$BN$257,0),50)="Ferro Fundido",('Densidade do AR'!$S$12*1000000),IF(INDEX($A$5:$BP$257,MATCH(DV59,$BN$5:$BN$257,0),50)="Latão",('Densidade do AR'!$S$10*1000000),IF(INDEX($A$5:$BP$257,MATCH(DV59,$BN$5:$BN$257,0),50)="Alumínio",('Densidade do AR'!$S$4*1000000)))))))-(((-('Densidade do AR'!$M$4))+('Densidade do AR'!$T$15*1000000))/('Densidade do AR'!$S$14*1000000))))))</f>
        <v>-</v>
      </c>
      <c r="ES59" s="785"/>
      <c r="ET59" s="785"/>
      <c r="EU59" s="791"/>
      <c r="EV59" s="91" t="str">
        <f t="shared" si="17"/>
        <v>-</v>
      </c>
      <c r="EW59" s="746"/>
      <c r="EX59" s="747"/>
      <c r="EY59" s="784" t="str">
        <f>IF(EW59="","-",(IF(INDEX($A$5:$BP$257,MATCH(EW59,$BN$5:$BN$257,0),50)="Aço Inoxidável",('Densidade do AR'!$S$8*1000000),IF(INDEX($A$5:$BP$257,MATCH(EW59,$BN$5:$BN$257,0),50)="Ferro Fundido",('Densidade do AR'!$S$12*1000000),IF(INDEX($A$5:$BP$257,MATCH(EW59,$BN$5:$BN$257,0),50)="Latão",('Densidade do AR'!$S$10*1000000),IF(INDEX($A$5:$BP$257,MATCH(EW59,$BN$5:$BN$257,0),50)="Alumínio",('Densidade do AR'!$S$4*1000000)))))))</f>
        <v>-</v>
      </c>
      <c r="EZ59" s="785"/>
      <c r="FA59" s="785"/>
      <c r="FB59" s="786"/>
      <c r="FC59" s="787" t="str">
        <f t="shared" si="18"/>
        <v>-</v>
      </c>
      <c r="FD59" s="788"/>
      <c r="FE59" s="788"/>
      <c r="FF59" s="789"/>
      <c r="FG59" s="787" t="str">
        <f t="shared" si="7"/>
        <v>-</v>
      </c>
      <c r="FH59" s="788"/>
      <c r="FI59" s="788"/>
      <c r="FJ59" s="789"/>
      <c r="FK59" s="790" t="str">
        <f t="shared" si="19"/>
        <v>-</v>
      </c>
      <c r="FL59" s="785"/>
      <c r="FM59" s="785"/>
      <c r="FN59" s="786"/>
      <c r="FO59" s="790" t="str">
        <f t="shared" si="8"/>
        <v>-</v>
      </c>
      <c r="FP59" s="785"/>
      <c r="FQ59" s="785"/>
      <c r="FR59" s="786"/>
      <c r="FS59" s="790" t="str">
        <f>IF(EW59="","-",INDEX($A$5:$BP$257,MATCH(EW59,$BN$5:$BN$257,0),39)*(IF(EW59="","-",(1+(((-('Densidade do AR'!$M$4))+('Densidade do AR'!$T$15*1000000))/(IF(INDEX($A$5:$BP$257,MATCH(EW59,$BN$5:$BN$257,0),50)="Aço Inoxidável",('Densidade do AR'!$S$8*1000000),IF(INDEX($A$5:$BP$257,MATCH(EW59,$BN$5:$BN$257,0),50)="Ferro Fundido",('Densidade do AR'!$S$12*1000000),IF(INDEX($A$5:$BP$257,MATCH(EW59,$BN$5:$BN$257,0),50)="Latão",('Densidade do AR'!$S$10*1000000),IF(INDEX($A$5:$BP$257,MATCH(EW59,$BN$5:$BN$257,0),50)="Alumínio",('Densidade do AR'!$S$4*1000000)))))))-(((-('Densidade do AR'!$M$4))+('Densidade do AR'!$T$15*1000000))/('Densidade do AR'!$S$14*1000000))))))</f>
        <v>-</v>
      </c>
      <c r="FT59" s="785"/>
      <c r="FU59" s="785"/>
      <c r="FV59" s="791"/>
      <c r="FW59" s="91" t="str">
        <f t="shared" si="20"/>
        <v>-</v>
      </c>
      <c r="FX59" s="135"/>
    </row>
    <row r="60" spans="1:180" x14ac:dyDescent="0.2">
      <c r="A60" s="718">
        <v>56</v>
      </c>
      <c r="B60" s="713"/>
      <c r="C60" s="719">
        <v>20000</v>
      </c>
      <c r="D60" s="709"/>
      <c r="E60" s="709"/>
      <c r="F60" s="709"/>
      <c r="G60" s="710"/>
      <c r="H60" s="720">
        <v>22</v>
      </c>
      <c r="I60" s="941"/>
      <c r="J60" s="941"/>
      <c r="K60" s="942"/>
      <c r="L60" s="719" t="s">
        <v>112</v>
      </c>
      <c r="M60" s="709"/>
      <c r="N60" s="709"/>
      <c r="O60" s="709"/>
      <c r="P60" s="719">
        <v>22</v>
      </c>
      <c r="Q60" s="882"/>
      <c r="R60" s="882"/>
      <c r="S60" s="882"/>
      <c r="T60" s="939"/>
      <c r="U60" s="897" t="s">
        <v>305</v>
      </c>
      <c r="V60" s="722"/>
      <c r="W60" s="722"/>
      <c r="X60" s="722"/>
      <c r="Y60" s="722"/>
      <c r="Z60" s="722"/>
      <c r="AA60" s="723"/>
      <c r="AB60" s="853"/>
      <c r="AC60" s="854"/>
      <c r="AD60" s="854"/>
      <c r="AE60" s="854"/>
      <c r="AF60" s="854"/>
      <c r="AG60" s="854"/>
      <c r="AH60" s="854"/>
      <c r="AI60" s="854"/>
      <c r="AJ60" s="854"/>
      <c r="AK60" s="854"/>
      <c r="AL60" s="855"/>
      <c r="AM60" s="909">
        <v>20000000</v>
      </c>
      <c r="AN60" s="712"/>
      <c r="AO60" s="712"/>
      <c r="AP60" s="712"/>
      <c r="AQ60" s="712"/>
      <c r="AR60" s="712"/>
      <c r="AS60" s="713"/>
      <c r="AT60" s="909">
        <f t="shared" si="21"/>
        <v>0</v>
      </c>
      <c r="AU60" s="712"/>
      <c r="AV60" s="712"/>
      <c r="AW60" s="713"/>
      <c r="AX60" s="908" t="s">
        <v>13</v>
      </c>
      <c r="AY60" s="712"/>
      <c r="AZ60" s="712"/>
      <c r="BA60" s="712"/>
      <c r="BB60" s="712"/>
      <c r="BC60" s="713"/>
      <c r="BD60" s="909">
        <v>300</v>
      </c>
      <c r="BE60" s="712"/>
      <c r="BF60" s="712"/>
      <c r="BG60" s="713"/>
      <c r="BH60" s="909">
        <v>2</v>
      </c>
      <c r="BI60" s="994"/>
      <c r="BJ60" s="994"/>
      <c r="BK60" s="994"/>
      <c r="BL60" s="995"/>
      <c r="BN60" s="878">
        <v>56</v>
      </c>
      <c r="BO60" s="879"/>
      <c r="BP60" s="880"/>
      <c r="BT60" s="736"/>
      <c r="BU60" s="737"/>
      <c r="BV60" s="738" t="str">
        <f>IF(BT60="","-",(IF(INDEX($A$5:$BP$257,MATCH(BT60,$BN$5:$BN$257,0),50)="Aço Inoxidável",('Densidade do AR'!$S$8*1000000),IF(INDEX($A$5:$BP$257,MATCH(BT60,$BN$5:$BN$257,0),50)="Ferro Fundido",('Densidade do AR'!$S$12*1000000),IF(INDEX($A$5:$BP$257,MATCH(BT60,$BN$5:$BN$257,0),50)="Latão",('Densidade do AR'!$S$10*1000000),IF(INDEX($A$5:$BP$257,MATCH(BT60,$BN$5:$BN$257,0),50)="Alumínio",('Densidade do AR'!$S$4*1000000)))))))</f>
        <v>-</v>
      </c>
      <c r="BW60" s="739"/>
      <c r="BX60" s="739"/>
      <c r="BY60" s="740"/>
      <c r="BZ60" s="741" t="str">
        <f t="shared" si="9"/>
        <v>-</v>
      </c>
      <c r="CA60" s="742"/>
      <c r="CB60" s="742"/>
      <c r="CC60" s="743"/>
      <c r="CD60" s="741" t="str">
        <f t="shared" si="1"/>
        <v>-</v>
      </c>
      <c r="CE60" s="742"/>
      <c r="CF60" s="742"/>
      <c r="CG60" s="743"/>
      <c r="CH60" s="744" t="str">
        <f t="shared" si="10"/>
        <v>-</v>
      </c>
      <c r="CI60" s="739"/>
      <c r="CJ60" s="739"/>
      <c r="CK60" s="740"/>
      <c r="CL60" s="744" t="str">
        <f t="shared" si="2"/>
        <v>-</v>
      </c>
      <c r="CM60" s="739"/>
      <c r="CN60" s="739"/>
      <c r="CO60" s="740"/>
      <c r="CP60" s="744" t="str">
        <f>IF(BT60="","-",INDEX($A$5:$BP$257,MATCH(BT60,$BN$5:$BN$257,0),39)*(IF(BT60="","-",(1+(((-('Densidade do AR'!$M$4))+('Densidade do AR'!$T$15*1000000))/(IF(INDEX($A$5:$BP$257,MATCH(BT60,$BN$5:$BN$257,0),50)="Aço Inoxidável",('Densidade do AR'!$S$8*1000000),IF(INDEX($A$5:$BP$257,MATCH(BT60,$BN$5:$BN$257,0),50)="Ferro Fundido",('Densidade do AR'!$S$12*1000000),IF(INDEX($A$5:$BP$257,MATCH(BT60,$BN$5:$BN$257,0),50)="Latão",('Densidade do AR'!$S$10*1000000),IF(INDEX($A$5:$BP$257,MATCH(BT60,$BN$5:$BN$257,0),50)="Alumínio",('Densidade do AR'!$S$4*1000000)))))))-(((-('Densidade do AR'!$M$4))+('Densidade do AR'!$T$15*1000000))/('Densidade do AR'!$S$14*1000000))))))</f>
        <v>-</v>
      </c>
      <c r="CQ60" s="739"/>
      <c r="CR60" s="739"/>
      <c r="CS60" s="745"/>
      <c r="CT60" s="91" t="str">
        <f t="shared" si="11"/>
        <v>-</v>
      </c>
      <c r="CU60" s="736"/>
      <c r="CV60" s="737"/>
      <c r="CW60" s="738" t="str">
        <f>IF(CU60="","-",(IF(INDEX($A$5:$BP$257,MATCH(CU60,$BN$5:$BN$257,0),50)="Aço Inoxidável",('Densidade do AR'!$S$8*1000000),IF(INDEX($A$5:$BP$257,MATCH(CU60,$BN$5:$BN$257,0),50)="Ferro Fundido",('Densidade do AR'!$S$12*1000000),IF(INDEX($A$5:$BP$257,MATCH(CU60,$BN$5:$BN$257,0),50)="Latão",('Densidade do AR'!$S$10*1000000),IF(INDEX($A$5:$BP$257,MATCH(CU60,$BN$5:$BN$257,0),50)="Alumínio",('Densidade do AR'!$S$4*1000000)))))))</f>
        <v>-</v>
      </c>
      <c r="CX60" s="739"/>
      <c r="CY60" s="739"/>
      <c r="CZ60" s="740"/>
      <c r="DA60" s="741" t="str">
        <f t="shared" si="12"/>
        <v>-</v>
      </c>
      <c r="DB60" s="742"/>
      <c r="DC60" s="742"/>
      <c r="DD60" s="743"/>
      <c r="DE60" s="741" t="str">
        <f t="shared" si="3"/>
        <v>-</v>
      </c>
      <c r="DF60" s="742"/>
      <c r="DG60" s="742"/>
      <c r="DH60" s="743"/>
      <c r="DI60" s="744" t="str">
        <f t="shared" si="13"/>
        <v>-</v>
      </c>
      <c r="DJ60" s="739"/>
      <c r="DK60" s="739"/>
      <c r="DL60" s="740"/>
      <c r="DM60" s="744" t="str">
        <f t="shared" si="4"/>
        <v>-</v>
      </c>
      <c r="DN60" s="739"/>
      <c r="DO60" s="739"/>
      <c r="DP60" s="740"/>
      <c r="DQ60" s="744" t="str">
        <f>IF(CU60="","-",INDEX($A$5:$BP$257,MATCH(CU60,$BN$5:$BN$257,0),39)*(IF(CU60="","-",(1+(((-('Densidade do AR'!$M$4))+('Densidade do AR'!$T$15*1000000))/(IF(INDEX($A$5:$BP$257,MATCH(CU60,$BN$5:$BN$257,0),50)="Aço Inoxidável",('Densidade do AR'!$S$8*1000000),IF(INDEX($A$5:$BP$257,MATCH(CU60,$BN$5:$BN$257,0),50)="Ferro Fundido",('Densidade do AR'!$S$12*1000000),IF(INDEX($A$5:$BP$257,MATCH(CU60,$BN$5:$BN$257,0),50)="Latão",('Densidade do AR'!$S$10*1000000),IF(INDEX($A$5:$BP$257,MATCH(CU60,$BN$5:$BN$257,0),50)="Alumínio",('Densidade do AR'!$S$4*1000000)))))))-(((-('Densidade do AR'!$M$4))+('Densidade do AR'!$T$15*1000000))/('Densidade do AR'!$S$14*1000000))))))</f>
        <v>-</v>
      </c>
      <c r="DR60" s="739"/>
      <c r="DS60" s="739"/>
      <c r="DT60" s="745"/>
      <c r="DU60" s="91" t="str">
        <f t="shared" si="14"/>
        <v>-</v>
      </c>
      <c r="DV60" s="736"/>
      <c r="DW60" s="737"/>
      <c r="DX60" s="738" t="str">
        <f>IF(DV60="","-",(IF(INDEX($A$5:$BP$257,MATCH(DV60,$BN$5:$BN$257,0),50)="Aço Inoxidável",('Densidade do AR'!$S$8*1000000),IF(INDEX($A$5:$BP$257,MATCH(DV60,$BN$5:$BN$257,0),50)="Ferro Fundido",('Densidade do AR'!$S$12*1000000),IF(INDEX($A$5:$BP$257,MATCH(DV60,$BN$5:$BN$257,0),50)="Latão",('Densidade do AR'!$S$10*1000000),IF(INDEX($A$5:$BP$257,MATCH(DV60,$BN$5:$BN$257,0),50)="Alumínio",('Densidade do AR'!$S$4*1000000)))))))</f>
        <v>-</v>
      </c>
      <c r="DY60" s="739"/>
      <c r="DZ60" s="739"/>
      <c r="EA60" s="740"/>
      <c r="EB60" s="741" t="str">
        <f t="shared" si="15"/>
        <v>-</v>
      </c>
      <c r="EC60" s="742"/>
      <c r="ED60" s="742"/>
      <c r="EE60" s="743"/>
      <c r="EF60" s="741" t="str">
        <f t="shared" si="5"/>
        <v>-</v>
      </c>
      <c r="EG60" s="742"/>
      <c r="EH60" s="742"/>
      <c r="EI60" s="743"/>
      <c r="EJ60" s="744" t="str">
        <f t="shared" si="16"/>
        <v>-</v>
      </c>
      <c r="EK60" s="739"/>
      <c r="EL60" s="739"/>
      <c r="EM60" s="740"/>
      <c r="EN60" s="744" t="str">
        <f t="shared" si="6"/>
        <v>-</v>
      </c>
      <c r="EO60" s="739"/>
      <c r="EP60" s="739"/>
      <c r="EQ60" s="740"/>
      <c r="ER60" s="744" t="str">
        <f>IF(DV60="","-",INDEX($A$5:$BP$257,MATCH(DV60,$BN$5:$BN$257,0),39)*(IF(DV60="","-",(1+(((-('Densidade do AR'!$M$4))+('Densidade do AR'!$T$15*1000000))/(IF(INDEX($A$5:$BP$257,MATCH(DV60,$BN$5:$BN$257,0),50)="Aço Inoxidável",('Densidade do AR'!$S$8*1000000),IF(INDEX($A$5:$BP$257,MATCH(DV60,$BN$5:$BN$257,0),50)="Ferro Fundido",('Densidade do AR'!$S$12*1000000),IF(INDEX($A$5:$BP$257,MATCH(DV60,$BN$5:$BN$257,0),50)="Latão",('Densidade do AR'!$S$10*1000000),IF(INDEX($A$5:$BP$257,MATCH(DV60,$BN$5:$BN$257,0),50)="Alumínio",('Densidade do AR'!$S$4*1000000)))))))-(((-('Densidade do AR'!$M$4))+('Densidade do AR'!$T$15*1000000))/('Densidade do AR'!$S$14*1000000))))))</f>
        <v>-</v>
      </c>
      <c r="ES60" s="739"/>
      <c r="ET60" s="739"/>
      <c r="EU60" s="745"/>
      <c r="EV60" s="91" t="str">
        <f t="shared" si="17"/>
        <v>-</v>
      </c>
      <c r="EW60" s="736"/>
      <c r="EX60" s="737"/>
      <c r="EY60" s="738" t="str">
        <f>IF(EW60="","-",(IF(INDEX($A$5:$BP$257,MATCH(EW60,$BN$5:$BN$257,0),50)="Aço Inoxidável",('Densidade do AR'!$S$8*1000000),IF(INDEX($A$5:$BP$257,MATCH(EW60,$BN$5:$BN$257,0),50)="Ferro Fundido",('Densidade do AR'!$S$12*1000000),IF(INDEX($A$5:$BP$257,MATCH(EW60,$BN$5:$BN$257,0),50)="Latão",('Densidade do AR'!$S$10*1000000),IF(INDEX($A$5:$BP$257,MATCH(EW60,$BN$5:$BN$257,0),50)="Alumínio",('Densidade do AR'!$S$4*1000000)))))))</f>
        <v>-</v>
      </c>
      <c r="EZ60" s="739"/>
      <c r="FA60" s="739"/>
      <c r="FB60" s="740"/>
      <c r="FC60" s="741" t="str">
        <f t="shared" si="18"/>
        <v>-</v>
      </c>
      <c r="FD60" s="742"/>
      <c r="FE60" s="742"/>
      <c r="FF60" s="743"/>
      <c r="FG60" s="741" t="str">
        <f t="shared" si="7"/>
        <v>-</v>
      </c>
      <c r="FH60" s="742"/>
      <c r="FI60" s="742"/>
      <c r="FJ60" s="743"/>
      <c r="FK60" s="744" t="str">
        <f t="shared" si="19"/>
        <v>-</v>
      </c>
      <c r="FL60" s="739"/>
      <c r="FM60" s="739"/>
      <c r="FN60" s="740"/>
      <c r="FO60" s="744" t="str">
        <f t="shared" si="8"/>
        <v>-</v>
      </c>
      <c r="FP60" s="739"/>
      <c r="FQ60" s="739"/>
      <c r="FR60" s="740"/>
      <c r="FS60" s="744" t="str">
        <f>IF(EW60="","-",INDEX($A$5:$BP$257,MATCH(EW60,$BN$5:$BN$257,0),39)*(IF(EW60="","-",(1+(((-('Densidade do AR'!$M$4))+('Densidade do AR'!$T$15*1000000))/(IF(INDEX($A$5:$BP$257,MATCH(EW60,$BN$5:$BN$257,0),50)="Aço Inoxidável",('Densidade do AR'!$S$8*1000000),IF(INDEX($A$5:$BP$257,MATCH(EW60,$BN$5:$BN$257,0),50)="Ferro Fundido",('Densidade do AR'!$S$12*1000000),IF(INDEX($A$5:$BP$257,MATCH(EW60,$BN$5:$BN$257,0),50)="Latão",('Densidade do AR'!$S$10*1000000),IF(INDEX($A$5:$BP$257,MATCH(EW60,$BN$5:$BN$257,0),50)="Alumínio",('Densidade do AR'!$S$4*1000000)))))))-(((-('Densidade do AR'!$M$4))+('Densidade do AR'!$T$15*1000000))/('Densidade do AR'!$S$14*1000000))))))</f>
        <v>-</v>
      </c>
      <c r="FT60" s="739"/>
      <c r="FU60" s="739"/>
      <c r="FV60" s="745"/>
      <c r="FW60" s="91" t="str">
        <f t="shared" si="20"/>
        <v>-</v>
      </c>
      <c r="FX60" s="135"/>
    </row>
    <row r="61" spans="1:180" x14ac:dyDescent="0.2">
      <c r="A61" s="717">
        <v>57</v>
      </c>
      <c r="B61" s="713"/>
      <c r="C61" s="708">
        <v>20000</v>
      </c>
      <c r="D61" s="709"/>
      <c r="E61" s="709"/>
      <c r="F61" s="709"/>
      <c r="G61" s="710"/>
      <c r="H61" s="711">
        <v>23</v>
      </c>
      <c r="I61" s="934"/>
      <c r="J61" s="934"/>
      <c r="K61" s="935"/>
      <c r="L61" s="708" t="s">
        <v>112</v>
      </c>
      <c r="M61" s="709"/>
      <c r="N61" s="709"/>
      <c r="O61" s="709"/>
      <c r="P61" s="708">
        <v>23</v>
      </c>
      <c r="Q61" s="879"/>
      <c r="R61" s="879"/>
      <c r="S61" s="879"/>
      <c r="T61" s="937"/>
      <c r="U61" s="898" t="s">
        <v>305</v>
      </c>
      <c r="V61" s="715"/>
      <c r="W61" s="715"/>
      <c r="X61" s="715"/>
      <c r="Y61" s="715"/>
      <c r="Z61" s="715"/>
      <c r="AA61" s="716"/>
      <c r="AB61" s="850"/>
      <c r="AC61" s="851"/>
      <c r="AD61" s="851"/>
      <c r="AE61" s="851"/>
      <c r="AF61" s="851"/>
      <c r="AG61" s="851"/>
      <c r="AH61" s="851"/>
      <c r="AI61" s="851"/>
      <c r="AJ61" s="851"/>
      <c r="AK61" s="851"/>
      <c r="AL61" s="852"/>
      <c r="AM61" s="917">
        <v>20000000</v>
      </c>
      <c r="AN61" s="712"/>
      <c r="AO61" s="712"/>
      <c r="AP61" s="712"/>
      <c r="AQ61" s="712"/>
      <c r="AR61" s="712"/>
      <c r="AS61" s="713"/>
      <c r="AT61" s="917">
        <f t="shared" si="21"/>
        <v>0</v>
      </c>
      <c r="AU61" s="712"/>
      <c r="AV61" s="712"/>
      <c r="AW61" s="713"/>
      <c r="AX61" s="917" t="s">
        <v>13</v>
      </c>
      <c r="AY61" s="712"/>
      <c r="AZ61" s="712"/>
      <c r="BA61" s="712"/>
      <c r="BB61" s="712"/>
      <c r="BC61" s="713"/>
      <c r="BD61" s="917">
        <v>300</v>
      </c>
      <c r="BE61" s="712"/>
      <c r="BF61" s="712"/>
      <c r="BG61" s="713"/>
      <c r="BH61" s="917">
        <v>2</v>
      </c>
      <c r="BI61" s="994"/>
      <c r="BJ61" s="994"/>
      <c r="BK61" s="994"/>
      <c r="BL61" s="995"/>
      <c r="BN61" s="881">
        <v>57</v>
      </c>
      <c r="BO61" s="882"/>
      <c r="BP61" s="883"/>
      <c r="BT61" s="746"/>
      <c r="BU61" s="747"/>
      <c r="BV61" s="784" t="str">
        <f>IF(BT61="","-",(IF(INDEX($A$5:$BP$257,MATCH(BT61,$BN$5:$BN$257,0),50)="Aço Inoxidável",('Densidade do AR'!$S$8*1000000),IF(INDEX($A$5:$BP$257,MATCH(BT61,$BN$5:$BN$257,0),50)="Ferro Fundido",('Densidade do AR'!$S$12*1000000),IF(INDEX($A$5:$BP$257,MATCH(BT61,$BN$5:$BN$257,0),50)="Latão",('Densidade do AR'!$S$10*1000000),IF(INDEX($A$5:$BP$257,MATCH(BT61,$BN$5:$BN$257,0),50)="Alumínio",('Densidade do AR'!$S$4*1000000)))))))</f>
        <v>-</v>
      </c>
      <c r="BW61" s="785"/>
      <c r="BX61" s="785"/>
      <c r="BY61" s="786"/>
      <c r="BZ61" s="787" t="str">
        <f t="shared" si="9"/>
        <v>-</v>
      </c>
      <c r="CA61" s="788"/>
      <c r="CB61" s="788"/>
      <c r="CC61" s="789"/>
      <c r="CD61" s="787" t="str">
        <f t="shared" si="1"/>
        <v>-</v>
      </c>
      <c r="CE61" s="788"/>
      <c r="CF61" s="788"/>
      <c r="CG61" s="789"/>
      <c r="CH61" s="790" t="str">
        <f t="shared" si="10"/>
        <v>-</v>
      </c>
      <c r="CI61" s="785"/>
      <c r="CJ61" s="785"/>
      <c r="CK61" s="786"/>
      <c r="CL61" s="790" t="str">
        <f t="shared" si="2"/>
        <v>-</v>
      </c>
      <c r="CM61" s="785"/>
      <c r="CN61" s="785"/>
      <c r="CO61" s="786"/>
      <c r="CP61" s="790" t="str">
        <f>IF(BT61="","-",INDEX($A$5:$BP$257,MATCH(BT61,$BN$5:$BN$257,0),39)*(IF(BT61="","-",(1+(((-('Densidade do AR'!$M$4))+('Densidade do AR'!$T$15*1000000))/(IF(INDEX($A$5:$BP$257,MATCH(BT61,$BN$5:$BN$257,0),50)="Aço Inoxidável",('Densidade do AR'!$S$8*1000000),IF(INDEX($A$5:$BP$257,MATCH(BT61,$BN$5:$BN$257,0),50)="Ferro Fundido",('Densidade do AR'!$S$12*1000000),IF(INDEX($A$5:$BP$257,MATCH(BT61,$BN$5:$BN$257,0),50)="Latão",('Densidade do AR'!$S$10*1000000),IF(INDEX($A$5:$BP$257,MATCH(BT61,$BN$5:$BN$257,0),50)="Alumínio",('Densidade do AR'!$S$4*1000000)))))))-(((-('Densidade do AR'!$M$4))+('Densidade do AR'!$T$15*1000000))/('Densidade do AR'!$S$14*1000000))))))</f>
        <v>-</v>
      </c>
      <c r="CQ61" s="785"/>
      <c r="CR61" s="785"/>
      <c r="CS61" s="791"/>
      <c r="CT61" s="91" t="str">
        <f t="shared" si="11"/>
        <v>-</v>
      </c>
      <c r="CU61" s="746"/>
      <c r="CV61" s="747"/>
      <c r="CW61" s="784" t="str">
        <f>IF(CU61="","-",(IF(INDEX($A$5:$BP$257,MATCH(CU61,$BN$5:$BN$257,0),50)="Aço Inoxidável",('Densidade do AR'!$S$8*1000000),IF(INDEX($A$5:$BP$257,MATCH(CU61,$BN$5:$BN$257,0),50)="Ferro Fundido",('Densidade do AR'!$S$12*1000000),IF(INDEX($A$5:$BP$257,MATCH(CU61,$BN$5:$BN$257,0),50)="Latão",('Densidade do AR'!$S$10*1000000),IF(INDEX($A$5:$BP$257,MATCH(CU61,$BN$5:$BN$257,0),50)="Alumínio",('Densidade do AR'!$S$4*1000000)))))))</f>
        <v>-</v>
      </c>
      <c r="CX61" s="785"/>
      <c r="CY61" s="785"/>
      <c r="CZ61" s="786"/>
      <c r="DA61" s="787" t="str">
        <f t="shared" si="12"/>
        <v>-</v>
      </c>
      <c r="DB61" s="788"/>
      <c r="DC61" s="788"/>
      <c r="DD61" s="789"/>
      <c r="DE61" s="787" t="str">
        <f t="shared" si="3"/>
        <v>-</v>
      </c>
      <c r="DF61" s="788"/>
      <c r="DG61" s="788"/>
      <c r="DH61" s="789"/>
      <c r="DI61" s="790" t="str">
        <f t="shared" si="13"/>
        <v>-</v>
      </c>
      <c r="DJ61" s="785"/>
      <c r="DK61" s="785"/>
      <c r="DL61" s="786"/>
      <c r="DM61" s="790" t="str">
        <f t="shared" si="4"/>
        <v>-</v>
      </c>
      <c r="DN61" s="785"/>
      <c r="DO61" s="785"/>
      <c r="DP61" s="786"/>
      <c r="DQ61" s="790" t="str">
        <f>IF(CU61="","-",INDEX($A$5:$BP$257,MATCH(CU61,$BN$5:$BN$257,0),39)*(IF(CU61="","-",(1+(((-('Densidade do AR'!$M$4))+('Densidade do AR'!$T$15*1000000))/(IF(INDEX($A$5:$BP$257,MATCH(CU61,$BN$5:$BN$257,0),50)="Aço Inoxidável",('Densidade do AR'!$S$8*1000000),IF(INDEX($A$5:$BP$257,MATCH(CU61,$BN$5:$BN$257,0),50)="Ferro Fundido",('Densidade do AR'!$S$12*1000000),IF(INDEX($A$5:$BP$257,MATCH(CU61,$BN$5:$BN$257,0),50)="Latão",('Densidade do AR'!$S$10*1000000),IF(INDEX($A$5:$BP$257,MATCH(CU61,$BN$5:$BN$257,0),50)="Alumínio",('Densidade do AR'!$S$4*1000000)))))))-(((-('Densidade do AR'!$M$4))+('Densidade do AR'!$T$15*1000000))/('Densidade do AR'!$S$14*1000000))))))</f>
        <v>-</v>
      </c>
      <c r="DR61" s="785"/>
      <c r="DS61" s="785"/>
      <c r="DT61" s="791"/>
      <c r="DU61" s="91" t="str">
        <f t="shared" si="14"/>
        <v>-</v>
      </c>
      <c r="DV61" s="746"/>
      <c r="DW61" s="747"/>
      <c r="DX61" s="784" t="str">
        <f>IF(DV61="","-",(IF(INDEX($A$5:$BP$257,MATCH(DV61,$BN$5:$BN$257,0),50)="Aço Inoxidável",('Densidade do AR'!$S$8*1000000),IF(INDEX($A$5:$BP$257,MATCH(DV61,$BN$5:$BN$257,0),50)="Ferro Fundido",('Densidade do AR'!$S$12*1000000),IF(INDEX($A$5:$BP$257,MATCH(DV61,$BN$5:$BN$257,0),50)="Latão",('Densidade do AR'!$S$10*1000000),IF(INDEX($A$5:$BP$257,MATCH(DV61,$BN$5:$BN$257,0),50)="Alumínio",('Densidade do AR'!$S$4*1000000)))))))</f>
        <v>-</v>
      </c>
      <c r="DY61" s="785"/>
      <c r="DZ61" s="785"/>
      <c r="EA61" s="786"/>
      <c r="EB61" s="787" t="str">
        <f t="shared" si="15"/>
        <v>-</v>
      </c>
      <c r="EC61" s="788"/>
      <c r="ED61" s="788"/>
      <c r="EE61" s="789"/>
      <c r="EF61" s="787" t="str">
        <f t="shared" si="5"/>
        <v>-</v>
      </c>
      <c r="EG61" s="788"/>
      <c r="EH61" s="788"/>
      <c r="EI61" s="789"/>
      <c r="EJ61" s="790" t="str">
        <f t="shared" si="16"/>
        <v>-</v>
      </c>
      <c r="EK61" s="785"/>
      <c r="EL61" s="785"/>
      <c r="EM61" s="786"/>
      <c r="EN61" s="790" t="str">
        <f t="shared" si="6"/>
        <v>-</v>
      </c>
      <c r="EO61" s="785"/>
      <c r="EP61" s="785"/>
      <c r="EQ61" s="786"/>
      <c r="ER61" s="790" t="str">
        <f>IF(DV61="","-",INDEX($A$5:$BP$257,MATCH(DV61,$BN$5:$BN$257,0),39)*(IF(DV61="","-",(1+(((-('Densidade do AR'!$M$4))+('Densidade do AR'!$T$15*1000000))/(IF(INDEX($A$5:$BP$257,MATCH(DV61,$BN$5:$BN$257,0),50)="Aço Inoxidável",('Densidade do AR'!$S$8*1000000),IF(INDEX($A$5:$BP$257,MATCH(DV61,$BN$5:$BN$257,0),50)="Ferro Fundido",('Densidade do AR'!$S$12*1000000),IF(INDEX($A$5:$BP$257,MATCH(DV61,$BN$5:$BN$257,0),50)="Latão",('Densidade do AR'!$S$10*1000000),IF(INDEX($A$5:$BP$257,MATCH(DV61,$BN$5:$BN$257,0),50)="Alumínio",('Densidade do AR'!$S$4*1000000)))))))-(((-('Densidade do AR'!$M$4))+('Densidade do AR'!$T$15*1000000))/('Densidade do AR'!$S$14*1000000))))))</f>
        <v>-</v>
      </c>
      <c r="ES61" s="785"/>
      <c r="ET61" s="785"/>
      <c r="EU61" s="791"/>
      <c r="EV61" s="91" t="str">
        <f t="shared" si="17"/>
        <v>-</v>
      </c>
      <c r="EW61" s="746"/>
      <c r="EX61" s="747"/>
      <c r="EY61" s="784" t="str">
        <f>IF(EW61="","-",(IF(INDEX($A$5:$BP$257,MATCH(EW61,$BN$5:$BN$257,0),50)="Aço Inoxidável",('Densidade do AR'!$S$8*1000000),IF(INDEX($A$5:$BP$257,MATCH(EW61,$BN$5:$BN$257,0),50)="Ferro Fundido",('Densidade do AR'!$S$12*1000000),IF(INDEX($A$5:$BP$257,MATCH(EW61,$BN$5:$BN$257,0),50)="Latão",('Densidade do AR'!$S$10*1000000),IF(INDEX($A$5:$BP$257,MATCH(EW61,$BN$5:$BN$257,0),50)="Alumínio",('Densidade do AR'!$S$4*1000000)))))))</f>
        <v>-</v>
      </c>
      <c r="EZ61" s="785"/>
      <c r="FA61" s="785"/>
      <c r="FB61" s="786"/>
      <c r="FC61" s="787" t="str">
        <f t="shared" si="18"/>
        <v>-</v>
      </c>
      <c r="FD61" s="788"/>
      <c r="FE61" s="788"/>
      <c r="FF61" s="789"/>
      <c r="FG61" s="787" t="str">
        <f t="shared" si="7"/>
        <v>-</v>
      </c>
      <c r="FH61" s="788"/>
      <c r="FI61" s="788"/>
      <c r="FJ61" s="789"/>
      <c r="FK61" s="790" t="str">
        <f t="shared" si="19"/>
        <v>-</v>
      </c>
      <c r="FL61" s="785"/>
      <c r="FM61" s="785"/>
      <c r="FN61" s="786"/>
      <c r="FO61" s="790" t="str">
        <f t="shared" si="8"/>
        <v>-</v>
      </c>
      <c r="FP61" s="785"/>
      <c r="FQ61" s="785"/>
      <c r="FR61" s="786"/>
      <c r="FS61" s="790" t="str">
        <f>IF(EW61="","-",INDEX($A$5:$BP$257,MATCH(EW61,$BN$5:$BN$257,0),39)*(IF(EW61="","-",(1+(((-('Densidade do AR'!$M$4))+('Densidade do AR'!$T$15*1000000))/(IF(INDEX($A$5:$BP$257,MATCH(EW61,$BN$5:$BN$257,0),50)="Aço Inoxidável",('Densidade do AR'!$S$8*1000000),IF(INDEX($A$5:$BP$257,MATCH(EW61,$BN$5:$BN$257,0),50)="Ferro Fundido",('Densidade do AR'!$S$12*1000000),IF(INDEX($A$5:$BP$257,MATCH(EW61,$BN$5:$BN$257,0),50)="Latão",('Densidade do AR'!$S$10*1000000),IF(INDEX($A$5:$BP$257,MATCH(EW61,$BN$5:$BN$257,0),50)="Alumínio",('Densidade do AR'!$S$4*1000000)))))))-(((-('Densidade do AR'!$M$4))+('Densidade do AR'!$T$15*1000000))/('Densidade do AR'!$S$14*1000000))))))</f>
        <v>-</v>
      </c>
      <c r="FT61" s="785"/>
      <c r="FU61" s="785"/>
      <c r="FV61" s="791"/>
      <c r="FW61" s="91" t="str">
        <f t="shared" si="20"/>
        <v>-</v>
      </c>
      <c r="FX61" s="135"/>
    </row>
    <row r="62" spans="1:180" x14ac:dyDescent="0.2">
      <c r="A62" s="718">
        <v>58</v>
      </c>
      <c r="B62" s="713"/>
      <c r="C62" s="719">
        <v>20000</v>
      </c>
      <c r="D62" s="709"/>
      <c r="E62" s="709"/>
      <c r="F62" s="709"/>
      <c r="G62" s="710"/>
      <c r="H62" s="720">
        <v>24</v>
      </c>
      <c r="I62" s="941"/>
      <c r="J62" s="941"/>
      <c r="K62" s="942"/>
      <c r="L62" s="719" t="s">
        <v>112</v>
      </c>
      <c r="M62" s="709"/>
      <c r="N62" s="709"/>
      <c r="O62" s="709"/>
      <c r="P62" s="719">
        <v>24</v>
      </c>
      <c r="Q62" s="882"/>
      <c r="R62" s="882"/>
      <c r="S62" s="882"/>
      <c r="T62" s="939"/>
      <c r="U62" s="897" t="s">
        <v>305</v>
      </c>
      <c r="V62" s="722"/>
      <c r="W62" s="722"/>
      <c r="X62" s="722"/>
      <c r="Y62" s="722"/>
      <c r="Z62" s="722"/>
      <c r="AA62" s="723"/>
      <c r="AB62" s="853"/>
      <c r="AC62" s="854"/>
      <c r="AD62" s="854"/>
      <c r="AE62" s="854"/>
      <c r="AF62" s="854"/>
      <c r="AG62" s="854"/>
      <c r="AH62" s="854"/>
      <c r="AI62" s="854"/>
      <c r="AJ62" s="854"/>
      <c r="AK62" s="854"/>
      <c r="AL62" s="855"/>
      <c r="AM62" s="909">
        <v>20000000</v>
      </c>
      <c r="AN62" s="712"/>
      <c r="AO62" s="712"/>
      <c r="AP62" s="712"/>
      <c r="AQ62" s="712"/>
      <c r="AR62" s="712"/>
      <c r="AS62" s="713"/>
      <c r="AT62" s="909">
        <f t="shared" si="21"/>
        <v>0</v>
      </c>
      <c r="AU62" s="712"/>
      <c r="AV62" s="712"/>
      <c r="AW62" s="713"/>
      <c r="AX62" s="908" t="s">
        <v>13</v>
      </c>
      <c r="AY62" s="712"/>
      <c r="AZ62" s="712"/>
      <c r="BA62" s="712"/>
      <c r="BB62" s="712"/>
      <c r="BC62" s="713"/>
      <c r="BD62" s="909">
        <v>300</v>
      </c>
      <c r="BE62" s="712"/>
      <c r="BF62" s="712"/>
      <c r="BG62" s="713"/>
      <c r="BH62" s="909">
        <v>2</v>
      </c>
      <c r="BI62" s="994"/>
      <c r="BJ62" s="994"/>
      <c r="BK62" s="994"/>
      <c r="BL62" s="995"/>
      <c r="BN62" s="881">
        <v>58</v>
      </c>
      <c r="BO62" s="882"/>
      <c r="BP62" s="883"/>
      <c r="BT62" s="736"/>
      <c r="BU62" s="737"/>
      <c r="BV62" s="738" t="str">
        <f>IF(BT62="","-",(IF(INDEX($A$5:$BP$257,MATCH(BT62,$BN$5:$BN$257,0),50)="Aço Inoxidável",('Densidade do AR'!$S$8*1000000),IF(INDEX($A$5:$BP$257,MATCH(BT62,$BN$5:$BN$257,0),50)="Ferro Fundido",('Densidade do AR'!$S$12*1000000),IF(INDEX($A$5:$BP$257,MATCH(BT62,$BN$5:$BN$257,0),50)="Latão",('Densidade do AR'!$S$10*1000000),IF(INDEX($A$5:$BP$257,MATCH(BT62,$BN$5:$BN$257,0),50)="Alumínio",('Densidade do AR'!$S$4*1000000)))))))</f>
        <v>-</v>
      </c>
      <c r="BW62" s="739"/>
      <c r="BX62" s="739"/>
      <c r="BY62" s="740"/>
      <c r="BZ62" s="741" t="str">
        <f t="shared" si="9"/>
        <v>-</v>
      </c>
      <c r="CA62" s="742"/>
      <c r="CB62" s="742"/>
      <c r="CC62" s="743"/>
      <c r="CD62" s="741" t="str">
        <f t="shared" si="1"/>
        <v>-</v>
      </c>
      <c r="CE62" s="742"/>
      <c r="CF62" s="742"/>
      <c r="CG62" s="743"/>
      <c r="CH62" s="744" t="str">
        <f t="shared" si="10"/>
        <v>-</v>
      </c>
      <c r="CI62" s="739"/>
      <c r="CJ62" s="739"/>
      <c r="CK62" s="740"/>
      <c r="CL62" s="744" t="str">
        <f t="shared" si="2"/>
        <v>-</v>
      </c>
      <c r="CM62" s="739"/>
      <c r="CN62" s="739"/>
      <c r="CO62" s="740"/>
      <c r="CP62" s="744" t="str">
        <f>IF(BT62="","-",INDEX($A$5:$BP$257,MATCH(BT62,$BN$5:$BN$257,0),39)*(IF(BT62="","-",(1+(((-('Densidade do AR'!$M$4))+('Densidade do AR'!$T$15*1000000))/(IF(INDEX($A$5:$BP$257,MATCH(BT62,$BN$5:$BN$257,0),50)="Aço Inoxidável",('Densidade do AR'!$S$8*1000000),IF(INDEX($A$5:$BP$257,MATCH(BT62,$BN$5:$BN$257,0),50)="Ferro Fundido",('Densidade do AR'!$S$12*1000000),IF(INDEX($A$5:$BP$257,MATCH(BT62,$BN$5:$BN$257,0),50)="Latão",('Densidade do AR'!$S$10*1000000),IF(INDEX($A$5:$BP$257,MATCH(BT62,$BN$5:$BN$257,0),50)="Alumínio",('Densidade do AR'!$S$4*1000000)))))))-(((-('Densidade do AR'!$M$4))+('Densidade do AR'!$T$15*1000000))/('Densidade do AR'!$S$14*1000000))))))</f>
        <v>-</v>
      </c>
      <c r="CQ62" s="739"/>
      <c r="CR62" s="739"/>
      <c r="CS62" s="745"/>
      <c r="CT62" s="91" t="str">
        <f t="shared" si="11"/>
        <v>-</v>
      </c>
      <c r="CU62" s="736"/>
      <c r="CV62" s="737"/>
      <c r="CW62" s="738" t="str">
        <f>IF(CU62="","-",(IF(INDEX($A$5:$BP$257,MATCH(CU62,$BN$5:$BN$257,0),50)="Aço Inoxidável",('Densidade do AR'!$S$8*1000000),IF(INDEX($A$5:$BP$257,MATCH(CU62,$BN$5:$BN$257,0),50)="Ferro Fundido",('Densidade do AR'!$S$12*1000000),IF(INDEX($A$5:$BP$257,MATCH(CU62,$BN$5:$BN$257,0),50)="Latão",('Densidade do AR'!$S$10*1000000),IF(INDEX($A$5:$BP$257,MATCH(CU62,$BN$5:$BN$257,0),50)="Alumínio",('Densidade do AR'!$S$4*1000000)))))))</f>
        <v>-</v>
      </c>
      <c r="CX62" s="739"/>
      <c r="CY62" s="739"/>
      <c r="CZ62" s="740"/>
      <c r="DA62" s="741" t="str">
        <f t="shared" si="12"/>
        <v>-</v>
      </c>
      <c r="DB62" s="742"/>
      <c r="DC62" s="742"/>
      <c r="DD62" s="743"/>
      <c r="DE62" s="741" t="str">
        <f t="shared" si="3"/>
        <v>-</v>
      </c>
      <c r="DF62" s="742"/>
      <c r="DG62" s="742"/>
      <c r="DH62" s="743"/>
      <c r="DI62" s="744" t="str">
        <f t="shared" si="13"/>
        <v>-</v>
      </c>
      <c r="DJ62" s="739"/>
      <c r="DK62" s="739"/>
      <c r="DL62" s="740"/>
      <c r="DM62" s="744" t="str">
        <f t="shared" si="4"/>
        <v>-</v>
      </c>
      <c r="DN62" s="739"/>
      <c r="DO62" s="739"/>
      <c r="DP62" s="740"/>
      <c r="DQ62" s="744" t="str">
        <f>IF(CU62="","-",INDEX($A$5:$BP$257,MATCH(CU62,$BN$5:$BN$257,0),39)*(IF(CU62="","-",(1+(((-('Densidade do AR'!$M$4))+('Densidade do AR'!$T$15*1000000))/(IF(INDEX($A$5:$BP$257,MATCH(CU62,$BN$5:$BN$257,0),50)="Aço Inoxidável",('Densidade do AR'!$S$8*1000000),IF(INDEX($A$5:$BP$257,MATCH(CU62,$BN$5:$BN$257,0),50)="Ferro Fundido",('Densidade do AR'!$S$12*1000000),IF(INDEX($A$5:$BP$257,MATCH(CU62,$BN$5:$BN$257,0),50)="Latão",('Densidade do AR'!$S$10*1000000),IF(INDEX($A$5:$BP$257,MATCH(CU62,$BN$5:$BN$257,0),50)="Alumínio",('Densidade do AR'!$S$4*1000000)))))))-(((-('Densidade do AR'!$M$4))+('Densidade do AR'!$T$15*1000000))/('Densidade do AR'!$S$14*1000000))))))</f>
        <v>-</v>
      </c>
      <c r="DR62" s="739"/>
      <c r="DS62" s="739"/>
      <c r="DT62" s="745"/>
      <c r="DU62" s="91" t="str">
        <f t="shared" si="14"/>
        <v>-</v>
      </c>
      <c r="DV62" s="736"/>
      <c r="DW62" s="737"/>
      <c r="DX62" s="738" t="str">
        <f>IF(DV62="","-",(IF(INDEX($A$5:$BP$257,MATCH(DV62,$BN$5:$BN$257,0),50)="Aço Inoxidável",('Densidade do AR'!$S$8*1000000),IF(INDEX($A$5:$BP$257,MATCH(DV62,$BN$5:$BN$257,0),50)="Ferro Fundido",('Densidade do AR'!$S$12*1000000),IF(INDEX($A$5:$BP$257,MATCH(DV62,$BN$5:$BN$257,0),50)="Latão",('Densidade do AR'!$S$10*1000000),IF(INDEX($A$5:$BP$257,MATCH(DV62,$BN$5:$BN$257,0),50)="Alumínio",('Densidade do AR'!$S$4*1000000)))))))</f>
        <v>-</v>
      </c>
      <c r="DY62" s="739"/>
      <c r="DZ62" s="739"/>
      <c r="EA62" s="740"/>
      <c r="EB62" s="741" t="str">
        <f t="shared" si="15"/>
        <v>-</v>
      </c>
      <c r="EC62" s="742"/>
      <c r="ED62" s="742"/>
      <c r="EE62" s="743"/>
      <c r="EF62" s="741" t="str">
        <f t="shared" si="5"/>
        <v>-</v>
      </c>
      <c r="EG62" s="742"/>
      <c r="EH62" s="742"/>
      <c r="EI62" s="743"/>
      <c r="EJ62" s="744" t="str">
        <f t="shared" si="16"/>
        <v>-</v>
      </c>
      <c r="EK62" s="739"/>
      <c r="EL62" s="739"/>
      <c r="EM62" s="740"/>
      <c r="EN62" s="744" t="str">
        <f t="shared" si="6"/>
        <v>-</v>
      </c>
      <c r="EO62" s="739"/>
      <c r="EP62" s="739"/>
      <c r="EQ62" s="740"/>
      <c r="ER62" s="744" t="str">
        <f>IF(DV62="","-",INDEX($A$5:$BP$257,MATCH(DV62,$BN$5:$BN$257,0),39)*(IF(DV62="","-",(1+(((-('Densidade do AR'!$M$4))+('Densidade do AR'!$T$15*1000000))/(IF(INDEX($A$5:$BP$257,MATCH(DV62,$BN$5:$BN$257,0),50)="Aço Inoxidável",('Densidade do AR'!$S$8*1000000),IF(INDEX($A$5:$BP$257,MATCH(DV62,$BN$5:$BN$257,0),50)="Ferro Fundido",('Densidade do AR'!$S$12*1000000),IF(INDEX($A$5:$BP$257,MATCH(DV62,$BN$5:$BN$257,0),50)="Latão",('Densidade do AR'!$S$10*1000000),IF(INDEX($A$5:$BP$257,MATCH(DV62,$BN$5:$BN$257,0),50)="Alumínio",('Densidade do AR'!$S$4*1000000)))))))-(((-('Densidade do AR'!$M$4))+('Densidade do AR'!$T$15*1000000))/('Densidade do AR'!$S$14*1000000))))))</f>
        <v>-</v>
      </c>
      <c r="ES62" s="739"/>
      <c r="ET62" s="739"/>
      <c r="EU62" s="745"/>
      <c r="EV62" s="91" t="str">
        <f t="shared" si="17"/>
        <v>-</v>
      </c>
      <c r="EW62" s="736"/>
      <c r="EX62" s="737"/>
      <c r="EY62" s="738" t="str">
        <f>IF(EW62="","-",(IF(INDEX($A$5:$BP$257,MATCH(EW62,$BN$5:$BN$257,0),50)="Aço Inoxidável",('Densidade do AR'!$S$8*1000000),IF(INDEX($A$5:$BP$257,MATCH(EW62,$BN$5:$BN$257,0),50)="Ferro Fundido",('Densidade do AR'!$S$12*1000000),IF(INDEX($A$5:$BP$257,MATCH(EW62,$BN$5:$BN$257,0),50)="Latão",('Densidade do AR'!$S$10*1000000),IF(INDEX($A$5:$BP$257,MATCH(EW62,$BN$5:$BN$257,0),50)="Alumínio",('Densidade do AR'!$S$4*1000000)))))))</f>
        <v>-</v>
      </c>
      <c r="EZ62" s="739"/>
      <c r="FA62" s="739"/>
      <c r="FB62" s="740"/>
      <c r="FC62" s="741" t="str">
        <f t="shared" si="18"/>
        <v>-</v>
      </c>
      <c r="FD62" s="742"/>
      <c r="FE62" s="742"/>
      <c r="FF62" s="743"/>
      <c r="FG62" s="741" t="str">
        <f t="shared" si="7"/>
        <v>-</v>
      </c>
      <c r="FH62" s="742"/>
      <c r="FI62" s="742"/>
      <c r="FJ62" s="743"/>
      <c r="FK62" s="744" t="str">
        <f t="shared" si="19"/>
        <v>-</v>
      </c>
      <c r="FL62" s="739"/>
      <c r="FM62" s="739"/>
      <c r="FN62" s="740"/>
      <c r="FO62" s="744" t="str">
        <f t="shared" si="8"/>
        <v>-</v>
      </c>
      <c r="FP62" s="739"/>
      <c r="FQ62" s="739"/>
      <c r="FR62" s="740"/>
      <c r="FS62" s="744" t="str">
        <f>IF(EW62="","-",INDEX($A$5:$BP$257,MATCH(EW62,$BN$5:$BN$257,0),39)*(IF(EW62="","-",(1+(((-('Densidade do AR'!$M$4))+('Densidade do AR'!$T$15*1000000))/(IF(INDEX($A$5:$BP$257,MATCH(EW62,$BN$5:$BN$257,0),50)="Aço Inoxidável",('Densidade do AR'!$S$8*1000000),IF(INDEX($A$5:$BP$257,MATCH(EW62,$BN$5:$BN$257,0),50)="Ferro Fundido",('Densidade do AR'!$S$12*1000000),IF(INDEX($A$5:$BP$257,MATCH(EW62,$BN$5:$BN$257,0),50)="Latão",('Densidade do AR'!$S$10*1000000),IF(INDEX($A$5:$BP$257,MATCH(EW62,$BN$5:$BN$257,0),50)="Alumínio",('Densidade do AR'!$S$4*1000000)))))))-(((-('Densidade do AR'!$M$4))+('Densidade do AR'!$T$15*1000000))/('Densidade do AR'!$S$14*1000000))))))</f>
        <v>-</v>
      </c>
      <c r="FT62" s="739"/>
      <c r="FU62" s="739"/>
      <c r="FV62" s="745"/>
      <c r="FW62" s="91" t="str">
        <f t="shared" si="20"/>
        <v>-</v>
      </c>
      <c r="FX62" s="135"/>
    </row>
    <row r="63" spans="1:180" x14ac:dyDescent="0.2">
      <c r="A63" s="717">
        <v>59</v>
      </c>
      <c r="B63" s="713"/>
      <c r="C63" s="708">
        <v>20000</v>
      </c>
      <c r="D63" s="709"/>
      <c r="E63" s="709"/>
      <c r="F63" s="709"/>
      <c r="G63" s="710"/>
      <c r="H63" s="711">
        <v>25</v>
      </c>
      <c r="I63" s="934"/>
      <c r="J63" s="934"/>
      <c r="K63" s="935"/>
      <c r="L63" s="708" t="s">
        <v>112</v>
      </c>
      <c r="M63" s="709"/>
      <c r="N63" s="709"/>
      <c r="O63" s="709"/>
      <c r="P63" s="708">
        <v>25</v>
      </c>
      <c r="Q63" s="879"/>
      <c r="R63" s="879"/>
      <c r="S63" s="879"/>
      <c r="T63" s="937"/>
      <c r="U63" s="898" t="s">
        <v>305</v>
      </c>
      <c r="V63" s="715"/>
      <c r="W63" s="715"/>
      <c r="X63" s="715"/>
      <c r="Y63" s="715"/>
      <c r="Z63" s="715"/>
      <c r="AA63" s="716"/>
      <c r="AB63" s="850"/>
      <c r="AC63" s="851"/>
      <c r="AD63" s="851"/>
      <c r="AE63" s="851"/>
      <c r="AF63" s="851"/>
      <c r="AG63" s="851"/>
      <c r="AH63" s="851"/>
      <c r="AI63" s="851"/>
      <c r="AJ63" s="851"/>
      <c r="AK63" s="851"/>
      <c r="AL63" s="852"/>
      <c r="AM63" s="917">
        <v>20000000</v>
      </c>
      <c r="AN63" s="712"/>
      <c r="AO63" s="712"/>
      <c r="AP63" s="712"/>
      <c r="AQ63" s="712"/>
      <c r="AR63" s="712"/>
      <c r="AS63" s="713"/>
      <c r="AT63" s="917">
        <f t="shared" si="21"/>
        <v>0</v>
      </c>
      <c r="AU63" s="712"/>
      <c r="AV63" s="712"/>
      <c r="AW63" s="713"/>
      <c r="AX63" s="917" t="s">
        <v>13</v>
      </c>
      <c r="AY63" s="712"/>
      <c r="AZ63" s="712"/>
      <c r="BA63" s="712"/>
      <c r="BB63" s="712"/>
      <c r="BC63" s="713"/>
      <c r="BD63" s="917">
        <v>300</v>
      </c>
      <c r="BE63" s="712"/>
      <c r="BF63" s="712"/>
      <c r="BG63" s="713"/>
      <c r="BH63" s="917">
        <v>2</v>
      </c>
      <c r="BI63" s="994"/>
      <c r="BJ63" s="994"/>
      <c r="BK63" s="994"/>
      <c r="BL63" s="995"/>
      <c r="BN63" s="878">
        <v>59</v>
      </c>
      <c r="BO63" s="879"/>
      <c r="BP63" s="880"/>
      <c r="BT63" s="746"/>
      <c r="BU63" s="747"/>
      <c r="BV63" s="784" t="str">
        <f>IF(BT63="","-",(IF(INDEX($A$5:$BP$257,MATCH(BT63,$BN$5:$BN$257,0),50)="Aço Inoxidável",('Densidade do AR'!$S$8*1000000),IF(INDEX($A$5:$BP$257,MATCH(BT63,$BN$5:$BN$257,0),50)="Ferro Fundido",('Densidade do AR'!$S$12*1000000),IF(INDEX($A$5:$BP$257,MATCH(BT63,$BN$5:$BN$257,0),50)="Latão",('Densidade do AR'!$S$10*1000000),IF(INDEX($A$5:$BP$257,MATCH(BT63,$BN$5:$BN$257,0),50)="Alumínio",('Densidade do AR'!$S$4*1000000)))))))</f>
        <v>-</v>
      </c>
      <c r="BW63" s="785"/>
      <c r="BX63" s="785"/>
      <c r="BY63" s="786"/>
      <c r="BZ63" s="787" t="str">
        <f t="shared" si="9"/>
        <v>-</v>
      </c>
      <c r="CA63" s="788"/>
      <c r="CB63" s="788"/>
      <c r="CC63" s="789"/>
      <c r="CD63" s="787" t="str">
        <f t="shared" si="1"/>
        <v>-</v>
      </c>
      <c r="CE63" s="788"/>
      <c r="CF63" s="788"/>
      <c r="CG63" s="789"/>
      <c r="CH63" s="790" t="str">
        <f t="shared" si="10"/>
        <v>-</v>
      </c>
      <c r="CI63" s="785"/>
      <c r="CJ63" s="785"/>
      <c r="CK63" s="786"/>
      <c r="CL63" s="790" t="str">
        <f t="shared" si="2"/>
        <v>-</v>
      </c>
      <c r="CM63" s="785"/>
      <c r="CN63" s="785"/>
      <c r="CO63" s="786"/>
      <c r="CP63" s="790" t="str">
        <f>IF(BT63="","-",INDEX($A$5:$BP$257,MATCH(BT63,$BN$5:$BN$257,0),39)*(IF(BT63="","-",(1+(((-('Densidade do AR'!$M$4))+('Densidade do AR'!$T$15*1000000))/(IF(INDEX($A$5:$BP$257,MATCH(BT63,$BN$5:$BN$257,0),50)="Aço Inoxidável",('Densidade do AR'!$S$8*1000000),IF(INDEX($A$5:$BP$257,MATCH(BT63,$BN$5:$BN$257,0),50)="Ferro Fundido",('Densidade do AR'!$S$12*1000000),IF(INDEX($A$5:$BP$257,MATCH(BT63,$BN$5:$BN$257,0),50)="Latão",('Densidade do AR'!$S$10*1000000),IF(INDEX($A$5:$BP$257,MATCH(BT63,$BN$5:$BN$257,0),50)="Alumínio",('Densidade do AR'!$S$4*1000000)))))))-(((-('Densidade do AR'!$M$4))+('Densidade do AR'!$T$15*1000000))/('Densidade do AR'!$S$14*1000000))))))</f>
        <v>-</v>
      </c>
      <c r="CQ63" s="785"/>
      <c r="CR63" s="785"/>
      <c r="CS63" s="791"/>
      <c r="CT63" s="91" t="str">
        <f t="shared" si="11"/>
        <v>-</v>
      </c>
      <c r="CU63" s="746"/>
      <c r="CV63" s="747"/>
      <c r="CW63" s="784" t="str">
        <f>IF(CU63="","-",(IF(INDEX($A$5:$BP$257,MATCH(CU63,$BN$5:$BN$257,0),50)="Aço Inoxidável",('Densidade do AR'!$S$8*1000000),IF(INDEX($A$5:$BP$257,MATCH(CU63,$BN$5:$BN$257,0),50)="Ferro Fundido",('Densidade do AR'!$S$12*1000000),IF(INDEX($A$5:$BP$257,MATCH(CU63,$BN$5:$BN$257,0),50)="Latão",('Densidade do AR'!$S$10*1000000),IF(INDEX($A$5:$BP$257,MATCH(CU63,$BN$5:$BN$257,0),50)="Alumínio",('Densidade do AR'!$S$4*1000000)))))))</f>
        <v>-</v>
      </c>
      <c r="CX63" s="785"/>
      <c r="CY63" s="785"/>
      <c r="CZ63" s="786"/>
      <c r="DA63" s="787" t="str">
        <f t="shared" si="12"/>
        <v>-</v>
      </c>
      <c r="DB63" s="788"/>
      <c r="DC63" s="788"/>
      <c r="DD63" s="789"/>
      <c r="DE63" s="787" t="str">
        <f t="shared" si="3"/>
        <v>-</v>
      </c>
      <c r="DF63" s="788"/>
      <c r="DG63" s="788"/>
      <c r="DH63" s="789"/>
      <c r="DI63" s="790" t="str">
        <f t="shared" si="13"/>
        <v>-</v>
      </c>
      <c r="DJ63" s="785"/>
      <c r="DK63" s="785"/>
      <c r="DL63" s="786"/>
      <c r="DM63" s="790" t="str">
        <f t="shared" si="4"/>
        <v>-</v>
      </c>
      <c r="DN63" s="785"/>
      <c r="DO63" s="785"/>
      <c r="DP63" s="786"/>
      <c r="DQ63" s="790" t="str">
        <f>IF(CU63="","-",INDEX($A$5:$BP$257,MATCH(CU63,$BN$5:$BN$257,0),39)*(IF(CU63="","-",(1+(((-('Densidade do AR'!$M$4))+('Densidade do AR'!$T$15*1000000))/(IF(INDEX($A$5:$BP$257,MATCH(CU63,$BN$5:$BN$257,0),50)="Aço Inoxidável",('Densidade do AR'!$S$8*1000000),IF(INDEX($A$5:$BP$257,MATCH(CU63,$BN$5:$BN$257,0),50)="Ferro Fundido",('Densidade do AR'!$S$12*1000000),IF(INDEX($A$5:$BP$257,MATCH(CU63,$BN$5:$BN$257,0),50)="Latão",('Densidade do AR'!$S$10*1000000),IF(INDEX($A$5:$BP$257,MATCH(CU63,$BN$5:$BN$257,0),50)="Alumínio",('Densidade do AR'!$S$4*1000000)))))))-(((-('Densidade do AR'!$M$4))+('Densidade do AR'!$T$15*1000000))/('Densidade do AR'!$S$14*1000000))))))</f>
        <v>-</v>
      </c>
      <c r="DR63" s="785"/>
      <c r="DS63" s="785"/>
      <c r="DT63" s="791"/>
      <c r="DU63" s="91" t="str">
        <f t="shared" si="14"/>
        <v>-</v>
      </c>
      <c r="DV63" s="746"/>
      <c r="DW63" s="747"/>
      <c r="DX63" s="784" t="str">
        <f>IF(DV63="","-",(IF(INDEX($A$5:$BP$257,MATCH(DV63,$BN$5:$BN$257,0),50)="Aço Inoxidável",('Densidade do AR'!$S$8*1000000),IF(INDEX($A$5:$BP$257,MATCH(DV63,$BN$5:$BN$257,0),50)="Ferro Fundido",('Densidade do AR'!$S$12*1000000),IF(INDEX($A$5:$BP$257,MATCH(DV63,$BN$5:$BN$257,0),50)="Latão",('Densidade do AR'!$S$10*1000000),IF(INDEX($A$5:$BP$257,MATCH(DV63,$BN$5:$BN$257,0),50)="Alumínio",('Densidade do AR'!$S$4*1000000)))))))</f>
        <v>-</v>
      </c>
      <c r="DY63" s="785"/>
      <c r="DZ63" s="785"/>
      <c r="EA63" s="786"/>
      <c r="EB63" s="787" t="str">
        <f t="shared" si="15"/>
        <v>-</v>
      </c>
      <c r="EC63" s="788"/>
      <c r="ED63" s="788"/>
      <c r="EE63" s="789"/>
      <c r="EF63" s="787" t="str">
        <f t="shared" si="5"/>
        <v>-</v>
      </c>
      <c r="EG63" s="788"/>
      <c r="EH63" s="788"/>
      <c r="EI63" s="789"/>
      <c r="EJ63" s="790" t="str">
        <f t="shared" si="16"/>
        <v>-</v>
      </c>
      <c r="EK63" s="785"/>
      <c r="EL63" s="785"/>
      <c r="EM63" s="786"/>
      <c r="EN63" s="790" t="str">
        <f t="shared" si="6"/>
        <v>-</v>
      </c>
      <c r="EO63" s="785"/>
      <c r="EP63" s="785"/>
      <c r="EQ63" s="786"/>
      <c r="ER63" s="790" t="str">
        <f>IF(DV63="","-",INDEX($A$5:$BP$257,MATCH(DV63,$BN$5:$BN$257,0),39)*(IF(DV63="","-",(1+(((-('Densidade do AR'!$M$4))+('Densidade do AR'!$T$15*1000000))/(IF(INDEX($A$5:$BP$257,MATCH(DV63,$BN$5:$BN$257,0),50)="Aço Inoxidável",('Densidade do AR'!$S$8*1000000),IF(INDEX($A$5:$BP$257,MATCH(DV63,$BN$5:$BN$257,0),50)="Ferro Fundido",('Densidade do AR'!$S$12*1000000),IF(INDEX($A$5:$BP$257,MATCH(DV63,$BN$5:$BN$257,0),50)="Latão",('Densidade do AR'!$S$10*1000000),IF(INDEX($A$5:$BP$257,MATCH(DV63,$BN$5:$BN$257,0),50)="Alumínio",('Densidade do AR'!$S$4*1000000)))))))-(((-('Densidade do AR'!$M$4))+('Densidade do AR'!$T$15*1000000))/('Densidade do AR'!$S$14*1000000))))))</f>
        <v>-</v>
      </c>
      <c r="ES63" s="785"/>
      <c r="ET63" s="785"/>
      <c r="EU63" s="791"/>
      <c r="EV63" s="91" t="str">
        <f t="shared" si="17"/>
        <v>-</v>
      </c>
      <c r="EW63" s="746"/>
      <c r="EX63" s="747"/>
      <c r="EY63" s="784" t="str">
        <f>IF(EW63="","-",(IF(INDEX($A$5:$BP$257,MATCH(EW63,$BN$5:$BN$257,0),50)="Aço Inoxidável",('Densidade do AR'!$S$8*1000000),IF(INDEX($A$5:$BP$257,MATCH(EW63,$BN$5:$BN$257,0),50)="Ferro Fundido",('Densidade do AR'!$S$12*1000000),IF(INDEX($A$5:$BP$257,MATCH(EW63,$BN$5:$BN$257,0),50)="Latão",('Densidade do AR'!$S$10*1000000),IF(INDEX($A$5:$BP$257,MATCH(EW63,$BN$5:$BN$257,0),50)="Alumínio",('Densidade do AR'!$S$4*1000000)))))))</f>
        <v>-</v>
      </c>
      <c r="EZ63" s="785"/>
      <c r="FA63" s="785"/>
      <c r="FB63" s="786"/>
      <c r="FC63" s="787" t="str">
        <f t="shared" si="18"/>
        <v>-</v>
      </c>
      <c r="FD63" s="788"/>
      <c r="FE63" s="788"/>
      <c r="FF63" s="789"/>
      <c r="FG63" s="787" t="str">
        <f t="shared" si="7"/>
        <v>-</v>
      </c>
      <c r="FH63" s="788"/>
      <c r="FI63" s="788"/>
      <c r="FJ63" s="789"/>
      <c r="FK63" s="790" t="str">
        <f t="shared" si="19"/>
        <v>-</v>
      </c>
      <c r="FL63" s="785"/>
      <c r="FM63" s="785"/>
      <c r="FN63" s="786"/>
      <c r="FO63" s="790" t="str">
        <f t="shared" si="8"/>
        <v>-</v>
      </c>
      <c r="FP63" s="785"/>
      <c r="FQ63" s="785"/>
      <c r="FR63" s="786"/>
      <c r="FS63" s="790" t="str">
        <f>IF(EW63="","-",INDEX($A$5:$BP$257,MATCH(EW63,$BN$5:$BN$257,0),39)*(IF(EW63="","-",(1+(((-('Densidade do AR'!$M$4))+('Densidade do AR'!$T$15*1000000))/(IF(INDEX($A$5:$BP$257,MATCH(EW63,$BN$5:$BN$257,0),50)="Aço Inoxidável",('Densidade do AR'!$S$8*1000000),IF(INDEX($A$5:$BP$257,MATCH(EW63,$BN$5:$BN$257,0),50)="Ferro Fundido",('Densidade do AR'!$S$12*1000000),IF(INDEX($A$5:$BP$257,MATCH(EW63,$BN$5:$BN$257,0),50)="Latão",('Densidade do AR'!$S$10*1000000),IF(INDEX($A$5:$BP$257,MATCH(EW63,$BN$5:$BN$257,0),50)="Alumínio",('Densidade do AR'!$S$4*1000000)))))))-(((-('Densidade do AR'!$M$4))+('Densidade do AR'!$T$15*1000000))/('Densidade do AR'!$S$14*1000000))))))</f>
        <v>-</v>
      </c>
      <c r="FT63" s="785"/>
      <c r="FU63" s="785"/>
      <c r="FV63" s="791"/>
      <c r="FW63" s="91" t="str">
        <f t="shared" si="20"/>
        <v>-</v>
      </c>
      <c r="FX63" s="135"/>
    </row>
    <row r="64" spans="1:180" x14ac:dyDescent="0.2">
      <c r="A64" s="718">
        <v>60</v>
      </c>
      <c r="B64" s="713"/>
      <c r="C64" s="719">
        <v>500000</v>
      </c>
      <c r="D64" s="709"/>
      <c r="E64" s="709"/>
      <c r="F64" s="709"/>
      <c r="G64" s="710"/>
      <c r="H64" s="940" t="s">
        <v>308</v>
      </c>
      <c r="I64" s="941"/>
      <c r="J64" s="941"/>
      <c r="K64" s="942"/>
      <c r="L64" s="719" t="s">
        <v>323</v>
      </c>
      <c r="M64" s="709"/>
      <c r="N64" s="709"/>
      <c r="O64" s="709"/>
      <c r="P64" s="938" t="s">
        <v>317</v>
      </c>
      <c r="Q64" s="882"/>
      <c r="R64" s="882"/>
      <c r="S64" s="882"/>
      <c r="T64" s="939"/>
      <c r="U64" s="897" t="s">
        <v>320</v>
      </c>
      <c r="V64" s="722"/>
      <c r="W64" s="722"/>
      <c r="X64" s="722"/>
      <c r="Y64" s="722"/>
      <c r="Z64" s="722"/>
      <c r="AA64" s="723"/>
      <c r="AB64" s="853"/>
      <c r="AC64" s="854"/>
      <c r="AD64" s="854"/>
      <c r="AE64" s="854"/>
      <c r="AF64" s="854"/>
      <c r="AG64" s="854"/>
      <c r="AH64" s="854"/>
      <c r="AI64" s="854"/>
      <c r="AJ64" s="854"/>
      <c r="AK64" s="854"/>
      <c r="AL64" s="855"/>
      <c r="AM64" s="909">
        <v>500000000</v>
      </c>
      <c r="AN64" s="712"/>
      <c r="AO64" s="712"/>
      <c r="AP64" s="712"/>
      <c r="AQ64" s="712"/>
      <c r="AR64" s="712"/>
      <c r="AS64" s="713"/>
      <c r="AT64" s="909">
        <f t="shared" si="21"/>
        <v>0</v>
      </c>
      <c r="AU64" s="712"/>
      <c r="AV64" s="712"/>
      <c r="AW64" s="713"/>
      <c r="AX64" s="908" t="s">
        <v>13</v>
      </c>
      <c r="AY64" s="712"/>
      <c r="AZ64" s="712"/>
      <c r="BA64" s="712"/>
      <c r="BB64" s="712"/>
      <c r="BC64" s="713"/>
      <c r="BD64" s="909">
        <v>25000</v>
      </c>
      <c r="BE64" s="712"/>
      <c r="BF64" s="712"/>
      <c r="BG64" s="713"/>
      <c r="BH64" s="909">
        <v>2</v>
      </c>
      <c r="BI64" s="994"/>
      <c r="BJ64" s="994"/>
      <c r="BK64" s="994"/>
      <c r="BL64" s="995"/>
      <c r="BN64" s="881">
        <v>60</v>
      </c>
      <c r="BO64" s="882"/>
      <c r="BP64" s="883"/>
      <c r="BT64" s="736"/>
      <c r="BU64" s="737"/>
      <c r="BV64" s="738" t="str">
        <f>IF(BT64="","-",(IF(INDEX($A$5:$BP$257,MATCH(BT64,$BN$5:$BN$257,0),50)="Aço Inoxidável",('Densidade do AR'!$S$8*1000000),IF(INDEX($A$5:$BP$257,MATCH(BT64,$BN$5:$BN$257,0),50)="Ferro Fundido",('Densidade do AR'!$S$12*1000000),IF(INDEX($A$5:$BP$257,MATCH(BT64,$BN$5:$BN$257,0),50)="Latão",('Densidade do AR'!$S$10*1000000),IF(INDEX($A$5:$BP$257,MATCH(BT64,$BN$5:$BN$257,0),50)="Alumínio",('Densidade do AR'!$S$4*1000000)))))))</f>
        <v>-</v>
      </c>
      <c r="BW64" s="739"/>
      <c r="BX64" s="739"/>
      <c r="BY64" s="740"/>
      <c r="BZ64" s="741" t="str">
        <f t="shared" si="9"/>
        <v>-</v>
      </c>
      <c r="CA64" s="742"/>
      <c r="CB64" s="742"/>
      <c r="CC64" s="743"/>
      <c r="CD64" s="741" t="str">
        <f t="shared" si="1"/>
        <v>-</v>
      </c>
      <c r="CE64" s="742"/>
      <c r="CF64" s="742"/>
      <c r="CG64" s="743"/>
      <c r="CH64" s="744" t="str">
        <f t="shared" si="10"/>
        <v>-</v>
      </c>
      <c r="CI64" s="739"/>
      <c r="CJ64" s="739"/>
      <c r="CK64" s="740"/>
      <c r="CL64" s="744" t="str">
        <f t="shared" si="2"/>
        <v>-</v>
      </c>
      <c r="CM64" s="739"/>
      <c r="CN64" s="739"/>
      <c r="CO64" s="740"/>
      <c r="CP64" s="744" t="str">
        <f>IF(BT64="","-",INDEX($A$5:$BP$257,MATCH(BT64,$BN$5:$BN$257,0),39)*(IF(BT64="","-",(1+(((-('Densidade do AR'!$M$4))+('Densidade do AR'!$T$15*1000000))/(IF(INDEX($A$5:$BP$257,MATCH(BT64,$BN$5:$BN$257,0),50)="Aço Inoxidável",('Densidade do AR'!$S$8*1000000),IF(INDEX($A$5:$BP$257,MATCH(BT64,$BN$5:$BN$257,0),50)="Ferro Fundido",('Densidade do AR'!$S$12*1000000),IF(INDEX($A$5:$BP$257,MATCH(BT64,$BN$5:$BN$257,0),50)="Latão",('Densidade do AR'!$S$10*1000000),IF(INDEX($A$5:$BP$257,MATCH(BT64,$BN$5:$BN$257,0),50)="Alumínio",('Densidade do AR'!$S$4*1000000)))))))-(((-('Densidade do AR'!$M$4))+('Densidade do AR'!$T$15*1000000))/('Densidade do AR'!$S$14*1000000))))))</f>
        <v>-</v>
      </c>
      <c r="CQ64" s="739"/>
      <c r="CR64" s="739"/>
      <c r="CS64" s="745"/>
      <c r="CT64" s="91" t="str">
        <f t="shared" si="11"/>
        <v>-</v>
      </c>
      <c r="CU64" s="736"/>
      <c r="CV64" s="737"/>
      <c r="CW64" s="738" t="str">
        <f>IF(CU64="","-",(IF(INDEX($A$5:$BP$257,MATCH(CU64,$BN$5:$BN$257,0),50)="Aço Inoxidável",('Densidade do AR'!$S$8*1000000),IF(INDEX($A$5:$BP$257,MATCH(CU64,$BN$5:$BN$257,0),50)="Ferro Fundido",('Densidade do AR'!$S$12*1000000),IF(INDEX($A$5:$BP$257,MATCH(CU64,$BN$5:$BN$257,0),50)="Latão",('Densidade do AR'!$S$10*1000000),IF(INDEX($A$5:$BP$257,MATCH(CU64,$BN$5:$BN$257,0),50)="Alumínio",('Densidade do AR'!$S$4*1000000)))))))</f>
        <v>-</v>
      </c>
      <c r="CX64" s="739"/>
      <c r="CY64" s="739"/>
      <c r="CZ64" s="740"/>
      <c r="DA64" s="741" t="str">
        <f t="shared" si="12"/>
        <v>-</v>
      </c>
      <c r="DB64" s="742"/>
      <c r="DC64" s="742"/>
      <c r="DD64" s="743"/>
      <c r="DE64" s="741" t="str">
        <f t="shared" si="3"/>
        <v>-</v>
      </c>
      <c r="DF64" s="742"/>
      <c r="DG64" s="742"/>
      <c r="DH64" s="743"/>
      <c r="DI64" s="744" t="str">
        <f t="shared" si="13"/>
        <v>-</v>
      </c>
      <c r="DJ64" s="739"/>
      <c r="DK64" s="739"/>
      <c r="DL64" s="740"/>
      <c r="DM64" s="744" t="str">
        <f t="shared" si="4"/>
        <v>-</v>
      </c>
      <c r="DN64" s="739"/>
      <c r="DO64" s="739"/>
      <c r="DP64" s="740"/>
      <c r="DQ64" s="744" t="str">
        <f>IF(CU64="","-",INDEX($A$5:$BP$257,MATCH(CU64,$BN$5:$BN$257,0),39)*(IF(CU64="","-",(1+(((-('Densidade do AR'!$M$4))+('Densidade do AR'!$T$15*1000000))/(IF(INDEX($A$5:$BP$257,MATCH(CU64,$BN$5:$BN$257,0),50)="Aço Inoxidável",('Densidade do AR'!$S$8*1000000),IF(INDEX($A$5:$BP$257,MATCH(CU64,$BN$5:$BN$257,0),50)="Ferro Fundido",('Densidade do AR'!$S$12*1000000),IF(INDEX($A$5:$BP$257,MATCH(CU64,$BN$5:$BN$257,0),50)="Latão",('Densidade do AR'!$S$10*1000000),IF(INDEX($A$5:$BP$257,MATCH(CU64,$BN$5:$BN$257,0),50)="Alumínio",('Densidade do AR'!$S$4*1000000)))))))-(((-('Densidade do AR'!$M$4))+('Densidade do AR'!$T$15*1000000))/('Densidade do AR'!$S$14*1000000))))))</f>
        <v>-</v>
      </c>
      <c r="DR64" s="739"/>
      <c r="DS64" s="739"/>
      <c r="DT64" s="745"/>
      <c r="DU64" s="91" t="str">
        <f t="shared" si="14"/>
        <v>-</v>
      </c>
      <c r="DV64" s="736"/>
      <c r="DW64" s="737"/>
      <c r="DX64" s="738" t="str">
        <f>IF(DV64="","-",(IF(INDEX($A$5:$BP$257,MATCH(DV64,$BN$5:$BN$257,0),50)="Aço Inoxidável",('Densidade do AR'!$S$8*1000000),IF(INDEX($A$5:$BP$257,MATCH(DV64,$BN$5:$BN$257,0),50)="Ferro Fundido",('Densidade do AR'!$S$12*1000000),IF(INDEX($A$5:$BP$257,MATCH(DV64,$BN$5:$BN$257,0),50)="Latão",('Densidade do AR'!$S$10*1000000),IF(INDEX($A$5:$BP$257,MATCH(DV64,$BN$5:$BN$257,0),50)="Alumínio",('Densidade do AR'!$S$4*1000000)))))))</f>
        <v>-</v>
      </c>
      <c r="DY64" s="739"/>
      <c r="DZ64" s="739"/>
      <c r="EA64" s="740"/>
      <c r="EB64" s="741" t="str">
        <f t="shared" si="15"/>
        <v>-</v>
      </c>
      <c r="EC64" s="742"/>
      <c r="ED64" s="742"/>
      <c r="EE64" s="743"/>
      <c r="EF64" s="741" t="str">
        <f t="shared" si="5"/>
        <v>-</v>
      </c>
      <c r="EG64" s="742"/>
      <c r="EH64" s="742"/>
      <c r="EI64" s="743"/>
      <c r="EJ64" s="744" t="str">
        <f t="shared" si="16"/>
        <v>-</v>
      </c>
      <c r="EK64" s="739"/>
      <c r="EL64" s="739"/>
      <c r="EM64" s="740"/>
      <c r="EN64" s="744" t="str">
        <f t="shared" si="6"/>
        <v>-</v>
      </c>
      <c r="EO64" s="739"/>
      <c r="EP64" s="739"/>
      <c r="EQ64" s="740"/>
      <c r="ER64" s="744" t="str">
        <f>IF(DV64="","-",INDEX($A$5:$BP$257,MATCH(DV64,$BN$5:$BN$257,0),39)*(IF(DV64="","-",(1+(((-('Densidade do AR'!$M$4))+('Densidade do AR'!$T$15*1000000))/(IF(INDEX($A$5:$BP$257,MATCH(DV64,$BN$5:$BN$257,0),50)="Aço Inoxidável",('Densidade do AR'!$S$8*1000000),IF(INDEX($A$5:$BP$257,MATCH(DV64,$BN$5:$BN$257,0),50)="Ferro Fundido",('Densidade do AR'!$S$12*1000000),IF(INDEX($A$5:$BP$257,MATCH(DV64,$BN$5:$BN$257,0),50)="Latão",('Densidade do AR'!$S$10*1000000),IF(INDEX($A$5:$BP$257,MATCH(DV64,$BN$5:$BN$257,0),50)="Alumínio",('Densidade do AR'!$S$4*1000000)))))))-(((-('Densidade do AR'!$M$4))+('Densidade do AR'!$T$15*1000000))/('Densidade do AR'!$S$14*1000000))))))</f>
        <v>-</v>
      </c>
      <c r="ES64" s="739"/>
      <c r="ET64" s="739"/>
      <c r="EU64" s="745"/>
      <c r="EV64" s="91" t="str">
        <f t="shared" si="17"/>
        <v>-</v>
      </c>
      <c r="EW64" s="736"/>
      <c r="EX64" s="737"/>
      <c r="EY64" s="738" t="str">
        <f>IF(EW64="","-",(IF(INDEX($A$5:$BP$257,MATCH(EW64,$BN$5:$BN$257,0),50)="Aço Inoxidável",('Densidade do AR'!$S$8*1000000),IF(INDEX($A$5:$BP$257,MATCH(EW64,$BN$5:$BN$257,0),50)="Ferro Fundido",('Densidade do AR'!$S$12*1000000),IF(INDEX($A$5:$BP$257,MATCH(EW64,$BN$5:$BN$257,0),50)="Latão",('Densidade do AR'!$S$10*1000000),IF(INDEX($A$5:$BP$257,MATCH(EW64,$BN$5:$BN$257,0),50)="Alumínio",('Densidade do AR'!$S$4*1000000)))))))</f>
        <v>-</v>
      </c>
      <c r="EZ64" s="739"/>
      <c r="FA64" s="739"/>
      <c r="FB64" s="740"/>
      <c r="FC64" s="741" t="str">
        <f t="shared" si="18"/>
        <v>-</v>
      </c>
      <c r="FD64" s="742"/>
      <c r="FE64" s="742"/>
      <c r="FF64" s="743"/>
      <c r="FG64" s="741" t="str">
        <f t="shared" si="7"/>
        <v>-</v>
      </c>
      <c r="FH64" s="742"/>
      <c r="FI64" s="742"/>
      <c r="FJ64" s="743"/>
      <c r="FK64" s="744" t="str">
        <f t="shared" si="19"/>
        <v>-</v>
      </c>
      <c r="FL64" s="739"/>
      <c r="FM64" s="739"/>
      <c r="FN64" s="740"/>
      <c r="FO64" s="744" t="str">
        <f t="shared" si="8"/>
        <v>-</v>
      </c>
      <c r="FP64" s="739"/>
      <c r="FQ64" s="739"/>
      <c r="FR64" s="740"/>
      <c r="FS64" s="744" t="str">
        <f>IF(EW64="","-",INDEX($A$5:$BP$257,MATCH(EW64,$BN$5:$BN$257,0),39)*(IF(EW64="","-",(1+(((-('Densidade do AR'!$M$4))+('Densidade do AR'!$T$15*1000000))/(IF(INDEX($A$5:$BP$257,MATCH(EW64,$BN$5:$BN$257,0),50)="Aço Inoxidável",('Densidade do AR'!$S$8*1000000),IF(INDEX($A$5:$BP$257,MATCH(EW64,$BN$5:$BN$257,0),50)="Ferro Fundido",('Densidade do AR'!$S$12*1000000),IF(INDEX($A$5:$BP$257,MATCH(EW64,$BN$5:$BN$257,0),50)="Latão",('Densidade do AR'!$S$10*1000000),IF(INDEX($A$5:$BP$257,MATCH(EW64,$BN$5:$BN$257,0),50)="Alumínio",('Densidade do AR'!$S$4*1000000)))))))-(((-('Densidade do AR'!$M$4))+('Densidade do AR'!$T$15*1000000))/('Densidade do AR'!$S$14*1000000))))))</f>
        <v>-</v>
      </c>
      <c r="FT64" s="739"/>
      <c r="FU64" s="739"/>
      <c r="FV64" s="745"/>
      <c r="FW64" s="91" t="str">
        <f t="shared" si="20"/>
        <v>-</v>
      </c>
      <c r="FX64" s="135"/>
    </row>
    <row r="65" spans="1:180" x14ac:dyDescent="0.2">
      <c r="A65" s="717">
        <v>61</v>
      </c>
      <c r="B65" s="713"/>
      <c r="C65" s="708">
        <v>500000</v>
      </c>
      <c r="D65" s="709"/>
      <c r="E65" s="709"/>
      <c r="F65" s="709"/>
      <c r="G65" s="710"/>
      <c r="H65" s="933" t="s">
        <v>308</v>
      </c>
      <c r="I65" s="934"/>
      <c r="J65" s="934"/>
      <c r="K65" s="935"/>
      <c r="L65" s="708" t="s">
        <v>323</v>
      </c>
      <c r="M65" s="709"/>
      <c r="N65" s="709"/>
      <c r="O65" s="709"/>
      <c r="P65" s="936" t="s">
        <v>322</v>
      </c>
      <c r="Q65" s="879"/>
      <c r="R65" s="879"/>
      <c r="S65" s="879"/>
      <c r="T65" s="937"/>
      <c r="U65" s="898" t="s">
        <v>320</v>
      </c>
      <c r="V65" s="715"/>
      <c r="W65" s="715"/>
      <c r="X65" s="715"/>
      <c r="Y65" s="715"/>
      <c r="Z65" s="715"/>
      <c r="AA65" s="716"/>
      <c r="AB65" s="850"/>
      <c r="AC65" s="851"/>
      <c r="AD65" s="851"/>
      <c r="AE65" s="851"/>
      <c r="AF65" s="851"/>
      <c r="AG65" s="851"/>
      <c r="AH65" s="851"/>
      <c r="AI65" s="851"/>
      <c r="AJ65" s="851"/>
      <c r="AK65" s="851"/>
      <c r="AL65" s="852"/>
      <c r="AM65" s="917">
        <v>500005000</v>
      </c>
      <c r="AN65" s="712"/>
      <c r="AO65" s="712"/>
      <c r="AP65" s="712"/>
      <c r="AQ65" s="712"/>
      <c r="AR65" s="712"/>
      <c r="AS65" s="713"/>
      <c r="AT65" s="917">
        <f t="shared" si="21"/>
        <v>5000</v>
      </c>
      <c r="AU65" s="712"/>
      <c r="AV65" s="712"/>
      <c r="AW65" s="713"/>
      <c r="AX65" s="917" t="s">
        <v>13</v>
      </c>
      <c r="AY65" s="712"/>
      <c r="AZ65" s="712"/>
      <c r="BA65" s="712"/>
      <c r="BB65" s="712"/>
      <c r="BC65" s="713"/>
      <c r="BD65" s="917">
        <v>25000</v>
      </c>
      <c r="BE65" s="712"/>
      <c r="BF65" s="712"/>
      <c r="BG65" s="713"/>
      <c r="BH65" s="917">
        <v>2</v>
      </c>
      <c r="BI65" s="994"/>
      <c r="BJ65" s="994"/>
      <c r="BK65" s="994"/>
      <c r="BL65" s="995"/>
      <c r="BN65" s="881">
        <v>61</v>
      </c>
      <c r="BO65" s="882"/>
      <c r="BP65" s="883"/>
      <c r="BT65" s="746"/>
      <c r="BU65" s="747"/>
      <c r="BV65" s="784" t="str">
        <f>IF(BT65="","-",(IF(INDEX($A$5:$BP$257,MATCH(BT65,$BN$5:$BN$257,0),50)="Aço Inoxidável",('Densidade do AR'!$S$8*1000000),IF(INDEX($A$5:$BP$257,MATCH(BT65,$BN$5:$BN$257,0),50)="Ferro Fundido",('Densidade do AR'!$S$12*1000000),IF(INDEX($A$5:$BP$257,MATCH(BT65,$BN$5:$BN$257,0),50)="Latão",('Densidade do AR'!$S$10*1000000),IF(INDEX($A$5:$BP$257,MATCH(BT65,$BN$5:$BN$257,0),50)="Alumínio",('Densidade do AR'!$S$4*1000000)))))))</f>
        <v>-</v>
      </c>
      <c r="BW65" s="785"/>
      <c r="BX65" s="785"/>
      <c r="BY65" s="786"/>
      <c r="BZ65" s="787" t="str">
        <f t="shared" si="9"/>
        <v>-</v>
      </c>
      <c r="CA65" s="788"/>
      <c r="CB65" s="788"/>
      <c r="CC65" s="789"/>
      <c r="CD65" s="787" t="str">
        <f t="shared" si="1"/>
        <v>-</v>
      </c>
      <c r="CE65" s="788"/>
      <c r="CF65" s="788"/>
      <c r="CG65" s="789"/>
      <c r="CH65" s="790" t="str">
        <f t="shared" si="10"/>
        <v>-</v>
      </c>
      <c r="CI65" s="785"/>
      <c r="CJ65" s="785"/>
      <c r="CK65" s="786"/>
      <c r="CL65" s="790" t="str">
        <f t="shared" si="2"/>
        <v>-</v>
      </c>
      <c r="CM65" s="785"/>
      <c r="CN65" s="785"/>
      <c r="CO65" s="786"/>
      <c r="CP65" s="790" t="str">
        <f>IF(BT65="","-",INDEX($A$5:$BP$257,MATCH(BT65,$BN$5:$BN$257,0),39)*(IF(BT65="","-",(1+(((-('Densidade do AR'!$M$4))+('Densidade do AR'!$T$15*1000000))/(IF(INDEX($A$5:$BP$257,MATCH(BT65,$BN$5:$BN$257,0),50)="Aço Inoxidável",('Densidade do AR'!$S$8*1000000),IF(INDEX($A$5:$BP$257,MATCH(BT65,$BN$5:$BN$257,0),50)="Ferro Fundido",('Densidade do AR'!$S$12*1000000),IF(INDEX($A$5:$BP$257,MATCH(BT65,$BN$5:$BN$257,0),50)="Latão",('Densidade do AR'!$S$10*1000000),IF(INDEX($A$5:$BP$257,MATCH(BT65,$BN$5:$BN$257,0),50)="Alumínio",('Densidade do AR'!$S$4*1000000)))))))-(((-('Densidade do AR'!$M$4))+('Densidade do AR'!$T$15*1000000))/('Densidade do AR'!$S$14*1000000))))))</f>
        <v>-</v>
      </c>
      <c r="CQ65" s="785"/>
      <c r="CR65" s="785"/>
      <c r="CS65" s="791"/>
      <c r="CT65" s="91" t="str">
        <f t="shared" si="11"/>
        <v>-</v>
      </c>
      <c r="CU65" s="746"/>
      <c r="CV65" s="747"/>
      <c r="CW65" s="784" t="str">
        <f>IF(CU65="","-",(IF(INDEX($A$5:$BP$257,MATCH(CU65,$BN$5:$BN$257,0),50)="Aço Inoxidável",('Densidade do AR'!$S$8*1000000),IF(INDEX($A$5:$BP$257,MATCH(CU65,$BN$5:$BN$257,0),50)="Ferro Fundido",('Densidade do AR'!$S$12*1000000),IF(INDEX($A$5:$BP$257,MATCH(CU65,$BN$5:$BN$257,0),50)="Latão",('Densidade do AR'!$S$10*1000000),IF(INDEX($A$5:$BP$257,MATCH(CU65,$BN$5:$BN$257,0),50)="Alumínio",('Densidade do AR'!$S$4*1000000)))))))</f>
        <v>-</v>
      </c>
      <c r="CX65" s="785"/>
      <c r="CY65" s="785"/>
      <c r="CZ65" s="786"/>
      <c r="DA65" s="787" t="str">
        <f t="shared" si="12"/>
        <v>-</v>
      </c>
      <c r="DB65" s="788"/>
      <c r="DC65" s="788"/>
      <c r="DD65" s="789"/>
      <c r="DE65" s="787" t="str">
        <f t="shared" si="3"/>
        <v>-</v>
      </c>
      <c r="DF65" s="788"/>
      <c r="DG65" s="788"/>
      <c r="DH65" s="789"/>
      <c r="DI65" s="790" t="str">
        <f t="shared" si="13"/>
        <v>-</v>
      </c>
      <c r="DJ65" s="785"/>
      <c r="DK65" s="785"/>
      <c r="DL65" s="786"/>
      <c r="DM65" s="790" t="str">
        <f t="shared" si="4"/>
        <v>-</v>
      </c>
      <c r="DN65" s="785"/>
      <c r="DO65" s="785"/>
      <c r="DP65" s="786"/>
      <c r="DQ65" s="790" t="str">
        <f>IF(CU65="","-",INDEX($A$5:$BP$257,MATCH(CU65,$BN$5:$BN$257,0),39)*(IF(CU65="","-",(1+(((-('Densidade do AR'!$M$4))+('Densidade do AR'!$T$15*1000000))/(IF(INDEX($A$5:$BP$257,MATCH(CU65,$BN$5:$BN$257,0),50)="Aço Inoxidável",('Densidade do AR'!$S$8*1000000),IF(INDEX($A$5:$BP$257,MATCH(CU65,$BN$5:$BN$257,0),50)="Ferro Fundido",('Densidade do AR'!$S$12*1000000),IF(INDEX($A$5:$BP$257,MATCH(CU65,$BN$5:$BN$257,0),50)="Latão",('Densidade do AR'!$S$10*1000000),IF(INDEX($A$5:$BP$257,MATCH(CU65,$BN$5:$BN$257,0),50)="Alumínio",('Densidade do AR'!$S$4*1000000)))))))-(((-('Densidade do AR'!$M$4))+('Densidade do AR'!$T$15*1000000))/('Densidade do AR'!$S$14*1000000))))))</f>
        <v>-</v>
      </c>
      <c r="DR65" s="785"/>
      <c r="DS65" s="785"/>
      <c r="DT65" s="791"/>
      <c r="DU65" s="91" t="str">
        <f t="shared" si="14"/>
        <v>-</v>
      </c>
      <c r="DV65" s="746"/>
      <c r="DW65" s="747"/>
      <c r="DX65" s="784" t="str">
        <f>IF(DV65="","-",(IF(INDEX($A$5:$BP$257,MATCH(DV65,$BN$5:$BN$257,0),50)="Aço Inoxidável",('Densidade do AR'!$S$8*1000000),IF(INDEX($A$5:$BP$257,MATCH(DV65,$BN$5:$BN$257,0),50)="Ferro Fundido",('Densidade do AR'!$S$12*1000000),IF(INDEX($A$5:$BP$257,MATCH(DV65,$BN$5:$BN$257,0),50)="Latão",('Densidade do AR'!$S$10*1000000),IF(INDEX($A$5:$BP$257,MATCH(DV65,$BN$5:$BN$257,0),50)="Alumínio",('Densidade do AR'!$S$4*1000000)))))))</f>
        <v>-</v>
      </c>
      <c r="DY65" s="785"/>
      <c r="DZ65" s="785"/>
      <c r="EA65" s="786"/>
      <c r="EB65" s="787" t="str">
        <f t="shared" si="15"/>
        <v>-</v>
      </c>
      <c r="EC65" s="788"/>
      <c r="ED65" s="788"/>
      <c r="EE65" s="789"/>
      <c r="EF65" s="787" t="str">
        <f t="shared" si="5"/>
        <v>-</v>
      </c>
      <c r="EG65" s="788"/>
      <c r="EH65" s="788"/>
      <c r="EI65" s="789"/>
      <c r="EJ65" s="790" t="str">
        <f t="shared" si="16"/>
        <v>-</v>
      </c>
      <c r="EK65" s="785"/>
      <c r="EL65" s="785"/>
      <c r="EM65" s="786"/>
      <c r="EN65" s="790" t="str">
        <f t="shared" si="6"/>
        <v>-</v>
      </c>
      <c r="EO65" s="785"/>
      <c r="EP65" s="785"/>
      <c r="EQ65" s="786"/>
      <c r="ER65" s="790" t="str">
        <f>IF(DV65="","-",INDEX($A$5:$BP$257,MATCH(DV65,$BN$5:$BN$257,0),39)*(IF(DV65="","-",(1+(((-('Densidade do AR'!$M$4))+('Densidade do AR'!$T$15*1000000))/(IF(INDEX($A$5:$BP$257,MATCH(DV65,$BN$5:$BN$257,0),50)="Aço Inoxidável",('Densidade do AR'!$S$8*1000000),IF(INDEX($A$5:$BP$257,MATCH(DV65,$BN$5:$BN$257,0),50)="Ferro Fundido",('Densidade do AR'!$S$12*1000000),IF(INDEX($A$5:$BP$257,MATCH(DV65,$BN$5:$BN$257,0),50)="Latão",('Densidade do AR'!$S$10*1000000),IF(INDEX($A$5:$BP$257,MATCH(DV65,$BN$5:$BN$257,0),50)="Alumínio",('Densidade do AR'!$S$4*1000000)))))))-(((-('Densidade do AR'!$M$4))+('Densidade do AR'!$T$15*1000000))/('Densidade do AR'!$S$14*1000000))))))</f>
        <v>-</v>
      </c>
      <c r="ES65" s="785"/>
      <c r="ET65" s="785"/>
      <c r="EU65" s="791"/>
      <c r="EV65" s="91" t="str">
        <f t="shared" si="17"/>
        <v>-</v>
      </c>
      <c r="EW65" s="746"/>
      <c r="EX65" s="747"/>
      <c r="EY65" s="784" t="str">
        <f>IF(EW65="","-",(IF(INDEX($A$5:$BP$257,MATCH(EW65,$BN$5:$BN$257,0),50)="Aço Inoxidável",('Densidade do AR'!$S$8*1000000),IF(INDEX($A$5:$BP$257,MATCH(EW65,$BN$5:$BN$257,0),50)="Ferro Fundido",('Densidade do AR'!$S$12*1000000),IF(INDEX($A$5:$BP$257,MATCH(EW65,$BN$5:$BN$257,0),50)="Latão",('Densidade do AR'!$S$10*1000000),IF(INDEX($A$5:$BP$257,MATCH(EW65,$BN$5:$BN$257,0),50)="Alumínio",('Densidade do AR'!$S$4*1000000)))))))</f>
        <v>-</v>
      </c>
      <c r="EZ65" s="785"/>
      <c r="FA65" s="785"/>
      <c r="FB65" s="786"/>
      <c r="FC65" s="787" t="str">
        <f t="shared" si="18"/>
        <v>-</v>
      </c>
      <c r="FD65" s="788"/>
      <c r="FE65" s="788"/>
      <c r="FF65" s="789"/>
      <c r="FG65" s="787" t="str">
        <f t="shared" si="7"/>
        <v>-</v>
      </c>
      <c r="FH65" s="788"/>
      <c r="FI65" s="788"/>
      <c r="FJ65" s="789"/>
      <c r="FK65" s="790" t="str">
        <f t="shared" si="19"/>
        <v>-</v>
      </c>
      <c r="FL65" s="785"/>
      <c r="FM65" s="785"/>
      <c r="FN65" s="786"/>
      <c r="FO65" s="790" t="str">
        <f t="shared" si="8"/>
        <v>-</v>
      </c>
      <c r="FP65" s="785"/>
      <c r="FQ65" s="785"/>
      <c r="FR65" s="786"/>
      <c r="FS65" s="790" t="str">
        <f>IF(EW65="","-",INDEX($A$5:$BP$257,MATCH(EW65,$BN$5:$BN$257,0),39)*(IF(EW65="","-",(1+(((-('Densidade do AR'!$M$4))+('Densidade do AR'!$T$15*1000000))/(IF(INDEX($A$5:$BP$257,MATCH(EW65,$BN$5:$BN$257,0),50)="Aço Inoxidável",('Densidade do AR'!$S$8*1000000),IF(INDEX($A$5:$BP$257,MATCH(EW65,$BN$5:$BN$257,0),50)="Ferro Fundido",('Densidade do AR'!$S$12*1000000),IF(INDEX($A$5:$BP$257,MATCH(EW65,$BN$5:$BN$257,0),50)="Latão",('Densidade do AR'!$S$10*1000000),IF(INDEX($A$5:$BP$257,MATCH(EW65,$BN$5:$BN$257,0),50)="Alumínio",('Densidade do AR'!$S$4*1000000)))))))-(((-('Densidade do AR'!$M$4))+('Densidade do AR'!$T$15*1000000))/('Densidade do AR'!$S$14*1000000))))))</f>
        <v>-</v>
      </c>
      <c r="FT65" s="785"/>
      <c r="FU65" s="785"/>
      <c r="FV65" s="791"/>
      <c r="FW65" s="91" t="str">
        <f t="shared" si="20"/>
        <v>-</v>
      </c>
      <c r="FX65" s="135"/>
    </row>
    <row r="66" spans="1:180" x14ac:dyDescent="0.2">
      <c r="A66" s="718">
        <v>62</v>
      </c>
      <c r="B66" s="713"/>
      <c r="C66" s="719">
        <v>500000</v>
      </c>
      <c r="D66" s="709"/>
      <c r="E66" s="709"/>
      <c r="F66" s="709"/>
      <c r="G66" s="710"/>
      <c r="H66" s="940" t="s">
        <v>308</v>
      </c>
      <c r="I66" s="941"/>
      <c r="J66" s="941"/>
      <c r="K66" s="942"/>
      <c r="L66" s="719" t="s">
        <v>323</v>
      </c>
      <c r="M66" s="709"/>
      <c r="N66" s="709"/>
      <c r="O66" s="709"/>
      <c r="P66" s="938" t="s">
        <v>324</v>
      </c>
      <c r="Q66" s="882"/>
      <c r="R66" s="882"/>
      <c r="S66" s="882"/>
      <c r="T66" s="939"/>
      <c r="U66" s="897" t="s">
        <v>320</v>
      </c>
      <c r="V66" s="722"/>
      <c r="W66" s="722"/>
      <c r="X66" s="722"/>
      <c r="Y66" s="722"/>
      <c r="Z66" s="722"/>
      <c r="AA66" s="723"/>
      <c r="AB66" s="853"/>
      <c r="AC66" s="854"/>
      <c r="AD66" s="854"/>
      <c r="AE66" s="854"/>
      <c r="AF66" s="854"/>
      <c r="AG66" s="854"/>
      <c r="AH66" s="854"/>
      <c r="AI66" s="854"/>
      <c r="AJ66" s="854"/>
      <c r="AK66" s="854"/>
      <c r="AL66" s="855"/>
      <c r="AM66" s="909">
        <v>500000000</v>
      </c>
      <c r="AN66" s="712"/>
      <c r="AO66" s="712"/>
      <c r="AP66" s="712"/>
      <c r="AQ66" s="712"/>
      <c r="AR66" s="712"/>
      <c r="AS66" s="713"/>
      <c r="AT66" s="909">
        <f t="shared" si="21"/>
        <v>0</v>
      </c>
      <c r="AU66" s="712"/>
      <c r="AV66" s="712"/>
      <c r="AW66" s="713"/>
      <c r="AX66" s="908" t="s">
        <v>13</v>
      </c>
      <c r="AY66" s="712"/>
      <c r="AZ66" s="712"/>
      <c r="BA66" s="712"/>
      <c r="BB66" s="712"/>
      <c r="BC66" s="713"/>
      <c r="BD66" s="909">
        <v>25000</v>
      </c>
      <c r="BE66" s="712"/>
      <c r="BF66" s="712"/>
      <c r="BG66" s="713"/>
      <c r="BH66" s="909">
        <v>2</v>
      </c>
      <c r="BI66" s="994"/>
      <c r="BJ66" s="994"/>
      <c r="BK66" s="994"/>
      <c r="BL66" s="995"/>
      <c r="BN66" s="878">
        <v>62</v>
      </c>
      <c r="BO66" s="879"/>
      <c r="BP66" s="880"/>
      <c r="BT66" s="736"/>
      <c r="BU66" s="737"/>
      <c r="BV66" s="738" t="str">
        <f>IF(BT66="","-",(IF(INDEX($A$5:$BP$257,MATCH(BT66,$BN$5:$BN$257,0),50)="Aço Inoxidável",('Densidade do AR'!$S$8*1000000),IF(INDEX($A$5:$BP$257,MATCH(BT66,$BN$5:$BN$257,0),50)="Ferro Fundido",('Densidade do AR'!$S$12*1000000),IF(INDEX($A$5:$BP$257,MATCH(BT66,$BN$5:$BN$257,0),50)="Latão",('Densidade do AR'!$S$10*1000000),IF(INDEX($A$5:$BP$257,MATCH(BT66,$BN$5:$BN$257,0),50)="Alumínio",('Densidade do AR'!$S$4*1000000)))))))</f>
        <v>-</v>
      </c>
      <c r="BW66" s="739"/>
      <c r="BX66" s="739"/>
      <c r="BY66" s="740"/>
      <c r="BZ66" s="741" t="str">
        <f t="shared" si="9"/>
        <v>-</v>
      </c>
      <c r="CA66" s="742"/>
      <c r="CB66" s="742"/>
      <c r="CC66" s="743"/>
      <c r="CD66" s="741" t="str">
        <f t="shared" si="1"/>
        <v>-</v>
      </c>
      <c r="CE66" s="742"/>
      <c r="CF66" s="742"/>
      <c r="CG66" s="743"/>
      <c r="CH66" s="744" t="str">
        <f t="shared" si="10"/>
        <v>-</v>
      </c>
      <c r="CI66" s="739"/>
      <c r="CJ66" s="739"/>
      <c r="CK66" s="740"/>
      <c r="CL66" s="744" t="str">
        <f t="shared" si="2"/>
        <v>-</v>
      </c>
      <c r="CM66" s="739"/>
      <c r="CN66" s="739"/>
      <c r="CO66" s="740"/>
      <c r="CP66" s="744" t="str">
        <f>IF(BT66="","-",INDEX($A$5:$BP$257,MATCH(BT66,$BN$5:$BN$257,0),39)*(IF(BT66="","-",(1+(((-('Densidade do AR'!$M$4))+('Densidade do AR'!$T$15*1000000))/(IF(INDEX($A$5:$BP$257,MATCH(BT66,$BN$5:$BN$257,0),50)="Aço Inoxidável",('Densidade do AR'!$S$8*1000000),IF(INDEX($A$5:$BP$257,MATCH(BT66,$BN$5:$BN$257,0),50)="Ferro Fundido",('Densidade do AR'!$S$12*1000000),IF(INDEX($A$5:$BP$257,MATCH(BT66,$BN$5:$BN$257,0),50)="Latão",('Densidade do AR'!$S$10*1000000),IF(INDEX($A$5:$BP$257,MATCH(BT66,$BN$5:$BN$257,0),50)="Alumínio",('Densidade do AR'!$S$4*1000000)))))))-(((-('Densidade do AR'!$M$4))+('Densidade do AR'!$T$15*1000000))/('Densidade do AR'!$S$14*1000000))))))</f>
        <v>-</v>
      </c>
      <c r="CQ66" s="739"/>
      <c r="CR66" s="739"/>
      <c r="CS66" s="745"/>
      <c r="CT66" s="91" t="str">
        <f t="shared" si="11"/>
        <v>-</v>
      </c>
      <c r="CU66" s="736"/>
      <c r="CV66" s="737"/>
      <c r="CW66" s="738" t="str">
        <f>IF(CU66="","-",(IF(INDEX($A$5:$BP$257,MATCH(CU66,$BN$5:$BN$257,0),50)="Aço Inoxidável",('Densidade do AR'!$S$8*1000000),IF(INDEX($A$5:$BP$257,MATCH(CU66,$BN$5:$BN$257,0),50)="Ferro Fundido",('Densidade do AR'!$S$12*1000000),IF(INDEX($A$5:$BP$257,MATCH(CU66,$BN$5:$BN$257,0),50)="Latão",('Densidade do AR'!$S$10*1000000),IF(INDEX($A$5:$BP$257,MATCH(CU66,$BN$5:$BN$257,0),50)="Alumínio",('Densidade do AR'!$S$4*1000000)))))))</f>
        <v>-</v>
      </c>
      <c r="CX66" s="739"/>
      <c r="CY66" s="739"/>
      <c r="CZ66" s="740"/>
      <c r="DA66" s="741" t="str">
        <f t="shared" si="12"/>
        <v>-</v>
      </c>
      <c r="DB66" s="742"/>
      <c r="DC66" s="742"/>
      <c r="DD66" s="743"/>
      <c r="DE66" s="741" t="str">
        <f t="shared" si="3"/>
        <v>-</v>
      </c>
      <c r="DF66" s="742"/>
      <c r="DG66" s="742"/>
      <c r="DH66" s="743"/>
      <c r="DI66" s="744" t="str">
        <f t="shared" si="13"/>
        <v>-</v>
      </c>
      <c r="DJ66" s="739"/>
      <c r="DK66" s="739"/>
      <c r="DL66" s="740"/>
      <c r="DM66" s="744" t="str">
        <f t="shared" si="4"/>
        <v>-</v>
      </c>
      <c r="DN66" s="739"/>
      <c r="DO66" s="739"/>
      <c r="DP66" s="740"/>
      <c r="DQ66" s="744" t="str">
        <f>IF(CU66="","-",INDEX($A$5:$BP$257,MATCH(CU66,$BN$5:$BN$257,0),39)*(IF(CU66="","-",(1+(((-('Densidade do AR'!$M$4))+('Densidade do AR'!$T$15*1000000))/(IF(INDEX($A$5:$BP$257,MATCH(CU66,$BN$5:$BN$257,0),50)="Aço Inoxidável",('Densidade do AR'!$S$8*1000000),IF(INDEX($A$5:$BP$257,MATCH(CU66,$BN$5:$BN$257,0),50)="Ferro Fundido",('Densidade do AR'!$S$12*1000000),IF(INDEX($A$5:$BP$257,MATCH(CU66,$BN$5:$BN$257,0),50)="Latão",('Densidade do AR'!$S$10*1000000),IF(INDEX($A$5:$BP$257,MATCH(CU66,$BN$5:$BN$257,0),50)="Alumínio",('Densidade do AR'!$S$4*1000000)))))))-(((-('Densidade do AR'!$M$4))+('Densidade do AR'!$T$15*1000000))/('Densidade do AR'!$S$14*1000000))))))</f>
        <v>-</v>
      </c>
      <c r="DR66" s="739"/>
      <c r="DS66" s="739"/>
      <c r="DT66" s="745"/>
      <c r="DU66" s="91" t="str">
        <f t="shared" si="14"/>
        <v>-</v>
      </c>
      <c r="DV66" s="736"/>
      <c r="DW66" s="737"/>
      <c r="DX66" s="738" t="str">
        <f>IF(DV66="","-",(IF(INDEX($A$5:$BP$257,MATCH(DV66,$BN$5:$BN$257,0),50)="Aço Inoxidável",('Densidade do AR'!$S$8*1000000),IF(INDEX($A$5:$BP$257,MATCH(DV66,$BN$5:$BN$257,0),50)="Ferro Fundido",('Densidade do AR'!$S$12*1000000),IF(INDEX($A$5:$BP$257,MATCH(DV66,$BN$5:$BN$257,0),50)="Latão",('Densidade do AR'!$S$10*1000000),IF(INDEX($A$5:$BP$257,MATCH(DV66,$BN$5:$BN$257,0),50)="Alumínio",('Densidade do AR'!$S$4*1000000)))))))</f>
        <v>-</v>
      </c>
      <c r="DY66" s="739"/>
      <c r="DZ66" s="739"/>
      <c r="EA66" s="740"/>
      <c r="EB66" s="741" t="str">
        <f t="shared" si="15"/>
        <v>-</v>
      </c>
      <c r="EC66" s="742"/>
      <c r="ED66" s="742"/>
      <c r="EE66" s="743"/>
      <c r="EF66" s="741" t="str">
        <f t="shared" si="5"/>
        <v>-</v>
      </c>
      <c r="EG66" s="742"/>
      <c r="EH66" s="742"/>
      <c r="EI66" s="743"/>
      <c r="EJ66" s="744" t="str">
        <f t="shared" si="16"/>
        <v>-</v>
      </c>
      <c r="EK66" s="739"/>
      <c r="EL66" s="739"/>
      <c r="EM66" s="740"/>
      <c r="EN66" s="744" t="str">
        <f t="shared" si="6"/>
        <v>-</v>
      </c>
      <c r="EO66" s="739"/>
      <c r="EP66" s="739"/>
      <c r="EQ66" s="740"/>
      <c r="ER66" s="744" t="str">
        <f>IF(DV66="","-",INDEX($A$5:$BP$257,MATCH(DV66,$BN$5:$BN$257,0),39)*(IF(DV66="","-",(1+(((-('Densidade do AR'!$M$4))+('Densidade do AR'!$T$15*1000000))/(IF(INDEX($A$5:$BP$257,MATCH(DV66,$BN$5:$BN$257,0),50)="Aço Inoxidável",('Densidade do AR'!$S$8*1000000),IF(INDEX($A$5:$BP$257,MATCH(DV66,$BN$5:$BN$257,0),50)="Ferro Fundido",('Densidade do AR'!$S$12*1000000),IF(INDEX($A$5:$BP$257,MATCH(DV66,$BN$5:$BN$257,0),50)="Latão",('Densidade do AR'!$S$10*1000000),IF(INDEX($A$5:$BP$257,MATCH(DV66,$BN$5:$BN$257,0),50)="Alumínio",('Densidade do AR'!$S$4*1000000)))))))-(((-('Densidade do AR'!$M$4))+('Densidade do AR'!$T$15*1000000))/('Densidade do AR'!$S$14*1000000))))))</f>
        <v>-</v>
      </c>
      <c r="ES66" s="739"/>
      <c r="ET66" s="739"/>
      <c r="EU66" s="745"/>
      <c r="EV66" s="91" t="str">
        <f t="shared" si="17"/>
        <v>-</v>
      </c>
      <c r="EW66" s="736"/>
      <c r="EX66" s="737"/>
      <c r="EY66" s="738" t="str">
        <f>IF(EW66="","-",(IF(INDEX($A$5:$BP$257,MATCH(EW66,$BN$5:$BN$257,0),50)="Aço Inoxidável",('Densidade do AR'!$S$8*1000000),IF(INDEX($A$5:$BP$257,MATCH(EW66,$BN$5:$BN$257,0),50)="Ferro Fundido",('Densidade do AR'!$S$12*1000000),IF(INDEX($A$5:$BP$257,MATCH(EW66,$BN$5:$BN$257,0),50)="Latão",('Densidade do AR'!$S$10*1000000),IF(INDEX($A$5:$BP$257,MATCH(EW66,$BN$5:$BN$257,0),50)="Alumínio",('Densidade do AR'!$S$4*1000000)))))))</f>
        <v>-</v>
      </c>
      <c r="EZ66" s="739"/>
      <c r="FA66" s="739"/>
      <c r="FB66" s="740"/>
      <c r="FC66" s="741" t="str">
        <f t="shared" si="18"/>
        <v>-</v>
      </c>
      <c r="FD66" s="742"/>
      <c r="FE66" s="742"/>
      <c r="FF66" s="743"/>
      <c r="FG66" s="741" t="str">
        <f t="shared" si="7"/>
        <v>-</v>
      </c>
      <c r="FH66" s="742"/>
      <c r="FI66" s="742"/>
      <c r="FJ66" s="743"/>
      <c r="FK66" s="744" t="str">
        <f t="shared" si="19"/>
        <v>-</v>
      </c>
      <c r="FL66" s="739"/>
      <c r="FM66" s="739"/>
      <c r="FN66" s="740"/>
      <c r="FO66" s="744" t="str">
        <f t="shared" si="8"/>
        <v>-</v>
      </c>
      <c r="FP66" s="739"/>
      <c r="FQ66" s="739"/>
      <c r="FR66" s="740"/>
      <c r="FS66" s="744" t="str">
        <f>IF(EW66="","-",INDEX($A$5:$BP$257,MATCH(EW66,$BN$5:$BN$257,0),39)*(IF(EW66="","-",(1+(((-('Densidade do AR'!$M$4))+('Densidade do AR'!$T$15*1000000))/(IF(INDEX($A$5:$BP$257,MATCH(EW66,$BN$5:$BN$257,0),50)="Aço Inoxidável",('Densidade do AR'!$S$8*1000000),IF(INDEX($A$5:$BP$257,MATCH(EW66,$BN$5:$BN$257,0),50)="Ferro Fundido",('Densidade do AR'!$S$12*1000000),IF(INDEX($A$5:$BP$257,MATCH(EW66,$BN$5:$BN$257,0),50)="Latão",('Densidade do AR'!$S$10*1000000),IF(INDEX($A$5:$BP$257,MATCH(EW66,$BN$5:$BN$257,0),50)="Alumínio",('Densidade do AR'!$S$4*1000000)))))))-(((-('Densidade do AR'!$M$4))+('Densidade do AR'!$T$15*1000000))/('Densidade do AR'!$S$14*1000000))))))</f>
        <v>-</v>
      </c>
      <c r="FT66" s="739"/>
      <c r="FU66" s="739"/>
      <c r="FV66" s="745"/>
      <c r="FW66" s="91" t="str">
        <f t="shared" si="20"/>
        <v>-</v>
      </c>
      <c r="FX66" s="135"/>
    </row>
    <row r="67" spans="1:180" x14ac:dyDescent="0.2">
      <c r="A67" s="717">
        <v>63</v>
      </c>
      <c r="B67" s="713"/>
      <c r="C67" s="708">
        <v>500000</v>
      </c>
      <c r="D67" s="709"/>
      <c r="E67" s="709"/>
      <c r="F67" s="709"/>
      <c r="G67" s="710"/>
      <c r="H67" s="933" t="s">
        <v>308</v>
      </c>
      <c r="I67" s="934"/>
      <c r="J67" s="934"/>
      <c r="K67" s="935"/>
      <c r="L67" s="708" t="s">
        <v>323</v>
      </c>
      <c r="M67" s="709"/>
      <c r="N67" s="709"/>
      <c r="O67" s="709"/>
      <c r="P67" s="936" t="s">
        <v>325</v>
      </c>
      <c r="Q67" s="879"/>
      <c r="R67" s="879"/>
      <c r="S67" s="879"/>
      <c r="T67" s="937"/>
      <c r="U67" s="898" t="s">
        <v>320</v>
      </c>
      <c r="V67" s="715"/>
      <c r="W67" s="715"/>
      <c r="X67" s="715"/>
      <c r="Y67" s="715"/>
      <c r="Z67" s="715"/>
      <c r="AA67" s="716"/>
      <c r="AB67" s="850"/>
      <c r="AC67" s="851"/>
      <c r="AD67" s="851"/>
      <c r="AE67" s="851"/>
      <c r="AF67" s="851"/>
      <c r="AG67" s="851"/>
      <c r="AH67" s="851"/>
      <c r="AI67" s="851"/>
      <c r="AJ67" s="851"/>
      <c r="AK67" s="851"/>
      <c r="AL67" s="852"/>
      <c r="AM67" s="917">
        <v>500000000</v>
      </c>
      <c r="AN67" s="712"/>
      <c r="AO67" s="712"/>
      <c r="AP67" s="712"/>
      <c r="AQ67" s="712"/>
      <c r="AR67" s="712"/>
      <c r="AS67" s="713"/>
      <c r="AT67" s="917">
        <f t="shared" si="21"/>
        <v>0</v>
      </c>
      <c r="AU67" s="712"/>
      <c r="AV67" s="712"/>
      <c r="AW67" s="713"/>
      <c r="AX67" s="917" t="s">
        <v>13</v>
      </c>
      <c r="AY67" s="712"/>
      <c r="AZ67" s="712"/>
      <c r="BA67" s="712"/>
      <c r="BB67" s="712"/>
      <c r="BC67" s="713"/>
      <c r="BD67" s="917">
        <v>25000</v>
      </c>
      <c r="BE67" s="712"/>
      <c r="BF67" s="712"/>
      <c r="BG67" s="713"/>
      <c r="BH67" s="917">
        <v>2</v>
      </c>
      <c r="BI67" s="994"/>
      <c r="BJ67" s="994"/>
      <c r="BK67" s="994"/>
      <c r="BL67" s="995"/>
      <c r="BN67" s="881">
        <v>63</v>
      </c>
      <c r="BO67" s="882"/>
      <c r="BP67" s="883"/>
      <c r="BT67" s="746"/>
      <c r="BU67" s="747"/>
      <c r="BV67" s="784" t="str">
        <f>IF(BT67="","-",(IF(INDEX($A$5:$BP$257,MATCH(BT67,$BN$5:$BN$257,0),50)="Aço Inoxidável",('Densidade do AR'!$S$8*1000000),IF(INDEX($A$5:$BP$257,MATCH(BT67,$BN$5:$BN$257,0),50)="Ferro Fundido",('Densidade do AR'!$S$12*1000000),IF(INDEX($A$5:$BP$257,MATCH(BT67,$BN$5:$BN$257,0),50)="Latão",('Densidade do AR'!$S$10*1000000),IF(INDEX($A$5:$BP$257,MATCH(BT67,$BN$5:$BN$257,0),50)="Alumínio",('Densidade do AR'!$S$4*1000000)))))))</f>
        <v>-</v>
      </c>
      <c r="BW67" s="785"/>
      <c r="BX67" s="785"/>
      <c r="BY67" s="786"/>
      <c r="BZ67" s="787" t="str">
        <f t="shared" si="9"/>
        <v>-</v>
      </c>
      <c r="CA67" s="788"/>
      <c r="CB67" s="788"/>
      <c r="CC67" s="789"/>
      <c r="CD67" s="787" t="str">
        <f t="shared" si="1"/>
        <v>-</v>
      </c>
      <c r="CE67" s="788"/>
      <c r="CF67" s="788"/>
      <c r="CG67" s="789"/>
      <c r="CH67" s="790" t="str">
        <f t="shared" si="10"/>
        <v>-</v>
      </c>
      <c r="CI67" s="785"/>
      <c r="CJ67" s="785"/>
      <c r="CK67" s="786"/>
      <c r="CL67" s="790" t="str">
        <f t="shared" si="2"/>
        <v>-</v>
      </c>
      <c r="CM67" s="785"/>
      <c r="CN67" s="785"/>
      <c r="CO67" s="786"/>
      <c r="CP67" s="790" t="str">
        <f>IF(BT67="","-",INDEX($A$5:$BP$257,MATCH(BT67,$BN$5:$BN$257,0),39)*(IF(BT67="","-",(1+(((-('Densidade do AR'!$M$4))+('Densidade do AR'!$T$15*1000000))/(IF(INDEX($A$5:$BP$257,MATCH(BT67,$BN$5:$BN$257,0),50)="Aço Inoxidável",('Densidade do AR'!$S$8*1000000),IF(INDEX($A$5:$BP$257,MATCH(BT67,$BN$5:$BN$257,0),50)="Ferro Fundido",('Densidade do AR'!$S$12*1000000),IF(INDEX($A$5:$BP$257,MATCH(BT67,$BN$5:$BN$257,0),50)="Latão",('Densidade do AR'!$S$10*1000000),IF(INDEX($A$5:$BP$257,MATCH(BT67,$BN$5:$BN$257,0),50)="Alumínio",('Densidade do AR'!$S$4*1000000)))))))-(((-('Densidade do AR'!$M$4))+('Densidade do AR'!$T$15*1000000))/('Densidade do AR'!$S$14*1000000))))))</f>
        <v>-</v>
      </c>
      <c r="CQ67" s="785"/>
      <c r="CR67" s="785"/>
      <c r="CS67" s="791"/>
      <c r="CT67" s="91" t="str">
        <f t="shared" si="11"/>
        <v>-</v>
      </c>
      <c r="CU67" s="746"/>
      <c r="CV67" s="747"/>
      <c r="CW67" s="784" t="str">
        <f>IF(CU67="","-",(IF(INDEX($A$5:$BP$257,MATCH(CU67,$BN$5:$BN$257,0),50)="Aço Inoxidável",('Densidade do AR'!$S$8*1000000),IF(INDEX($A$5:$BP$257,MATCH(CU67,$BN$5:$BN$257,0),50)="Ferro Fundido",('Densidade do AR'!$S$12*1000000),IF(INDEX($A$5:$BP$257,MATCH(CU67,$BN$5:$BN$257,0),50)="Latão",('Densidade do AR'!$S$10*1000000),IF(INDEX($A$5:$BP$257,MATCH(CU67,$BN$5:$BN$257,0),50)="Alumínio",('Densidade do AR'!$S$4*1000000)))))))</f>
        <v>-</v>
      </c>
      <c r="CX67" s="785"/>
      <c r="CY67" s="785"/>
      <c r="CZ67" s="786"/>
      <c r="DA67" s="787" t="str">
        <f t="shared" si="12"/>
        <v>-</v>
      </c>
      <c r="DB67" s="788"/>
      <c r="DC67" s="788"/>
      <c r="DD67" s="789"/>
      <c r="DE67" s="787" t="str">
        <f t="shared" si="3"/>
        <v>-</v>
      </c>
      <c r="DF67" s="788"/>
      <c r="DG67" s="788"/>
      <c r="DH67" s="789"/>
      <c r="DI67" s="790" t="str">
        <f t="shared" si="13"/>
        <v>-</v>
      </c>
      <c r="DJ67" s="785"/>
      <c r="DK67" s="785"/>
      <c r="DL67" s="786"/>
      <c r="DM67" s="790" t="str">
        <f t="shared" si="4"/>
        <v>-</v>
      </c>
      <c r="DN67" s="785"/>
      <c r="DO67" s="785"/>
      <c r="DP67" s="786"/>
      <c r="DQ67" s="790" t="str">
        <f>IF(CU67="","-",INDEX($A$5:$BP$257,MATCH(CU67,$BN$5:$BN$257,0),39)*(IF(CU67="","-",(1+(((-('Densidade do AR'!$M$4))+('Densidade do AR'!$T$15*1000000))/(IF(INDEX($A$5:$BP$257,MATCH(CU67,$BN$5:$BN$257,0),50)="Aço Inoxidável",('Densidade do AR'!$S$8*1000000),IF(INDEX($A$5:$BP$257,MATCH(CU67,$BN$5:$BN$257,0),50)="Ferro Fundido",('Densidade do AR'!$S$12*1000000),IF(INDEX($A$5:$BP$257,MATCH(CU67,$BN$5:$BN$257,0),50)="Latão",('Densidade do AR'!$S$10*1000000),IF(INDEX($A$5:$BP$257,MATCH(CU67,$BN$5:$BN$257,0),50)="Alumínio",('Densidade do AR'!$S$4*1000000)))))))-(((-('Densidade do AR'!$M$4))+('Densidade do AR'!$T$15*1000000))/('Densidade do AR'!$S$14*1000000))))))</f>
        <v>-</v>
      </c>
      <c r="DR67" s="785"/>
      <c r="DS67" s="785"/>
      <c r="DT67" s="791"/>
      <c r="DU67" s="91" t="str">
        <f t="shared" si="14"/>
        <v>-</v>
      </c>
      <c r="DV67" s="746"/>
      <c r="DW67" s="747"/>
      <c r="DX67" s="784" t="str">
        <f>IF(DV67="","-",(IF(INDEX($A$5:$BP$257,MATCH(DV67,$BN$5:$BN$257,0),50)="Aço Inoxidável",('Densidade do AR'!$S$8*1000000),IF(INDEX($A$5:$BP$257,MATCH(DV67,$BN$5:$BN$257,0),50)="Ferro Fundido",('Densidade do AR'!$S$12*1000000),IF(INDEX($A$5:$BP$257,MATCH(DV67,$BN$5:$BN$257,0),50)="Latão",('Densidade do AR'!$S$10*1000000),IF(INDEX($A$5:$BP$257,MATCH(DV67,$BN$5:$BN$257,0),50)="Alumínio",('Densidade do AR'!$S$4*1000000)))))))</f>
        <v>-</v>
      </c>
      <c r="DY67" s="785"/>
      <c r="DZ67" s="785"/>
      <c r="EA67" s="786"/>
      <c r="EB67" s="787" t="str">
        <f t="shared" si="15"/>
        <v>-</v>
      </c>
      <c r="EC67" s="788"/>
      <c r="ED67" s="788"/>
      <c r="EE67" s="789"/>
      <c r="EF67" s="787" t="str">
        <f t="shared" si="5"/>
        <v>-</v>
      </c>
      <c r="EG67" s="788"/>
      <c r="EH67" s="788"/>
      <c r="EI67" s="789"/>
      <c r="EJ67" s="790" t="str">
        <f t="shared" si="16"/>
        <v>-</v>
      </c>
      <c r="EK67" s="785"/>
      <c r="EL67" s="785"/>
      <c r="EM67" s="786"/>
      <c r="EN67" s="790" t="str">
        <f t="shared" si="6"/>
        <v>-</v>
      </c>
      <c r="EO67" s="785"/>
      <c r="EP67" s="785"/>
      <c r="EQ67" s="786"/>
      <c r="ER67" s="790" t="str">
        <f>IF(DV67="","-",INDEX($A$5:$BP$257,MATCH(DV67,$BN$5:$BN$257,0),39)*(IF(DV67="","-",(1+(((-('Densidade do AR'!$M$4))+('Densidade do AR'!$T$15*1000000))/(IF(INDEX($A$5:$BP$257,MATCH(DV67,$BN$5:$BN$257,0),50)="Aço Inoxidável",('Densidade do AR'!$S$8*1000000),IF(INDEX($A$5:$BP$257,MATCH(DV67,$BN$5:$BN$257,0),50)="Ferro Fundido",('Densidade do AR'!$S$12*1000000),IF(INDEX($A$5:$BP$257,MATCH(DV67,$BN$5:$BN$257,0),50)="Latão",('Densidade do AR'!$S$10*1000000),IF(INDEX($A$5:$BP$257,MATCH(DV67,$BN$5:$BN$257,0),50)="Alumínio",('Densidade do AR'!$S$4*1000000)))))))-(((-('Densidade do AR'!$M$4))+('Densidade do AR'!$T$15*1000000))/('Densidade do AR'!$S$14*1000000))))))</f>
        <v>-</v>
      </c>
      <c r="ES67" s="785"/>
      <c r="ET67" s="785"/>
      <c r="EU67" s="791"/>
      <c r="EV67" s="91" t="str">
        <f t="shared" si="17"/>
        <v>-</v>
      </c>
      <c r="EW67" s="746"/>
      <c r="EX67" s="747"/>
      <c r="EY67" s="784" t="str">
        <f>IF(EW67="","-",(IF(INDEX($A$5:$BP$257,MATCH(EW67,$BN$5:$BN$257,0),50)="Aço Inoxidável",('Densidade do AR'!$S$8*1000000),IF(INDEX($A$5:$BP$257,MATCH(EW67,$BN$5:$BN$257,0),50)="Ferro Fundido",('Densidade do AR'!$S$12*1000000),IF(INDEX($A$5:$BP$257,MATCH(EW67,$BN$5:$BN$257,0),50)="Latão",('Densidade do AR'!$S$10*1000000),IF(INDEX($A$5:$BP$257,MATCH(EW67,$BN$5:$BN$257,0),50)="Alumínio",('Densidade do AR'!$S$4*1000000)))))))</f>
        <v>-</v>
      </c>
      <c r="EZ67" s="785"/>
      <c r="FA67" s="785"/>
      <c r="FB67" s="786"/>
      <c r="FC67" s="787" t="str">
        <f t="shared" si="18"/>
        <v>-</v>
      </c>
      <c r="FD67" s="788"/>
      <c r="FE67" s="788"/>
      <c r="FF67" s="789"/>
      <c r="FG67" s="787" t="str">
        <f t="shared" si="7"/>
        <v>-</v>
      </c>
      <c r="FH67" s="788"/>
      <c r="FI67" s="788"/>
      <c r="FJ67" s="789"/>
      <c r="FK67" s="790" t="str">
        <f t="shared" si="19"/>
        <v>-</v>
      </c>
      <c r="FL67" s="785"/>
      <c r="FM67" s="785"/>
      <c r="FN67" s="786"/>
      <c r="FO67" s="790" t="str">
        <f t="shared" si="8"/>
        <v>-</v>
      </c>
      <c r="FP67" s="785"/>
      <c r="FQ67" s="785"/>
      <c r="FR67" s="786"/>
      <c r="FS67" s="790" t="str">
        <f>IF(EW67="","-",INDEX($A$5:$BP$257,MATCH(EW67,$BN$5:$BN$257,0),39)*(IF(EW67="","-",(1+(((-('Densidade do AR'!$M$4))+('Densidade do AR'!$T$15*1000000))/(IF(INDEX($A$5:$BP$257,MATCH(EW67,$BN$5:$BN$257,0),50)="Aço Inoxidável",('Densidade do AR'!$S$8*1000000),IF(INDEX($A$5:$BP$257,MATCH(EW67,$BN$5:$BN$257,0),50)="Ferro Fundido",('Densidade do AR'!$S$12*1000000),IF(INDEX($A$5:$BP$257,MATCH(EW67,$BN$5:$BN$257,0),50)="Latão",('Densidade do AR'!$S$10*1000000),IF(INDEX($A$5:$BP$257,MATCH(EW67,$BN$5:$BN$257,0),50)="Alumínio",('Densidade do AR'!$S$4*1000000)))))))-(((-('Densidade do AR'!$M$4))+('Densidade do AR'!$T$15*1000000))/('Densidade do AR'!$S$14*1000000))))))</f>
        <v>-</v>
      </c>
      <c r="FT67" s="785"/>
      <c r="FU67" s="785"/>
      <c r="FV67" s="791"/>
      <c r="FW67" s="91" t="str">
        <f t="shared" si="20"/>
        <v>-</v>
      </c>
      <c r="FX67" s="135"/>
    </row>
    <row r="68" spans="1:180" x14ac:dyDescent="0.2">
      <c r="A68" s="718">
        <v>64</v>
      </c>
      <c r="B68" s="713"/>
      <c r="C68" s="719">
        <v>500000</v>
      </c>
      <c r="D68" s="709"/>
      <c r="E68" s="709"/>
      <c r="F68" s="709"/>
      <c r="G68" s="710"/>
      <c r="H68" s="940" t="s">
        <v>308</v>
      </c>
      <c r="I68" s="941"/>
      <c r="J68" s="941"/>
      <c r="K68" s="942"/>
      <c r="L68" s="719" t="s">
        <v>323</v>
      </c>
      <c r="M68" s="709"/>
      <c r="N68" s="709"/>
      <c r="O68" s="709"/>
      <c r="P68" s="938" t="s">
        <v>326</v>
      </c>
      <c r="Q68" s="882"/>
      <c r="R68" s="882"/>
      <c r="S68" s="882"/>
      <c r="T68" s="939"/>
      <c r="U68" s="897" t="s">
        <v>320</v>
      </c>
      <c r="V68" s="722"/>
      <c r="W68" s="722"/>
      <c r="X68" s="722"/>
      <c r="Y68" s="722"/>
      <c r="Z68" s="722"/>
      <c r="AA68" s="723"/>
      <c r="AB68" s="853"/>
      <c r="AC68" s="854"/>
      <c r="AD68" s="854"/>
      <c r="AE68" s="854"/>
      <c r="AF68" s="854"/>
      <c r="AG68" s="854"/>
      <c r="AH68" s="854"/>
      <c r="AI68" s="854"/>
      <c r="AJ68" s="854"/>
      <c r="AK68" s="854"/>
      <c r="AL68" s="855"/>
      <c r="AM68" s="909">
        <v>500000000</v>
      </c>
      <c r="AN68" s="712"/>
      <c r="AO68" s="712"/>
      <c r="AP68" s="712"/>
      <c r="AQ68" s="712"/>
      <c r="AR68" s="712"/>
      <c r="AS68" s="713"/>
      <c r="AT68" s="909">
        <f t="shared" si="21"/>
        <v>0</v>
      </c>
      <c r="AU68" s="712"/>
      <c r="AV68" s="712"/>
      <c r="AW68" s="713"/>
      <c r="AX68" s="908" t="s">
        <v>13</v>
      </c>
      <c r="AY68" s="712"/>
      <c r="AZ68" s="712"/>
      <c r="BA68" s="712"/>
      <c r="BB68" s="712"/>
      <c r="BC68" s="713"/>
      <c r="BD68" s="909">
        <v>25000</v>
      </c>
      <c r="BE68" s="712"/>
      <c r="BF68" s="712"/>
      <c r="BG68" s="713"/>
      <c r="BH68" s="909">
        <v>2</v>
      </c>
      <c r="BI68" s="994"/>
      <c r="BJ68" s="994"/>
      <c r="BK68" s="994"/>
      <c r="BL68" s="995"/>
      <c r="BN68" s="881">
        <v>64</v>
      </c>
      <c r="BO68" s="882"/>
      <c r="BP68" s="883"/>
      <c r="BT68" s="736"/>
      <c r="BU68" s="737"/>
      <c r="BV68" s="738" t="str">
        <f>IF(BT68="","-",(IF(INDEX($A$5:$BP$257,MATCH(BT68,$BN$5:$BN$257,0),50)="Aço Inoxidável",('Densidade do AR'!$S$8*1000000),IF(INDEX($A$5:$BP$257,MATCH(BT68,$BN$5:$BN$257,0),50)="Ferro Fundido",('Densidade do AR'!$S$12*1000000),IF(INDEX($A$5:$BP$257,MATCH(BT68,$BN$5:$BN$257,0),50)="Latão",('Densidade do AR'!$S$10*1000000),IF(INDEX($A$5:$BP$257,MATCH(BT68,$BN$5:$BN$257,0),50)="Alumínio",('Densidade do AR'!$S$4*1000000)))))))</f>
        <v>-</v>
      </c>
      <c r="BW68" s="739"/>
      <c r="BX68" s="739"/>
      <c r="BY68" s="740"/>
      <c r="BZ68" s="741" t="str">
        <f t="shared" si="9"/>
        <v>-</v>
      </c>
      <c r="CA68" s="742"/>
      <c r="CB68" s="742"/>
      <c r="CC68" s="743"/>
      <c r="CD68" s="741" t="str">
        <f t="shared" si="1"/>
        <v>-</v>
      </c>
      <c r="CE68" s="742"/>
      <c r="CF68" s="742"/>
      <c r="CG68" s="743"/>
      <c r="CH68" s="744" t="str">
        <f t="shared" si="10"/>
        <v>-</v>
      </c>
      <c r="CI68" s="739"/>
      <c r="CJ68" s="739"/>
      <c r="CK68" s="740"/>
      <c r="CL68" s="744" t="str">
        <f t="shared" si="2"/>
        <v>-</v>
      </c>
      <c r="CM68" s="739"/>
      <c r="CN68" s="739"/>
      <c r="CO68" s="740"/>
      <c r="CP68" s="744" t="str">
        <f>IF(BT68="","-",INDEX($A$5:$BP$257,MATCH(BT68,$BN$5:$BN$257,0),39)*(IF(BT68="","-",(1+(((-('Densidade do AR'!$M$4))+('Densidade do AR'!$T$15*1000000))/(IF(INDEX($A$5:$BP$257,MATCH(BT68,$BN$5:$BN$257,0),50)="Aço Inoxidável",('Densidade do AR'!$S$8*1000000),IF(INDEX($A$5:$BP$257,MATCH(BT68,$BN$5:$BN$257,0),50)="Ferro Fundido",('Densidade do AR'!$S$12*1000000),IF(INDEX($A$5:$BP$257,MATCH(BT68,$BN$5:$BN$257,0),50)="Latão",('Densidade do AR'!$S$10*1000000),IF(INDEX($A$5:$BP$257,MATCH(BT68,$BN$5:$BN$257,0),50)="Alumínio",('Densidade do AR'!$S$4*1000000)))))))-(((-('Densidade do AR'!$M$4))+('Densidade do AR'!$T$15*1000000))/('Densidade do AR'!$S$14*1000000))))))</f>
        <v>-</v>
      </c>
      <c r="CQ68" s="739"/>
      <c r="CR68" s="739"/>
      <c r="CS68" s="745"/>
      <c r="CT68" s="91" t="str">
        <f t="shared" si="11"/>
        <v>-</v>
      </c>
      <c r="CU68" s="736"/>
      <c r="CV68" s="737"/>
      <c r="CW68" s="738" t="str">
        <f>IF(CU68="","-",(IF(INDEX($A$5:$BP$257,MATCH(CU68,$BN$5:$BN$257,0),50)="Aço Inoxidável",('Densidade do AR'!$S$8*1000000),IF(INDEX($A$5:$BP$257,MATCH(CU68,$BN$5:$BN$257,0),50)="Ferro Fundido",('Densidade do AR'!$S$12*1000000),IF(INDEX($A$5:$BP$257,MATCH(CU68,$BN$5:$BN$257,0),50)="Latão",('Densidade do AR'!$S$10*1000000),IF(INDEX($A$5:$BP$257,MATCH(CU68,$BN$5:$BN$257,0),50)="Alumínio",('Densidade do AR'!$S$4*1000000)))))))</f>
        <v>-</v>
      </c>
      <c r="CX68" s="739"/>
      <c r="CY68" s="739"/>
      <c r="CZ68" s="740"/>
      <c r="DA68" s="741" t="str">
        <f t="shared" si="12"/>
        <v>-</v>
      </c>
      <c r="DB68" s="742"/>
      <c r="DC68" s="742"/>
      <c r="DD68" s="743"/>
      <c r="DE68" s="741" t="str">
        <f t="shared" si="3"/>
        <v>-</v>
      </c>
      <c r="DF68" s="742"/>
      <c r="DG68" s="742"/>
      <c r="DH68" s="743"/>
      <c r="DI68" s="744" t="str">
        <f t="shared" si="13"/>
        <v>-</v>
      </c>
      <c r="DJ68" s="739"/>
      <c r="DK68" s="739"/>
      <c r="DL68" s="740"/>
      <c r="DM68" s="744" t="str">
        <f t="shared" si="4"/>
        <v>-</v>
      </c>
      <c r="DN68" s="739"/>
      <c r="DO68" s="739"/>
      <c r="DP68" s="740"/>
      <c r="DQ68" s="744" t="str">
        <f>IF(CU68="","-",INDEX($A$5:$BP$257,MATCH(CU68,$BN$5:$BN$257,0),39)*(IF(CU68="","-",(1+(((-('Densidade do AR'!$M$4))+('Densidade do AR'!$T$15*1000000))/(IF(INDEX($A$5:$BP$257,MATCH(CU68,$BN$5:$BN$257,0),50)="Aço Inoxidável",('Densidade do AR'!$S$8*1000000),IF(INDEX($A$5:$BP$257,MATCH(CU68,$BN$5:$BN$257,0),50)="Ferro Fundido",('Densidade do AR'!$S$12*1000000),IF(INDEX($A$5:$BP$257,MATCH(CU68,$BN$5:$BN$257,0),50)="Latão",('Densidade do AR'!$S$10*1000000),IF(INDEX($A$5:$BP$257,MATCH(CU68,$BN$5:$BN$257,0),50)="Alumínio",('Densidade do AR'!$S$4*1000000)))))))-(((-('Densidade do AR'!$M$4))+('Densidade do AR'!$T$15*1000000))/('Densidade do AR'!$S$14*1000000))))))</f>
        <v>-</v>
      </c>
      <c r="DR68" s="739"/>
      <c r="DS68" s="739"/>
      <c r="DT68" s="745"/>
      <c r="DU68" s="91" t="str">
        <f t="shared" si="14"/>
        <v>-</v>
      </c>
      <c r="DV68" s="736"/>
      <c r="DW68" s="737"/>
      <c r="DX68" s="738" t="str">
        <f>IF(DV68="","-",(IF(INDEX($A$5:$BP$257,MATCH(DV68,$BN$5:$BN$257,0),50)="Aço Inoxidável",('Densidade do AR'!$S$8*1000000),IF(INDEX($A$5:$BP$257,MATCH(DV68,$BN$5:$BN$257,0),50)="Ferro Fundido",('Densidade do AR'!$S$12*1000000),IF(INDEX($A$5:$BP$257,MATCH(DV68,$BN$5:$BN$257,0),50)="Latão",('Densidade do AR'!$S$10*1000000),IF(INDEX($A$5:$BP$257,MATCH(DV68,$BN$5:$BN$257,0),50)="Alumínio",('Densidade do AR'!$S$4*1000000)))))))</f>
        <v>-</v>
      </c>
      <c r="DY68" s="739"/>
      <c r="DZ68" s="739"/>
      <c r="EA68" s="740"/>
      <c r="EB68" s="741" t="str">
        <f t="shared" si="15"/>
        <v>-</v>
      </c>
      <c r="EC68" s="742"/>
      <c r="ED68" s="742"/>
      <c r="EE68" s="743"/>
      <c r="EF68" s="741" t="str">
        <f t="shared" si="5"/>
        <v>-</v>
      </c>
      <c r="EG68" s="742"/>
      <c r="EH68" s="742"/>
      <c r="EI68" s="743"/>
      <c r="EJ68" s="744" t="str">
        <f t="shared" si="16"/>
        <v>-</v>
      </c>
      <c r="EK68" s="739"/>
      <c r="EL68" s="739"/>
      <c r="EM68" s="740"/>
      <c r="EN68" s="744" t="str">
        <f t="shared" si="6"/>
        <v>-</v>
      </c>
      <c r="EO68" s="739"/>
      <c r="EP68" s="739"/>
      <c r="EQ68" s="740"/>
      <c r="ER68" s="744" t="str">
        <f>IF(DV68="","-",INDEX($A$5:$BP$257,MATCH(DV68,$BN$5:$BN$257,0),39)*(IF(DV68="","-",(1+(((-('Densidade do AR'!$M$4))+('Densidade do AR'!$T$15*1000000))/(IF(INDEX($A$5:$BP$257,MATCH(DV68,$BN$5:$BN$257,0),50)="Aço Inoxidável",('Densidade do AR'!$S$8*1000000),IF(INDEX($A$5:$BP$257,MATCH(DV68,$BN$5:$BN$257,0),50)="Ferro Fundido",('Densidade do AR'!$S$12*1000000),IF(INDEX($A$5:$BP$257,MATCH(DV68,$BN$5:$BN$257,0),50)="Latão",('Densidade do AR'!$S$10*1000000),IF(INDEX($A$5:$BP$257,MATCH(DV68,$BN$5:$BN$257,0),50)="Alumínio",('Densidade do AR'!$S$4*1000000)))))))-(((-('Densidade do AR'!$M$4))+('Densidade do AR'!$T$15*1000000))/('Densidade do AR'!$S$14*1000000))))))</f>
        <v>-</v>
      </c>
      <c r="ES68" s="739"/>
      <c r="ET68" s="739"/>
      <c r="EU68" s="745"/>
      <c r="EV68" s="91" t="str">
        <f t="shared" si="17"/>
        <v>-</v>
      </c>
      <c r="EW68" s="736"/>
      <c r="EX68" s="737"/>
      <c r="EY68" s="738" t="str">
        <f>IF(EW68="","-",(IF(INDEX($A$5:$BP$257,MATCH(EW68,$BN$5:$BN$257,0),50)="Aço Inoxidável",('Densidade do AR'!$S$8*1000000),IF(INDEX($A$5:$BP$257,MATCH(EW68,$BN$5:$BN$257,0),50)="Ferro Fundido",('Densidade do AR'!$S$12*1000000),IF(INDEX($A$5:$BP$257,MATCH(EW68,$BN$5:$BN$257,0),50)="Latão",('Densidade do AR'!$S$10*1000000),IF(INDEX($A$5:$BP$257,MATCH(EW68,$BN$5:$BN$257,0),50)="Alumínio",('Densidade do AR'!$S$4*1000000)))))))</f>
        <v>-</v>
      </c>
      <c r="EZ68" s="739"/>
      <c r="FA68" s="739"/>
      <c r="FB68" s="740"/>
      <c r="FC68" s="741" t="str">
        <f t="shared" si="18"/>
        <v>-</v>
      </c>
      <c r="FD68" s="742"/>
      <c r="FE68" s="742"/>
      <c r="FF68" s="743"/>
      <c r="FG68" s="741" t="str">
        <f t="shared" si="7"/>
        <v>-</v>
      </c>
      <c r="FH68" s="742"/>
      <c r="FI68" s="742"/>
      <c r="FJ68" s="743"/>
      <c r="FK68" s="744" t="str">
        <f t="shared" si="19"/>
        <v>-</v>
      </c>
      <c r="FL68" s="739"/>
      <c r="FM68" s="739"/>
      <c r="FN68" s="740"/>
      <c r="FO68" s="744" t="str">
        <f t="shared" si="8"/>
        <v>-</v>
      </c>
      <c r="FP68" s="739"/>
      <c r="FQ68" s="739"/>
      <c r="FR68" s="740"/>
      <c r="FS68" s="744" t="str">
        <f>IF(EW68="","-",INDEX($A$5:$BP$257,MATCH(EW68,$BN$5:$BN$257,0),39)*(IF(EW68="","-",(1+(((-('Densidade do AR'!$M$4))+('Densidade do AR'!$T$15*1000000))/(IF(INDEX($A$5:$BP$257,MATCH(EW68,$BN$5:$BN$257,0),50)="Aço Inoxidável",('Densidade do AR'!$S$8*1000000),IF(INDEX($A$5:$BP$257,MATCH(EW68,$BN$5:$BN$257,0),50)="Ferro Fundido",('Densidade do AR'!$S$12*1000000),IF(INDEX($A$5:$BP$257,MATCH(EW68,$BN$5:$BN$257,0),50)="Latão",('Densidade do AR'!$S$10*1000000),IF(INDEX($A$5:$BP$257,MATCH(EW68,$BN$5:$BN$257,0),50)="Alumínio",('Densidade do AR'!$S$4*1000000)))))))-(((-('Densidade do AR'!$M$4))+('Densidade do AR'!$T$15*1000000))/('Densidade do AR'!$S$14*1000000))))))</f>
        <v>-</v>
      </c>
      <c r="FT68" s="739"/>
      <c r="FU68" s="739"/>
      <c r="FV68" s="745"/>
      <c r="FW68" s="91" t="str">
        <f t="shared" si="20"/>
        <v>-</v>
      </c>
      <c r="FX68" s="135"/>
    </row>
    <row r="69" spans="1:180" x14ac:dyDescent="0.2">
      <c r="A69" s="717">
        <v>65</v>
      </c>
      <c r="B69" s="713"/>
      <c r="C69" s="708">
        <v>500000</v>
      </c>
      <c r="D69" s="709"/>
      <c r="E69" s="709"/>
      <c r="F69" s="709"/>
      <c r="G69" s="710"/>
      <c r="H69" s="933" t="s">
        <v>308</v>
      </c>
      <c r="I69" s="934"/>
      <c r="J69" s="934"/>
      <c r="K69" s="935"/>
      <c r="L69" s="708" t="s">
        <v>323</v>
      </c>
      <c r="M69" s="709"/>
      <c r="N69" s="709"/>
      <c r="O69" s="709"/>
      <c r="P69" s="936" t="s">
        <v>327</v>
      </c>
      <c r="Q69" s="879"/>
      <c r="R69" s="879"/>
      <c r="S69" s="879"/>
      <c r="T69" s="937"/>
      <c r="U69" s="898" t="s">
        <v>320</v>
      </c>
      <c r="V69" s="715"/>
      <c r="W69" s="715"/>
      <c r="X69" s="715"/>
      <c r="Y69" s="715"/>
      <c r="Z69" s="715"/>
      <c r="AA69" s="716"/>
      <c r="AB69" s="850"/>
      <c r="AC69" s="851"/>
      <c r="AD69" s="851"/>
      <c r="AE69" s="851"/>
      <c r="AF69" s="851"/>
      <c r="AG69" s="851"/>
      <c r="AH69" s="851"/>
      <c r="AI69" s="851"/>
      <c r="AJ69" s="851"/>
      <c r="AK69" s="851"/>
      <c r="AL69" s="852"/>
      <c r="AM69" s="917">
        <v>499995000</v>
      </c>
      <c r="AN69" s="712"/>
      <c r="AO69" s="712"/>
      <c r="AP69" s="712"/>
      <c r="AQ69" s="712"/>
      <c r="AR69" s="712"/>
      <c r="AS69" s="713"/>
      <c r="AT69" s="917">
        <f t="shared" si="21"/>
        <v>-5000</v>
      </c>
      <c r="AU69" s="712"/>
      <c r="AV69" s="712"/>
      <c r="AW69" s="713"/>
      <c r="AX69" s="917" t="s">
        <v>13</v>
      </c>
      <c r="AY69" s="712"/>
      <c r="AZ69" s="712"/>
      <c r="BA69" s="712"/>
      <c r="BB69" s="712"/>
      <c r="BC69" s="713"/>
      <c r="BD69" s="917">
        <v>25000</v>
      </c>
      <c r="BE69" s="712"/>
      <c r="BF69" s="712"/>
      <c r="BG69" s="713"/>
      <c r="BH69" s="917">
        <v>2</v>
      </c>
      <c r="BI69" s="994"/>
      <c r="BJ69" s="994"/>
      <c r="BK69" s="994"/>
      <c r="BL69" s="995"/>
      <c r="BN69" s="878">
        <v>65</v>
      </c>
      <c r="BO69" s="879"/>
      <c r="BP69" s="880"/>
      <c r="BT69" s="746"/>
      <c r="BU69" s="747"/>
      <c r="BV69" s="784" t="str">
        <f>IF(BT69="","-",(IF(INDEX($A$5:$BP$257,MATCH(BT69,$BN$5:$BN$257,0),50)="Aço Inoxidável",('Densidade do AR'!$S$8*1000000),IF(INDEX($A$5:$BP$257,MATCH(BT69,$BN$5:$BN$257,0),50)="Ferro Fundido",('Densidade do AR'!$S$12*1000000),IF(INDEX($A$5:$BP$257,MATCH(BT69,$BN$5:$BN$257,0),50)="Latão",('Densidade do AR'!$S$10*1000000),IF(INDEX($A$5:$BP$257,MATCH(BT69,$BN$5:$BN$257,0),50)="Alumínio",('Densidade do AR'!$S$4*1000000)))))))</f>
        <v>-</v>
      </c>
      <c r="BW69" s="785"/>
      <c r="BX69" s="785"/>
      <c r="BY69" s="786"/>
      <c r="BZ69" s="787" t="str">
        <f t="shared" si="9"/>
        <v>-</v>
      </c>
      <c r="CA69" s="788"/>
      <c r="CB69" s="788"/>
      <c r="CC69" s="789"/>
      <c r="CD69" s="787" t="str">
        <f t="shared" ref="CD69:CD132" si="22">IF(BT69="","-",IF($BT$259="micrograma (µg)",(((1000*INDEX($A$5:$BP$257,MATCH(BT69,$BN$5:$BN$257,0),56)/INDEX($A$5:$BP$257,MATCH(BT69,$BN$5:$BN$257,0),60))^4)/BZ69),IF($BT$259="miligrama (mg)",(((INDEX($A$5:$BP$257,MATCH(BT69,$BN$5:$BN$257,0),56)/INDEX($A$5:$BP$257,MATCH(BT69,$BN$5:$BN$257,0),60))^4)/BZ69),IF($BT$259="grama (g)",(((INDEX($A$5:$BP$257,MATCH(BT69,$BN$5:$BN$257,0),56)/(1000*INDEX($A$5:$BP$257,MATCH(BT69,$BN$5:$BN$257,0),60)))^4)/BZ69),IF($BT$259="quilograma (kg)",(((INDEX($A$5:$BP$257,MATCH(BT69,$BN$5:$BN$257,0),56)/(1000000*INDEX($A$5:$BP$257,MATCH(BT69,$BN$5:$BN$257,0),60)))^4)/BZ69),IF($BT$259="tonelada (t)",(((INDEX($A$5:$BP$257,MATCH(BT69,$BN$5:$BN$257,0),56)/(1000000000*INDEX($A$5:$BP$257,MATCH(BT69,$BN$5:$BN$257,0),60)))^4)/BZ69)))))))</f>
        <v>-</v>
      </c>
      <c r="CE69" s="788"/>
      <c r="CF69" s="788"/>
      <c r="CG69" s="789"/>
      <c r="CH69" s="790" t="str">
        <f t="shared" si="10"/>
        <v>-</v>
      </c>
      <c r="CI69" s="785"/>
      <c r="CJ69" s="785"/>
      <c r="CK69" s="786"/>
      <c r="CL69" s="790" t="str">
        <f t="shared" ref="CL69:CL132" si="23">IF(BT69="","-",INDEX($A$5:$BP$257,MATCH(BT69,$BN$5:$BN$257,0),56)/INDEX($A$5:$BP$257,MATCH(BT69,$BN$5:$BN$257,0),60))</f>
        <v>-</v>
      </c>
      <c r="CM69" s="785"/>
      <c r="CN69" s="785"/>
      <c r="CO69" s="786"/>
      <c r="CP69" s="790" t="str">
        <f>IF(BT69="","-",INDEX($A$5:$BP$257,MATCH(BT69,$BN$5:$BN$257,0),39)*(IF(BT69="","-",(1+(((-('Densidade do AR'!$M$4))+('Densidade do AR'!$T$15*1000000))/(IF(INDEX($A$5:$BP$257,MATCH(BT69,$BN$5:$BN$257,0),50)="Aço Inoxidável",('Densidade do AR'!$S$8*1000000),IF(INDEX($A$5:$BP$257,MATCH(BT69,$BN$5:$BN$257,0),50)="Ferro Fundido",('Densidade do AR'!$S$12*1000000),IF(INDEX($A$5:$BP$257,MATCH(BT69,$BN$5:$BN$257,0),50)="Latão",('Densidade do AR'!$S$10*1000000),IF(INDEX($A$5:$BP$257,MATCH(BT69,$BN$5:$BN$257,0),50)="Alumínio",('Densidade do AR'!$S$4*1000000)))))))-(((-('Densidade do AR'!$M$4))+('Densidade do AR'!$T$15*1000000))/('Densidade do AR'!$S$14*1000000))))))</f>
        <v>-</v>
      </c>
      <c r="CQ69" s="785"/>
      <c r="CR69" s="785"/>
      <c r="CS69" s="791"/>
      <c r="CT69" s="91" t="str">
        <f t="shared" si="11"/>
        <v>-</v>
      </c>
      <c r="CU69" s="746"/>
      <c r="CV69" s="747"/>
      <c r="CW69" s="784" t="str">
        <f>IF(CU69="","-",(IF(INDEX($A$5:$BP$257,MATCH(CU69,$BN$5:$BN$257,0),50)="Aço Inoxidável",('Densidade do AR'!$S$8*1000000),IF(INDEX($A$5:$BP$257,MATCH(CU69,$BN$5:$BN$257,0),50)="Ferro Fundido",('Densidade do AR'!$S$12*1000000),IF(INDEX($A$5:$BP$257,MATCH(CU69,$BN$5:$BN$257,0),50)="Latão",('Densidade do AR'!$S$10*1000000),IF(INDEX($A$5:$BP$257,MATCH(CU69,$BN$5:$BN$257,0),50)="Alumínio",('Densidade do AR'!$S$4*1000000)))))))</f>
        <v>-</v>
      </c>
      <c r="CX69" s="785"/>
      <c r="CY69" s="785"/>
      <c r="CZ69" s="786"/>
      <c r="DA69" s="787" t="str">
        <f t="shared" si="12"/>
        <v>-</v>
      </c>
      <c r="DB69" s="788"/>
      <c r="DC69" s="788"/>
      <c r="DD69" s="789"/>
      <c r="DE69" s="787" t="str">
        <f t="shared" ref="DE69:DE132" si="24">IF(CU69="","-",IF($BT$259="micrograma (µg)",(((1000*INDEX($A$5:$BP$257,MATCH(CU69,$BN$5:$BN$257,0),56)/INDEX($A$5:$BP$257,MATCH(CU69,$BN$5:$BN$257,0),60))^4)/DA69),IF($BT$259="miligrama (mg)",(((INDEX($A$5:$BP$257,MATCH(CU69,$BN$5:$BN$257,0),56)/INDEX($A$5:$BP$257,MATCH(CU69,$BN$5:$BN$257,0),60))^4)/DA69),IF($BT$259="grama (g)",(((INDEX($A$5:$BP$257,MATCH(CU69,$BN$5:$BN$257,0),56)/(1000*INDEX($A$5:$BP$257,MATCH(CU69,$BN$5:$BN$257,0),60)))^4)/DA69),IF($BT$259="quilograma (kg)",(((INDEX($A$5:$BP$257,MATCH(CU69,$BN$5:$BN$257,0),56)/(1000000*INDEX($A$5:$BP$257,MATCH(CU69,$BN$5:$BN$257,0),60)))^4)/DA69),IF($BT$259="tonelada (t)",(((INDEX($A$5:$BP$257,MATCH(CU69,$BN$5:$BN$257,0),56)/(1000000000*INDEX($A$5:$BP$257,MATCH(CU69,$BN$5:$BN$257,0),60)))^4)/DA69)))))))</f>
        <v>-</v>
      </c>
      <c r="DF69" s="788"/>
      <c r="DG69" s="788"/>
      <c r="DH69" s="789"/>
      <c r="DI69" s="790" t="str">
        <f t="shared" si="13"/>
        <v>-</v>
      </c>
      <c r="DJ69" s="785"/>
      <c r="DK69" s="785"/>
      <c r="DL69" s="786"/>
      <c r="DM69" s="790" t="str">
        <f t="shared" ref="DM69:DM132" si="25">IF(CU69="","-",INDEX($A$5:$BP$257,MATCH(CU69,$BN$5:$BN$257,0),56)/INDEX($A$5:$BP$257,MATCH(CU69,$BN$5:$BN$257,0),60))</f>
        <v>-</v>
      </c>
      <c r="DN69" s="785"/>
      <c r="DO69" s="785"/>
      <c r="DP69" s="786"/>
      <c r="DQ69" s="790" t="str">
        <f>IF(CU69="","-",INDEX($A$5:$BP$257,MATCH(CU69,$BN$5:$BN$257,0),39)*(IF(CU69="","-",(1+(((-('Densidade do AR'!$M$4))+('Densidade do AR'!$T$15*1000000))/(IF(INDEX($A$5:$BP$257,MATCH(CU69,$BN$5:$BN$257,0),50)="Aço Inoxidável",('Densidade do AR'!$S$8*1000000),IF(INDEX($A$5:$BP$257,MATCH(CU69,$BN$5:$BN$257,0),50)="Ferro Fundido",('Densidade do AR'!$S$12*1000000),IF(INDEX($A$5:$BP$257,MATCH(CU69,$BN$5:$BN$257,0),50)="Latão",('Densidade do AR'!$S$10*1000000),IF(INDEX($A$5:$BP$257,MATCH(CU69,$BN$5:$BN$257,0),50)="Alumínio",('Densidade do AR'!$S$4*1000000)))))))-(((-('Densidade do AR'!$M$4))+('Densidade do AR'!$T$15*1000000))/('Densidade do AR'!$S$14*1000000))))))</f>
        <v>-</v>
      </c>
      <c r="DR69" s="785"/>
      <c r="DS69" s="785"/>
      <c r="DT69" s="791"/>
      <c r="DU69" s="91" t="str">
        <f t="shared" si="14"/>
        <v>-</v>
      </c>
      <c r="DV69" s="746"/>
      <c r="DW69" s="747"/>
      <c r="DX69" s="784" t="str">
        <f>IF(DV69="","-",(IF(INDEX($A$5:$BP$257,MATCH(DV69,$BN$5:$BN$257,0),50)="Aço Inoxidável",('Densidade do AR'!$S$8*1000000),IF(INDEX($A$5:$BP$257,MATCH(DV69,$BN$5:$BN$257,0),50)="Ferro Fundido",('Densidade do AR'!$S$12*1000000),IF(INDEX($A$5:$BP$257,MATCH(DV69,$BN$5:$BN$257,0),50)="Latão",('Densidade do AR'!$S$10*1000000),IF(INDEX($A$5:$BP$257,MATCH(DV69,$BN$5:$BN$257,0),50)="Alumínio",('Densidade do AR'!$S$4*1000000)))))))</f>
        <v>-</v>
      </c>
      <c r="DY69" s="785"/>
      <c r="DZ69" s="785"/>
      <c r="EA69" s="786"/>
      <c r="EB69" s="787" t="str">
        <f t="shared" si="15"/>
        <v>-</v>
      </c>
      <c r="EC69" s="788"/>
      <c r="ED69" s="788"/>
      <c r="EE69" s="789"/>
      <c r="EF69" s="787" t="str">
        <f t="shared" ref="EF69:EF132" si="26">IF(DV69="","-",IF($BT$259="micrograma (µg)",(((1000*INDEX($A$5:$BP$257,MATCH(DV69,$BN$5:$BN$257,0),56)/INDEX($A$5:$BP$257,MATCH(DV69,$BN$5:$BN$257,0),60))^4)/EB69),IF($BT$259="miligrama (mg)",(((INDEX($A$5:$BP$257,MATCH(DV69,$BN$5:$BN$257,0),56)/INDEX($A$5:$BP$257,MATCH(DV69,$BN$5:$BN$257,0),60))^4)/EB69),IF($BT$259="grama (g)",(((INDEX($A$5:$BP$257,MATCH(DV69,$BN$5:$BN$257,0),56)/(1000*INDEX($A$5:$BP$257,MATCH(DV69,$BN$5:$BN$257,0),60)))^4)/EB69),IF($BT$259="quilograma (kg)",(((INDEX($A$5:$BP$257,MATCH(DV69,$BN$5:$BN$257,0),56)/(1000000*INDEX($A$5:$BP$257,MATCH(DV69,$BN$5:$BN$257,0),60)))^4)/EB69),IF($BT$259="tonelada (t)",(((INDEX($A$5:$BP$257,MATCH(DV69,$BN$5:$BN$257,0),56)/(1000000000*INDEX($A$5:$BP$257,MATCH(DV69,$BN$5:$BN$257,0),60)))^4)/EB69)))))))</f>
        <v>-</v>
      </c>
      <c r="EG69" s="788"/>
      <c r="EH69" s="788"/>
      <c r="EI69" s="789"/>
      <c r="EJ69" s="790" t="str">
        <f t="shared" si="16"/>
        <v>-</v>
      </c>
      <c r="EK69" s="785"/>
      <c r="EL69" s="785"/>
      <c r="EM69" s="786"/>
      <c r="EN69" s="790" t="str">
        <f t="shared" ref="EN69:EN132" si="27">IF(DV69="","-",INDEX($A$5:$BP$257,MATCH(DV69,$BN$5:$BN$257,0),56)/INDEX($A$5:$BP$257,MATCH(DV69,$BN$5:$BN$257,0),60))</f>
        <v>-</v>
      </c>
      <c r="EO69" s="785"/>
      <c r="EP69" s="785"/>
      <c r="EQ69" s="786"/>
      <c r="ER69" s="790" t="str">
        <f>IF(DV69="","-",INDEX($A$5:$BP$257,MATCH(DV69,$BN$5:$BN$257,0),39)*(IF(DV69="","-",(1+(((-('Densidade do AR'!$M$4))+('Densidade do AR'!$T$15*1000000))/(IF(INDEX($A$5:$BP$257,MATCH(DV69,$BN$5:$BN$257,0),50)="Aço Inoxidável",('Densidade do AR'!$S$8*1000000),IF(INDEX($A$5:$BP$257,MATCH(DV69,$BN$5:$BN$257,0),50)="Ferro Fundido",('Densidade do AR'!$S$12*1000000),IF(INDEX($A$5:$BP$257,MATCH(DV69,$BN$5:$BN$257,0),50)="Latão",('Densidade do AR'!$S$10*1000000),IF(INDEX($A$5:$BP$257,MATCH(DV69,$BN$5:$BN$257,0),50)="Alumínio",('Densidade do AR'!$S$4*1000000)))))))-(((-('Densidade do AR'!$M$4))+('Densidade do AR'!$T$15*1000000))/('Densidade do AR'!$S$14*1000000))))))</f>
        <v>-</v>
      </c>
      <c r="ES69" s="785"/>
      <c r="ET69" s="785"/>
      <c r="EU69" s="791"/>
      <c r="EV69" s="91" t="str">
        <f t="shared" si="17"/>
        <v>-</v>
      </c>
      <c r="EW69" s="746"/>
      <c r="EX69" s="747"/>
      <c r="EY69" s="784" t="str">
        <f>IF(EW69="","-",(IF(INDEX($A$5:$BP$257,MATCH(EW69,$BN$5:$BN$257,0),50)="Aço Inoxidável",('Densidade do AR'!$S$8*1000000),IF(INDEX($A$5:$BP$257,MATCH(EW69,$BN$5:$BN$257,0),50)="Ferro Fundido",('Densidade do AR'!$S$12*1000000),IF(INDEX($A$5:$BP$257,MATCH(EW69,$BN$5:$BN$257,0),50)="Latão",('Densidade do AR'!$S$10*1000000),IF(INDEX($A$5:$BP$257,MATCH(EW69,$BN$5:$BN$257,0),50)="Alumínio",('Densidade do AR'!$S$4*1000000)))))))</f>
        <v>-</v>
      </c>
      <c r="EZ69" s="785"/>
      <c r="FA69" s="785"/>
      <c r="FB69" s="786"/>
      <c r="FC69" s="787" t="str">
        <f t="shared" si="18"/>
        <v>-</v>
      </c>
      <c r="FD69" s="788"/>
      <c r="FE69" s="788"/>
      <c r="FF69" s="789"/>
      <c r="FG69" s="787" t="str">
        <f t="shared" ref="FG69:FG132" si="28">IF(EW69="","-",IF($BT$259="micrograma (µg)",(((1000*INDEX($A$5:$BP$257,MATCH(EW69,$BN$5:$BN$257,0),56)/INDEX($A$5:$BP$257,MATCH(EW69,$BN$5:$BN$257,0),60))^4)/FC69),IF($BT$259="miligrama (mg)",(((INDEX($A$5:$BP$257,MATCH(EW69,$BN$5:$BN$257,0),56)/INDEX($A$5:$BP$257,MATCH(EW69,$BN$5:$BN$257,0),60))^4)/FC69),IF($BT$259="grama (g)",(((INDEX($A$5:$BP$257,MATCH(EW69,$BN$5:$BN$257,0),56)/(1000*INDEX($A$5:$BP$257,MATCH(EW69,$BN$5:$BN$257,0),60)))^4)/FC69),IF($BT$259="quilograma (kg)",(((INDEX($A$5:$BP$257,MATCH(EW69,$BN$5:$BN$257,0),56)/(1000000*INDEX($A$5:$BP$257,MATCH(EW69,$BN$5:$BN$257,0),60)))^4)/FC69),IF($BT$259="tonelada (t)",(((INDEX($A$5:$BP$257,MATCH(EW69,$BN$5:$BN$257,0),56)/(1000000000*INDEX($A$5:$BP$257,MATCH(EW69,$BN$5:$BN$257,0),60)))^4)/FC69)))))))</f>
        <v>-</v>
      </c>
      <c r="FH69" s="788"/>
      <c r="FI69" s="788"/>
      <c r="FJ69" s="789"/>
      <c r="FK69" s="790" t="str">
        <f t="shared" si="19"/>
        <v>-</v>
      </c>
      <c r="FL69" s="785"/>
      <c r="FM69" s="785"/>
      <c r="FN69" s="786"/>
      <c r="FO69" s="790" t="str">
        <f t="shared" ref="FO69:FO132" si="29">IF(EW69="","-",INDEX($A$5:$BP$257,MATCH(EW69,$BN$5:$BN$257,0),56)/INDEX($A$5:$BP$257,MATCH(EW69,$BN$5:$BN$257,0),60))</f>
        <v>-</v>
      </c>
      <c r="FP69" s="785"/>
      <c r="FQ69" s="785"/>
      <c r="FR69" s="786"/>
      <c r="FS69" s="790" t="str">
        <f>IF(EW69="","-",INDEX($A$5:$BP$257,MATCH(EW69,$BN$5:$BN$257,0),39)*(IF(EW69="","-",(1+(((-('Densidade do AR'!$M$4))+('Densidade do AR'!$T$15*1000000))/(IF(INDEX($A$5:$BP$257,MATCH(EW69,$BN$5:$BN$257,0),50)="Aço Inoxidável",('Densidade do AR'!$S$8*1000000),IF(INDEX($A$5:$BP$257,MATCH(EW69,$BN$5:$BN$257,0),50)="Ferro Fundido",('Densidade do AR'!$S$12*1000000),IF(INDEX($A$5:$BP$257,MATCH(EW69,$BN$5:$BN$257,0),50)="Latão",('Densidade do AR'!$S$10*1000000),IF(INDEX($A$5:$BP$257,MATCH(EW69,$BN$5:$BN$257,0),50)="Alumínio",('Densidade do AR'!$S$4*1000000)))))))-(((-('Densidade do AR'!$M$4))+('Densidade do AR'!$T$15*1000000))/('Densidade do AR'!$S$14*1000000))))))</f>
        <v>-</v>
      </c>
      <c r="FT69" s="785"/>
      <c r="FU69" s="785"/>
      <c r="FV69" s="791"/>
      <c r="FW69" s="91" t="str">
        <f t="shared" si="20"/>
        <v>-</v>
      </c>
      <c r="FX69" s="135"/>
    </row>
    <row r="70" spans="1:180" x14ac:dyDescent="0.2">
      <c r="A70" s="718">
        <v>66</v>
      </c>
      <c r="B70" s="713"/>
      <c r="C70" s="719">
        <v>500000</v>
      </c>
      <c r="D70" s="709"/>
      <c r="E70" s="709"/>
      <c r="F70" s="709"/>
      <c r="G70" s="710"/>
      <c r="H70" s="940" t="s">
        <v>308</v>
      </c>
      <c r="I70" s="941"/>
      <c r="J70" s="941"/>
      <c r="K70" s="942"/>
      <c r="L70" s="719" t="s">
        <v>323</v>
      </c>
      <c r="M70" s="709"/>
      <c r="N70" s="709"/>
      <c r="O70" s="709"/>
      <c r="P70" s="938" t="s">
        <v>328</v>
      </c>
      <c r="Q70" s="882"/>
      <c r="R70" s="882"/>
      <c r="S70" s="882"/>
      <c r="T70" s="939"/>
      <c r="U70" s="897" t="s">
        <v>320</v>
      </c>
      <c r="V70" s="722"/>
      <c r="W70" s="722"/>
      <c r="X70" s="722"/>
      <c r="Y70" s="722"/>
      <c r="Z70" s="722"/>
      <c r="AA70" s="723"/>
      <c r="AB70" s="853"/>
      <c r="AC70" s="854"/>
      <c r="AD70" s="854"/>
      <c r="AE70" s="854"/>
      <c r="AF70" s="854"/>
      <c r="AG70" s="854"/>
      <c r="AH70" s="854"/>
      <c r="AI70" s="854"/>
      <c r="AJ70" s="854"/>
      <c r="AK70" s="854"/>
      <c r="AL70" s="855"/>
      <c r="AM70" s="909">
        <v>500000000</v>
      </c>
      <c r="AN70" s="712"/>
      <c r="AO70" s="712"/>
      <c r="AP70" s="712"/>
      <c r="AQ70" s="712"/>
      <c r="AR70" s="712"/>
      <c r="AS70" s="713"/>
      <c r="AT70" s="909">
        <f t="shared" si="21"/>
        <v>0</v>
      </c>
      <c r="AU70" s="712"/>
      <c r="AV70" s="712"/>
      <c r="AW70" s="713"/>
      <c r="AX70" s="908" t="s">
        <v>13</v>
      </c>
      <c r="AY70" s="712"/>
      <c r="AZ70" s="712"/>
      <c r="BA70" s="712"/>
      <c r="BB70" s="712"/>
      <c r="BC70" s="713"/>
      <c r="BD70" s="909">
        <v>25000</v>
      </c>
      <c r="BE70" s="712"/>
      <c r="BF70" s="712"/>
      <c r="BG70" s="713"/>
      <c r="BH70" s="909">
        <v>2</v>
      </c>
      <c r="BI70" s="994"/>
      <c r="BJ70" s="994"/>
      <c r="BK70" s="994"/>
      <c r="BL70" s="995"/>
      <c r="BN70" s="881">
        <v>66</v>
      </c>
      <c r="BO70" s="882"/>
      <c r="BP70" s="883"/>
      <c r="BT70" s="736"/>
      <c r="BU70" s="737"/>
      <c r="BV70" s="738" t="str">
        <f>IF(BT70="","-",(IF(INDEX($A$5:$BP$257,MATCH(BT70,$BN$5:$BN$257,0),50)="Aço Inoxidável",('Densidade do AR'!$S$8*1000000),IF(INDEX($A$5:$BP$257,MATCH(BT70,$BN$5:$BN$257,0),50)="Ferro Fundido",('Densidade do AR'!$S$12*1000000),IF(INDEX($A$5:$BP$257,MATCH(BT70,$BN$5:$BN$257,0),50)="Latão",('Densidade do AR'!$S$10*1000000),IF(INDEX($A$5:$BP$257,MATCH(BT70,$BN$5:$BN$257,0),50)="Alumínio",('Densidade do AR'!$S$4*1000000)))))))</f>
        <v>-</v>
      </c>
      <c r="BW70" s="739"/>
      <c r="BX70" s="739"/>
      <c r="BY70" s="740"/>
      <c r="BZ70" s="741" t="str">
        <f t="shared" ref="BZ70:BZ133" si="30">IF(BT70="","-",IFERROR(INDEX($A$287:$I$320,MATCH(INDEX($A$5:$BP$257,MATCH(BT70,$BN$5:$BN$257,0),60),$A$287:$A$320,0),6),IFERROR(INDEX($A$287:$I$320,MATCH(INDEX($A$5:$BP$257,MATCH(BT70,$BN$5:$BN$257,0),60),$A$287:$A$320,1),6),INDEX($A$287:$I$320,MATCH(INDEX($A$5:$BP$257,MATCH(BT70,$BN$5:$BN$257,0),60),$A$287:$A$320,-1),6))))</f>
        <v>-</v>
      </c>
      <c r="CA70" s="742"/>
      <c r="CB70" s="742"/>
      <c r="CC70" s="743"/>
      <c r="CD70" s="741" t="str">
        <f t="shared" si="22"/>
        <v>-</v>
      </c>
      <c r="CE70" s="742"/>
      <c r="CF70" s="742"/>
      <c r="CG70" s="743"/>
      <c r="CH70" s="744" t="str">
        <f t="shared" ref="CH70:CH133" si="31">IF(BT70="","-",INDEX($A$5:$BP$257,MATCH(BT70,$BN$5:$BN$257,0),28))</f>
        <v>-</v>
      </c>
      <c r="CI70" s="739"/>
      <c r="CJ70" s="739"/>
      <c r="CK70" s="740"/>
      <c r="CL70" s="744" t="str">
        <f t="shared" si="23"/>
        <v>-</v>
      </c>
      <c r="CM70" s="739"/>
      <c r="CN70" s="739"/>
      <c r="CO70" s="740"/>
      <c r="CP70" s="744" t="str">
        <f>IF(BT70="","-",INDEX($A$5:$BP$257,MATCH(BT70,$BN$5:$BN$257,0),39)*(IF(BT70="","-",(1+(((-('Densidade do AR'!$M$4))+('Densidade do AR'!$T$15*1000000))/(IF(INDEX($A$5:$BP$257,MATCH(BT70,$BN$5:$BN$257,0),50)="Aço Inoxidável",('Densidade do AR'!$S$8*1000000),IF(INDEX($A$5:$BP$257,MATCH(BT70,$BN$5:$BN$257,0),50)="Ferro Fundido",('Densidade do AR'!$S$12*1000000),IF(INDEX($A$5:$BP$257,MATCH(BT70,$BN$5:$BN$257,0),50)="Latão",('Densidade do AR'!$S$10*1000000),IF(INDEX($A$5:$BP$257,MATCH(BT70,$BN$5:$BN$257,0),50)="Alumínio",('Densidade do AR'!$S$4*1000000)))))))-(((-('Densidade do AR'!$M$4))+('Densidade do AR'!$T$15*1000000))/('Densidade do AR'!$S$14*1000000))))))</f>
        <v>-</v>
      </c>
      <c r="CQ70" s="739"/>
      <c r="CR70" s="739"/>
      <c r="CS70" s="745"/>
      <c r="CT70" s="91" t="str">
        <f t="shared" ref="CT70:CT133" si="32">IF(BT70="","-",INDEX($A$5:$BP$257,MATCH(BT70,$BN$5:$BN$257,0),16))</f>
        <v>-</v>
      </c>
      <c r="CU70" s="736"/>
      <c r="CV70" s="737"/>
      <c r="CW70" s="738" t="str">
        <f>IF(CU70="","-",(IF(INDEX($A$5:$BP$257,MATCH(CU70,$BN$5:$BN$257,0),50)="Aço Inoxidável",('Densidade do AR'!$S$8*1000000),IF(INDEX($A$5:$BP$257,MATCH(CU70,$BN$5:$BN$257,0),50)="Ferro Fundido",('Densidade do AR'!$S$12*1000000),IF(INDEX($A$5:$BP$257,MATCH(CU70,$BN$5:$BN$257,0),50)="Latão",('Densidade do AR'!$S$10*1000000),IF(INDEX($A$5:$BP$257,MATCH(CU70,$BN$5:$BN$257,0),50)="Alumínio",('Densidade do AR'!$S$4*1000000)))))))</f>
        <v>-</v>
      </c>
      <c r="CX70" s="739"/>
      <c r="CY70" s="739"/>
      <c r="CZ70" s="740"/>
      <c r="DA70" s="741" t="str">
        <f t="shared" ref="DA70:DA133" si="33">IF(CU70="","-",IFERROR(INDEX($A$287:$I$320,MATCH(INDEX($A$5:$BP$257,MATCH(CU70,$BN$5:$BN$257,0),60),$A$287:$A$320,0),6),IFERROR(INDEX($A$287:$I$320,MATCH(INDEX($A$5:$BP$257,MATCH(CU70,$BN$5:$BN$257,0),60),$A$287:$A$320,1),6),INDEX($A$287:$I$320,MATCH(INDEX($A$5:$BP$257,MATCH(CU70,$BN$5:$BN$257,0),60),$A$287:$A$320,-1),6))))</f>
        <v>-</v>
      </c>
      <c r="DB70" s="742"/>
      <c r="DC70" s="742"/>
      <c r="DD70" s="743"/>
      <c r="DE70" s="741" t="str">
        <f t="shared" si="24"/>
        <v>-</v>
      </c>
      <c r="DF70" s="742"/>
      <c r="DG70" s="742"/>
      <c r="DH70" s="743"/>
      <c r="DI70" s="744" t="str">
        <f t="shared" ref="DI70:DI133" si="34">IF(CU70="","-",INDEX($A$5:$BP$257,MATCH(CU70,$BN$5:$BN$257,0),28))</f>
        <v>-</v>
      </c>
      <c r="DJ70" s="739"/>
      <c r="DK70" s="739"/>
      <c r="DL70" s="740"/>
      <c r="DM70" s="744" t="str">
        <f t="shared" si="25"/>
        <v>-</v>
      </c>
      <c r="DN70" s="739"/>
      <c r="DO70" s="739"/>
      <c r="DP70" s="740"/>
      <c r="DQ70" s="744" t="str">
        <f>IF(CU70="","-",INDEX($A$5:$BP$257,MATCH(CU70,$BN$5:$BN$257,0),39)*(IF(CU70="","-",(1+(((-('Densidade do AR'!$M$4))+('Densidade do AR'!$T$15*1000000))/(IF(INDEX($A$5:$BP$257,MATCH(CU70,$BN$5:$BN$257,0),50)="Aço Inoxidável",('Densidade do AR'!$S$8*1000000),IF(INDEX($A$5:$BP$257,MATCH(CU70,$BN$5:$BN$257,0),50)="Ferro Fundido",('Densidade do AR'!$S$12*1000000),IF(INDEX($A$5:$BP$257,MATCH(CU70,$BN$5:$BN$257,0),50)="Latão",('Densidade do AR'!$S$10*1000000),IF(INDEX($A$5:$BP$257,MATCH(CU70,$BN$5:$BN$257,0),50)="Alumínio",('Densidade do AR'!$S$4*1000000)))))))-(((-('Densidade do AR'!$M$4))+('Densidade do AR'!$T$15*1000000))/('Densidade do AR'!$S$14*1000000))))))</f>
        <v>-</v>
      </c>
      <c r="DR70" s="739"/>
      <c r="DS70" s="739"/>
      <c r="DT70" s="745"/>
      <c r="DU70" s="91" t="str">
        <f t="shared" ref="DU70:DU133" si="35">IF(CU70="","-",INDEX($A$5:$BP$257,MATCH(CU70,$BN$5:$BN$257,0),16))</f>
        <v>-</v>
      </c>
      <c r="DV70" s="736"/>
      <c r="DW70" s="737"/>
      <c r="DX70" s="738" t="str">
        <f>IF(DV70="","-",(IF(INDEX($A$5:$BP$257,MATCH(DV70,$BN$5:$BN$257,0),50)="Aço Inoxidável",('Densidade do AR'!$S$8*1000000),IF(INDEX($A$5:$BP$257,MATCH(DV70,$BN$5:$BN$257,0),50)="Ferro Fundido",('Densidade do AR'!$S$12*1000000),IF(INDEX($A$5:$BP$257,MATCH(DV70,$BN$5:$BN$257,0),50)="Latão",('Densidade do AR'!$S$10*1000000),IF(INDEX($A$5:$BP$257,MATCH(DV70,$BN$5:$BN$257,0),50)="Alumínio",('Densidade do AR'!$S$4*1000000)))))))</f>
        <v>-</v>
      </c>
      <c r="DY70" s="739"/>
      <c r="DZ70" s="739"/>
      <c r="EA70" s="740"/>
      <c r="EB70" s="741" t="str">
        <f t="shared" ref="EB70:EB133" si="36">IF(DV70="","-",IFERROR(INDEX($A$287:$I$320,MATCH(INDEX($A$5:$BP$257,MATCH(DV70,$BN$5:$BN$257,0),60),$A$287:$A$320,0),6),IFERROR(INDEX($A$287:$I$320,MATCH(INDEX($A$5:$BP$257,MATCH(DV70,$BN$5:$BN$257,0),60),$A$287:$A$320,1),6),INDEX($A$287:$I$320,MATCH(INDEX($A$5:$BP$257,MATCH(DV70,$BN$5:$BN$257,0),60),$A$287:$A$320,-1),6))))</f>
        <v>-</v>
      </c>
      <c r="EC70" s="742"/>
      <c r="ED70" s="742"/>
      <c r="EE70" s="743"/>
      <c r="EF70" s="741" t="str">
        <f t="shared" si="26"/>
        <v>-</v>
      </c>
      <c r="EG70" s="742"/>
      <c r="EH70" s="742"/>
      <c r="EI70" s="743"/>
      <c r="EJ70" s="744" t="str">
        <f t="shared" ref="EJ70:EJ133" si="37">IF(DV70="","-",INDEX($A$5:$BP$257,MATCH(DV70,$BN$5:$BN$257,0),28))</f>
        <v>-</v>
      </c>
      <c r="EK70" s="739"/>
      <c r="EL70" s="739"/>
      <c r="EM70" s="740"/>
      <c r="EN70" s="744" t="str">
        <f t="shared" si="27"/>
        <v>-</v>
      </c>
      <c r="EO70" s="739"/>
      <c r="EP70" s="739"/>
      <c r="EQ70" s="740"/>
      <c r="ER70" s="744" t="str">
        <f>IF(DV70="","-",INDEX($A$5:$BP$257,MATCH(DV70,$BN$5:$BN$257,0),39)*(IF(DV70="","-",(1+(((-('Densidade do AR'!$M$4))+('Densidade do AR'!$T$15*1000000))/(IF(INDEX($A$5:$BP$257,MATCH(DV70,$BN$5:$BN$257,0),50)="Aço Inoxidável",('Densidade do AR'!$S$8*1000000),IF(INDEX($A$5:$BP$257,MATCH(DV70,$BN$5:$BN$257,0),50)="Ferro Fundido",('Densidade do AR'!$S$12*1000000),IF(INDEX($A$5:$BP$257,MATCH(DV70,$BN$5:$BN$257,0),50)="Latão",('Densidade do AR'!$S$10*1000000),IF(INDEX($A$5:$BP$257,MATCH(DV70,$BN$5:$BN$257,0),50)="Alumínio",('Densidade do AR'!$S$4*1000000)))))))-(((-('Densidade do AR'!$M$4))+('Densidade do AR'!$T$15*1000000))/('Densidade do AR'!$S$14*1000000))))))</f>
        <v>-</v>
      </c>
      <c r="ES70" s="739"/>
      <c r="ET70" s="739"/>
      <c r="EU70" s="745"/>
      <c r="EV70" s="91" t="str">
        <f t="shared" ref="EV70:EV133" si="38">IF(DV70="","-",INDEX($A$5:$BP$257,MATCH(DV70,$BN$5:$BN$257,0),16))</f>
        <v>-</v>
      </c>
      <c r="EW70" s="736"/>
      <c r="EX70" s="737"/>
      <c r="EY70" s="738" t="str">
        <f>IF(EW70="","-",(IF(INDEX($A$5:$BP$257,MATCH(EW70,$BN$5:$BN$257,0),50)="Aço Inoxidável",('Densidade do AR'!$S$8*1000000),IF(INDEX($A$5:$BP$257,MATCH(EW70,$BN$5:$BN$257,0),50)="Ferro Fundido",('Densidade do AR'!$S$12*1000000),IF(INDEX($A$5:$BP$257,MATCH(EW70,$BN$5:$BN$257,0),50)="Latão",('Densidade do AR'!$S$10*1000000),IF(INDEX($A$5:$BP$257,MATCH(EW70,$BN$5:$BN$257,0),50)="Alumínio",('Densidade do AR'!$S$4*1000000)))))))</f>
        <v>-</v>
      </c>
      <c r="EZ70" s="739"/>
      <c r="FA70" s="739"/>
      <c r="FB70" s="740"/>
      <c r="FC70" s="741" t="str">
        <f t="shared" ref="FC70:FC133" si="39">IF(EW70="","-",IFERROR(INDEX($A$287:$I$320,MATCH(INDEX($A$5:$BP$257,MATCH(EW70,$BN$5:$BN$257,0),60),$A$287:$A$320,0),6),IFERROR(INDEX($A$287:$I$320,MATCH(INDEX($A$5:$BP$257,MATCH(EW70,$BN$5:$BN$257,0),60),$A$287:$A$320,1),6),INDEX($A$287:$I$320,MATCH(INDEX($A$5:$BP$257,MATCH(EW70,$BN$5:$BN$257,0),60),$A$287:$A$320,-1),6))))</f>
        <v>-</v>
      </c>
      <c r="FD70" s="742"/>
      <c r="FE70" s="742"/>
      <c r="FF70" s="743"/>
      <c r="FG70" s="741" t="str">
        <f t="shared" si="28"/>
        <v>-</v>
      </c>
      <c r="FH70" s="742"/>
      <c r="FI70" s="742"/>
      <c r="FJ70" s="743"/>
      <c r="FK70" s="744" t="str">
        <f t="shared" ref="FK70:FK133" si="40">IF(EW70="","-",INDEX($A$5:$BP$257,MATCH(EW70,$BN$5:$BN$257,0),28))</f>
        <v>-</v>
      </c>
      <c r="FL70" s="739"/>
      <c r="FM70" s="739"/>
      <c r="FN70" s="740"/>
      <c r="FO70" s="744" t="str">
        <f t="shared" si="29"/>
        <v>-</v>
      </c>
      <c r="FP70" s="739"/>
      <c r="FQ70" s="739"/>
      <c r="FR70" s="740"/>
      <c r="FS70" s="744" t="str">
        <f>IF(EW70="","-",INDEX($A$5:$BP$257,MATCH(EW70,$BN$5:$BN$257,0),39)*(IF(EW70="","-",(1+(((-('Densidade do AR'!$M$4))+('Densidade do AR'!$T$15*1000000))/(IF(INDEX($A$5:$BP$257,MATCH(EW70,$BN$5:$BN$257,0),50)="Aço Inoxidável",('Densidade do AR'!$S$8*1000000),IF(INDEX($A$5:$BP$257,MATCH(EW70,$BN$5:$BN$257,0),50)="Ferro Fundido",('Densidade do AR'!$S$12*1000000),IF(INDEX($A$5:$BP$257,MATCH(EW70,$BN$5:$BN$257,0),50)="Latão",('Densidade do AR'!$S$10*1000000),IF(INDEX($A$5:$BP$257,MATCH(EW70,$BN$5:$BN$257,0),50)="Alumínio",('Densidade do AR'!$S$4*1000000)))))))-(((-('Densidade do AR'!$M$4))+('Densidade do AR'!$T$15*1000000))/('Densidade do AR'!$S$14*1000000))))))</f>
        <v>-</v>
      </c>
      <c r="FT70" s="739"/>
      <c r="FU70" s="739"/>
      <c r="FV70" s="745"/>
      <c r="FW70" s="91" t="str">
        <f t="shared" ref="FW70:FW133" si="41">IF(EW70="","-",INDEX($A$5:$BP$257,MATCH(EW70,$BN$5:$BN$257,0),16))</f>
        <v>-</v>
      </c>
      <c r="FX70" s="135"/>
    </row>
    <row r="71" spans="1:180" x14ac:dyDescent="0.2">
      <c r="A71" s="717">
        <v>67</v>
      </c>
      <c r="B71" s="713"/>
      <c r="C71" s="708">
        <v>500000</v>
      </c>
      <c r="D71" s="709"/>
      <c r="E71" s="709"/>
      <c r="F71" s="709"/>
      <c r="G71" s="710"/>
      <c r="H71" s="933" t="s">
        <v>308</v>
      </c>
      <c r="I71" s="934"/>
      <c r="J71" s="934"/>
      <c r="K71" s="935"/>
      <c r="L71" s="708" t="s">
        <v>323</v>
      </c>
      <c r="M71" s="709"/>
      <c r="N71" s="709"/>
      <c r="O71" s="709"/>
      <c r="P71" s="936" t="s">
        <v>329</v>
      </c>
      <c r="Q71" s="879"/>
      <c r="R71" s="879"/>
      <c r="S71" s="879"/>
      <c r="T71" s="937"/>
      <c r="U71" s="898" t="s">
        <v>320</v>
      </c>
      <c r="V71" s="715"/>
      <c r="W71" s="715"/>
      <c r="X71" s="715"/>
      <c r="Y71" s="715"/>
      <c r="Z71" s="715"/>
      <c r="AA71" s="716"/>
      <c r="AB71" s="850"/>
      <c r="AC71" s="851"/>
      <c r="AD71" s="851"/>
      <c r="AE71" s="851"/>
      <c r="AF71" s="851"/>
      <c r="AG71" s="851"/>
      <c r="AH71" s="851"/>
      <c r="AI71" s="851"/>
      <c r="AJ71" s="851"/>
      <c r="AK71" s="851"/>
      <c r="AL71" s="852"/>
      <c r="AM71" s="917">
        <v>500000000</v>
      </c>
      <c r="AN71" s="712"/>
      <c r="AO71" s="712"/>
      <c r="AP71" s="712"/>
      <c r="AQ71" s="712"/>
      <c r="AR71" s="712"/>
      <c r="AS71" s="713"/>
      <c r="AT71" s="917">
        <f t="shared" si="21"/>
        <v>0</v>
      </c>
      <c r="AU71" s="712"/>
      <c r="AV71" s="712"/>
      <c r="AW71" s="713"/>
      <c r="AX71" s="917" t="s">
        <v>13</v>
      </c>
      <c r="AY71" s="712"/>
      <c r="AZ71" s="712"/>
      <c r="BA71" s="712"/>
      <c r="BB71" s="712"/>
      <c r="BC71" s="713"/>
      <c r="BD71" s="917">
        <v>25000</v>
      </c>
      <c r="BE71" s="712"/>
      <c r="BF71" s="712"/>
      <c r="BG71" s="713"/>
      <c r="BH71" s="917">
        <v>2</v>
      </c>
      <c r="BI71" s="994"/>
      <c r="BJ71" s="994"/>
      <c r="BK71" s="994"/>
      <c r="BL71" s="995"/>
      <c r="BN71" s="881">
        <v>67</v>
      </c>
      <c r="BO71" s="882"/>
      <c r="BP71" s="883"/>
      <c r="BT71" s="746"/>
      <c r="BU71" s="747"/>
      <c r="BV71" s="784" t="str">
        <f>IF(BT71="","-",(IF(INDEX($A$5:$BP$257,MATCH(BT71,$BN$5:$BN$257,0),50)="Aço Inoxidável",('Densidade do AR'!$S$8*1000000),IF(INDEX($A$5:$BP$257,MATCH(BT71,$BN$5:$BN$257,0),50)="Ferro Fundido",('Densidade do AR'!$S$12*1000000),IF(INDEX($A$5:$BP$257,MATCH(BT71,$BN$5:$BN$257,0),50)="Latão",('Densidade do AR'!$S$10*1000000),IF(INDEX($A$5:$BP$257,MATCH(BT71,$BN$5:$BN$257,0),50)="Alumínio",('Densidade do AR'!$S$4*1000000)))))))</f>
        <v>-</v>
      </c>
      <c r="BW71" s="785"/>
      <c r="BX71" s="785"/>
      <c r="BY71" s="786"/>
      <c r="BZ71" s="787" t="str">
        <f t="shared" si="30"/>
        <v>-</v>
      </c>
      <c r="CA71" s="788"/>
      <c r="CB71" s="788"/>
      <c r="CC71" s="789"/>
      <c r="CD71" s="787" t="str">
        <f t="shared" si="22"/>
        <v>-</v>
      </c>
      <c r="CE71" s="788"/>
      <c r="CF71" s="788"/>
      <c r="CG71" s="789"/>
      <c r="CH71" s="790" t="str">
        <f t="shared" si="31"/>
        <v>-</v>
      </c>
      <c r="CI71" s="785"/>
      <c r="CJ71" s="785"/>
      <c r="CK71" s="786"/>
      <c r="CL71" s="790" t="str">
        <f t="shared" si="23"/>
        <v>-</v>
      </c>
      <c r="CM71" s="785"/>
      <c r="CN71" s="785"/>
      <c r="CO71" s="786"/>
      <c r="CP71" s="790" t="str">
        <f>IF(BT71="","-",INDEX($A$5:$BP$257,MATCH(BT71,$BN$5:$BN$257,0),39)*(IF(BT71="","-",(1+(((-('Densidade do AR'!$M$4))+('Densidade do AR'!$T$15*1000000))/(IF(INDEX($A$5:$BP$257,MATCH(BT71,$BN$5:$BN$257,0),50)="Aço Inoxidável",('Densidade do AR'!$S$8*1000000),IF(INDEX($A$5:$BP$257,MATCH(BT71,$BN$5:$BN$257,0),50)="Ferro Fundido",('Densidade do AR'!$S$12*1000000),IF(INDEX($A$5:$BP$257,MATCH(BT71,$BN$5:$BN$257,0),50)="Latão",('Densidade do AR'!$S$10*1000000),IF(INDEX($A$5:$BP$257,MATCH(BT71,$BN$5:$BN$257,0),50)="Alumínio",('Densidade do AR'!$S$4*1000000)))))))-(((-('Densidade do AR'!$M$4))+('Densidade do AR'!$T$15*1000000))/('Densidade do AR'!$S$14*1000000))))))</f>
        <v>-</v>
      </c>
      <c r="CQ71" s="785"/>
      <c r="CR71" s="785"/>
      <c r="CS71" s="791"/>
      <c r="CT71" s="91" t="str">
        <f t="shared" si="32"/>
        <v>-</v>
      </c>
      <c r="CU71" s="746"/>
      <c r="CV71" s="747"/>
      <c r="CW71" s="784" t="str">
        <f>IF(CU71="","-",(IF(INDEX($A$5:$BP$257,MATCH(CU71,$BN$5:$BN$257,0),50)="Aço Inoxidável",('Densidade do AR'!$S$8*1000000),IF(INDEX($A$5:$BP$257,MATCH(CU71,$BN$5:$BN$257,0),50)="Ferro Fundido",('Densidade do AR'!$S$12*1000000),IF(INDEX($A$5:$BP$257,MATCH(CU71,$BN$5:$BN$257,0),50)="Latão",('Densidade do AR'!$S$10*1000000),IF(INDEX($A$5:$BP$257,MATCH(CU71,$BN$5:$BN$257,0),50)="Alumínio",('Densidade do AR'!$S$4*1000000)))))))</f>
        <v>-</v>
      </c>
      <c r="CX71" s="785"/>
      <c r="CY71" s="785"/>
      <c r="CZ71" s="786"/>
      <c r="DA71" s="787" t="str">
        <f t="shared" si="33"/>
        <v>-</v>
      </c>
      <c r="DB71" s="788"/>
      <c r="DC71" s="788"/>
      <c r="DD71" s="789"/>
      <c r="DE71" s="787" t="str">
        <f t="shared" si="24"/>
        <v>-</v>
      </c>
      <c r="DF71" s="788"/>
      <c r="DG71" s="788"/>
      <c r="DH71" s="789"/>
      <c r="DI71" s="790" t="str">
        <f t="shared" si="34"/>
        <v>-</v>
      </c>
      <c r="DJ71" s="785"/>
      <c r="DK71" s="785"/>
      <c r="DL71" s="786"/>
      <c r="DM71" s="790" t="str">
        <f t="shared" si="25"/>
        <v>-</v>
      </c>
      <c r="DN71" s="785"/>
      <c r="DO71" s="785"/>
      <c r="DP71" s="786"/>
      <c r="DQ71" s="790" t="str">
        <f>IF(CU71="","-",INDEX($A$5:$BP$257,MATCH(CU71,$BN$5:$BN$257,0),39)*(IF(CU71="","-",(1+(((-('Densidade do AR'!$M$4))+('Densidade do AR'!$T$15*1000000))/(IF(INDEX($A$5:$BP$257,MATCH(CU71,$BN$5:$BN$257,0),50)="Aço Inoxidável",('Densidade do AR'!$S$8*1000000),IF(INDEX($A$5:$BP$257,MATCH(CU71,$BN$5:$BN$257,0),50)="Ferro Fundido",('Densidade do AR'!$S$12*1000000),IF(INDEX($A$5:$BP$257,MATCH(CU71,$BN$5:$BN$257,0),50)="Latão",('Densidade do AR'!$S$10*1000000),IF(INDEX($A$5:$BP$257,MATCH(CU71,$BN$5:$BN$257,0),50)="Alumínio",('Densidade do AR'!$S$4*1000000)))))))-(((-('Densidade do AR'!$M$4))+('Densidade do AR'!$T$15*1000000))/('Densidade do AR'!$S$14*1000000))))))</f>
        <v>-</v>
      </c>
      <c r="DR71" s="785"/>
      <c r="DS71" s="785"/>
      <c r="DT71" s="791"/>
      <c r="DU71" s="91" t="str">
        <f t="shared" si="35"/>
        <v>-</v>
      </c>
      <c r="DV71" s="746"/>
      <c r="DW71" s="747"/>
      <c r="DX71" s="784" t="str">
        <f>IF(DV71="","-",(IF(INDEX($A$5:$BP$257,MATCH(DV71,$BN$5:$BN$257,0),50)="Aço Inoxidável",('Densidade do AR'!$S$8*1000000),IF(INDEX($A$5:$BP$257,MATCH(DV71,$BN$5:$BN$257,0),50)="Ferro Fundido",('Densidade do AR'!$S$12*1000000),IF(INDEX($A$5:$BP$257,MATCH(DV71,$BN$5:$BN$257,0),50)="Latão",('Densidade do AR'!$S$10*1000000),IF(INDEX($A$5:$BP$257,MATCH(DV71,$BN$5:$BN$257,0),50)="Alumínio",('Densidade do AR'!$S$4*1000000)))))))</f>
        <v>-</v>
      </c>
      <c r="DY71" s="785"/>
      <c r="DZ71" s="785"/>
      <c r="EA71" s="786"/>
      <c r="EB71" s="787" t="str">
        <f t="shared" si="36"/>
        <v>-</v>
      </c>
      <c r="EC71" s="788"/>
      <c r="ED71" s="788"/>
      <c r="EE71" s="789"/>
      <c r="EF71" s="787" t="str">
        <f t="shared" si="26"/>
        <v>-</v>
      </c>
      <c r="EG71" s="788"/>
      <c r="EH71" s="788"/>
      <c r="EI71" s="789"/>
      <c r="EJ71" s="790" t="str">
        <f t="shared" si="37"/>
        <v>-</v>
      </c>
      <c r="EK71" s="785"/>
      <c r="EL71" s="785"/>
      <c r="EM71" s="786"/>
      <c r="EN71" s="790" t="str">
        <f t="shared" si="27"/>
        <v>-</v>
      </c>
      <c r="EO71" s="785"/>
      <c r="EP71" s="785"/>
      <c r="EQ71" s="786"/>
      <c r="ER71" s="790" t="str">
        <f>IF(DV71="","-",INDEX($A$5:$BP$257,MATCH(DV71,$BN$5:$BN$257,0),39)*(IF(DV71="","-",(1+(((-('Densidade do AR'!$M$4))+('Densidade do AR'!$T$15*1000000))/(IF(INDEX($A$5:$BP$257,MATCH(DV71,$BN$5:$BN$257,0),50)="Aço Inoxidável",('Densidade do AR'!$S$8*1000000),IF(INDEX($A$5:$BP$257,MATCH(DV71,$BN$5:$BN$257,0),50)="Ferro Fundido",('Densidade do AR'!$S$12*1000000),IF(INDEX($A$5:$BP$257,MATCH(DV71,$BN$5:$BN$257,0),50)="Latão",('Densidade do AR'!$S$10*1000000),IF(INDEX($A$5:$BP$257,MATCH(DV71,$BN$5:$BN$257,0),50)="Alumínio",('Densidade do AR'!$S$4*1000000)))))))-(((-('Densidade do AR'!$M$4))+('Densidade do AR'!$T$15*1000000))/('Densidade do AR'!$S$14*1000000))))))</f>
        <v>-</v>
      </c>
      <c r="ES71" s="785"/>
      <c r="ET71" s="785"/>
      <c r="EU71" s="791"/>
      <c r="EV71" s="91" t="str">
        <f t="shared" si="38"/>
        <v>-</v>
      </c>
      <c r="EW71" s="746"/>
      <c r="EX71" s="747"/>
      <c r="EY71" s="784" t="str">
        <f>IF(EW71="","-",(IF(INDEX($A$5:$BP$257,MATCH(EW71,$BN$5:$BN$257,0),50)="Aço Inoxidável",('Densidade do AR'!$S$8*1000000),IF(INDEX($A$5:$BP$257,MATCH(EW71,$BN$5:$BN$257,0),50)="Ferro Fundido",('Densidade do AR'!$S$12*1000000),IF(INDEX($A$5:$BP$257,MATCH(EW71,$BN$5:$BN$257,0),50)="Latão",('Densidade do AR'!$S$10*1000000),IF(INDEX($A$5:$BP$257,MATCH(EW71,$BN$5:$BN$257,0),50)="Alumínio",('Densidade do AR'!$S$4*1000000)))))))</f>
        <v>-</v>
      </c>
      <c r="EZ71" s="785"/>
      <c r="FA71" s="785"/>
      <c r="FB71" s="786"/>
      <c r="FC71" s="787" t="str">
        <f t="shared" si="39"/>
        <v>-</v>
      </c>
      <c r="FD71" s="788"/>
      <c r="FE71" s="788"/>
      <c r="FF71" s="789"/>
      <c r="FG71" s="787" t="str">
        <f t="shared" si="28"/>
        <v>-</v>
      </c>
      <c r="FH71" s="788"/>
      <c r="FI71" s="788"/>
      <c r="FJ71" s="789"/>
      <c r="FK71" s="790" t="str">
        <f t="shared" si="40"/>
        <v>-</v>
      </c>
      <c r="FL71" s="785"/>
      <c r="FM71" s="785"/>
      <c r="FN71" s="786"/>
      <c r="FO71" s="790" t="str">
        <f t="shared" si="29"/>
        <v>-</v>
      </c>
      <c r="FP71" s="785"/>
      <c r="FQ71" s="785"/>
      <c r="FR71" s="786"/>
      <c r="FS71" s="790" t="str">
        <f>IF(EW71="","-",INDEX($A$5:$BP$257,MATCH(EW71,$BN$5:$BN$257,0),39)*(IF(EW71="","-",(1+(((-('Densidade do AR'!$M$4))+('Densidade do AR'!$T$15*1000000))/(IF(INDEX($A$5:$BP$257,MATCH(EW71,$BN$5:$BN$257,0),50)="Aço Inoxidável",('Densidade do AR'!$S$8*1000000),IF(INDEX($A$5:$BP$257,MATCH(EW71,$BN$5:$BN$257,0),50)="Ferro Fundido",('Densidade do AR'!$S$12*1000000),IF(INDEX($A$5:$BP$257,MATCH(EW71,$BN$5:$BN$257,0),50)="Latão",('Densidade do AR'!$S$10*1000000),IF(INDEX($A$5:$BP$257,MATCH(EW71,$BN$5:$BN$257,0),50)="Alumínio",('Densidade do AR'!$S$4*1000000)))))))-(((-('Densidade do AR'!$M$4))+('Densidade do AR'!$T$15*1000000))/('Densidade do AR'!$S$14*1000000))))))</f>
        <v>-</v>
      </c>
      <c r="FT71" s="785"/>
      <c r="FU71" s="785"/>
      <c r="FV71" s="791"/>
      <c r="FW71" s="91" t="str">
        <f t="shared" si="41"/>
        <v>-</v>
      </c>
      <c r="FX71" s="135"/>
    </row>
    <row r="72" spans="1:180" x14ac:dyDescent="0.2">
      <c r="A72" s="718">
        <v>68</v>
      </c>
      <c r="B72" s="713"/>
      <c r="C72" s="719">
        <v>500000</v>
      </c>
      <c r="D72" s="709"/>
      <c r="E72" s="709"/>
      <c r="F72" s="709"/>
      <c r="G72" s="710"/>
      <c r="H72" s="940" t="s">
        <v>308</v>
      </c>
      <c r="I72" s="941"/>
      <c r="J72" s="941"/>
      <c r="K72" s="942"/>
      <c r="L72" s="719" t="s">
        <v>323</v>
      </c>
      <c r="M72" s="709"/>
      <c r="N72" s="709"/>
      <c r="O72" s="709"/>
      <c r="P72" s="938" t="s">
        <v>330</v>
      </c>
      <c r="Q72" s="882"/>
      <c r="R72" s="882"/>
      <c r="S72" s="882"/>
      <c r="T72" s="939"/>
      <c r="U72" s="897" t="s">
        <v>320</v>
      </c>
      <c r="V72" s="722"/>
      <c r="W72" s="722"/>
      <c r="X72" s="722"/>
      <c r="Y72" s="722"/>
      <c r="Z72" s="722"/>
      <c r="AA72" s="723"/>
      <c r="AB72" s="853"/>
      <c r="AC72" s="854"/>
      <c r="AD72" s="854"/>
      <c r="AE72" s="854"/>
      <c r="AF72" s="854"/>
      <c r="AG72" s="854"/>
      <c r="AH72" s="854"/>
      <c r="AI72" s="854"/>
      <c r="AJ72" s="854"/>
      <c r="AK72" s="854"/>
      <c r="AL72" s="855"/>
      <c r="AM72" s="909">
        <v>500000000</v>
      </c>
      <c r="AN72" s="712"/>
      <c r="AO72" s="712"/>
      <c r="AP72" s="712"/>
      <c r="AQ72" s="712"/>
      <c r="AR72" s="712"/>
      <c r="AS72" s="713"/>
      <c r="AT72" s="909">
        <f t="shared" si="21"/>
        <v>0</v>
      </c>
      <c r="AU72" s="712"/>
      <c r="AV72" s="712"/>
      <c r="AW72" s="713"/>
      <c r="AX72" s="908" t="s">
        <v>13</v>
      </c>
      <c r="AY72" s="712"/>
      <c r="AZ72" s="712"/>
      <c r="BA72" s="712"/>
      <c r="BB72" s="712"/>
      <c r="BC72" s="713"/>
      <c r="BD72" s="909">
        <v>25000</v>
      </c>
      <c r="BE72" s="712"/>
      <c r="BF72" s="712"/>
      <c r="BG72" s="713"/>
      <c r="BH72" s="909">
        <v>2</v>
      </c>
      <c r="BI72" s="994"/>
      <c r="BJ72" s="994"/>
      <c r="BK72" s="994"/>
      <c r="BL72" s="995"/>
      <c r="BN72" s="878">
        <v>68</v>
      </c>
      <c r="BO72" s="879"/>
      <c r="BP72" s="880"/>
      <c r="BT72" s="736"/>
      <c r="BU72" s="737"/>
      <c r="BV72" s="738" t="str">
        <f>IF(BT72="","-",(IF(INDEX($A$5:$BP$257,MATCH(BT72,$BN$5:$BN$257,0),50)="Aço Inoxidável",('Densidade do AR'!$S$8*1000000),IF(INDEX($A$5:$BP$257,MATCH(BT72,$BN$5:$BN$257,0),50)="Ferro Fundido",('Densidade do AR'!$S$12*1000000),IF(INDEX($A$5:$BP$257,MATCH(BT72,$BN$5:$BN$257,0),50)="Latão",('Densidade do AR'!$S$10*1000000),IF(INDEX($A$5:$BP$257,MATCH(BT72,$BN$5:$BN$257,0),50)="Alumínio",('Densidade do AR'!$S$4*1000000)))))))</f>
        <v>-</v>
      </c>
      <c r="BW72" s="739"/>
      <c r="BX72" s="739"/>
      <c r="BY72" s="740"/>
      <c r="BZ72" s="741" t="str">
        <f t="shared" si="30"/>
        <v>-</v>
      </c>
      <c r="CA72" s="742"/>
      <c r="CB72" s="742"/>
      <c r="CC72" s="743"/>
      <c r="CD72" s="741" t="str">
        <f t="shared" si="22"/>
        <v>-</v>
      </c>
      <c r="CE72" s="742"/>
      <c r="CF72" s="742"/>
      <c r="CG72" s="743"/>
      <c r="CH72" s="744" t="str">
        <f t="shared" si="31"/>
        <v>-</v>
      </c>
      <c r="CI72" s="739"/>
      <c r="CJ72" s="739"/>
      <c r="CK72" s="740"/>
      <c r="CL72" s="744" t="str">
        <f t="shared" si="23"/>
        <v>-</v>
      </c>
      <c r="CM72" s="739"/>
      <c r="CN72" s="739"/>
      <c r="CO72" s="740"/>
      <c r="CP72" s="744" t="str">
        <f>IF(BT72="","-",INDEX($A$5:$BP$257,MATCH(BT72,$BN$5:$BN$257,0),39)*(IF(BT72="","-",(1+(((-('Densidade do AR'!$M$4))+('Densidade do AR'!$T$15*1000000))/(IF(INDEX($A$5:$BP$257,MATCH(BT72,$BN$5:$BN$257,0),50)="Aço Inoxidável",('Densidade do AR'!$S$8*1000000),IF(INDEX($A$5:$BP$257,MATCH(BT72,$BN$5:$BN$257,0),50)="Ferro Fundido",('Densidade do AR'!$S$12*1000000),IF(INDEX($A$5:$BP$257,MATCH(BT72,$BN$5:$BN$257,0),50)="Latão",('Densidade do AR'!$S$10*1000000),IF(INDEX($A$5:$BP$257,MATCH(BT72,$BN$5:$BN$257,0),50)="Alumínio",('Densidade do AR'!$S$4*1000000)))))))-(((-('Densidade do AR'!$M$4))+('Densidade do AR'!$T$15*1000000))/('Densidade do AR'!$S$14*1000000))))))</f>
        <v>-</v>
      </c>
      <c r="CQ72" s="739"/>
      <c r="CR72" s="739"/>
      <c r="CS72" s="745"/>
      <c r="CT72" s="91" t="str">
        <f t="shared" si="32"/>
        <v>-</v>
      </c>
      <c r="CU72" s="736"/>
      <c r="CV72" s="737"/>
      <c r="CW72" s="738" t="str">
        <f>IF(CU72="","-",(IF(INDEX($A$5:$BP$257,MATCH(CU72,$BN$5:$BN$257,0),50)="Aço Inoxidável",('Densidade do AR'!$S$8*1000000),IF(INDEX($A$5:$BP$257,MATCH(CU72,$BN$5:$BN$257,0),50)="Ferro Fundido",('Densidade do AR'!$S$12*1000000),IF(INDEX($A$5:$BP$257,MATCH(CU72,$BN$5:$BN$257,0),50)="Latão",('Densidade do AR'!$S$10*1000000),IF(INDEX($A$5:$BP$257,MATCH(CU72,$BN$5:$BN$257,0),50)="Alumínio",('Densidade do AR'!$S$4*1000000)))))))</f>
        <v>-</v>
      </c>
      <c r="CX72" s="739"/>
      <c r="CY72" s="739"/>
      <c r="CZ72" s="740"/>
      <c r="DA72" s="741" t="str">
        <f t="shared" si="33"/>
        <v>-</v>
      </c>
      <c r="DB72" s="742"/>
      <c r="DC72" s="742"/>
      <c r="DD72" s="743"/>
      <c r="DE72" s="741" t="str">
        <f t="shared" si="24"/>
        <v>-</v>
      </c>
      <c r="DF72" s="742"/>
      <c r="DG72" s="742"/>
      <c r="DH72" s="743"/>
      <c r="DI72" s="744" t="str">
        <f t="shared" si="34"/>
        <v>-</v>
      </c>
      <c r="DJ72" s="739"/>
      <c r="DK72" s="739"/>
      <c r="DL72" s="740"/>
      <c r="DM72" s="744" t="str">
        <f t="shared" si="25"/>
        <v>-</v>
      </c>
      <c r="DN72" s="739"/>
      <c r="DO72" s="739"/>
      <c r="DP72" s="740"/>
      <c r="DQ72" s="744" t="str">
        <f>IF(CU72="","-",INDEX($A$5:$BP$257,MATCH(CU72,$BN$5:$BN$257,0),39)*(IF(CU72="","-",(1+(((-('Densidade do AR'!$M$4))+('Densidade do AR'!$T$15*1000000))/(IF(INDEX($A$5:$BP$257,MATCH(CU72,$BN$5:$BN$257,0),50)="Aço Inoxidável",('Densidade do AR'!$S$8*1000000),IF(INDEX($A$5:$BP$257,MATCH(CU72,$BN$5:$BN$257,0),50)="Ferro Fundido",('Densidade do AR'!$S$12*1000000),IF(INDEX($A$5:$BP$257,MATCH(CU72,$BN$5:$BN$257,0),50)="Latão",('Densidade do AR'!$S$10*1000000),IF(INDEX($A$5:$BP$257,MATCH(CU72,$BN$5:$BN$257,0),50)="Alumínio",('Densidade do AR'!$S$4*1000000)))))))-(((-('Densidade do AR'!$M$4))+('Densidade do AR'!$T$15*1000000))/('Densidade do AR'!$S$14*1000000))))))</f>
        <v>-</v>
      </c>
      <c r="DR72" s="739"/>
      <c r="DS72" s="739"/>
      <c r="DT72" s="745"/>
      <c r="DU72" s="91" t="str">
        <f t="shared" si="35"/>
        <v>-</v>
      </c>
      <c r="DV72" s="736"/>
      <c r="DW72" s="737"/>
      <c r="DX72" s="738" t="str">
        <f>IF(DV72="","-",(IF(INDEX($A$5:$BP$257,MATCH(DV72,$BN$5:$BN$257,0),50)="Aço Inoxidável",('Densidade do AR'!$S$8*1000000),IF(INDEX($A$5:$BP$257,MATCH(DV72,$BN$5:$BN$257,0),50)="Ferro Fundido",('Densidade do AR'!$S$12*1000000),IF(INDEX($A$5:$BP$257,MATCH(DV72,$BN$5:$BN$257,0),50)="Latão",('Densidade do AR'!$S$10*1000000),IF(INDEX($A$5:$BP$257,MATCH(DV72,$BN$5:$BN$257,0),50)="Alumínio",('Densidade do AR'!$S$4*1000000)))))))</f>
        <v>-</v>
      </c>
      <c r="DY72" s="739"/>
      <c r="DZ72" s="739"/>
      <c r="EA72" s="740"/>
      <c r="EB72" s="741" t="str">
        <f t="shared" si="36"/>
        <v>-</v>
      </c>
      <c r="EC72" s="742"/>
      <c r="ED72" s="742"/>
      <c r="EE72" s="743"/>
      <c r="EF72" s="741" t="str">
        <f t="shared" si="26"/>
        <v>-</v>
      </c>
      <c r="EG72" s="742"/>
      <c r="EH72" s="742"/>
      <c r="EI72" s="743"/>
      <c r="EJ72" s="744" t="str">
        <f t="shared" si="37"/>
        <v>-</v>
      </c>
      <c r="EK72" s="739"/>
      <c r="EL72" s="739"/>
      <c r="EM72" s="740"/>
      <c r="EN72" s="744" t="str">
        <f t="shared" si="27"/>
        <v>-</v>
      </c>
      <c r="EO72" s="739"/>
      <c r="EP72" s="739"/>
      <c r="EQ72" s="740"/>
      <c r="ER72" s="744" t="str">
        <f>IF(DV72="","-",INDEX($A$5:$BP$257,MATCH(DV72,$BN$5:$BN$257,0),39)*(IF(DV72="","-",(1+(((-('Densidade do AR'!$M$4))+('Densidade do AR'!$T$15*1000000))/(IF(INDEX($A$5:$BP$257,MATCH(DV72,$BN$5:$BN$257,0),50)="Aço Inoxidável",('Densidade do AR'!$S$8*1000000),IF(INDEX($A$5:$BP$257,MATCH(DV72,$BN$5:$BN$257,0),50)="Ferro Fundido",('Densidade do AR'!$S$12*1000000),IF(INDEX($A$5:$BP$257,MATCH(DV72,$BN$5:$BN$257,0),50)="Latão",('Densidade do AR'!$S$10*1000000),IF(INDEX($A$5:$BP$257,MATCH(DV72,$BN$5:$BN$257,0),50)="Alumínio",('Densidade do AR'!$S$4*1000000)))))))-(((-('Densidade do AR'!$M$4))+('Densidade do AR'!$T$15*1000000))/('Densidade do AR'!$S$14*1000000))))))</f>
        <v>-</v>
      </c>
      <c r="ES72" s="739"/>
      <c r="ET72" s="739"/>
      <c r="EU72" s="745"/>
      <c r="EV72" s="91" t="str">
        <f t="shared" si="38"/>
        <v>-</v>
      </c>
      <c r="EW72" s="736"/>
      <c r="EX72" s="737"/>
      <c r="EY72" s="738" t="str">
        <f>IF(EW72="","-",(IF(INDEX($A$5:$BP$257,MATCH(EW72,$BN$5:$BN$257,0),50)="Aço Inoxidável",('Densidade do AR'!$S$8*1000000),IF(INDEX($A$5:$BP$257,MATCH(EW72,$BN$5:$BN$257,0),50)="Ferro Fundido",('Densidade do AR'!$S$12*1000000),IF(INDEX($A$5:$BP$257,MATCH(EW72,$BN$5:$BN$257,0),50)="Latão",('Densidade do AR'!$S$10*1000000),IF(INDEX($A$5:$BP$257,MATCH(EW72,$BN$5:$BN$257,0),50)="Alumínio",('Densidade do AR'!$S$4*1000000)))))))</f>
        <v>-</v>
      </c>
      <c r="EZ72" s="739"/>
      <c r="FA72" s="739"/>
      <c r="FB72" s="740"/>
      <c r="FC72" s="741" t="str">
        <f t="shared" si="39"/>
        <v>-</v>
      </c>
      <c r="FD72" s="742"/>
      <c r="FE72" s="742"/>
      <c r="FF72" s="743"/>
      <c r="FG72" s="741" t="str">
        <f t="shared" si="28"/>
        <v>-</v>
      </c>
      <c r="FH72" s="742"/>
      <c r="FI72" s="742"/>
      <c r="FJ72" s="743"/>
      <c r="FK72" s="744" t="str">
        <f t="shared" si="40"/>
        <v>-</v>
      </c>
      <c r="FL72" s="739"/>
      <c r="FM72" s="739"/>
      <c r="FN72" s="740"/>
      <c r="FO72" s="744" t="str">
        <f t="shared" si="29"/>
        <v>-</v>
      </c>
      <c r="FP72" s="739"/>
      <c r="FQ72" s="739"/>
      <c r="FR72" s="740"/>
      <c r="FS72" s="744" t="str">
        <f>IF(EW72="","-",INDEX($A$5:$BP$257,MATCH(EW72,$BN$5:$BN$257,0),39)*(IF(EW72="","-",(1+(((-('Densidade do AR'!$M$4))+('Densidade do AR'!$T$15*1000000))/(IF(INDEX($A$5:$BP$257,MATCH(EW72,$BN$5:$BN$257,0),50)="Aço Inoxidável",('Densidade do AR'!$S$8*1000000),IF(INDEX($A$5:$BP$257,MATCH(EW72,$BN$5:$BN$257,0),50)="Ferro Fundido",('Densidade do AR'!$S$12*1000000),IF(INDEX($A$5:$BP$257,MATCH(EW72,$BN$5:$BN$257,0),50)="Latão",('Densidade do AR'!$S$10*1000000),IF(INDEX($A$5:$BP$257,MATCH(EW72,$BN$5:$BN$257,0),50)="Alumínio",('Densidade do AR'!$S$4*1000000)))))))-(((-('Densidade do AR'!$M$4))+('Densidade do AR'!$T$15*1000000))/('Densidade do AR'!$S$14*1000000))))))</f>
        <v>-</v>
      </c>
      <c r="FT72" s="739"/>
      <c r="FU72" s="739"/>
      <c r="FV72" s="745"/>
      <c r="FW72" s="91" t="str">
        <f t="shared" si="41"/>
        <v>-</v>
      </c>
      <c r="FX72" s="135"/>
    </row>
    <row r="73" spans="1:180" x14ac:dyDescent="0.2">
      <c r="A73" s="717">
        <v>69</v>
      </c>
      <c r="B73" s="713"/>
      <c r="C73" s="708">
        <v>500000</v>
      </c>
      <c r="D73" s="709"/>
      <c r="E73" s="709"/>
      <c r="F73" s="709"/>
      <c r="G73" s="710"/>
      <c r="H73" s="933" t="s">
        <v>308</v>
      </c>
      <c r="I73" s="934"/>
      <c r="J73" s="934"/>
      <c r="K73" s="935"/>
      <c r="L73" s="708" t="s">
        <v>323</v>
      </c>
      <c r="M73" s="709"/>
      <c r="N73" s="709"/>
      <c r="O73" s="709"/>
      <c r="P73" s="936" t="s">
        <v>331</v>
      </c>
      <c r="Q73" s="879"/>
      <c r="R73" s="879"/>
      <c r="S73" s="879"/>
      <c r="T73" s="937"/>
      <c r="U73" s="898" t="s">
        <v>320</v>
      </c>
      <c r="V73" s="715"/>
      <c r="W73" s="715"/>
      <c r="X73" s="715"/>
      <c r="Y73" s="715"/>
      <c r="Z73" s="715"/>
      <c r="AA73" s="716"/>
      <c r="AB73" s="850"/>
      <c r="AC73" s="851"/>
      <c r="AD73" s="851"/>
      <c r="AE73" s="851"/>
      <c r="AF73" s="851"/>
      <c r="AG73" s="851"/>
      <c r="AH73" s="851"/>
      <c r="AI73" s="851"/>
      <c r="AJ73" s="851"/>
      <c r="AK73" s="851"/>
      <c r="AL73" s="852"/>
      <c r="AM73" s="917">
        <v>499995000</v>
      </c>
      <c r="AN73" s="712"/>
      <c r="AO73" s="712"/>
      <c r="AP73" s="712"/>
      <c r="AQ73" s="712"/>
      <c r="AR73" s="712"/>
      <c r="AS73" s="713"/>
      <c r="AT73" s="917">
        <f t="shared" si="21"/>
        <v>-5000</v>
      </c>
      <c r="AU73" s="712"/>
      <c r="AV73" s="712"/>
      <c r="AW73" s="713"/>
      <c r="AX73" s="917" t="s">
        <v>13</v>
      </c>
      <c r="AY73" s="712"/>
      <c r="AZ73" s="712"/>
      <c r="BA73" s="712"/>
      <c r="BB73" s="712"/>
      <c r="BC73" s="713"/>
      <c r="BD73" s="917">
        <v>25000</v>
      </c>
      <c r="BE73" s="712"/>
      <c r="BF73" s="712"/>
      <c r="BG73" s="713"/>
      <c r="BH73" s="917">
        <v>2</v>
      </c>
      <c r="BI73" s="994"/>
      <c r="BJ73" s="994"/>
      <c r="BK73" s="994"/>
      <c r="BL73" s="995"/>
      <c r="BN73" s="881">
        <v>69</v>
      </c>
      <c r="BO73" s="882"/>
      <c r="BP73" s="883"/>
      <c r="BT73" s="746"/>
      <c r="BU73" s="747"/>
      <c r="BV73" s="784" t="str">
        <f>IF(BT73="","-",(IF(INDEX($A$5:$BP$257,MATCH(BT73,$BN$5:$BN$257,0),50)="Aço Inoxidável",('Densidade do AR'!$S$8*1000000),IF(INDEX($A$5:$BP$257,MATCH(BT73,$BN$5:$BN$257,0),50)="Ferro Fundido",('Densidade do AR'!$S$12*1000000),IF(INDEX($A$5:$BP$257,MATCH(BT73,$BN$5:$BN$257,0),50)="Latão",('Densidade do AR'!$S$10*1000000),IF(INDEX($A$5:$BP$257,MATCH(BT73,$BN$5:$BN$257,0),50)="Alumínio",('Densidade do AR'!$S$4*1000000)))))))</f>
        <v>-</v>
      </c>
      <c r="BW73" s="785"/>
      <c r="BX73" s="785"/>
      <c r="BY73" s="786"/>
      <c r="BZ73" s="787" t="str">
        <f t="shared" si="30"/>
        <v>-</v>
      </c>
      <c r="CA73" s="788"/>
      <c r="CB73" s="788"/>
      <c r="CC73" s="789"/>
      <c r="CD73" s="787" t="str">
        <f t="shared" si="22"/>
        <v>-</v>
      </c>
      <c r="CE73" s="788"/>
      <c r="CF73" s="788"/>
      <c r="CG73" s="789"/>
      <c r="CH73" s="790" t="str">
        <f t="shared" si="31"/>
        <v>-</v>
      </c>
      <c r="CI73" s="785"/>
      <c r="CJ73" s="785"/>
      <c r="CK73" s="786"/>
      <c r="CL73" s="790" t="str">
        <f t="shared" si="23"/>
        <v>-</v>
      </c>
      <c r="CM73" s="785"/>
      <c r="CN73" s="785"/>
      <c r="CO73" s="786"/>
      <c r="CP73" s="790" t="str">
        <f>IF(BT73="","-",INDEX($A$5:$BP$257,MATCH(BT73,$BN$5:$BN$257,0),39)*(IF(BT73="","-",(1+(((-('Densidade do AR'!$M$4))+('Densidade do AR'!$T$15*1000000))/(IF(INDEX($A$5:$BP$257,MATCH(BT73,$BN$5:$BN$257,0),50)="Aço Inoxidável",('Densidade do AR'!$S$8*1000000),IF(INDEX($A$5:$BP$257,MATCH(BT73,$BN$5:$BN$257,0),50)="Ferro Fundido",('Densidade do AR'!$S$12*1000000),IF(INDEX($A$5:$BP$257,MATCH(BT73,$BN$5:$BN$257,0),50)="Latão",('Densidade do AR'!$S$10*1000000),IF(INDEX($A$5:$BP$257,MATCH(BT73,$BN$5:$BN$257,0),50)="Alumínio",('Densidade do AR'!$S$4*1000000)))))))-(((-('Densidade do AR'!$M$4))+('Densidade do AR'!$T$15*1000000))/('Densidade do AR'!$S$14*1000000))))))</f>
        <v>-</v>
      </c>
      <c r="CQ73" s="785"/>
      <c r="CR73" s="785"/>
      <c r="CS73" s="791"/>
      <c r="CT73" s="91" t="str">
        <f t="shared" si="32"/>
        <v>-</v>
      </c>
      <c r="CU73" s="746"/>
      <c r="CV73" s="747"/>
      <c r="CW73" s="784" t="str">
        <f>IF(CU73="","-",(IF(INDEX($A$5:$BP$257,MATCH(CU73,$BN$5:$BN$257,0),50)="Aço Inoxidável",('Densidade do AR'!$S$8*1000000),IF(INDEX($A$5:$BP$257,MATCH(CU73,$BN$5:$BN$257,0),50)="Ferro Fundido",('Densidade do AR'!$S$12*1000000),IF(INDEX($A$5:$BP$257,MATCH(CU73,$BN$5:$BN$257,0),50)="Latão",('Densidade do AR'!$S$10*1000000),IF(INDEX($A$5:$BP$257,MATCH(CU73,$BN$5:$BN$257,0),50)="Alumínio",('Densidade do AR'!$S$4*1000000)))))))</f>
        <v>-</v>
      </c>
      <c r="CX73" s="785"/>
      <c r="CY73" s="785"/>
      <c r="CZ73" s="786"/>
      <c r="DA73" s="787" t="str">
        <f t="shared" si="33"/>
        <v>-</v>
      </c>
      <c r="DB73" s="788"/>
      <c r="DC73" s="788"/>
      <c r="DD73" s="789"/>
      <c r="DE73" s="787" t="str">
        <f t="shared" si="24"/>
        <v>-</v>
      </c>
      <c r="DF73" s="788"/>
      <c r="DG73" s="788"/>
      <c r="DH73" s="789"/>
      <c r="DI73" s="790" t="str">
        <f t="shared" si="34"/>
        <v>-</v>
      </c>
      <c r="DJ73" s="785"/>
      <c r="DK73" s="785"/>
      <c r="DL73" s="786"/>
      <c r="DM73" s="790" t="str">
        <f t="shared" si="25"/>
        <v>-</v>
      </c>
      <c r="DN73" s="785"/>
      <c r="DO73" s="785"/>
      <c r="DP73" s="786"/>
      <c r="DQ73" s="790" t="str">
        <f>IF(CU73="","-",INDEX($A$5:$BP$257,MATCH(CU73,$BN$5:$BN$257,0),39)*(IF(CU73="","-",(1+(((-('Densidade do AR'!$M$4))+('Densidade do AR'!$T$15*1000000))/(IF(INDEX($A$5:$BP$257,MATCH(CU73,$BN$5:$BN$257,0),50)="Aço Inoxidável",('Densidade do AR'!$S$8*1000000),IF(INDEX($A$5:$BP$257,MATCH(CU73,$BN$5:$BN$257,0),50)="Ferro Fundido",('Densidade do AR'!$S$12*1000000),IF(INDEX($A$5:$BP$257,MATCH(CU73,$BN$5:$BN$257,0),50)="Latão",('Densidade do AR'!$S$10*1000000),IF(INDEX($A$5:$BP$257,MATCH(CU73,$BN$5:$BN$257,0),50)="Alumínio",('Densidade do AR'!$S$4*1000000)))))))-(((-('Densidade do AR'!$M$4))+('Densidade do AR'!$T$15*1000000))/('Densidade do AR'!$S$14*1000000))))))</f>
        <v>-</v>
      </c>
      <c r="DR73" s="785"/>
      <c r="DS73" s="785"/>
      <c r="DT73" s="791"/>
      <c r="DU73" s="91" t="str">
        <f t="shared" si="35"/>
        <v>-</v>
      </c>
      <c r="DV73" s="746"/>
      <c r="DW73" s="747"/>
      <c r="DX73" s="784" t="str">
        <f>IF(DV73="","-",(IF(INDEX($A$5:$BP$257,MATCH(DV73,$BN$5:$BN$257,0),50)="Aço Inoxidável",('Densidade do AR'!$S$8*1000000),IF(INDEX($A$5:$BP$257,MATCH(DV73,$BN$5:$BN$257,0),50)="Ferro Fundido",('Densidade do AR'!$S$12*1000000),IF(INDEX($A$5:$BP$257,MATCH(DV73,$BN$5:$BN$257,0),50)="Latão",('Densidade do AR'!$S$10*1000000),IF(INDEX($A$5:$BP$257,MATCH(DV73,$BN$5:$BN$257,0),50)="Alumínio",('Densidade do AR'!$S$4*1000000)))))))</f>
        <v>-</v>
      </c>
      <c r="DY73" s="785"/>
      <c r="DZ73" s="785"/>
      <c r="EA73" s="786"/>
      <c r="EB73" s="787" t="str">
        <f t="shared" si="36"/>
        <v>-</v>
      </c>
      <c r="EC73" s="788"/>
      <c r="ED73" s="788"/>
      <c r="EE73" s="789"/>
      <c r="EF73" s="787" t="str">
        <f t="shared" si="26"/>
        <v>-</v>
      </c>
      <c r="EG73" s="788"/>
      <c r="EH73" s="788"/>
      <c r="EI73" s="789"/>
      <c r="EJ73" s="790" t="str">
        <f t="shared" si="37"/>
        <v>-</v>
      </c>
      <c r="EK73" s="785"/>
      <c r="EL73" s="785"/>
      <c r="EM73" s="786"/>
      <c r="EN73" s="790" t="str">
        <f t="shared" si="27"/>
        <v>-</v>
      </c>
      <c r="EO73" s="785"/>
      <c r="EP73" s="785"/>
      <c r="EQ73" s="786"/>
      <c r="ER73" s="790" t="str">
        <f>IF(DV73="","-",INDEX($A$5:$BP$257,MATCH(DV73,$BN$5:$BN$257,0),39)*(IF(DV73="","-",(1+(((-('Densidade do AR'!$M$4))+('Densidade do AR'!$T$15*1000000))/(IF(INDEX($A$5:$BP$257,MATCH(DV73,$BN$5:$BN$257,0),50)="Aço Inoxidável",('Densidade do AR'!$S$8*1000000),IF(INDEX($A$5:$BP$257,MATCH(DV73,$BN$5:$BN$257,0),50)="Ferro Fundido",('Densidade do AR'!$S$12*1000000),IF(INDEX($A$5:$BP$257,MATCH(DV73,$BN$5:$BN$257,0),50)="Latão",('Densidade do AR'!$S$10*1000000),IF(INDEX($A$5:$BP$257,MATCH(DV73,$BN$5:$BN$257,0),50)="Alumínio",('Densidade do AR'!$S$4*1000000)))))))-(((-('Densidade do AR'!$M$4))+('Densidade do AR'!$T$15*1000000))/('Densidade do AR'!$S$14*1000000))))))</f>
        <v>-</v>
      </c>
      <c r="ES73" s="785"/>
      <c r="ET73" s="785"/>
      <c r="EU73" s="791"/>
      <c r="EV73" s="91" t="str">
        <f t="shared" si="38"/>
        <v>-</v>
      </c>
      <c r="EW73" s="746"/>
      <c r="EX73" s="747"/>
      <c r="EY73" s="784" t="str">
        <f>IF(EW73="","-",(IF(INDEX($A$5:$BP$257,MATCH(EW73,$BN$5:$BN$257,0),50)="Aço Inoxidável",('Densidade do AR'!$S$8*1000000),IF(INDEX($A$5:$BP$257,MATCH(EW73,$BN$5:$BN$257,0),50)="Ferro Fundido",('Densidade do AR'!$S$12*1000000),IF(INDEX($A$5:$BP$257,MATCH(EW73,$BN$5:$BN$257,0),50)="Latão",('Densidade do AR'!$S$10*1000000),IF(INDEX($A$5:$BP$257,MATCH(EW73,$BN$5:$BN$257,0),50)="Alumínio",('Densidade do AR'!$S$4*1000000)))))))</f>
        <v>-</v>
      </c>
      <c r="EZ73" s="785"/>
      <c r="FA73" s="785"/>
      <c r="FB73" s="786"/>
      <c r="FC73" s="787" t="str">
        <f t="shared" si="39"/>
        <v>-</v>
      </c>
      <c r="FD73" s="788"/>
      <c r="FE73" s="788"/>
      <c r="FF73" s="789"/>
      <c r="FG73" s="787" t="str">
        <f t="shared" si="28"/>
        <v>-</v>
      </c>
      <c r="FH73" s="788"/>
      <c r="FI73" s="788"/>
      <c r="FJ73" s="789"/>
      <c r="FK73" s="790" t="str">
        <f t="shared" si="40"/>
        <v>-</v>
      </c>
      <c r="FL73" s="785"/>
      <c r="FM73" s="785"/>
      <c r="FN73" s="786"/>
      <c r="FO73" s="790" t="str">
        <f t="shared" si="29"/>
        <v>-</v>
      </c>
      <c r="FP73" s="785"/>
      <c r="FQ73" s="785"/>
      <c r="FR73" s="786"/>
      <c r="FS73" s="790" t="str">
        <f>IF(EW73="","-",INDEX($A$5:$BP$257,MATCH(EW73,$BN$5:$BN$257,0),39)*(IF(EW73="","-",(1+(((-('Densidade do AR'!$M$4))+('Densidade do AR'!$T$15*1000000))/(IF(INDEX($A$5:$BP$257,MATCH(EW73,$BN$5:$BN$257,0),50)="Aço Inoxidável",('Densidade do AR'!$S$8*1000000),IF(INDEX($A$5:$BP$257,MATCH(EW73,$BN$5:$BN$257,0),50)="Ferro Fundido",('Densidade do AR'!$S$12*1000000),IF(INDEX($A$5:$BP$257,MATCH(EW73,$BN$5:$BN$257,0),50)="Latão",('Densidade do AR'!$S$10*1000000),IF(INDEX($A$5:$BP$257,MATCH(EW73,$BN$5:$BN$257,0),50)="Alumínio",('Densidade do AR'!$S$4*1000000)))))))-(((-('Densidade do AR'!$M$4))+('Densidade do AR'!$T$15*1000000))/('Densidade do AR'!$S$14*1000000))))))</f>
        <v>-</v>
      </c>
      <c r="FT73" s="785"/>
      <c r="FU73" s="785"/>
      <c r="FV73" s="791"/>
      <c r="FW73" s="91" t="str">
        <f t="shared" si="41"/>
        <v>-</v>
      </c>
      <c r="FX73" s="135"/>
    </row>
    <row r="74" spans="1:180" x14ac:dyDescent="0.2">
      <c r="A74" s="718">
        <v>70</v>
      </c>
      <c r="B74" s="713"/>
      <c r="C74" s="719">
        <v>500000</v>
      </c>
      <c r="D74" s="709"/>
      <c r="E74" s="709"/>
      <c r="F74" s="709"/>
      <c r="G74" s="710"/>
      <c r="H74" s="940" t="s">
        <v>308</v>
      </c>
      <c r="I74" s="941"/>
      <c r="J74" s="941"/>
      <c r="K74" s="942"/>
      <c r="L74" s="719" t="s">
        <v>323</v>
      </c>
      <c r="M74" s="709"/>
      <c r="N74" s="709"/>
      <c r="O74" s="709"/>
      <c r="P74" s="938" t="s">
        <v>332</v>
      </c>
      <c r="Q74" s="882"/>
      <c r="R74" s="882"/>
      <c r="S74" s="882"/>
      <c r="T74" s="939"/>
      <c r="U74" s="897" t="s">
        <v>320</v>
      </c>
      <c r="V74" s="722"/>
      <c r="W74" s="722"/>
      <c r="X74" s="722"/>
      <c r="Y74" s="722"/>
      <c r="Z74" s="722"/>
      <c r="AA74" s="723"/>
      <c r="AB74" s="853"/>
      <c r="AC74" s="854"/>
      <c r="AD74" s="854"/>
      <c r="AE74" s="854"/>
      <c r="AF74" s="854"/>
      <c r="AG74" s="854"/>
      <c r="AH74" s="854"/>
      <c r="AI74" s="854"/>
      <c r="AJ74" s="854"/>
      <c r="AK74" s="854"/>
      <c r="AL74" s="855"/>
      <c r="AM74" s="909">
        <v>500000000</v>
      </c>
      <c r="AN74" s="712"/>
      <c r="AO74" s="712"/>
      <c r="AP74" s="712"/>
      <c r="AQ74" s="712"/>
      <c r="AR74" s="712"/>
      <c r="AS74" s="713"/>
      <c r="AT74" s="909">
        <f t="shared" si="21"/>
        <v>0</v>
      </c>
      <c r="AU74" s="712"/>
      <c r="AV74" s="712"/>
      <c r="AW74" s="713"/>
      <c r="AX74" s="908" t="s">
        <v>13</v>
      </c>
      <c r="AY74" s="712"/>
      <c r="AZ74" s="712"/>
      <c r="BA74" s="712"/>
      <c r="BB74" s="712"/>
      <c r="BC74" s="713"/>
      <c r="BD74" s="909">
        <v>25000</v>
      </c>
      <c r="BE74" s="712"/>
      <c r="BF74" s="712"/>
      <c r="BG74" s="713"/>
      <c r="BH74" s="909">
        <v>2</v>
      </c>
      <c r="BI74" s="994"/>
      <c r="BJ74" s="994"/>
      <c r="BK74" s="994"/>
      <c r="BL74" s="995"/>
      <c r="BN74" s="881">
        <v>70</v>
      </c>
      <c r="BO74" s="882"/>
      <c r="BP74" s="883"/>
      <c r="BT74" s="736"/>
      <c r="BU74" s="737"/>
      <c r="BV74" s="738" t="str">
        <f>IF(BT74="","-",(IF(INDEX($A$5:$BP$257,MATCH(BT74,$BN$5:$BN$257,0),50)="Aço Inoxidável",('Densidade do AR'!$S$8*1000000),IF(INDEX($A$5:$BP$257,MATCH(BT74,$BN$5:$BN$257,0),50)="Ferro Fundido",('Densidade do AR'!$S$12*1000000),IF(INDEX($A$5:$BP$257,MATCH(BT74,$BN$5:$BN$257,0),50)="Latão",('Densidade do AR'!$S$10*1000000),IF(INDEX($A$5:$BP$257,MATCH(BT74,$BN$5:$BN$257,0),50)="Alumínio",('Densidade do AR'!$S$4*1000000)))))))</f>
        <v>-</v>
      </c>
      <c r="BW74" s="739"/>
      <c r="BX74" s="739"/>
      <c r="BY74" s="740"/>
      <c r="BZ74" s="741" t="str">
        <f t="shared" si="30"/>
        <v>-</v>
      </c>
      <c r="CA74" s="742"/>
      <c r="CB74" s="742"/>
      <c r="CC74" s="743"/>
      <c r="CD74" s="741" t="str">
        <f t="shared" si="22"/>
        <v>-</v>
      </c>
      <c r="CE74" s="742"/>
      <c r="CF74" s="742"/>
      <c r="CG74" s="743"/>
      <c r="CH74" s="744" t="str">
        <f t="shared" si="31"/>
        <v>-</v>
      </c>
      <c r="CI74" s="739"/>
      <c r="CJ74" s="739"/>
      <c r="CK74" s="740"/>
      <c r="CL74" s="744" t="str">
        <f t="shared" si="23"/>
        <v>-</v>
      </c>
      <c r="CM74" s="739"/>
      <c r="CN74" s="739"/>
      <c r="CO74" s="740"/>
      <c r="CP74" s="744" t="str">
        <f>IF(BT74="","-",INDEX($A$5:$BP$257,MATCH(BT74,$BN$5:$BN$257,0),39)*(IF(BT74="","-",(1+(((-('Densidade do AR'!$M$4))+('Densidade do AR'!$T$15*1000000))/(IF(INDEX($A$5:$BP$257,MATCH(BT74,$BN$5:$BN$257,0),50)="Aço Inoxidável",('Densidade do AR'!$S$8*1000000),IF(INDEX($A$5:$BP$257,MATCH(BT74,$BN$5:$BN$257,0),50)="Ferro Fundido",('Densidade do AR'!$S$12*1000000),IF(INDEX($A$5:$BP$257,MATCH(BT74,$BN$5:$BN$257,0),50)="Latão",('Densidade do AR'!$S$10*1000000),IF(INDEX($A$5:$BP$257,MATCH(BT74,$BN$5:$BN$257,0),50)="Alumínio",('Densidade do AR'!$S$4*1000000)))))))-(((-('Densidade do AR'!$M$4))+('Densidade do AR'!$T$15*1000000))/('Densidade do AR'!$S$14*1000000))))))</f>
        <v>-</v>
      </c>
      <c r="CQ74" s="739"/>
      <c r="CR74" s="739"/>
      <c r="CS74" s="745"/>
      <c r="CT74" s="91" t="str">
        <f t="shared" si="32"/>
        <v>-</v>
      </c>
      <c r="CU74" s="736"/>
      <c r="CV74" s="737"/>
      <c r="CW74" s="738" t="str">
        <f>IF(CU74="","-",(IF(INDEX($A$5:$BP$257,MATCH(CU74,$BN$5:$BN$257,0),50)="Aço Inoxidável",('Densidade do AR'!$S$8*1000000),IF(INDEX($A$5:$BP$257,MATCH(CU74,$BN$5:$BN$257,0),50)="Ferro Fundido",('Densidade do AR'!$S$12*1000000),IF(INDEX($A$5:$BP$257,MATCH(CU74,$BN$5:$BN$257,0),50)="Latão",('Densidade do AR'!$S$10*1000000),IF(INDEX($A$5:$BP$257,MATCH(CU74,$BN$5:$BN$257,0),50)="Alumínio",('Densidade do AR'!$S$4*1000000)))))))</f>
        <v>-</v>
      </c>
      <c r="CX74" s="739"/>
      <c r="CY74" s="739"/>
      <c r="CZ74" s="740"/>
      <c r="DA74" s="741" t="str">
        <f t="shared" si="33"/>
        <v>-</v>
      </c>
      <c r="DB74" s="742"/>
      <c r="DC74" s="742"/>
      <c r="DD74" s="743"/>
      <c r="DE74" s="741" t="str">
        <f t="shared" si="24"/>
        <v>-</v>
      </c>
      <c r="DF74" s="742"/>
      <c r="DG74" s="742"/>
      <c r="DH74" s="743"/>
      <c r="DI74" s="744" t="str">
        <f t="shared" si="34"/>
        <v>-</v>
      </c>
      <c r="DJ74" s="739"/>
      <c r="DK74" s="739"/>
      <c r="DL74" s="740"/>
      <c r="DM74" s="744" t="str">
        <f t="shared" si="25"/>
        <v>-</v>
      </c>
      <c r="DN74" s="739"/>
      <c r="DO74" s="739"/>
      <c r="DP74" s="740"/>
      <c r="DQ74" s="744" t="str">
        <f>IF(CU74="","-",INDEX($A$5:$BP$257,MATCH(CU74,$BN$5:$BN$257,0),39)*(IF(CU74="","-",(1+(((-('Densidade do AR'!$M$4))+('Densidade do AR'!$T$15*1000000))/(IF(INDEX($A$5:$BP$257,MATCH(CU74,$BN$5:$BN$257,0),50)="Aço Inoxidável",('Densidade do AR'!$S$8*1000000),IF(INDEX($A$5:$BP$257,MATCH(CU74,$BN$5:$BN$257,0),50)="Ferro Fundido",('Densidade do AR'!$S$12*1000000),IF(INDEX($A$5:$BP$257,MATCH(CU74,$BN$5:$BN$257,0),50)="Latão",('Densidade do AR'!$S$10*1000000),IF(INDEX($A$5:$BP$257,MATCH(CU74,$BN$5:$BN$257,0),50)="Alumínio",('Densidade do AR'!$S$4*1000000)))))))-(((-('Densidade do AR'!$M$4))+('Densidade do AR'!$T$15*1000000))/('Densidade do AR'!$S$14*1000000))))))</f>
        <v>-</v>
      </c>
      <c r="DR74" s="739"/>
      <c r="DS74" s="739"/>
      <c r="DT74" s="745"/>
      <c r="DU74" s="91" t="str">
        <f t="shared" si="35"/>
        <v>-</v>
      </c>
      <c r="DV74" s="736"/>
      <c r="DW74" s="737"/>
      <c r="DX74" s="738" t="str">
        <f>IF(DV74="","-",(IF(INDEX($A$5:$BP$257,MATCH(DV74,$BN$5:$BN$257,0),50)="Aço Inoxidável",('Densidade do AR'!$S$8*1000000),IF(INDEX($A$5:$BP$257,MATCH(DV74,$BN$5:$BN$257,0),50)="Ferro Fundido",('Densidade do AR'!$S$12*1000000),IF(INDEX($A$5:$BP$257,MATCH(DV74,$BN$5:$BN$257,0),50)="Latão",('Densidade do AR'!$S$10*1000000),IF(INDEX($A$5:$BP$257,MATCH(DV74,$BN$5:$BN$257,0),50)="Alumínio",('Densidade do AR'!$S$4*1000000)))))))</f>
        <v>-</v>
      </c>
      <c r="DY74" s="739"/>
      <c r="DZ74" s="739"/>
      <c r="EA74" s="740"/>
      <c r="EB74" s="741" t="str">
        <f t="shared" si="36"/>
        <v>-</v>
      </c>
      <c r="EC74" s="742"/>
      <c r="ED74" s="742"/>
      <c r="EE74" s="743"/>
      <c r="EF74" s="741" t="str">
        <f t="shared" si="26"/>
        <v>-</v>
      </c>
      <c r="EG74" s="742"/>
      <c r="EH74" s="742"/>
      <c r="EI74" s="743"/>
      <c r="EJ74" s="744" t="str">
        <f t="shared" si="37"/>
        <v>-</v>
      </c>
      <c r="EK74" s="739"/>
      <c r="EL74" s="739"/>
      <c r="EM74" s="740"/>
      <c r="EN74" s="744" t="str">
        <f t="shared" si="27"/>
        <v>-</v>
      </c>
      <c r="EO74" s="739"/>
      <c r="EP74" s="739"/>
      <c r="EQ74" s="740"/>
      <c r="ER74" s="744" t="str">
        <f>IF(DV74="","-",INDEX($A$5:$BP$257,MATCH(DV74,$BN$5:$BN$257,0),39)*(IF(DV74="","-",(1+(((-('Densidade do AR'!$M$4))+('Densidade do AR'!$T$15*1000000))/(IF(INDEX($A$5:$BP$257,MATCH(DV74,$BN$5:$BN$257,0),50)="Aço Inoxidável",('Densidade do AR'!$S$8*1000000),IF(INDEX($A$5:$BP$257,MATCH(DV74,$BN$5:$BN$257,0),50)="Ferro Fundido",('Densidade do AR'!$S$12*1000000),IF(INDEX($A$5:$BP$257,MATCH(DV74,$BN$5:$BN$257,0),50)="Latão",('Densidade do AR'!$S$10*1000000),IF(INDEX($A$5:$BP$257,MATCH(DV74,$BN$5:$BN$257,0),50)="Alumínio",('Densidade do AR'!$S$4*1000000)))))))-(((-('Densidade do AR'!$M$4))+('Densidade do AR'!$T$15*1000000))/('Densidade do AR'!$S$14*1000000))))))</f>
        <v>-</v>
      </c>
      <c r="ES74" s="739"/>
      <c r="ET74" s="739"/>
      <c r="EU74" s="745"/>
      <c r="EV74" s="91" t="str">
        <f t="shared" si="38"/>
        <v>-</v>
      </c>
      <c r="EW74" s="736"/>
      <c r="EX74" s="737"/>
      <c r="EY74" s="738" t="str">
        <f>IF(EW74="","-",(IF(INDEX($A$5:$BP$257,MATCH(EW74,$BN$5:$BN$257,0),50)="Aço Inoxidável",('Densidade do AR'!$S$8*1000000),IF(INDEX($A$5:$BP$257,MATCH(EW74,$BN$5:$BN$257,0),50)="Ferro Fundido",('Densidade do AR'!$S$12*1000000),IF(INDEX($A$5:$BP$257,MATCH(EW74,$BN$5:$BN$257,0),50)="Latão",('Densidade do AR'!$S$10*1000000),IF(INDEX($A$5:$BP$257,MATCH(EW74,$BN$5:$BN$257,0),50)="Alumínio",('Densidade do AR'!$S$4*1000000)))))))</f>
        <v>-</v>
      </c>
      <c r="EZ74" s="739"/>
      <c r="FA74" s="739"/>
      <c r="FB74" s="740"/>
      <c r="FC74" s="741" t="str">
        <f t="shared" si="39"/>
        <v>-</v>
      </c>
      <c r="FD74" s="742"/>
      <c r="FE74" s="742"/>
      <c r="FF74" s="743"/>
      <c r="FG74" s="741" t="str">
        <f t="shared" si="28"/>
        <v>-</v>
      </c>
      <c r="FH74" s="742"/>
      <c r="FI74" s="742"/>
      <c r="FJ74" s="743"/>
      <c r="FK74" s="744" t="str">
        <f t="shared" si="40"/>
        <v>-</v>
      </c>
      <c r="FL74" s="739"/>
      <c r="FM74" s="739"/>
      <c r="FN74" s="740"/>
      <c r="FO74" s="744" t="str">
        <f t="shared" si="29"/>
        <v>-</v>
      </c>
      <c r="FP74" s="739"/>
      <c r="FQ74" s="739"/>
      <c r="FR74" s="740"/>
      <c r="FS74" s="744" t="str">
        <f>IF(EW74="","-",INDEX($A$5:$BP$257,MATCH(EW74,$BN$5:$BN$257,0),39)*(IF(EW74="","-",(1+(((-('Densidade do AR'!$M$4))+('Densidade do AR'!$T$15*1000000))/(IF(INDEX($A$5:$BP$257,MATCH(EW74,$BN$5:$BN$257,0),50)="Aço Inoxidável",('Densidade do AR'!$S$8*1000000),IF(INDEX($A$5:$BP$257,MATCH(EW74,$BN$5:$BN$257,0),50)="Ferro Fundido",('Densidade do AR'!$S$12*1000000),IF(INDEX($A$5:$BP$257,MATCH(EW74,$BN$5:$BN$257,0),50)="Latão",('Densidade do AR'!$S$10*1000000),IF(INDEX($A$5:$BP$257,MATCH(EW74,$BN$5:$BN$257,0),50)="Alumínio",('Densidade do AR'!$S$4*1000000)))))))-(((-('Densidade do AR'!$M$4))+('Densidade do AR'!$T$15*1000000))/('Densidade do AR'!$S$14*1000000))))))</f>
        <v>-</v>
      </c>
      <c r="FT74" s="739"/>
      <c r="FU74" s="739"/>
      <c r="FV74" s="745"/>
      <c r="FW74" s="91" t="str">
        <f t="shared" si="41"/>
        <v>-</v>
      </c>
      <c r="FX74" s="135"/>
    </row>
    <row r="75" spans="1:180" x14ac:dyDescent="0.2">
      <c r="A75" s="717">
        <v>71</v>
      </c>
      <c r="B75" s="713"/>
      <c r="C75" s="708">
        <v>500000</v>
      </c>
      <c r="D75" s="709"/>
      <c r="E75" s="709"/>
      <c r="F75" s="709"/>
      <c r="G75" s="710"/>
      <c r="H75" s="933" t="s">
        <v>308</v>
      </c>
      <c r="I75" s="934"/>
      <c r="J75" s="934"/>
      <c r="K75" s="935"/>
      <c r="L75" s="708" t="s">
        <v>323</v>
      </c>
      <c r="M75" s="709"/>
      <c r="N75" s="709"/>
      <c r="O75" s="709"/>
      <c r="P75" s="936" t="s">
        <v>333</v>
      </c>
      <c r="Q75" s="879"/>
      <c r="R75" s="879"/>
      <c r="S75" s="879"/>
      <c r="T75" s="937"/>
      <c r="U75" s="898" t="s">
        <v>320</v>
      </c>
      <c r="V75" s="715"/>
      <c r="W75" s="715"/>
      <c r="X75" s="715"/>
      <c r="Y75" s="715"/>
      <c r="Z75" s="715"/>
      <c r="AA75" s="716"/>
      <c r="AB75" s="850"/>
      <c r="AC75" s="851"/>
      <c r="AD75" s="851"/>
      <c r="AE75" s="851"/>
      <c r="AF75" s="851"/>
      <c r="AG75" s="851"/>
      <c r="AH75" s="851"/>
      <c r="AI75" s="851"/>
      <c r="AJ75" s="851"/>
      <c r="AK75" s="851"/>
      <c r="AL75" s="852"/>
      <c r="AM75" s="917">
        <v>500005000</v>
      </c>
      <c r="AN75" s="712"/>
      <c r="AO75" s="712"/>
      <c r="AP75" s="712"/>
      <c r="AQ75" s="712"/>
      <c r="AR75" s="712"/>
      <c r="AS75" s="713"/>
      <c r="AT75" s="917">
        <f t="shared" si="21"/>
        <v>5000</v>
      </c>
      <c r="AU75" s="712"/>
      <c r="AV75" s="712"/>
      <c r="AW75" s="713"/>
      <c r="AX75" s="917" t="s">
        <v>13</v>
      </c>
      <c r="AY75" s="712"/>
      <c r="AZ75" s="712"/>
      <c r="BA75" s="712"/>
      <c r="BB75" s="712"/>
      <c r="BC75" s="713"/>
      <c r="BD75" s="917">
        <v>25000</v>
      </c>
      <c r="BE75" s="712"/>
      <c r="BF75" s="712"/>
      <c r="BG75" s="713"/>
      <c r="BH75" s="917">
        <v>2</v>
      </c>
      <c r="BI75" s="994"/>
      <c r="BJ75" s="994"/>
      <c r="BK75" s="994"/>
      <c r="BL75" s="995"/>
      <c r="BN75" s="878">
        <v>71</v>
      </c>
      <c r="BO75" s="879"/>
      <c r="BP75" s="880"/>
      <c r="BT75" s="746"/>
      <c r="BU75" s="747"/>
      <c r="BV75" s="784" t="str">
        <f>IF(BT75="","-",(IF(INDEX($A$5:$BP$257,MATCH(BT75,$BN$5:$BN$257,0),50)="Aço Inoxidável",('Densidade do AR'!$S$8*1000000),IF(INDEX($A$5:$BP$257,MATCH(BT75,$BN$5:$BN$257,0),50)="Ferro Fundido",('Densidade do AR'!$S$12*1000000),IF(INDEX($A$5:$BP$257,MATCH(BT75,$BN$5:$BN$257,0),50)="Latão",('Densidade do AR'!$S$10*1000000),IF(INDEX($A$5:$BP$257,MATCH(BT75,$BN$5:$BN$257,0),50)="Alumínio",('Densidade do AR'!$S$4*1000000)))))))</f>
        <v>-</v>
      </c>
      <c r="BW75" s="785"/>
      <c r="BX75" s="785"/>
      <c r="BY75" s="786"/>
      <c r="BZ75" s="787" t="str">
        <f t="shared" si="30"/>
        <v>-</v>
      </c>
      <c r="CA75" s="788"/>
      <c r="CB75" s="788"/>
      <c r="CC75" s="789"/>
      <c r="CD75" s="787" t="str">
        <f t="shared" si="22"/>
        <v>-</v>
      </c>
      <c r="CE75" s="788"/>
      <c r="CF75" s="788"/>
      <c r="CG75" s="789"/>
      <c r="CH75" s="790" t="str">
        <f t="shared" si="31"/>
        <v>-</v>
      </c>
      <c r="CI75" s="785"/>
      <c r="CJ75" s="785"/>
      <c r="CK75" s="786"/>
      <c r="CL75" s="790" t="str">
        <f t="shared" si="23"/>
        <v>-</v>
      </c>
      <c r="CM75" s="785"/>
      <c r="CN75" s="785"/>
      <c r="CO75" s="786"/>
      <c r="CP75" s="790" t="str">
        <f>IF(BT75="","-",INDEX($A$5:$BP$257,MATCH(BT75,$BN$5:$BN$257,0),39)*(IF(BT75="","-",(1+(((-('Densidade do AR'!$M$4))+('Densidade do AR'!$T$15*1000000))/(IF(INDEX($A$5:$BP$257,MATCH(BT75,$BN$5:$BN$257,0),50)="Aço Inoxidável",('Densidade do AR'!$S$8*1000000),IF(INDEX($A$5:$BP$257,MATCH(BT75,$BN$5:$BN$257,0),50)="Ferro Fundido",('Densidade do AR'!$S$12*1000000),IF(INDEX($A$5:$BP$257,MATCH(BT75,$BN$5:$BN$257,0),50)="Latão",('Densidade do AR'!$S$10*1000000),IF(INDEX($A$5:$BP$257,MATCH(BT75,$BN$5:$BN$257,0),50)="Alumínio",('Densidade do AR'!$S$4*1000000)))))))-(((-('Densidade do AR'!$M$4))+('Densidade do AR'!$T$15*1000000))/('Densidade do AR'!$S$14*1000000))))))</f>
        <v>-</v>
      </c>
      <c r="CQ75" s="785"/>
      <c r="CR75" s="785"/>
      <c r="CS75" s="791"/>
      <c r="CT75" s="91" t="str">
        <f t="shared" si="32"/>
        <v>-</v>
      </c>
      <c r="CU75" s="746"/>
      <c r="CV75" s="747"/>
      <c r="CW75" s="784" t="str">
        <f>IF(CU75="","-",(IF(INDEX($A$5:$BP$257,MATCH(CU75,$BN$5:$BN$257,0),50)="Aço Inoxidável",('Densidade do AR'!$S$8*1000000),IF(INDEX($A$5:$BP$257,MATCH(CU75,$BN$5:$BN$257,0),50)="Ferro Fundido",('Densidade do AR'!$S$12*1000000),IF(INDEX($A$5:$BP$257,MATCH(CU75,$BN$5:$BN$257,0),50)="Latão",('Densidade do AR'!$S$10*1000000),IF(INDEX($A$5:$BP$257,MATCH(CU75,$BN$5:$BN$257,0),50)="Alumínio",('Densidade do AR'!$S$4*1000000)))))))</f>
        <v>-</v>
      </c>
      <c r="CX75" s="785"/>
      <c r="CY75" s="785"/>
      <c r="CZ75" s="786"/>
      <c r="DA75" s="787" t="str">
        <f t="shared" si="33"/>
        <v>-</v>
      </c>
      <c r="DB75" s="788"/>
      <c r="DC75" s="788"/>
      <c r="DD75" s="789"/>
      <c r="DE75" s="787" t="str">
        <f t="shared" si="24"/>
        <v>-</v>
      </c>
      <c r="DF75" s="788"/>
      <c r="DG75" s="788"/>
      <c r="DH75" s="789"/>
      <c r="DI75" s="790" t="str">
        <f t="shared" si="34"/>
        <v>-</v>
      </c>
      <c r="DJ75" s="785"/>
      <c r="DK75" s="785"/>
      <c r="DL75" s="786"/>
      <c r="DM75" s="790" t="str">
        <f t="shared" si="25"/>
        <v>-</v>
      </c>
      <c r="DN75" s="785"/>
      <c r="DO75" s="785"/>
      <c r="DP75" s="786"/>
      <c r="DQ75" s="790" t="str">
        <f>IF(CU75="","-",INDEX($A$5:$BP$257,MATCH(CU75,$BN$5:$BN$257,0),39)*(IF(CU75="","-",(1+(((-('Densidade do AR'!$M$4))+('Densidade do AR'!$T$15*1000000))/(IF(INDEX($A$5:$BP$257,MATCH(CU75,$BN$5:$BN$257,0),50)="Aço Inoxidável",('Densidade do AR'!$S$8*1000000),IF(INDEX($A$5:$BP$257,MATCH(CU75,$BN$5:$BN$257,0),50)="Ferro Fundido",('Densidade do AR'!$S$12*1000000),IF(INDEX($A$5:$BP$257,MATCH(CU75,$BN$5:$BN$257,0),50)="Latão",('Densidade do AR'!$S$10*1000000),IF(INDEX($A$5:$BP$257,MATCH(CU75,$BN$5:$BN$257,0),50)="Alumínio",('Densidade do AR'!$S$4*1000000)))))))-(((-('Densidade do AR'!$M$4))+('Densidade do AR'!$T$15*1000000))/('Densidade do AR'!$S$14*1000000))))))</f>
        <v>-</v>
      </c>
      <c r="DR75" s="785"/>
      <c r="DS75" s="785"/>
      <c r="DT75" s="791"/>
      <c r="DU75" s="91" t="str">
        <f t="shared" si="35"/>
        <v>-</v>
      </c>
      <c r="DV75" s="746"/>
      <c r="DW75" s="747"/>
      <c r="DX75" s="784" t="str">
        <f>IF(DV75="","-",(IF(INDEX($A$5:$BP$257,MATCH(DV75,$BN$5:$BN$257,0),50)="Aço Inoxidável",('Densidade do AR'!$S$8*1000000),IF(INDEX($A$5:$BP$257,MATCH(DV75,$BN$5:$BN$257,0),50)="Ferro Fundido",('Densidade do AR'!$S$12*1000000),IF(INDEX($A$5:$BP$257,MATCH(DV75,$BN$5:$BN$257,0),50)="Latão",('Densidade do AR'!$S$10*1000000),IF(INDEX($A$5:$BP$257,MATCH(DV75,$BN$5:$BN$257,0),50)="Alumínio",('Densidade do AR'!$S$4*1000000)))))))</f>
        <v>-</v>
      </c>
      <c r="DY75" s="785"/>
      <c r="DZ75" s="785"/>
      <c r="EA75" s="786"/>
      <c r="EB75" s="787" t="str">
        <f t="shared" si="36"/>
        <v>-</v>
      </c>
      <c r="EC75" s="788"/>
      <c r="ED75" s="788"/>
      <c r="EE75" s="789"/>
      <c r="EF75" s="787" t="str">
        <f t="shared" si="26"/>
        <v>-</v>
      </c>
      <c r="EG75" s="788"/>
      <c r="EH75" s="788"/>
      <c r="EI75" s="789"/>
      <c r="EJ75" s="790" t="str">
        <f t="shared" si="37"/>
        <v>-</v>
      </c>
      <c r="EK75" s="785"/>
      <c r="EL75" s="785"/>
      <c r="EM75" s="786"/>
      <c r="EN75" s="790" t="str">
        <f t="shared" si="27"/>
        <v>-</v>
      </c>
      <c r="EO75" s="785"/>
      <c r="EP75" s="785"/>
      <c r="EQ75" s="786"/>
      <c r="ER75" s="790" t="str">
        <f>IF(DV75="","-",INDEX($A$5:$BP$257,MATCH(DV75,$BN$5:$BN$257,0),39)*(IF(DV75="","-",(1+(((-('Densidade do AR'!$M$4))+('Densidade do AR'!$T$15*1000000))/(IF(INDEX($A$5:$BP$257,MATCH(DV75,$BN$5:$BN$257,0),50)="Aço Inoxidável",('Densidade do AR'!$S$8*1000000),IF(INDEX($A$5:$BP$257,MATCH(DV75,$BN$5:$BN$257,0),50)="Ferro Fundido",('Densidade do AR'!$S$12*1000000),IF(INDEX($A$5:$BP$257,MATCH(DV75,$BN$5:$BN$257,0),50)="Latão",('Densidade do AR'!$S$10*1000000),IF(INDEX($A$5:$BP$257,MATCH(DV75,$BN$5:$BN$257,0),50)="Alumínio",('Densidade do AR'!$S$4*1000000)))))))-(((-('Densidade do AR'!$M$4))+('Densidade do AR'!$T$15*1000000))/('Densidade do AR'!$S$14*1000000))))))</f>
        <v>-</v>
      </c>
      <c r="ES75" s="785"/>
      <c r="ET75" s="785"/>
      <c r="EU75" s="791"/>
      <c r="EV75" s="91" t="str">
        <f t="shared" si="38"/>
        <v>-</v>
      </c>
      <c r="EW75" s="746"/>
      <c r="EX75" s="747"/>
      <c r="EY75" s="784" t="str">
        <f>IF(EW75="","-",(IF(INDEX($A$5:$BP$257,MATCH(EW75,$BN$5:$BN$257,0),50)="Aço Inoxidável",('Densidade do AR'!$S$8*1000000),IF(INDEX($A$5:$BP$257,MATCH(EW75,$BN$5:$BN$257,0),50)="Ferro Fundido",('Densidade do AR'!$S$12*1000000),IF(INDEX($A$5:$BP$257,MATCH(EW75,$BN$5:$BN$257,0),50)="Latão",('Densidade do AR'!$S$10*1000000),IF(INDEX($A$5:$BP$257,MATCH(EW75,$BN$5:$BN$257,0),50)="Alumínio",('Densidade do AR'!$S$4*1000000)))))))</f>
        <v>-</v>
      </c>
      <c r="EZ75" s="785"/>
      <c r="FA75" s="785"/>
      <c r="FB75" s="786"/>
      <c r="FC75" s="787" t="str">
        <f t="shared" si="39"/>
        <v>-</v>
      </c>
      <c r="FD75" s="788"/>
      <c r="FE75" s="788"/>
      <c r="FF75" s="789"/>
      <c r="FG75" s="787" t="str">
        <f t="shared" si="28"/>
        <v>-</v>
      </c>
      <c r="FH75" s="788"/>
      <c r="FI75" s="788"/>
      <c r="FJ75" s="789"/>
      <c r="FK75" s="790" t="str">
        <f t="shared" si="40"/>
        <v>-</v>
      </c>
      <c r="FL75" s="785"/>
      <c r="FM75" s="785"/>
      <c r="FN75" s="786"/>
      <c r="FO75" s="790" t="str">
        <f t="shared" si="29"/>
        <v>-</v>
      </c>
      <c r="FP75" s="785"/>
      <c r="FQ75" s="785"/>
      <c r="FR75" s="786"/>
      <c r="FS75" s="790" t="str">
        <f>IF(EW75="","-",INDEX($A$5:$BP$257,MATCH(EW75,$BN$5:$BN$257,0),39)*(IF(EW75="","-",(1+(((-('Densidade do AR'!$M$4))+('Densidade do AR'!$T$15*1000000))/(IF(INDEX($A$5:$BP$257,MATCH(EW75,$BN$5:$BN$257,0),50)="Aço Inoxidável",('Densidade do AR'!$S$8*1000000),IF(INDEX($A$5:$BP$257,MATCH(EW75,$BN$5:$BN$257,0),50)="Ferro Fundido",('Densidade do AR'!$S$12*1000000),IF(INDEX($A$5:$BP$257,MATCH(EW75,$BN$5:$BN$257,0),50)="Latão",('Densidade do AR'!$S$10*1000000),IF(INDEX($A$5:$BP$257,MATCH(EW75,$BN$5:$BN$257,0),50)="Alumínio",('Densidade do AR'!$S$4*1000000)))))))-(((-('Densidade do AR'!$M$4))+('Densidade do AR'!$T$15*1000000))/('Densidade do AR'!$S$14*1000000))))))</f>
        <v>-</v>
      </c>
      <c r="FT75" s="785"/>
      <c r="FU75" s="785"/>
      <c r="FV75" s="791"/>
      <c r="FW75" s="91" t="str">
        <f t="shared" si="41"/>
        <v>-</v>
      </c>
      <c r="FX75" s="135"/>
    </row>
    <row r="76" spans="1:180" x14ac:dyDescent="0.2">
      <c r="A76" s="718">
        <v>72</v>
      </c>
      <c r="B76" s="713"/>
      <c r="C76" s="719">
        <v>500000</v>
      </c>
      <c r="D76" s="709"/>
      <c r="E76" s="709"/>
      <c r="F76" s="709"/>
      <c r="G76" s="710"/>
      <c r="H76" s="940" t="s">
        <v>308</v>
      </c>
      <c r="I76" s="941"/>
      <c r="J76" s="941"/>
      <c r="K76" s="942"/>
      <c r="L76" s="719" t="s">
        <v>323</v>
      </c>
      <c r="M76" s="709"/>
      <c r="N76" s="709"/>
      <c r="O76" s="709"/>
      <c r="P76" s="938" t="s">
        <v>334</v>
      </c>
      <c r="Q76" s="882"/>
      <c r="R76" s="882"/>
      <c r="S76" s="882"/>
      <c r="T76" s="939"/>
      <c r="U76" s="897" t="s">
        <v>320</v>
      </c>
      <c r="V76" s="722"/>
      <c r="W76" s="722"/>
      <c r="X76" s="722"/>
      <c r="Y76" s="722"/>
      <c r="Z76" s="722"/>
      <c r="AA76" s="723"/>
      <c r="AB76" s="853"/>
      <c r="AC76" s="854"/>
      <c r="AD76" s="854"/>
      <c r="AE76" s="854"/>
      <c r="AF76" s="854"/>
      <c r="AG76" s="854"/>
      <c r="AH76" s="854"/>
      <c r="AI76" s="854"/>
      <c r="AJ76" s="854"/>
      <c r="AK76" s="854"/>
      <c r="AL76" s="855"/>
      <c r="AM76" s="909">
        <v>500000000</v>
      </c>
      <c r="AN76" s="712"/>
      <c r="AO76" s="712"/>
      <c r="AP76" s="712"/>
      <c r="AQ76" s="712"/>
      <c r="AR76" s="712"/>
      <c r="AS76" s="713"/>
      <c r="AT76" s="909">
        <f t="shared" si="21"/>
        <v>0</v>
      </c>
      <c r="AU76" s="712"/>
      <c r="AV76" s="712"/>
      <c r="AW76" s="713"/>
      <c r="AX76" s="908" t="s">
        <v>13</v>
      </c>
      <c r="AY76" s="712"/>
      <c r="AZ76" s="712"/>
      <c r="BA76" s="712"/>
      <c r="BB76" s="712"/>
      <c r="BC76" s="713"/>
      <c r="BD76" s="909">
        <v>25000</v>
      </c>
      <c r="BE76" s="712"/>
      <c r="BF76" s="712"/>
      <c r="BG76" s="713"/>
      <c r="BH76" s="909">
        <v>2</v>
      </c>
      <c r="BI76" s="994"/>
      <c r="BJ76" s="994"/>
      <c r="BK76" s="994"/>
      <c r="BL76" s="995"/>
      <c r="BN76" s="881">
        <v>72</v>
      </c>
      <c r="BO76" s="882"/>
      <c r="BP76" s="883"/>
      <c r="BT76" s="736"/>
      <c r="BU76" s="737"/>
      <c r="BV76" s="738" t="str">
        <f>IF(BT76="","-",(IF(INDEX($A$5:$BP$257,MATCH(BT76,$BN$5:$BN$257,0),50)="Aço Inoxidável",('Densidade do AR'!$S$8*1000000),IF(INDEX($A$5:$BP$257,MATCH(BT76,$BN$5:$BN$257,0),50)="Ferro Fundido",('Densidade do AR'!$S$12*1000000),IF(INDEX($A$5:$BP$257,MATCH(BT76,$BN$5:$BN$257,0),50)="Latão",('Densidade do AR'!$S$10*1000000),IF(INDEX($A$5:$BP$257,MATCH(BT76,$BN$5:$BN$257,0),50)="Alumínio",('Densidade do AR'!$S$4*1000000)))))))</f>
        <v>-</v>
      </c>
      <c r="BW76" s="739"/>
      <c r="BX76" s="739"/>
      <c r="BY76" s="740"/>
      <c r="BZ76" s="741" t="str">
        <f t="shared" si="30"/>
        <v>-</v>
      </c>
      <c r="CA76" s="742"/>
      <c r="CB76" s="742"/>
      <c r="CC76" s="743"/>
      <c r="CD76" s="741" t="str">
        <f t="shared" si="22"/>
        <v>-</v>
      </c>
      <c r="CE76" s="742"/>
      <c r="CF76" s="742"/>
      <c r="CG76" s="743"/>
      <c r="CH76" s="744" t="str">
        <f t="shared" si="31"/>
        <v>-</v>
      </c>
      <c r="CI76" s="739"/>
      <c r="CJ76" s="739"/>
      <c r="CK76" s="740"/>
      <c r="CL76" s="744" t="str">
        <f t="shared" si="23"/>
        <v>-</v>
      </c>
      <c r="CM76" s="739"/>
      <c r="CN76" s="739"/>
      <c r="CO76" s="740"/>
      <c r="CP76" s="744" t="str">
        <f>IF(BT76="","-",INDEX($A$5:$BP$257,MATCH(BT76,$BN$5:$BN$257,0),39)*(IF(BT76="","-",(1+(((-('Densidade do AR'!$M$4))+('Densidade do AR'!$T$15*1000000))/(IF(INDEX($A$5:$BP$257,MATCH(BT76,$BN$5:$BN$257,0),50)="Aço Inoxidável",('Densidade do AR'!$S$8*1000000),IF(INDEX($A$5:$BP$257,MATCH(BT76,$BN$5:$BN$257,0),50)="Ferro Fundido",('Densidade do AR'!$S$12*1000000),IF(INDEX($A$5:$BP$257,MATCH(BT76,$BN$5:$BN$257,0),50)="Latão",('Densidade do AR'!$S$10*1000000),IF(INDEX($A$5:$BP$257,MATCH(BT76,$BN$5:$BN$257,0),50)="Alumínio",('Densidade do AR'!$S$4*1000000)))))))-(((-('Densidade do AR'!$M$4))+('Densidade do AR'!$T$15*1000000))/('Densidade do AR'!$S$14*1000000))))))</f>
        <v>-</v>
      </c>
      <c r="CQ76" s="739"/>
      <c r="CR76" s="739"/>
      <c r="CS76" s="745"/>
      <c r="CT76" s="91" t="str">
        <f t="shared" si="32"/>
        <v>-</v>
      </c>
      <c r="CU76" s="736"/>
      <c r="CV76" s="737"/>
      <c r="CW76" s="738" t="str">
        <f>IF(CU76="","-",(IF(INDEX($A$5:$BP$257,MATCH(CU76,$BN$5:$BN$257,0),50)="Aço Inoxidável",('Densidade do AR'!$S$8*1000000),IF(INDEX($A$5:$BP$257,MATCH(CU76,$BN$5:$BN$257,0),50)="Ferro Fundido",('Densidade do AR'!$S$12*1000000),IF(INDEX($A$5:$BP$257,MATCH(CU76,$BN$5:$BN$257,0),50)="Latão",('Densidade do AR'!$S$10*1000000),IF(INDEX($A$5:$BP$257,MATCH(CU76,$BN$5:$BN$257,0),50)="Alumínio",('Densidade do AR'!$S$4*1000000)))))))</f>
        <v>-</v>
      </c>
      <c r="CX76" s="739"/>
      <c r="CY76" s="739"/>
      <c r="CZ76" s="740"/>
      <c r="DA76" s="741" t="str">
        <f t="shared" si="33"/>
        <v>-</v>
      </c>
      <c r="DB76" s="742"/>
      <c r="DC76" s="742"/>
      <c r="DD76" s="743"/>
      <c r="DE76" s="741" t="str">
        <f t="shared" si="24"/>
        <v>-</v>
      </c>
      <c r="DF76" s="742"/>
      <c r="DG76" s="742"/>
      <c r="DH76" s="743"/>
      <c r="DI76" s="744" t="str">
        <f t="shared" si="34"/>
        <v>-</v>
      </c>
      <c r="DJ76" s="739"/>
      <c r="DK76" s="739"/>
      <c r="DL76" s="740"/>
      <c r="DM76" s="744" t="str">
        <f t="shared" si="25"/>
        <v>-</v>
      </c>
      <c r="DN76" s="739"/>
      <c r="DO76" s="739"/>
      <c r="DP76" s="740"/>
      <c r="DQ76" s="744" t="str">
        <f>IF(CU76="","-",INDEX($A$5:$BP$257,MATCH(CU76,$BN$5:$BN$257,0),39)*(IF(CU76="","-",(1+(((-('Densidade do AR'!$M$4))+('Densidade do AR'!$T$15*1000000))/(IF(INDEX($A$5:$BP$257,MATCH(CU76,$BN$5:$BN$257,0),50)="Aço Inoxidável",('Densidade do AR'!$S$8*1000000),IF(INDEX($A$5:$BP$257,MATCH(CU76,$BN$5:$BN$257,0),50)="Ferro Fundido",('Densidade do AR'!$S$12*1000000),IF(INDEX($A$5:$BP$257,MATCH(CU76,$BN$5:$BN$257,0),50)="Latão",('Densidade do AR'!$S$10*1000000),IF(INDEX($A$5:$BP$257,MATCH(CU76,$BN$5:$BN$257,0),50)="Alumínio",('Densidade do AR'!$S$4*1000000)))))))-(((-('Densidade do AR'!$M$4))+('Densidade do AR'!$T$15*1000000))/('Densidade do AR'!$S$14*1000000))))))</f>
        <v>-</v>
      </c>
      <c r="DR76" s="739"/>
      <c r="DS76" s="739"/>
      <c r="DT76" s="745"/>
      <c r="DU76" s="91" t="str">
        <f t="shared" si="35"/>
        <v>-</v>
      </c>
      <c r="DV76" s="736"/>
      <c r="DW76" s="737"/>
      <c r="DX76" s="738" t="str">
        <f>IF(DV76="","-",(IF(INDEX($A$5:$BP$257,MATCH(DV76,$BN$5:$BN$257,0),50)="Aço Inoxidável",('Densidade do AR'!$S$8*1000000),IF(INDEX($A$5:$BP$257,MATCH(DV76,$BN$5:$BN$257,0),50)="Ferro Fundido",('Densidade do AR'!$S$12*1000000),IF(INDEX($A$5:$BP$257,MATCH(DV76,$BN$5:$BN$257,0),50)="Latão",('Densidade do AR'!$S$10*1000000),IF(INDEX($A$5:$BP$257,MATCH(DV76,$BN$5:$BN$257,0),50)="Alumínio",('Densidade do AR'!$S$4*1000000)))))))</f>
        <v>-</v>
      </c>
      <c r="DY76" s="739"/>
      <c r="DZ76" s="739"/>
      <c r="EA76" s="740"/>
      <c r="EB76" s="741" t="str">
        <f t="shared" si="36"/>
        <v>-</v>
      </c>
      <c r="EC76" s="742"/>
      <c r="ED76" s="742"/>
      <c r="EE76" s="743"/>
      <c r="EF76" s="741" t="str">
        <f t="shared" si="26"/>
        <v>-</v>
      </c>
      <c r="EG76" s="742"/>
      <c r="EH76" s="742"/>
      <c r="EI76" s="743"/>
      <c r="EJ76" s="744" t="str">
        <f t="shared" si="37"/>
        <v>-</v>
      </c>
      <c r="EK76" s="739"/>
      <c r="EL76" s="739"/>
      <c r="EM76" s="740"/>
      <c r="EN76" s="744" t="str">
        <f t="shared" si="27"/>
        <v>-</v>
      </c>
      <c r="EO76" s="739"/>
      <c r="EP76" s="739"/>
      <c r="EQ76" s="740"/>
      <c r="ER76" s="744" t="str">
        <f>IF(DV76="","-",INDEX($A$5:$BP$257,MATCH(DV76,$BN$5:$BN$257,0),39)*(IF(DV76="","-",(1+(((-('Densidade do AR'!$M$4))+('Densidade do AR'!$T$15*1000000))/(IF(INDEX($A$5:$BP$257,MATCH(DV76,$BN$5:$BN$257,0),50)="Aço Inoxidável",('Densidade do AR'!$S$8*1000000),IF(INDEX($A$5:$BP$257,MATCH(DV76,$BN$5:$BN$257,0),50)="Ferro Fundido",('Densidade do AR'!$S$12*1000000),IF(INDEX($A$5:$BP$257,MATCH(DV76,$BN$5:$BN$257,0),50)="Latão",('Densidade do AR'!$S$10*1000000),IF(INDEX($A$5:$BP$257,MATCH(DV76,$BN$5:$BN$257,0),50)="Alumínio",('Densidade do AR'!$S$4*1000000)))))))-(((-('Densidade do AR'!$M$4))+('Densidade do AR'!$T$15*1000000))/('Densidade do AR'!$S$14*1000000))))))</f>
        <v>-</v>
      </c>
      <c r="ES76" s="739"/>
      <c r="ET76" s="739"/>
      <c r="EU76" s="745"/>
      <c r="EV76" s="91" t="str">
        <f t="shared" si="38"/>
        <v>-</v>
      </c>
      <c r="EW76" s="736"/>
      <c r="EX76" s="737"/>
      <c r="EY76" s="738" t="str">
        <f>IF(EW76="","-",(IF(INDEX($A$5:$BP$257,MATCH(EW76,$BN$5:$BN$257,0),50)="Aço Inoxidável",('Densidade do AR'!$S$8*1000000),IF(INDEX($A$5:$BP$257,MATCH(EW76,$BN$5:$BN$257,0),50)="Ferro Fundido",('Densidade do AR'!$S$12*1000000),IF(INDEX($A$5:$BP$257,MATCH(EW76,$BN$5:$BN$257,0),50)="Latão",('Densidade do AR'!$S$10*1000000),IF(INDEX($A$5:$BP$257,MATCH(EW76,$BN$5:$BN$257,0),50)="Alumínio",('Densidade do AR'!$S$4*1000000)))))))</f>
        <v>-</v>
      </c>
      <c r="EZ76" s="739"/>
      <c r="FA76" s="739"/>
      <c r="FB76" s="740"/>
      <c r="FC76" s="741" t="str">
        <f t="shared" si="39"/>
        <v>-</v>
      </c>
      <c r="FD76" s="742"/>
      <c r="FE76" s="742"/>
      <c r="FF76" s="743"/>
      <c r="FG76" s="741" t="str">
        <f t="shared" si="28"/>
        <v>-</v>
      </c>
      <c r="FH76" s="742"/>
      <c r="FI76" s="742"/>
      <c r="FJ76" s="743"/>
      <c r="FK76" s="744" t="str">
        <f t="shared" si="40"/>
        <v>-</v>
      </c>
      <c r="FL76" s="739"/>
      <c r="FM76" s="739"/>
      <c r="FN76" s="740"/>
      <c r="FO76" s="744" t="str">
        <f t="shared" si="29"/>
        <v>-</v>
      </c>
      <c r="FP76" s="739"/>
      <c r="FQ76" s="739"/>
      <c r="FR76" s="740"/>
      <c r="FS76" s="744" t="str">
        <f>IF(EW76="","-",INDEX($A$5:$BP$257,MATCH(EW76,$BN$5:$BN$257,0),39)*(IF(EW76="","-",(1+(((-('Densidade do AR'!$M$4))+('Densidade do AR'!$T$15*1000000))/(IF(INDEX($A$5:$BP$257,MATCH(EW76,$BN$5:$BN$257,0),50)="Aço Inoxidável",('Densidade do AR'!$S$8*1000000),IF(INDEX($A$5:$BP$257,MATCH(EW76,$BN$5:$BN$257,0),50)="Ferro Fundido",('Densidade do AR'!$S$12*1000000),IF(INDEX($A$5:$BP$257,MATCH(EW76,$BN$5:$BN$257,0),50)="Latão",('Densidade do AR'!$S$10*1000000),IF(INDEX($A$5:$BP$257,MATCH(EW76,$BN$5:$BN$257,0),50)="Alumínio",('Densidade do AR'!$S$4*1000000)))))))-(((-('Densidade do AR'!$M$4))+('Densidade do AR'!$T$15*1000000))/('Densidade do AR'!$S$14*1000000))))))</f>
        <v>-</v>
      </c>
      <c r="FT76" s="739"/>
      <c r="FU76" s="739"/>
      <c r="FV76" s="745"/>
      <c r="FW76" s="91" t="str">
        <f t="shared" si="41"/>
        <v>-</v>
      </c>
      <c r="FX76" s="135"/>
    </row>
    <row r="77" spans="1:180" x14ac:dyDescent="0.2">
      <c r="A77" s="717">
        <v>73</v>
      </c>
      <c r="B77" s="713"/>
      <c r="C77" s="708">
        <v>500000</v>
      </c>
      <c r="D77" s="709"/>
      <c r="E77" s="709"/>
      <c r="F77" s="709"/>
      <c r="G77" s="710"/>
      <c r="H77" s="933" t="s">
        <v>308</v>
      </c>
      <c r="I77" s="934"/>
      <c r="J77" s="934"/>
      <c r="K77" s="935"/>
      <c r="L77" s="708" t="s">
        <v>323</v>
      </c>
      <c r="M77" s="709"/>
      <c r="N77" s="709"/>
      <c r="O77" s="709"/>
      <c r="P77" s="708">
        <v>10</v>
      </c>
      <c r="Q77" s="879"/>
      <c r="R77" s="879"/>
      <c r="S77" s="879"/>
      <c r="T77" s="937"/>
      <c r="U77" s="898" t="s">
        <v>320</v>
      </c>
      <c r="V77" s="715"/>
      <c r="W77" s="715"/>
      <c r="X77" s="715"/>
      <c r="Y77" s="715"/>
      <c r="Z77" s="715"/>
      <c r="AA77" s="716"/>
      <c r="AB77" s="850"/>
      <c r="AC77" s="851"/>
      <c r="AD77" s="851"/>
      <c r="AE77" s="851"/>
      <c r="AF77" s="851"/>
      <c r="AG77" s="851"/>
      <c r="AH77" s="851"/>
      <c r="AI77" s="851"/>
      <c r="AJ77" s="851"/>
      <c r="AK77" s="851"/>
      <c r="AL77" s="852"/>
      <c r="AM77" s="917">
        <v>500000000</v>
      </c>
      <c r="AN77" s="712"/>
      <c r="AO77" s="712"/>
      <c r="AP77" s="712"/>
      <c r="AQ77" s="712"/>
      <c r="AR77" s="712"/>
      <c r="AS77" s="713"/>
      <c r="AT77" s="917">
        <f t="shared" si="21"/>
        <v>0</v>
      </c>
      <c r="AU77" s="712"/>
      <c r="AV77" s="712"/>
      <c r="AW77" s="713"/>
      <c r="AX77" s="917" t="s">
        <v>13</v>
      </c>
      <c r="AY77" s="712"/>
      <c r="AZ77" s="712"/>
      <c r="BA77" s="712"/>
      <c r="BB77" s="712"/>
      <c r="BC77" s="713"/>
      <c r="BD77" s="917">
        <v>25000</v>
      </c>
      <c r="BE77" s="712"/>
      <c r="BF77" s="712"/>
      <c r="BG77" s="713"/>
      <c r="BH77" s="917">
        <v>2</v>
      </c>
      <c r="BI77" s="994"/>
      <c r="BJ77" s="994"/>
      <c r="BK77" s="994"/>
      <c r="BL77" s="995"/>
      <c r="BN77" s="881">
        <v>73</v>
      </c>
      <c r="BO77" s="882"/>
      <c r="BP77" s="883"/>
      <c r="BT77" s="746"/>
      <c r="BU77" s="747"/>
      <c r="BV77" s="784" t="str">
        <f>IF(BT77="","-",(IF(INDEX($A$5:$BP$257,MATCH(BT77,$BN$5:$BN$257,0),50)="Aço Inoxidável",('Densidade do AR'!$S$8*1000000),IF(INDEX($A$5:$BP$257,MATCH(BT77,$BN$5:$BN$257,0),50)="Ferro Fundido",('Densidade do AR'!$S$12*1000000),IF(INDEX($A$5:$BP$257,MATCH(BT77,$BN$5:$BN$257,0),50)="Latão",('Densidade do AR'!$S$10*1000000),IF(INDEX($A$5:$BP$257,MATCH(BT77,$BN$5:$BN$257,0),50)="Alumínio",('Densidade do AR'!$S$4*1000000)))))))</f>
        <v>-</v>
      </c>
      <c r="BW77" s="785"/>
      <c r="BX77" s="785"/>
      <c r="BY77" s="786"/>
      <c r="BZ77" s="787" t="str">
        <f t="shared" si="30"/>
        <v>-</v>
      </c>
      <c r="CA77" s="788"/>
      <c r="CB77" s="788"/>
      <c r="CC77" s="789"/>
      <c r="CD77" s="787" t="str">
        <f t="shared" si="22"/>
        <v>-</v>
      </c>
      <c r="CE77" s="788"/>
      <c r="CF77" s="788"/>
      <c r="CG77" s="789"/>
      <c r="CH77" s="790" t="str">
        <f t="shared" si="31"/>
        <v>-</v>
      </c>
      <c r="CI77" s="785"/>
      <c r="CJ77" s="785"/>
      <c r="CK77" s="786"/>
      <c r="CL77" s="790" t="str">
        <f t="shared" si="23"/>
        <v>-</v>
      </c>
      <c r="CM77" s="785"/>
      <c r="CN77" s="785"/>
      <c r="CO77" s="786"/>
      <c r="CP77" s="790" t="str">
        <f>IF(BT77="","-",INDEX($A$5:$BP$257,MATCH(BT77,$BN$5:$BN$257,0),39)*(IF(BT77="","-",(1+(((-('Densidade do AR'!$M$4))+('Densidade do AR'!$T$15*1000000))/(IF(INDEX($A$5:$BP$257,MATCH(BT77,$BN$5:$BN$257,0),50)="Aço Inoxidável",('Densidade do AR'!$S$8*1000000),IF(INDEX($A$5:$BP$257,MATCH(BT77,$BN$5:$BN$257,0),50)="Ferro Fundido",('Densidade do AR'!$S$12*1000000),IF(INDEX($A$5:$BP$257,MATCH(BT77,$BN$5:$BN$257,0),50)="Latão",('Densidade do AR'!$S$10*1000000),IF(INDEX($A$5:$BP$257,MATCH(BT77,$BN$5:$BN$257,0),50)="Alumínio",('Densidade do AR'!$S$4*1000000)))))))-(((-('Densidade do AR'!$M$4))+('Densidade do AR'!$T$15*1000000))/('Densidade do AR'!$S$14*1000000))))))</f>
        <v>-</v>
      </c>
      <c r="CQ77" s="785"/>
      <c r="CR77" s="785"/>
      <c r="CS77" s="791"/>
      <c r="CT77" s="91" t="str">
        <f t="shared" si="32"/>
        <v>-</v>
      </c>
      <c r="CU77" s="746"/>
      <c r="CV77" s="747"/>
      <c r="CW77" s="784" t="str">
        <f>IF(CU77="","-",(IF(INDEX($A$5:$BP$257,MATCH(CU77,$BN$5:$BN$257,0),50)="Aço Inoxidável",('Densidade do AR'!$S$8*1000000),IF(INDEX($A$5:$BP$257,MATCH(CU77,$BN$5:$BN$257,0),50)="Ferro Fundido",('Densidade do AR'!$S$12*1000000),IF(INDEX($A$5:$BP$257,MATCH(CU77,$BN$5:$BN$257,0),50)="Latão",('Densidade do AR'!$S$10*1000000),IF(INDEX($A$5:$BP$257,MATCH(CU77,$BN$5:$BN$257,0),50)="Alumínio",('Densidade do AR'!$S$4*1000000)))))))</f>
        <v>-</v>
      </c>
      <c r="CX77" s="785"/>
      <c r="CY77" s="785"/>
      <c r="CZ77" s="786"/>
      <c r="DA77" s="787" t="str">
        <f t="shared" si="33"/>
        <v>-</v>
      </c>
      <c r="DB77" s="788"/>
      <c r="DC77" s="788"/>
      <c r="DD77" s="789"/>
      <c r="DE77" s="787" t="str">
        <f t="shared" si="24"/>
        <v>-</v>
      </c>
      <c r="DF77" s="788"/>
      <c r="DG77" s="788"/>
      <c r="DH77" s="789"/>
      <c r="DI77" s="790" t="str">
        <f t="shared" si="34"/>
        <v>-</v>
      </c>
      <c r="DJ77" s="785"/>
      <c r="DK77" s="785"/>
      <c r="DL77" s="786"/>
      <c r="DM77" s="790" t="str">
        <f t="shared" si="25"/>
        <v>-</v>
      </c>
      <c r="DN77" s="785"/>
      <c r="DO77" s="785"/>
      <c r="DP77" s="786"/>
      <c r="DQ77" s="790" t="str">
        <f>IF(CU77="","-",INDEX($A$5:$BP$257,MATCH(CU77,$BN$5:$BN$257,0),39)*(IF(CU77="","-",(1+(((-('Densidade do AR'!$M$4))+('Densidade do AR'!$T$15*1000000))/(IF(INDEX($A$5:$BP$257,MATCH(CU77,$BN$5:$BN$257,0),50)="Aço Inoxidável",('Densidade do AR'!$S$8*1000000),IF(INDEX($A$5:$BP$257,MATCH(CU77,$BN$5:$BN$257,0),50)="Ferro Fundido",('Densidade do AR'!$S$12*1000000),IF(INDEX($A$5:$BP$257,MATCH(CU77,$BN$5:$BN$257,0),50)="Latão",('Densidade do AR'!$S$10*1000000),IF(INDEX($A$5:$BP$257,MATCH(CU77,$BN$5:$BN$257,0),50)="Alumínio",('Densidade do AR'!$S$4*1000000)))))))-(((-('Densidade do AR'!$M$4))+('Densidade do AR'!$T$15*1000000))/('Densidade do AR'!$S$14*1000000))))))</f>
        <v>-</v>
      </c>
      <c r="DR77" s="785"/>
      <c r="DS77" s="785"/>
      <c r="DT77" s="791"/>
      <c r="DU77" s="91" t="str">
        <f t="shared" si="35"/>
        <v>-</v>
      </c>
      <c r="DV77" s="746"/>
      <c r="DW77" s="747"/>
      <c r="DX77" s="784" t="str">
        <f>IF(DV77="","-",(IF(INDEX($A$5:$BP$257,MATCH(DV77,$BN$5:$BN$257,0),50)="Aço Inoxidável",('Densidade do AR'!$S$8*1000000),IF(INDEX($A$5:$BP$257,MATCH(DV77,$BN$5:$BN$257,0),50)="Ferro Fundido",('Densidade do AR'!$S$12*1000000),IF(INDEX($A$5:$BP$257,MATCH(DV77,$BN$5:$BN$257,0),50)="Latão",('Densidade do AR'!$S$10*1000000),IF(INDEX($A$5:$BP$257,MATCH(DV77,$BN$5:$BN$257,0),50)="Alumínio",('Densidade do AR'!$S$4*1000000)))))))</f>
        <v>-</v>
      </c>
      <c r="DY77" s="785"/>
      <c r="DZ77" s="785"/>
      <c r="EA77" s="786"/>
      <c r="EB77" s="787" t="str">
        <f t="shared" si="36"/>
        <v>-</v>
      </c>
      <c r="EC77" s="788"/>
      <c r="ED77" s="788"/>
      <c r="EE77" s="789"/>
      <c r="EF77" s="787" t="str">
        <f t="shared" si="26"/>
        <v>-</v>
      </c>
      <c r="EG77" s="788"/>
      <c r="EH77" s="788"/>
      <c r="EI77" s="789"/>
      <c r="EJ77" s="790" t="str">
        <f t="shared" si="37"/>
        <v>-</v>
      </c>
      <c r="EK77" s="785"/>
      <c r="EL77" s="785"/>
      <c r="EM77" s="786"/>
      <c r="EN77" s="790" t="str">
        <f t="shared" si="27"/>
        <v>-</v>
      </c>
      <c r="EO77" s="785"/>
      <c r="EP77" s="785"/>
      <c r="EQ77" s="786"/>
      <c r="ER77" s="790" t="str">
        <f>IF(DV77="","-",INDEX($A$5:$BP$257,MATCH(DV77,$BN$5:$BN$257,0),39)*(IF(DV77="","-",(1+(((-('Densidade do AR'!$M$4))+('Densidade do AR'!$T$15*1000000))/(IF(INDEX($A$5:$BP$257,MATCH(DV77,$BN$5:$BN$257,0),50)="Aço Inoxidável",('Densidade do AR'!$S$8*1000000),IF(INDEX($A$5:$BP$257,MATCH(DV77,$BN$5:$BN$257,0),50)="Ferro Fundido",('Densidade do AR'!$S$12*1000000),IF(INDEX($A$5:$BP$257,MATCH(DV77,$BN$5:$BN$257,0),50)="Latão",('Densidade do AR'!$S$10*1000000),IF(INDEX($A$5:$BP$257,MATCH(DV77,$BN$5:$BN$257,0),50)="Alumínio",('Densidade do AR'!$S$4*1000000)))))))-(((-('Densidade do AR'!$M$4))+('Densidade do AR'!$T$15*1000000))/('Densidade do AR'!$S$14*1000000))))))</f>
        <v>-</v>
      </c>
      <c r="ES77" s="785"/>
      <c r="ET77" s="785"/>
      <c r="EU77" s="791"/>
      <c r="EV77" s="91" t="str">
        <f t="shared" si="38"/>
        <v>-</v>
      </c>
      <c r="EW77" s="746"/>
      <c r="EX77" s="747"/>
      <c r="EY77" s="784" t="str">
        <f>IF(EW77="","-",(IF(INDEX($A$5:$BP$257,MATCH(EW77,$BN$5:$BN$257,0),50)="Aço Inoxidável",('Densidade do AR'!$S$8*1000000),IF(INDEX($A$5:$BP$257,MATCH(EW77,$BN$5:$BN$257,0),50)="Ferro Fundido",('Densidade do AR'!$S$12*1000000),IF(INDEX($A$5:$BP$257,MATCH(EW77,$BN$5:$BN$257,0),50)="Latão",('Densidade do AR'!$S$10*1000000),IF(INDEX($A$5:$BP$257,MATCH(EW77,$BN$5:$BN$257,0),50)="Alumínio",('Densidade do AR'!$S$4*1000000)))))))</f>
        <v>-</v>
      </c>
      <c r="EZ77" s="785"/>
      <c r="FA77" s="785"/>
      <c r="FB77" s="786"/>
      <c r="FC77" s="787" t="str">
        <f t="shared" si="39"/>
        <v>-</v>
      </c>
      <c r="FD77" s="788"/>
      <c r="FE77" s="788"/>
      <c r="FF77" s="789"/>
      <c r="FG77" s="787" t="str">
        <f t="shared" si="28"/>
        <v>-</v>
      </c>
      <c r="FH77" s="788"/>
      <c r="FI77" s="788"/>
      <c r="FJ77" s="789"/>
      <c r="FK77" s="790" t="str">
        <f t="shared" si="40"/>
        <v>-</v>
      </c>
      <c r="FL77" s="785"/>
      <c r="FM77" s="785"/>
      <c r="FN77" s="786"/>
      <c r="FO77" s="790" t="str">
        <f t="shared" si="29"/>
        <v>-</v>
      </c>
      <c r="FP77" s="785"/>
      <c r="FQ77" s="785"/>
      <c r="FR77" s="786"/>
      <c r="FS77" s="790" t="str">
        <f>IF(EW77="","-",INDEX($A$5:$BP$257,MATCH(EW77,$BN$5:$BN$257,0),39)*(IF(EW77="","-",(1+(((-('Densidade do AR'!$M$4))+('Densidade do AR'!$T$15*1000000))/(IF(INDEX($A$5:$BP$257,MATCH(EW77,$BN$5:$BN$257,0),50)="Aço Inoxidável",('Densidade do AR'!$S$8*1000000),IF(INDEX($A$5:$BP$257,MATCH(EW77,$BN$5:$BN$257,0),50)="Ferro Fundido",('Densidade do AR'!$S$12*1000000),IF(INDEX($A$5:$BP$257,MATCH(EW77,$BN$5:$BN$257,0),50)="Latão",('Densidade do AR'!$S$10*1000000),IF(INDEX($A$5:$BP$257,MATCH(EW77,$BN$5:$BN$257,0),50)="Alumínio",('Densidade do AR'!$S$4*1000000)))))))-(((-('Densidade do AR'!$M$4))+('Densidade do AR'!$T$15*1000000))/('Densidade do AR'!$S$14*1000000))))))</f>
        <v>-</v>
      </c>
      <c r="FT77" s="785"/>
      <c r="FU77" s="785"/>
      <c r="FV77" s="791"/>
      <c r="FW77" s="91" t="str">
        <f t="shared" si="41"/>
        <v>-</v>
      </c>
      <c r="FX77" s="135"/>
    </row>
    <row r="78" spans="1:180" x14ac:dyDescent="0.2">
      <c r="A78" s="718">
        <v>74</v>
      </c>
      <c r="B78" s="713"/>
      <c r="C78" s="719">
        <v>500000</v>
      </c>
      <c r="D78" s="709"/>
      <c r="E78" s="709"/>
      <c r="F78" s="709"/>
      <c r="G78" s="710"/>
      <c r="H78" s="940" t="s">
        <v>308</v>
      </c>
      <c r="I78" s="941"/>
      <c r="J78" s="941"/>
      <c r="K78" s="942"/>
      <c r="L78" s="719" t="s">
        <v>323</v>
      </c>
      <c r="M78" s="709"/>
      <c r="N78" s="709"/>
      <c r="O78" s="709"/>
      <c r="P78" s="719">
        <v>11</v>
      </c>
      <c r="Q78" s="882"/>
      <c r="R78" s="882"/>
      <c r="S78" s="882"/>
      <c r="T78" s="939"/>
      <c r="U78" s="897" t="s">
        <v>320</v>
      </c>
      <c r="V78" s="722"/>
      <c r="W78" s="722"/>
      <c r="X78" s="722"/>
      <c r="Y78" s="722"/>
      <c r="Z78" s="722"/>
      <c r="AA78" s="723"/>
      <c r="AB78" s="853"/>
      <c r="AC78" s="854"/>
      <c r="AD78" s="854"/>
      <c r="AE78" s="854"/>
      <c r="AF78" s="854"/>
      <c r="AG78" s="854"/>
      <c r="AH78" s="854"/>
      <c r="AI78" s="854"/>
      <c r="AJ78" s="854"/>
      <c r="AK78" s="854"/>
      <c r="AL78" s="855"/>
      <c r="AM78" s="909">
        <v>500000000</v>
      </c>
      <c r="AN78" s="712"/>
      <c r="AO78" s="712"/>
      <c r="AP78" s="712"/>
      <c r="AQ78" s="712"/>
      <c r="AR78" s="712"/>
      <c r="AS78" s="713"/>
      <c r="AT78" s="909">
        <f t="shared" si="21"/>
        <v>0</v>
      </c>
      <c r="AU78" s="712"/>
      <c r="AV78" s="712"/>
      <c r="AW78" s="713"/>
      <c r="AX78" s="908" t="s">
        <v>13</v>
      </c>
      <c r="AY78" s="712"/>
      <c r="AZ78" s="712"/>
      <c r="BA78" s="712"/>
      <c r="BB78" s="712"/>
      <c r="BC78" s="713"/>
      <c r="BD78" s="909">
        <v>25000</v>
      </c>
      <c r="BE78" s="712"/>
      <c r="BF78" s="712"/>
      <c r="BG78" s="713"/>
      <c r="BH78" s="909">
        <v>2</v>
      </c>
      <c r="BI78" s="994"/>
      <c r="BJ78" s="994"/>
      <c r="BK78" s="994"/>
      <c r="BL78" s="995"/>
      <c r="BN78" s="878">
        <v>74</v>
      </c>
      <c r="BO78" s="879"/>
      <c r="BP78" s="880"/>
      <c r="BT78" s="736"/>
      <c r="BU78" s="737"/>
      <c r="BV78" s="738" t="str">
        <f>IF(BT78="","-",(IF(INDEX($A$5:$BP$257,MATCH(BT78,$BN$5:$BN$257,0),50)="Aço Inoxidável",('Densidade do AR'!$S$8*1000000),IF(INDEX($A$5:$BP$257,MATCH(BT78,$BN$5:$BN$257,0),50)="Ferro Fundido",('Densidade do AR'!$S$12*1000000),IF(INDEX($A$5:$BP$257,MATCH(BT78,$BN$5:$BN$257,0),50)="Latão",('Densidade do AR'!$S$10*1000000),IF(INDEX($A$5:$BP$257,MATCH(BT78,$BN$5:$BN$257,0),50)="Alumínio",('Densidade do AR'!$S$4*1000000)))))))</f>
        <v>-</v>
      </c>
      <c r="BW78" s="739"/>
      <c r="BX78" s="739"/>
      <c r="BY78" s="740"/>
      <c r="BZ78" s="741" t="str">
        <f t="shared" si="30"/>
        <v>-</v>
      </c>
      <c r="CA78" s="742"/>
      <c r="CB78" s="742"/>
      <c r="CC78" s="743"/>
      <c r="CD78" s="741" t="str">
        <f t="shared" si="22"/>
        <v>-</v>
      </c>
      <c r="CE78" s="742"/>
      <c r="CF78" s="742"/>
      <c r="CG78" s="743"/>
      <c r="CH78" s="744" t="str">
        <f t="shared" si="31"/>
        <v>-</v>
      </c>
      <c r="CI78" s="739"/>
      <c r="CJ78" s="739"/>
      <c r="CK78" s="740"/>
      <c r="CL78" s="744" t="str">
        <f t="shared" si="23"/>
        <v>-</v>
      </c>
      <c r="CM78" s="739"/>
      <c r="CN78" s="739"/>
      <c r="CO78" s="740"/>
      <c r="CP78" s="744" t="str">
        <f>IF(BT78="","-",INDEX($A$5:$BP$257,MATCH(BT78,$BN$5:$BN$257,0),39)*(IF(BT78="","-",(1+(((-('Densidade do AR'!$M$4))+('Densidade do AR'!$T$15*1000000))/(IF(INDEX($A$5:$BP$257,MATCH(BT78,$BN$5:$BN$257,0),50)="Aço Inoxidável",('Densidade do AR'!$S$8*1000000),IF(INDEX($A$5:$BP$257,MATCH(BT78,$BN$5:$BN$257,0),50)="Ferro Fundido",('Densidade do AR'!$S$12*1000000),IF(INDEX($A$5:$BP$257,MATCH(BT78,$BN$5:$BN$257,0),50)="Latão",('Densidade do AR'!$S$10*1000000),IF(INDEX($A$5:$BP$257,MATCH(BT78,$BN$5:$BN$257,0),50)="Alumínio",('Densidade do AR'!$S$4*1000000)))))))-(((-('Densidade do AR'!$M$4))+('Densidade do AR'!$T$15*1000000))/('Densidade do AR'!$S$14*1000000))))))</f>
        <v>-</v>
      </c>
      <c r="CQ78" s="739"/>
      <c r="CR78" s="739"/>
      <c r="CS78" s="745"/>
      <c r="CT78" s="91" t="str">
        <f t="shared" si="32"/>
        <v>-</v>
      </c>
      <c r="CU78" s="736"/>
      <c r="CV78" s="737"/>
      <c r="CW78" s="738" t="str">
        <f>IF(CU78="","-",(IF(INDEX($A$5:$BP$257,MATCH(CU78,$BN$5:$BN$257,0),50)="Aço Inoxidável",('Densidade do AR'!$S$8*1000000),IF(INDEX($A$5:$BP$257,MATCH(CU78,$BN$5:$BN$257,0),50)="Ferro Fundido",('Densidade do AR'!$S$12*1000000),IF(INDEX($A$5:$BP$257,MATCH(CU78,$BN$5:$BN$257,0),50)="Latão",('Densidade do AR'!$S$10*1000000),IF(INDEX($A$5:$BP$257,MATCH(CU78,$BN$5:$BN$257,0),50)="Alumínio",('Densidade do AR'!$S$4*1000000)))))))</f>
        <v>-</v>
      </c>
      <c r="CX78" s="739"/>
      <c r="CY78" s="739"/>
      <c r="CZ78" s="740"/>
      <c r="DA78" s="741" t="str">
        <f t="shared" si="33"/>
        <v>-</v>
      </c>
      <c r="DB78" s="742"/>
      <c r="DC78" s="742"/>
      <c r="DD78" s="743"/>
      <c r="DE78" s="741" t="str">
        <f t="shared" si="24"/>
        <v>-</v>
      </c>
      <c r="DF78" s="742"/>
      <c r="DG78" s="742"/>
      <c r="DH78" s="743"/>
      <c r="DI78" s="744" t="str">
        <f t="shared" si="34"/>
        <v>-</v>
      </c>
      <c r="DJ78" s="739"/>
      <c r="DK78" s="739"/>
      <c r="DL78" s="740"/>
      <c r="DM78" s="744" t="str">
        <f t="shared" si="25"/>
        <v>-</v>
      </c>
      <c r="DN78" s="739"/>
      <c r="DO78" s="739"/>
      <c r="DP78" s="740"/>
      <c r="DQ78" s="744" t="str">
        <f>IF(CU78="","-",INDEX($A$5:$BP$257,MATCH(CU78,$BN$5:$BN$257,0),39)*(IF(CU78="","-",(1+(((-('Densidade do AR'!$M$4))+('Densidade do AR'!$T$15*1000000))/(IF(INDEX($A$5:$BP$257,MATCH(CU78,$BN$5:$BN$257,0),50)="Aço Inoxidável",('Densidade do AR'!$S$8*1000000),IF(INDEX($A$5:$BP$257,MATCH(CU78,$BN$5:$BN$257,0),50)="Ferro Fundido",('Densidade do AR'!$S$12*1000000),IF(INDEX($A$5:$BP$257,MATCH(CU78,$BN$5:$BN$257,0),50)="Latão",('Densidade do AR'!$S$10*1000000),IF(INDEX($A$5:$BP$257,MATCH(CU78,$BN$5:$BN$257,0),50)="Alumínio",('Densidade do AR'!$S$4*1000000)))))))-(((-('Densidade do AR'!$M$4))+('Densidade do AR'!$T$15*1000000))/('Densidade do AR'!$S$14*1000000))))))</f>
        <v>-</v>
      </c>
      <c r="DR78" s="739"/>
      <c r="DS78" s="739"/>
      <c r="DT78" s="745"/>
      <c r="DU78" s="91" t="str">
        <f t="shared" si="35"/>
        <v>-</v>
      </c>
      <c r="DV78" s="736"/>
      <c r="DW78" s="737"/>
      <c r="DX78" s="738" t="str">
        <f>IF(DV78="","-",(IF(INDEX($A$5:$BP$257,MATCH(DV78,$BN$5:$BN$257,0),50)="Aço Inoxidável",('Densidade do AR'!$S$8*1000000),IF(INDEX($A$5:$BP$257,MATCH(DV78,$BN$5:$BN$257,0),50)="Ferro Fundido",('Densidade do AR'!$S$12*1000000),IF(INDEX($A$5:$BP$257,MATCH(DV78,$BN$5:$BN$257,0),50)="Latão",('Densidade do AR'!$S$10*1000000),IF(INDEX($A$5:$BP$257,MATCH(DV78,$BN$5:$BN$257,0),50)="Alumínio",('Densidade do AR'!$S$4*1000000)))))))</f>
        <v>-</v>
      </c>
      <c r="DY78" s="739"/>
      <c r="DZ78" s="739"/>
      <c r="EA78" s="740"/>
      <c r="EB78" s="741" t="str">
        <f t="shared" si="36"/>
        <v>-</v>
      </c>
      <c r="EC78" s="742"/>
      <c r="ED78" s="742"/>
      <c r="EE78" s="743"/>
      <c r="EF78" s="741" t="str">
        <f t="shared" si="26"/>
        <v>-</v>
      </c>
      <c r="EG78" s="742"/>
      <c r="EH78" s="742"/>
      <c r="EI78" s="743"/>
      <c r="EJ78" s="744" t="str">
        <f t="shared" si="37"/>
        <v>-</v>
      </c>
      <c r="EK78" s="739"/>
      <c r="EL78" s="739"/>
      <c r="EM78" s="740"/>
      <c r="EN78" s="744" t="str">
        <f t="shared" si="27"/>
        <v>-</v>
      </c>
      <c r="EO78" s="739"/>
      <c r="EP78" s="739"/>
      <c r="EQ78" s="740"/>
      <c r="ER78" s="744" t="str">
        <f>IF(DV78="","-",INDEX($A$5:$BP$257,MATCH(DV78,$BN$5:$BN$257,0),39)*(IF(DV78="","-",(1+(((-('Densidade do AR'!$M$4))+('Densidade do AR'!$T$15*1000000))/(IF(INDEX($A$5:$BP$257,MATCH(DV78,$BN$5:$BN$257,0),50)="Aço Inoxidável",('Densidade do AR'!$S$8*1000000),IF(INDEX($A$5:$BP$257,MATCH(DV78,$BN$5:$BN$257,0),50)="Ferro Fundido",('Densidade do AR'!$S$12*1000000),IF(INDEX($A$5:$BP$257,MATCH(DV78,$BN$5:$BN$257,0),50)="Latão",('Densidade do AR'!$S$10*1000000),IF(INDEX($A$5:$BP$257,MATCH(DV78,$BN$5:$BN$257,0),50)="Alumínio",('Densidade do AR'!$S$4*1000000)))))))-(((-('Densidade do AR'!$M$4))+('Densidade do AR'!$T$15*1000000))/('Densidade do AR'!$S$14*1000000))))))</f>
        <v>-</v>
      </c>
      <c r="ES78" s="739"/>
      <c r="ET78" s="739"/>
      <c r="EU78" s="745"/>
      <c r="EV78" s="91" t="str">
        <f t="shared" si="38"/>
        <v>-</v>
      </c>
      <c r="EW78" s="736"/>
      <c r="EX78" s="737"/>
      <c r="EY78" s="738" t="str">
        <f>IF(EW78="","-",(IF(INDEX($A$5:$BP$257,MATCH(EW78,$BN$5:$BN$257,0),50)="Aço Inoxidável",('Densidade do AR'!$S$8*1000000),IF(INDEX($A$5:$BP$257,MATCH(EW78,$BN$5:$BN$257,0),50)="Ferro Fundido",('Densidade do AR'!$S$12*1000000),IF(INDEX($A$5:$BP$257,MATCH(EW78,$BN$5:$BN$257,0),50)="Latão",('Densidade do AR'!$S$10*1000000),IF(INDEX($A$5:$BP$257,MATCH(EW78,$BN$5:$BN$257,0),50)="Alumínio",('Densidade do AR'!$S$4*1000000)))))))</f>
        <v>-</v>
      </c>
      <c r="EZ78" s="739"/>
      <c r="FA78" s="739"/>
      <c r="FB78" s="740"/>
      <c r="FC78" s="741" t="str">
        <f t="shared" si="39"/>
        <v>-</v>
      </c>
      <c r="FD78" s="742"/>
      <c r="FE78" s="742"/>
      <c r="FF78" s="743"/>
      <c r="FG78" s="741" t="str">
        <f t="shared" si="28"/>
        <v>-</v>
      </c>
      <c r="FH78" s="742"/>
      <c r="FI78" s="742"/>
      <c r="FJ78" s="743"/>
      <c r="FK78" s="744" t="str">
        <f t="shared" si="40"/>
        <v>-</v>
      </c>
      <c r="FL78" s="739"/>
      <c r="FM78" s="739"/>
      <c r="FN78" s="740"/>
      <c r="FO78" s="744" t="str">
        <f t="shared" si="29"/>
        <v>-</v>
      </c>
      <c r="FP78" s="739"/>
      <c r="FQ78" s="739"/>
      <c r="FR78" s="740"/>
      <c r="FS78" s="744" t="str">
        <f>IF(EW78="","-",INDEX($A$5:$BP$257,MATCH(EW78,$BN$5:$BN$257,0),39)*(IF(EW78="","-",(1+(((-('Densidade do AR'!$M$4))+('Densidade do AR'!$T$15*1000000))/(IF(INDEX($A$5:$BP$257,MATCH(EW78,$BN$5:$BN$257,0),50)="Aço Inoxidável",('Densidade do AR'!$S$8*1000000),IF(INDEX($A$5:$BP$257,MATCH(EW78,$BN$5:$BN$257,0),50)="Ferro Fundido",('Densidade do AR'!$S$12*1000000),IF(INDEX($A$5:$BP$257,MATCH(EW78,$BN$5:$BN$257,0),50)="Latão",('Densidade do AR'!$S$10*1000000),IF(INDEX($A$5:$BP$257,MATCH(EW78,$BN$5:$BN$257,0),50)="Alumínio",('Densidade do AR'!$S$4*1000000)))))))-(((-('Densidade do AR'!$M$4))+('Densidade do AR'!$T$15*1000000))/('Densidade do AR'!$S$14*1000000))))))</f>
        <v>-</v>
      </c>
      <c r="FT78" s="739"/>
      <c r="FU78" s="739"/>
      <c r="FV78" s="745"/>
      <c r="FW78" s="91" t="str">
        <f t="shared" si="41"/>
        <v>-</v>
      </c>
      <c r="FX78" s="135"/>
    </row>
    <row r="79" spans="1:180" x14ac:dyDescent="0.2">
      <c r="A79" s="717">
        <v>75</v>
      </c>
      <c r="B79" s="713"/>
      <c r="C79" s="708">
        <v>500000</v>
      </c>
      <c r="D79" s="709"/>
      <c r="E79" s="709"/>
      <c r="F79" s="709"/>
      <c r="G79" s="710"/>
      <c r="H79" s="933" t="s">
        <v>308</v>
      </c>
      <c r="I79" s="934"/>
      <c r="J79" s="934"/>
      <c r="K79" s="935"/>
      <c r="L79" s="708" t="s">
        <v>323</v>
      </c>
      <c r="M79" s="709"/>
      <c r="N79" s="709"/>
      <c r="O79" s="709"/>
      <c r="P79" s="708">
        <v>52</v>
      </c>
      <c r="Q79" s="879"/>
      <c r="R79" s="879"/>
      <c r="S79" s="879"/>
      <c r="T79" s="937"/>
      <c r="U79" s="898" t="s">
        <v>320</v>
      </c>
      <c r="V79" s="715"/>
      <c r="W79" s="715"/>
      <c r="X79" s="715"/>
      <c r="Y79" s="715"/>
      <c r="Z79" s="715"/>
      <c r="AA79" s="716"/>
      <c r="AB79" s="850"/>
      <c r="AC79" s="851"/>
      <c r="AD79" s="851"/>
      <c r="AE79" s="851"/>
      <c r="AF79" s="851"/>
      <c r="AG79" s="851"/>
      <c r="AH79" s="851"/>
      <c r="AI79" s="851"/>
      <c r="AJ79" s="851"/>
      <c r="AK79" s="851"/>
      <c r="AL79" s="852"/>
      <c r="AM79" s="917">
        <v>499995000</v>
      </c>
      <c r="AN79" s="712"/>
      <c r="AO79" s="712"/>
      <c r="AP79" s="712"/>
      <c r="AQ79" s="712"/>
      <c r="AR79" s="712"/>
      <c r="AS79" s="713"/>
      <c r="AT79" s="917">
        <f t="shared" si="21"/>
        <v>-5000</v>
      </c>
      <c r="AU79" s="712"/>
      <c r="AV79" s="712"/>
      <c r="AW79" s="713"/>
      <c r="AX79" s="917" t="s">
        <v>13</v>
      </c>
      <c r="AY79" s="712"/>
      <c r="AZ79" s="712"/>
      <c r="BA79" s="712"/>
      <c r="BB79" s="712"/>
      <c r="BC79" s="713"/>
      <c r="BD79" s="917">
        <v>25000</v>
      </c>
      <c r="BE79" s="712"/>
      <c r="BF79" s="712"/>
      <c r="BG79" s="713"/>
      <c r="BH79" s="917">
        <v>2</v>
      </c>
      <c r="BI79" s="994"/>
      <c r="BJ79" s="994"/>
      <c r="BK79" s="994"/>
      <c r="BL79" s="995"/>
      <c r="BN79" s="881">
        <v>75</v>
      </c>
      <c r="BO79" s="882"/>
      <c r="BP79" s="883"/>
      <c r="BT79" s="746"/>
      <c r="BU79" s="747"/>
      <c r="BV79" s="784" t="str">
        <f>IF(BT79="","-",(IF(INDEX($A$5:$BP$257,MATCH(BT79,$BN$5:$BN$257,0),50)="Aço Inoxidável",('Densidade do AR'!$S$8*1000000),IF(INDEX($A$5:$BP$257,MATCH(BT79,$BN$5:$BN$257,0),50)="Ferro Fundido",('Densidade do AR'!$S$12*1000000),IF(INDEX($A$5:$BP$257,MATCH(BT79,$BN$5:$BN$257,0),50)="Latão",('Densidade do AR'!$S$10*1000000),IF(INDEX($A$5:$BP$257,MATCH(BT79,$BN$5:$BN$257,0),50)="Alumínio",('Densidade do AR'!$S$4*1000000)))))))</f>
        <v>-</v>
      </c>
      <c r="BW79" s="785"/>
      <c r="BX79" s="785"/>
      <c r="BY79" s="786"/>
      <c r="BZ79" s="787" t="str">
        <f t="shared" si="30"/>
        <v>-</v>
      </c>
      <c r="CA79" s="788"/>
      <c r="CB79" s="788"/>
      <c r="CC79" s="789"/>
      <c r="CD79" s="787" t="str">
        <f t="shared" si="22"/>
        <v>-</v>
      </c>
      <c r="CE79" s="788"/>
      <c r="CF79" s="788"/>
      <c r="CG79" s="789"/>
      <c r="CH79" s="790" t="str">
        <f t="shared" si="31"/>
        <v>-</v>
      </c>
      <c r="CI79" s="785"/>
      <c r="CJ79" s="785"/>
      <c r="CK79" s="786"/>
      <c r="CL79" s="790" t="str">
        <f t="shared" si="23"/>
        <v>-</v>
      </c>
      <c r="CM79" s="785"/>
      <c r="CN79" s="785"/>
      <c r="CO79" s="786"/>
      <c r="CP79" s="790" t="str">
        <f>IF(BT79="","-",INDEX($A$5:$BP$257,MATCH(BT79,$BN$5:$BN$257,0),39)*(IF(BT79="","-",(1+(((-('Densidade do AR'!$M$4))+('Densidade do AR'!$T$15*1000000))/(IF(INDEX($A$5:$BP$257,MATCH(BT79,$BN$5:$BN$257,0),50)="Aço Inoxidável",('Densidade do AR'!$S$8*1000000),IF(INDEX($A$5:$BP$257,MATCH(BT79,$BN$5:$BN$257,0),50)="Ferro Fundido",('Densidade do AR'!$S$12*1000000),IF(INDEX($A$5:$BP$257,MATCH(BT79,$BN$5:$BN$257,0),50)="Latão",('Densidade do AR'!$S$10*1000000),IF(INDEX($A$5:$BP$257,MATCH(BT79,$BN$5:$BN$257,0),50)="Alumínio",('Densidade do AR'!$S$4*1000000)))))))-(((-('Densidade do AR'!$M$4))+('Densidade do AR'!$T$15*1000000))/('Densidade do AR'!$S$14*1000000))))))</f>
        <v>-</v>
      </c>
      <c r="CQ79" s="785"/>
      <c r="CR79" s="785"/>
      <c r="CS79" s="791"/>
      <c r="CT79" s="91" t="str">
        <f t="shared" si="32"/>
        <v>-</v>
      </c>
      <c r="CU79" s="746"/>
      <c r="CV79" s="747"/>
      <c r="CW79" s="784" t="str">
        <f>IF(CU79="","-",(IF(INDEX($A$5:$BP$257,MATCH(CU79,$BN$5:$BN$257,0),50)="Aço Inoxidável",('Densidade do AR'!$S$8*1000000),IF(INDEX($A$5:$BP$257,MATCH(CU79,$BN$5:$BN$257,0),50)="Ferro Fundido",('Densidade do AR'!$S$12*1000000),IF(INDEX($A$5:$BP$257,MATCH(CU79,$BN$5:$BN$257,0),50)="Latão",('Densidade do AR'!$S$10*1000000),IF(INDEX($A$5:$BP$257,MATCH(CU79,$BN$5:$BN$257,0),50)="Alumínio",('Densidade do AR'!$S$4*1000000)))))))</f>
        <v>-</v>
      </c>
      <c r="CX79" s="785"/>
      <c r="CY79" s="785"/>
      <c r="CZ79" s="786"/>
      <c r="DA79" s="787" t="str">
        <f t="shared" si="33"/>
        <v>-</v>
      </c>
      <c r="DB79" s="788"/>
      <c r="DC79" s="788"/>
      <c r="DD79" s="789"/>
      <c r="DE79" s="787" t="str">
        <f t="shared" si="24"/>
        <v>-</v>
      </c>
      <c r="DF79" s="788"/>
      <c r="DG79" s="788"/>
      <c r="DH79" s="789"/>
      <c r="DI79" s="790" t="str">
        <f t="shared" si="34"/>
        <v>-</v>
      </c>
      <c r="DJ79" s="785"/>
      <c r="DK79" s="785"/>
      <c r="DL79" s="786"/>
      <c r="DM79" s="790" t="str">
        <f t="shared" si="25"/>
        <v>-</v>
      </c>
      <c r="DN79" s="785"/>
      <c r="DO79" s="785"/>
      <c r="DP79" s="786"/>
      <c r="DQ79" s="790" t="str">
        <f>IF(CU79="","-",INDEX($A$5:$BP$257,MATCH(CU79,$BN$5:$BN$257,0),39)*(IF(CU79="","-",(1+(((-('Densidade do AR'!$M$4))+('Densidade do AR'!$T$15*1000000))/(IF(INDEX($A$5:$BP$257,MATCH(CU79,$BN$5:$BN$257,0),50)="Aço Inoxidável",('Densidade do AR'!$S$8*1000000),IF(INDEX($A$5:$BP$257,MATCH(CU79,$BN$5:$BN$257,0),50)="Ferro Fundido",('Densidade do AR'!$S$12*1000000),IF(INDEX($A$5:$BP$257,MATCH(CU79,$BN$5:$BN$257,0),50)="Latão",('Densidade do AR'!$S$10*1000000),IF(INDEX($A$5:$BP$257,MATCH(CU79,$BN$5:$BN$257,0),50)="Alumínio",('Densidade do AR'!$S$4*1000000)))))))-(((-('Densidade do AR'!$M$4))+('Densidade do AR'!$T$15*1000000))/('Densidade do AR'!$S$14*1000000))))))</f>
        <v>-</v>
      </c>
      <c r="DR79" s="785"/>
      <c r="DS79" s="785"/>
      <c r="DT79" s="791"/>
      <c r="DU79" s="91" t="str">
        <f t="shared" si="35"/>
        <v>-</v>
      </c>
      <c r="DV79" s="746"/>
      <c r="DW79" s="747"/>
      <c r="DX79" s="784" t="str">
        <f>IF(DV79="","-",(IF(INDEX($A$5:$BP$257,MATCH(DV79,$BN$5:$BN$257,0),50)="Aço Inoxidável",('Densidade do AR'!$S$8*1000000),IF(INDEX($A$5:$BP$257,MATCH(DV79,$BN$5:$BN$257,0),50)="Ferro Fundido",('Densidade do AR'!$S$12*1000000),IF(INDEX($A$5:$BP$257,MATCH(DV79,$BN$5:$BN$257,0),50)="Latão",('Densidade do AR'!$S$10*1000000),IF(INDEX($A$5:$BP$257,MATCH(DV79,$BN$5:$BN$257,0),50)="Alumínio",('Densidade do AR'!$S$4*1000000)))))))</f>
        <v>-</v>
      </c>
      <c r="DY79" s="785"/>
      <c r="DZ79" s="785"/>
      <c r="EA79" s="786"/>
      <c r="EB79" s="787" t="str">
        <f t="shared" si="36"/>
        <v>-</v>
      </c>
      <c r="EC79" s="788"/>
      <c r="ED79" s="788"/>
      <c r="EE79" s="789"/>
      <c r="EF79" s="787" t="str">
        <f t="shared" si="26"/>
        <v>-</v>
      </c>
      <c r="EG79" s="788"/>
      <c r="EH79" s="788"/>
      <c r="EI79" s="789"/>
      <c r="EJ79" s="790" t="str">
        <f t="shared" si="37"/>
        <v>-</v>
      </c>
      <c r="EK79" s="785"/>
      <c r="EL79" s="785"/>
      <c r="EM79" s="786"/>
      <c r="EN79" s="790" t="str">
        <f t="shared" si="27"/>
        <v>-</v>
      </c>
      <c r="EO79" s="785"/>
      <c r="EP79" s="785"/>
      <c r="EQ79" s="786"/>
      <c r="ER79" s="790" t="str">
        <f>IF(DV79="","-",INDEX($A$5:$BP$257,MATCH(DV79,$BN$5:$BN$257,0),39)*(IF(DV79="","-",(1+(((-('Densidade do AR'!$M$4))+('Densidade do AR'!$T$15*1000000))/(IF(INDEX($A$5:$BP$257,MATCH(DV79,$BN$5:$BN$257,0),50)="Aço Inoxidável",('Densidade do AR'!$S$8*1000000),IF(INDEX($A$5:$BP$257,MATCH(DV79,$BN$5:$BN$257,0),50)="Ferro Fundido",('Densidade do AR'!$S$12*1000000),IF(INDEX($A$5:$BP$257,MATCH(DV79,$BN$5:$BN$257,0),50)="Latão",('Densidade do AR'!$S$10*1000000),IF(INDEX($A$5:$BP$257,MATCH(DV79,$BN$5:$BN$257,0),50)="Alumínio",('Densidade do AR'!$S$4*1000000)))))))-(((-('Densidade do AR'!$M$4))+('Densidade do AR'!$T$15*1000000))/('Densidade do AR'!$S$14*1000000))))))</f>
        <v>-</v>
      </c>
      <c r="ES79" s="785"/>
      <c r="ET79" s="785"/>
      <c r="EU79" s="791"/>
      <c r="EV79" s="91" t="str">
        <f t="shared" si="38"/>
        <v>-</v>
      </c>
      <c r="EW79" s="746"/>
      <c r="EX79" s="747"/>
      <c r="EY79" s="784" t="str">
        <f>IF(EW79="","-",(IF(INDEX($A$5:$BP$257,MATCH(EW79,$BN$5:$BN$257,0),50)="Aço Inoxidável",('Densidade do AR'!$S$8*1000000),IF(INDEX($A$5:$BP$257,MATCH(EW79,$BN$5:$BN$257,0),50)="Ferro Fundido",('Densidade do AR'!$S$12*1000000),IF(INDEX($A$5:$BP$257,MATCH(EW79,$BN$5:$BN$257,0),50)="Latão",('Densidade do AR'!$S$10*1000000),IF(INDEX($A$5:$BP$257,MATCH(EW79,$BN$5:$BN$257,0),50)="Alumínio",('Densidade do AR'!$S$4*1000000)))))))</f>
        <v>-</v>
      </c>
      <c r="EZ79" s="785"/>
      <c r="FA79" s="785"/>
      <c r="FB79" s="786"/>
      <c r="FC79" s="787" t="str">
        <f t="shared" si="39"/>
        <v>-</v>
      </c>
      <c r="FD79" s="788"/>
      <c r="FE79" s="788"/>
      <c r="FF79" s="789"/>
      <c r="FG79" s="787" t="str">
        <f t="shared" si="28"/>
        <v>-</v>
      </c>
      <c r="FH79" s="788"/>
      <c r="FI79" s="788"/>
      <c r="FJ79" s="789"/>
      <c r="FK79" s="790" t="str">
        <f t="shared" si="40"/>
        <v>-</v>
      </c>
      <c r="FL79" s="785"/>
      <c r="FM79" s="785"/>
      <c r="FN79" s="786"/>
      <c r="FO79" s="790" t="str">
        <f t="shared" si="29"/>
        <v>-</v>
      </c>
      <c r="FP79" s="785"/>
      <c r="FQ79" s="785"/>
      <c r="FR79" s="786"/>
      <c r="FS79" s="790" t="str">
        <f>IF(EW79="","-",INDEX($A$5:$BP$257,MATCH(EW79,$BN$5:$BN$257,0),39)*(IF(EW79="","-",(1+(((-('Densidade do AR'!$M$4))+('Densidade do AR'!$T$15*1000000))/(IF(INDEX($A$5:$BP$257,MATCH(EW79,$BN$5:$BN$257,0),50)="Aço Inoxidável",('Densidade do AR'!$S$8*1000000),IF(INDEX($A$5:$BP$257,MATCH(EW79,$BN$5:$BN$257,0),50)="Ferro Fundido",('Densidade do AR'!$S$12*1000000),IF(INDEX($A$5:$BP$257,MATCH(EW79,$BN$5:$BN$257,0),50)="Latão",('Densidade do AR'!$S$10*1000000),IF(INDEX($A$5:$BP$257,MATCH(EW79,$BN$5:$BN$257,0),50)="Alumínio",('Densidade do AR'!$S$4*1000000)))))))-(((-('Densidade do AR'!$M$4))+('Densidade do AR'!$T$15*1000000))/('Densidade do AR'!$S$14*1000000))))))</f>
        <v>-</v>
      </c>
      <c r="FT79" s="785"/>
      <c r="FU79" s="785"/>
      <c r="FV79" s="791"/>
      <c r="FW79" s="91" t="str">
        <f t="shared" si="41"/>
        <v>-</v>
      </c>
      <c r="FX79" s="135"/>
    </row>
    <row r="80" spans="1:180" x14ac:dyDescent="0.2">
      <c r="A80" s="718">
        <v>76</v>
      </c>
      <c r="B80" s="713"/>
      <c r="C80" s="719">
        <v>500000</v>
      </c>
      <c r="D80" s="709"/>
      <c r="E80" s="709"/>
      <c r="F80" s="709"/>
      <c r="G80" s="710"/>
      <c r="H80" s="940" t="s">
        <v>308</v>
      </c>
      <c r="I80" s="941"/>
      <c r="J80" s="941"/>
      <c r="K80" s="942"/>
      <c r="L80" s="719" t="s">
        <v>323</v>
      </c>
      <c r="M80" s="709"/>
      <c r="N80" s="709"/>
      <c r="O80" s="709"/>
      <c r="P80" s="719">
        <v>57</v>
      </c>
      <c r="Q80" s="882"/>
      <c r="R80" s="882"/>
      <c r="S80" s="882"/>
      <c r="T80" s="939"/>
      <c r="U80" s="897" t="s">
        <v>320</v>
      </c>
      <c r="V80" s="722"/>
      <c r="W80" s="722"/>
      <c r="X80" s="722"/>
      <c r="Y80" s="722"/>
      <c r="Z80" s="722"/>
      <c r="AA80" s="723"/>
      <c r="AB80" s="853"/>
      <c r="AC80" s="854"/>
      <c r="AD80" s="854"/>
      <c r="AE80" s="854"/>
      <c r="AF80" s="854"/>
      <c r="AG80" s="854"/>
      <c r="AH80" s="854"/>
      <c r="AI80" s="854"/>
      <c r="AJ80" s="854"/>
      <c r="AK80" s="854"/>
      <c r="AL80" s="855"/>
      <c r="AM80" s="909">
        <v>500000000</v>
      </c>
      <c r="AN80" s="712"/>
      <c r="AO80" s="712"/>
      <c r="AP80" s="712"/>
      <c r="AQ80" s="712"/>
      <c r="AR80" s="712"/>
      <c r="AS80" s="713"/>
      <c r="AT80" s="909">
        <f t="shared" si="21"/>
        <v>0</v>
      </c>
      <c r="AU80" s="712"/>
      <c r="AV80" s="712"/>
      <c r="AW80" s="713"/>
      <c r="AX80" s="908" t="s">
        <v>13</v>
      </c>
      <c r="AY80" s="712"/>
      <c r="AZ80" s="712"/>
      <c r="BA80" s="712"/>
      <c r="BB80" s="712"/>
      <c r="BC80" s="713"/>
      <c r="BD80" s="909">
        <v>25000</v>
      </c>
      <c r="BE80" s="712"/>
      <c r="BF80" s="712"/>
      <c r="BG80" s="713"/>
      <c r="BH80" s="909">
        <v>2</v>
      </c>
      <c r="BI80" s="994"/>
      <c r="BJ80" s="994"/>
      <c r="BK80" s="994"/>
      <c r="BL80" s="995"/>
      <c r="BN80" s="881">
        <v>76</v>
      </c>
      <c r="BO80" s="882"/>
      <c r="BP80" s="883"/>
      <c r="BT80" s="736"/>
      <c r="BU80" s="737"/>
      <c r="BV80" s="738" t="str">
        <f>IF(BT80="","-",(IF(INDEX($A$5:$BP$257,MATCH(BT80,$BN$5:$BN$257,0),50)="Aço Inoxidável",('Densidade do AR'!$S$8*1000000),IF(INDEX($A$5:$BP$257,MATCH(BT80,$BN$5:$BN$257,0),50)="Ferro Fundido",('Densidade do AR'!$S$12*1000000),IF(INDEX($A$5:$BP$257,MATCH(BT80,$BN$5:$BN$257,0),50)="Latão",('Densidade do AR'!$S$10*1000000),IF(INDEX($A$5:$BP$257,MATCH(BT80,$BN$5:$BN$257,0),50)="Alumínio",('Densidade do AR'!$S$4*1000000)))))))</f>
        <v>-</v>
      </c>
      <c r="BW80" s="739"/>
      <c r="BX80" s="739"/>
      <c r="BY80" s="740"/>
      <c r="BZ80" s="741" t="str">
        <f t="shared" si="30"/>
        <v>-</v>
      </c>
      <c r="CA80" s="742"/>
      <c r="CB80" s="742"/>
      <c r="CC80" s="743"/>
      <c r="CD80" s="741" t="str">
        <f t="shared" si="22"/>
        <v>-</v>
      </c>
      <c r="CE80" s="742"/>
      <c r="CF80" s="742"/>
      <c r="CG80" s="743"/>
      <c r="CH80" s="744" t="str">
        <f t="shared" si="31"/>
        <v>-</v>
      </c>
      <c r="CI80" s="739"/>
      <c r="CJ80" s="739"/>
      <c r="CK80" s="740"/>
      <c r="CL80" s="744" t="str">
        <f t="shared" si="23"/>
        <v>-</v>
      </c>
      <c r="CM80" s="739"/>
      <c r="CN80" s="739"/>
      <c r="CO80" s="740"/>
      <c r="CP80" s="744" t="str">
        <f>IF(BT80="","-",INDEX($A$5:$BP$257,MATCH(BT80,$BN$5:$BN$257,0),39)*(IF(BT80="","-",(1+(((-('Densidade do AR'!$M$4))+('Densidade do AR'!$T$15*1000000))/(IF(INDEX($A$5:$BP$257,MATCH(BT80,$BN$5:$BN$257,0),50)="Aço Inoxidável",('Densidade do AR'!$S$8*1000000),IF(INDEX($A$5:$BP$257,MATCH(BT80,$BN$5:$BN$257,0),50)="Ferro Fundido",('Densidade do AR'!$S$12*1000000),IF(INDEX($A$5:$BP$257,MATCH(BT80,$BN$5:$BN$257,0),50)="Latão",('Densidade do AR'!$S$10*1000000),IF(INDEX($A$5:$BP$257,MATCH(BT80,$BN$5:$BN$257,0),50)="Alumínio",('Densidade do AR'!$S$4*1000000)))))))-(((-('Densidade do AR'!$M$4))+('Densidade do AR'!$T$15*1000000))/('Densidade do AR'!$S$14*1000000))))))</f>
        <v>-</v>
      </c>
      <c r="CQ80" s="739"/>
      <c r="CR80" s="739"/>
      <c r="CS80" s="745"/>
      <c r="CT80" s="91" t="str">
        <f t="shared" si="32"/>
        <v>-</v>
      </c>
      <c r="CU80" s="736"/>
      <c r="CV80" s="737"/>
      <c r="CW80" s="738" t="str">
        <f>IF(CU80="","-",(IF(INDEX($A$5:$BP$257,MATCH(CU80,$BN$5:$BN$257,0),50)="Aço Inoxidável",('Densidade do AR'!$S$8*1000000),IF(INDEX($A$5:$BP$257,MATCH(CU80,$BN$5:$BN$257,0),50)="Ferro Fundido",('Densidade do AR'!$S$12*1000000),IF(INDEX($A$5:$BP$257,MATCH(CU80,$BN$5:$BN$257,0),50)="Latão",('Densidade do AR'!$S$10*1000000),IF(INDEX($A$5:$BP$257,MATCH(CU80,$BN$5:$BN$257,0),50)="Alumínio",('Densidade do AR'!$S$4*1000000)))))))</f>
        <v>-</v>
      </c>
      <c r="CX80" s="739"/>
      <c r="CY80" s="739"/>
      <c r="CZ80" s="740"/>
      <c r="DA80" s="741" t="str">
        <f t="shared" si="33"/>
        <v>-</v>
      </c>
      <c r="DB80" s="742"/>
      <c r="DC80" s="742"/>
      <c r="DD80" s="743"/>
      <c r="DE80" s="741" t="str">
        <f t="shared" si="24"/>
        <v>-</v>
      </c>
      <c r="DF80" s="742"/>
      <c r="DG80" s="742"/>
      <c r="DH80" s="743"/>
      <c r="DI80" s="744" t="str">
        <f t="shared" si="34"/>
        <v>-</v>
      </c>
      <c r="DJ80" s="739"/>
      <c r="DK80" s="739"/>
      <c r="DL80" s="740"/>
      <c r="DM80" s="744" t="str">
        <f t="shared" si="25"/>
        <v>-</v>
      </c>
      <c r="DN80" s="739"/>
      <c r="DO80" s="739"/>
      <c r="DP80" s="740"/>
      <c r="DQ80" s="744" t="str">
        <f>IF(CU80="","-",INDEX($A$5:$BP$257,MATCH(CU80,$BN$5:$BN$257,0),39)*(IF(CU80="","-",(1+(((-('Densidade do AR'!$M$4))+('Densidade do AR'!$T$15*1000000))/(IF(INDEX($A$5:$BP$257,MATCH(CU80,$BN$5:$BN$257,0),50)="Aço Inoxidável",('Densidade do AR'!$S$8*1000000),IF(INDEX($A$5:$BP$257,MATCH(CU80,$BN$5:$BN$257,0),50)="Ferro Fundido",('Densidade do AR'!$S$12*1000000),IF(INDEX($A$5:$BP$257,MATCH(CU80,$BN$5:$BN$257,0),50)="Latão",('Densidade do AR'!$S$10*1000000),IF(INDEX($A$5:$BP$257,MATCH(CU80,$BN$5:$BN$257,0),50)="Alumínio",('Densidade do AR'!$S$4*1000000)))))))-(((-('Densidade do AR'!$M$4))+('Densidade do AR'!$T$15*1000000))/('Densidade do AR'!$S$14*1000000))))))</f>
        <v>-</v>
      </c>
      <c r="DR80" s="739"/>
      <c r="DS80" s="739"/>
      <c r="DT80" s="745"/>
      <c r="DU80" s="91" t="str">
        <f t="shared" si="35"/>
        <v>-</v>
      </c>
      <c r="DV80" s="736"/>
      <c r="DW80" s="737"/>
      <c r="DX80" s="738" t="str">
        <f>IF(DV80="","-",(IF(INDEX($A$5:$BP$257,MATCH(DV80,$BN$5:$BN$257,0),50)="Aço Inoxidável",('Densidade do AR'!$S$8*1000000),IF(INDEX($A$5:$BP$257,MATCH(DV80,$BN$5:$BN$257,0),50)="Ferro Fundido",('Densidade do AR'!$S$12*1000000),IF(INDEX($A$5:$BP$257,MATCH(DV80,$BN$5:$BN$257,0),50)="Latão",('Densidade do AR'!$S$10*1000000),IF(INDEX($A$5:$BP$257,MATCH(DV80,$BN$5:$BN$257,0),50)="Alumínio",('Densidade do AR'!$S$4*1000000)))))))</f>
        <v>-</v>
      </c>
      <c r="DY80" s="739"/>
      <c r="DZ80" s="739"/>
      <c r="EA80" s="740"/>
      <c r="EB80" s="741" t="str">
        <f t="shared" si="36"/>
        <v>-</v>
      </c>
      <c r="EC80" s="742"/>
      <c r="ED80" s="742"/>
      <c r="EE80" s="743"/>
      <c r="EF80" s="741" t="str">
        <f t="shared" si="26"/>
        <v>-</v>
      </c>
      <c r="EG80" s="742"/>
      <c r="EH80" s="742"/>
      <c r="EI80" s="743"/>
      <c r="EJ80" s="744" t="str">
        <f t="shared" si="37"/>
        <v>-</v>
      </c>
      <c r="EK80" s="739"/>
      <c r="EL80" s="739"/>
      <c r="EM80" s="740"/>
      <c r="EN80" s="744" t="str">
        <f t="shared" si="27"/>
        <v>-</v>
      </c>
      <c r="EO80" s="739"/>
      <c r="EP80" s="739"/>
      <c r="EQ80" s="740"/>
      <c r="ER80" s="744" t="str">
        <f>IF(DV80="","-",INDEX($A$5:$BP$257,MATCH(DV80,$BN$5:$BN$257,0),39)*(IF(DV80="","-",(1+(((-('Densidade do AR'!$M$4))+('Densidade do AR'!$T$15*1000000))/(IF(INDEX($A$5:$BP$257,MATCH(DV80,$BN$5:$BN$257,0),50)="Aço Inoxidável",('Densidade do AR'!$S$8*1000000),IF(INDEX($A$5:$BP$257,MATCH(DV80,$BN$5:$BN$257,0),50)="Ferro Fundido",('Densidade do AR'!$S$12*1000000),IF(INDEX($A$5:$BP$257,MATCH(DV80,$BN$5:$BN$257,0),50)="Latão",('Densidade do AR'!$S$10*1000000),IF(INDEX($A$5:$BP$257,MATCH(DV80,$BN$5:$BN$257,0),50)="Alumínio",('Densidade do AR'!$S$4*1000000)))))))-(((-('Densidade do AR'!$M$4))+('Densidade do AR'!$T$15*1000000))/('Densidade do AR'!$S$14*1000000))))))</f>
        <v>-</v>
      </c>
      <c r="ES80" s="739"/>
      <c r="ET80" s="739"/>
      <c r="EU80" s="745"/>
      <c r="EV80" s="91" t="str">
        <f t="shared" si="38"/>
        <v>-</v>
      </c>
      <c r="EW80" s="736"/>
      <c r="EX80" s="737"/>
      <c r="EY80" s="738" t="str">
        <f>IF(EW80="","-",(IF(INDEX($A$5:$BP$257,MATCH(EW80,$BN$5:$BN$257,0),50)="Aço Inoxidável",('Densidade do AR'!$S$8*1000000),IF(INDEX($A$5:$BP$257,MATCH(EW80,$BN$5:$BN$257,0),50)="Ferro Fundido",('Densidade do AR'!$S$12*1000000),IF(INDEX($A$5:$BP$257,MATCH(EW80,$BN$5:$BN$257,0),50)="Latão",('Densidade do AR'!$S$10*1000000),IF(INDEX($A$5:$BP$257,MATCH(EW80,$BN$5:$BN$257,0),50)="Alumínio",('Densidade do AR'!$S$4*1000000)))))))</f>
        <v>-</v>
      </c>
      <c r="EZ80" s="739"/>
      <c r="FA80" s="739"/>
      <c r="FB80" s="740"/>
      <c r="FC80" s="741" t="str">
        <f t="shared" si="39"/>
        <v>-</v>
      </c>
      <c r="FD80" s="742"/>
      <c r="FE80" s="742"/>
      <c r="FF80" s="743"/>
      <c r="FG80" s="741" t="str">
        <f t="shared" si="28"/>
        <v>-</v>
      </c>
      <c r="FH80" s="742"/>
      <c r="FI80" s="742"/>
      <c r="FJ80" s="743"/>
      <c r="FK80" s="744" t="str">
        <f t="shared" si="40"/>
        <v>-</v>
      </c>
      <c r="FL80" s="739"/>
      <c r="FM80" s="739"/>
      <c r="FN80" s="740"/>
      <c r="FO80" s="744" t="str">
        <f t="shared" si="29"/>
        <v>-</v>
      </c>
      <c r="FP80" s="739"/>
      <c r="FQ80" s="739"/>
      <c r="FR80" s="740"/>
      <c r="FS80" s="744" t="str">
        <f>IF(EW80="","-",INDEX($A$5:$BP$257,MATCH(EW80,$BN$5:$BN$257,0),39)*(IF(EW80="","-",(1+(((-('Densidade do AR'!$M$4))+('Densidade do AR'!$T$15*1000000))/(IF(INDEX($A$5:$BP$257,MATCH(EW80,$BN$5:$BN$257,0),50)="Aço Inoxidável",('Densidade do AR'!$S$8*1000000),IF(INDEX($A$5:$BP$257,MATCH(EW80,$BN$5:$BN$257,0),50)="Ferro Fundido",('Densidade do AR'!$S$12*1000000),IF(INDEX($A$5:$BP$257,MATCH(EW80,$BN$5:$BN$257,0),50)="Latão",('Densidade do AR'!$S$10*1000000),IF(INDEX($A$5:$BP$257,MATCH(EW80,$BN$5:$BN$257,0),50)="Alumínio",('Densidade do AR'!$S$4*1000000)))))))-(((-('Densidade do AR'!$M$4))+('Densidade do AR'!$T$15*1000000))/('Densidade do AR'!$S$14*1000000))))))</f>
        <v>-</v>
      </c>
      <c r="FT80" s="739"/>
      <c r="FU80" s="739"/>
      <c r="FV80" s="745"/>
      <c r="FW80" s="91" t="str">
        <f t="shared" si="41"/>
        <v>-</v>
      </c>
      <c r="FX80" s="135"/>
    </row>
    <row r="81" spans="1:180" x14ac:dyDescent="0.2">
      <c r="A81" s="717">
        <v>77</v>
      </c>
      <c r="B81" s="713"/>
      <c r="C81" s="708">
        <v>500000</v>
      </c>
      <c r="D81" s="709"/>
      <c r="E81" s="709"/>
      <c r="F81" s="709"/>
      <c r="G81" s="710"/>
      <c r="H81" s="933" t="s">
        <v>308</v>
      </c>
      <c r="I81" s="934"/>
      <c r="J81" s="934"/>
      <c r="K81" s="935"/>
      <c r="L81" s="708" t="s">
        <v>323</v>
      </c>
      <c r="M81" s="709"/>
      <c r="N81" s="709"/>
      <c r="O81" s="709"/>
      <c r="P81" s="708">
        <v>59</v>
      </c>
      <c r="Q81" s="879"/>
      <c r="R81" s="879"/>
      <c r="S81" s="879"/>
      <c r="T81" s="937"/>
      <c r="U81" s="898" t="s">
        <v>320</v>
      </c>
      <c r="V81" s="715"/>
      <c r="W81" s="715"/>
      <c r="X81" s="715"/>
      <c r="Y81" s="715"/>
      <c r="Z81" s="715"/>
      <c r="AA81" s="716"/>
      <c r="AB81" s="850"/>
      <c r="AC81" s="851"/>
      <c r="AD81" s="851"/>
      <c r="AE81" s="851"/>
      <c r="AF81" s="851"/>
      <c r="AG81" s="851"/>
      <c r="AH81" s="851"/>
      <c r="AI81" s="851"/>
      <c r="AJ81" s="851"/>
      <c r="AK81" s="851"/>
      <c r="AL81" s="852"/>
      <c r="AM81" s="917">
        <v>500005000</v>
      </c>
      <c r="AN81" s="712"/>
      <c r="AO81" s="712"/>
      <c r="AP81" s="712"/>
      <c r="AQ81" s="712"/>
      <c r="AR81" s="712"/>
      <c r="AS81" s="713"/>
      <c r="AT81" s="917">
        <f t="shared" si="21"/>
        <v>5000</v>
      </c>
      <c r="AU81" s="712"/>
      <c r="AV81" s="712"/>
      <c r="AW81" s="713"/>
      <c r="AX81" s="917" t="s">
        <v>13</v>
      </c>
      <c r="AY81" s="712"/>
      <c r="AZ81" s="712"/>
      <c r="BA81" s="712"/>
      <c r="BB81" s="712"/>
      <c r="BC81" s="713"/>
      <c r="BD81" s="917">
        <v>25000</v>
      </c>
      <c r="BE81" s="712"/>
      <c r="BF81" s="712"/>
      <c r="BG81" s="713"/>
      <c r="BH81" s="917">
        <v>2</v>
      </c>
      <c r="BI81" s="994"/>
      <c r="BJ81" s="994"/>
      <c r="BK81" s="994"/>
      <c r="BL81" s="995"/>
      <c r="BN81" s="878">
        <v>77</v>
      </c>
      <c r="BO81" s="879"/>
      <c r="BP81" s="880"/>
      <c r="BT81" s="746"/>
      <c r="BU81" s="747"/>
      <c r="BV81" s="784" t="str">
        <f>IF(BT81="","-",(IF(INDEX($A$5:$BP$257,MATCH(BT81,$BN$5:$BN$257,0),50)="Aço Inoxidável",('Densidade do AR'!$S$8*1000000),IF(INDEX($A$5:$BP$257,MATCH(BT81,$BN$5:$BN$257,0),50)="Ferro Fundido",('Densidade do AR'!$S$12*1000000),IF(INDEX($A$5:$BP$257,MATCH(BT81,$BN$5:$BN$257,0),50)="Latão",('Densidade do AR'!$S$10*1000000),IF(INDEX($A$5:$BP$257,MATCH(BT81,$BN$5:$BN$257,0),50)="Alumínio",('Densidade do AR'!$S$4*1000000)))))))</f>
        <v>-</v>
      </c>
      <c r="BW81" s="785"/>
      <c r="BX81" s="785"/>
      <c r="BY81" s="786"/>
      <c r="BZ81" s="787" t="str">
        <f t="shared" si="30"/>
        <v>-</v>
      </c>
      <c r="CA81" s="788"/>
      <c r="CB81" s="788"/>
      <c r="CC81" s="789"/>
      <c r="CD81" s="787" t="str">
        <f t="shared" si="22"/>
        <v>-</v>
      </c>
      <c r="CE81" s="788"/>
      <c r="CF81" s="788"/>
      <c r="CG81" s="789"/>
      <c r="CH81" s="790" t="str">
        <f t="shared" si="31"/>
        <v>-</v>
      </c>
      <c r="CI81" s="785"/>
      <c r="CJ81" s="785"/>
      <c r="CK81" s="786"/>
      <c r="CL81" s="790" t="str">
        <f t="shared" si="23"/>
        <v>-</v>
      </c>
      <c r="CM81" s="785"/>
      <c r="CN81" s="785"/>
      <c r="CO81" s="786"/>
      <c r="CP81" s="790" t="str">
        <f>IF(BT81="","-",INDEX($A$5:$BP$257,MATCH(BT81,$BN$5:$BN$257,0),39)*(IF(BT81="","-",(1+(((-('Densidade do AR'!$M$4))+('Densidade do AR'!$T$15*1000000))/(IF(INDEX($A$5:$BP$257,MATCH(BT81,$BN$5:$BN$257,0),50)="Aço Inoxidável",('Densidade do AR'!$S$8*1000000),IF(INDEX($A$5:$BP$257,MATCH(BT81,$BN$5:$BN$257,0),50)="Ferro Fundido",('Densidade do AR'!$S$12*1000000),IF(INDEX($A$5:$BP$257,MATCH(BT81,$BN$5:$BN$257,0),50)="Latão",('Densidade do AR'!$S$10*1000000),IF(INDEX($A$5:$BP$257,MATCH(BT81,$BN$5:$BN$257,0),50)="Alumínio",('Densidade do AR'!$S$4*1000000)))))))-(((-('Densidade do AR'!$M$4))+('Densidade do AR'!$T$15*1000000))/('Densidade do AR'!$S$14*1000000))))))</f>
        <v>-</v>
      </c>
      <c r="CQ81" s="785"/>
      <c r="CR81" s="785"/>
      <c r="CS81" s="791"/>
      <c r="CT81" s="91" t="str">
        <f t="shared" si="32"/>
        <v>-</v>
      </c>
      <c r="CU81" s="746"/>
      <c r="CV81" s="747"/>
      <c r="CW81" s="784" t="str">
        <f>IF(CU81="","-",(IF(INDEX($A$5:$BP$257,MATCH(CU81,$BN$5:$BN$257,0),50)="Aço Inoxidável",('Densidade do AR'!$S$8*1000000),IF(INDEX($A$5:$BP$257,MATCH(CU81,$BN$5:$BN$257,0),50)="Ferro Fundido",('Densidade do AR'!$S$12*1000000),IF(INDEX($A$5:$BP$257,MATCH(CU81,$BN$5:$BN$257,0),50)="Latão",('Densidade do AR'!$S$10*1000000),IF(INDEX($A$5:$BP$257,MATCH(CU81,$BN$5:$BN$257,0),50)="Alumínio",('Densidade do AR'!$S$4*1000000)))))))</f>
        <v>-</v>
      </c>
      <c r="CX81" s="785"/>
      <c r="CY81" s="785"/>
      <c r="CZ81" s="786"/>
      <c r="DA81" s="787" t="str">
        <f t="shared" si="33"/>
        <v>-</v>
      </c>
      <c r="DB81" s="788"/>
      <c r="DC81" s="788"/>
      <c r="DD81" s="789"/>
      <c r="DE81" s="787" t="str">
        <f t="shared" si="24"/>
        <v>-</v>
      </c>
      <c r="DF81" s="788"/>
      <c r="DG81" s="788"/>
      <c r="DH81" s="789"/>
      <c r="DI81" s="790" t="str">
        <f t="shared" si="34"/>
        <v>-</v>
      </c>
      <c r="DJ81" s="785"/>
      <c r="DK81" s="785"/>
      <c r="DL81" s="786"/>
      <c r="DM81" s="790" t="str">
        <f t="shared" si="25"/>
        <v>-</v>
      </c>
      <c r="DN81" s="785"/>
      <c r="DO81" s="785"/>
      <c r="DP81" s="786"/>
      <c r="DQ81" s="790" t="str">
        <f>IF(CU81="","-",INDEX($A$5:$BP$257,MATCH(CU81,$BN$5:$BN$257,0),39)*(IF(CU81="","-",(1+(((-('Densidade do AR'!$M$4))+('Densidade do AR'!$T$15*1000000))/(IF(INDEX($A$5:$BP$257,MATCH(CU81,$BN$5:$BN$257,0),50)="Aço Inoxidável",('Densidade do AR'!$S$8*1000000),IF(INDEX($A$5:$BP$257,MATCH(CU81,$BN$5:$BN$257,0),50)="Ferro Fundido",('Densidade do AR'!$S$12*1000000),IF(INDEX($A$5:$BP$257,MATCH(CU81,$BN$5:$BN$257,0),50)="Latão",('Densidade do AR'!$S$10*1000000),IF(INDEX($A$5:$BP$257,MATCH(CU81,$BN$5:$BN$257,0),50)="Alumínio",('Densidade do AR'!$S$4*1000000)))))))-(((-('Densidade do AR'!$M$4))+('Densidade do AR'!$T$15*1000000))/('Densidade do AR'!$S$14*1000000))))))</f>
        <v>-</v>
      </c>
      <c r="DR81" s="785"/>
      <c r="DS81" s="785"/>
      <c r="DT81" s="791"/>
      <c r="DU81" s="91" t="str">
        <f t="shared" si="35"/>
        <v>-</v>
      </c>
      <c r="DV81" s="746"/>
      <c r="DW81" s="747"/>
      <c r="DX81" s="784" t="str">
        <f>IF(DV81="","-",(IF(INDEX($A$5:$BP$257,MATCH(DV81,$BN$5:$BN$257,0),50)="Aço Inoxidável",('Densidade do AR'!$S$8*1000000),IF(INDEX($A$5:$BP$257,MATCH(DV81,$BN$5:$BN$257,0),50)="Ferro Fundido",('Densidade do AR'!$S$12*1000000),IF(INDEX($A$5:$BP$257,MATCH(DV81,$BN$5:$BN$257,0),50)="Latão",('Densidade do AR'!$S$10*1000000),IF(INDEX($A$5:$BP$257,MATCH(DV81,$BN$5:$BN$257,0),50)="Alumínio",('Densidade do AR'!$S$4*1000000)))))))</f>
        <v>-</v>
      </c>
      <c r="DY81" s="785"/>
      <c r="DZ81" s="785"/>
      <c r="EA81" s="786"/>
      <c r="EB81" s="787" t="str">
        <f t="shared" si="36"/>
        <v>-</v>
      </c>
      <c r="EC81" s="788"/>
      <c r="ED81" s="788"/>
      <c r="EE81" s="789"/>
      <c r="EF81" s="787" t="str">
        <f t="shared" si="26"/>
        <v>-</v>
      </c>
      <c r="EG81" s="788"/>
      <c r="EH81" s="788"/>
      <c r="EI81" s="789"/>
      <c r="EJ81" s="790" t="str">
        <f t="shared" si="37"/>
        <v>-</v>
      </c>
      <c r="EK81" s="785"/>
      <c r="EL81" s="785"/>
      <c r="EM81" s="786"/>
      <c r="EN81" s="790" t="str">
        <f t="shared" si="27"/>
        <v>-</v>
      </c>
      <c r="EO81" s="785"/>
      <c r="EP81" s="785"/>
      <c r="EQ81" s="786"/>
      <c r="ER81" s="790" t="str">
        <f>IF(DV81="","-",INDEX($A$5:$BP$257,MATCH(DV81,$BN$5:$BN$257,0),39)*(IF(DV81="","-",(1+(((-('Densidade do AR'!$M$4))+('Densidade do AR'!$T$15*1000000))/(IF(INDEX($A$5:$BP$257,MATCH(DV81,$BN$5:$BN$257,0),50)="Aço Inoxidável",('Densidade do AR'!$S$8*1000000),IF(INDEX($A$5:$BP$257,MATCH(DV81,$BN$5:$BN$257,0),50)="Ferro Fundido",('Densidade do AR'!$S$12*1000000),IF(INDEX($A$5:$BP$257,MATCH(DV81,$BN$5:$BN$257,0),50)="Latão",('Densidade do AR'!$S$10*1000000),IF(INDEX($A$5:$BP$257,MATCH(DV81,$BN$5:$BN$257,0),50)="Alumínio",('Densidade do AR'!$S$4*1000000)))))))-(((-('Densidade do AR'!$M$4))+('Densidade do AR'!$T$15*1000000))/('Densidade do AR'!$S$14*1000000))))))</f>
        <v>-</v>
      </c>
      <c r="ES81" s="785"/>
      <c r="ET81" s="785"/>
      <c r="EU81" s="791"/>
      <c r="EV81" s="91" t="str">
        <f t="shared" si="38"/>
        <v>-</v>
      </c>
      <c r="EW81" s="746"/>
      <c r="EX81" s="747"/>
      <c r="EY81" s="784" t="str">
        <f>IF(EW81="","-",(IF(INDEX($A$5:$BP$257,MATCH(EW81,$BN$5:$BN$257,0),50)="Aço Inoxidável",('Densidade do AR'!$S$8*1000000),IF(INDEX($A$5:$BP$257,MATCH(EW81,$BN$5:$BN$257,0),50)="Ferro Fundido",('Densidade do AR'!$S$12*1000000),IF(INDEX($A$5:$BP$257,MATCH(EW81,$BN$5:$BN$257,0),50)="Latão",('Densidade do AR'!$S$10*1000000),IF(INDEX($A$5:$BP$257,MATCH(EW81,$BN$5:$BN$257,0),50)="Alumínio",('Densidade do AR'!$S$4*1000000)))))))</f>
        <v>-</v>
      </c>
      <c r="EZ81" s="785"/>
      <c r="FA81" s="785"/>
      <c r="FB81" s="786"/>
      <c r="FC81" s="787" t="str">
        <f t="shared" si="39"/>
        <v>-</v>
      </c>
      <c r="FD81" s="788"/>
      <c r="FE81" s="788"/>
      <c r="FF81" s="789"/>
      <c r="FG81" s="787" t="str">
        <f t="shared" si="28"/>
        <v>-</v>
      </c>
      <c r="FH81" s="788"/>
      <c r="FI81" s="788"/>
      <c r="FJ81" s="789"/>
      <c r="FK81" s="790" t="str">
        <f t="shared" si="40"/>
        <v>-</v>
      </c>
      <c r="FL81" s="785"/>
      <c r="FM81" s="785"/>
      <c r="FN81" s="786"/>
      <c r="FO81" s="790" t="str">
        <f t="shared" si="29"/>
        <v>-</v>
      </c>
      <c r="FP81" s="785"/>
      <c r="FQ81" s="785"/>
      <c r="FR81" s="786"/>
      <c r="FS81" s="790" t="str">
        <f>IF(EW81="","-",INDEX($A$5:$BP$257,MATCH(EW81,$BN$5:$BN$257,0),39)*(IF(EW81="","-",(1+(((-('Densidade do AR'!$M$4))+('Densidade do AR'!$T$15*1000000))/(IF(INDEX($A$5:$BP$257,MATCH(EW81,$BN$5:$BN$257,0),50)="Aço Inoxidável",('Densidade do AR'!$S$8*1000000),IF(INDEX($A$5:$BP$257,MATCH(EW81,$BN$5:$BN$257,0),50)="Ferro Fundido",('Densidade do AR'!$S$12*1000000),IF(INDEX($A$5:$BP$257,MATCH(EW81,$BN$5:$BN$257,0),50)="Latão",('Densidade do AR'!$S$10*1000000),IF(INDEX($A$5:$BP$257,MATCH(EW81,$BN$5:$BN$257,0),50)="Alumínio",('Densidade do AR'!$S$4*1000000)))))))-(((-('Densidade do AR'!$M$4))+('Densidade do AR'!$T$15*1000000))/('Densidade do AR'!$S$14*1000000))))))</f>
        <v>-</v>
      </c>
      <c r="FT81" s="785"/>
      <c r="FU81" s="785"/>
      <c r="FV81" s="791"/>
      <c r="FW81" s="91" t="str">
        <f t="shared" si="41"/>
        <v>-</v>
      </c>
      <c r="FX81" s="135"/>
    </row>
    <row r="82" spans="1:180" x14ac:dyDescent="0.2">
      <c r="A82" s="718">
        <v>78</v>
      </c>
      <c r="B82" s="713"/>
      <c r="C82" s="719">
        <v>500000</v>
      </c>
      <c r="D82" s="709"/>
      <c r="E82" s="709"/>
      <c r="F82" s="709"/>
      <c r="G82" s="710"/>
      <c r="H82" s="940" t="s">
        <v>308</v>
      </c>
      <c r="I82" s="941"/>
      <c r="J82" s="941"/>
      <c r="K82" s="942"/>
      <c r="L82" s="719" t="s">
        <v>323</v>
      </c>
      <c r="M82" s="709"/>
      <c r="N82" s="709"/>
      <c r="O82" s="709"/>
      <c r="P82" s="719">
        <v>62</v>
      </c>
      <c r="Q82" s="882"/>
      <c r="R82" s="882"/>
      <c r="S82" s="882"/>
      <c r="T82" s="939"/>
      <c r="U82" s="897" t="s">
        <v>320</v>
      </c>
      <c r="V82" s="722"/>
      <c r="W82" s="722"/>
      <c r="X82" s="722"/>
      <c r="Y82" s="722"/>
      <c r="Z82" s="722"/>
      <c r="AA82" s="723"/>
      <c r="AB82" s="853"/>
      <c r="AC82" s="854"/>
      <c r="AD82" s="854"/>
      <c r="AE82" s="854"/>
      <c r="AF82" s="854"/>
      <c r="AG82" s="854"/>
      <c r="AH82" s="854"/>
      <c r="AI82" s="854"/>
      <c r="AJ82" s="854"/>
      <c r="AK82" s="854"/>
      <c r="AL82" s="855"/>
      <c r="AM82" s="909">
        <v>500000000</v>
      </c>
      <c r="AN82" s="712"/>
      <c r="AO82" s="712"/>
      <c r="AP82" s="712"/>
      <c r="AQ82" s="712"/>
      <c r="AR82" s="712"/>
      <c r="AS82" s="713"/>
      <c r="AT82" s="909">
        <f t="shared" si="21"/>
        <v>0</v>
      </c>
      <c r="AU82" s="712"/>
      <c r="AV82" s="712"/>
      <c r="AW82" s="713"/>
      <c r="AX82" s="908" t="s">
        <v>13</v>
      </c>
      <c r="AY82" s="712"/>
      <c r="AZ82" s="712"/>
      <c r="BA82" s="712"/>
      <c r="BB82" s="712"/>
      <c r="BC82" s="713"/>
      <c r="BD82" s="909">
        <v>25000</v>
      </c>
      <c r="BE82" s="712"/>
      <c r="BF82" s="712"/>
      <c r="BG82" s="713"/>
      <c r="BH82" s="909">
        <v>2</v>
      </c>
      <c r="BI82" s="994"/>
      <c r="BJ82" s="994"/>
      <c r="BK82" s="994"/>
      <c r="BL82" s="995"/>
      <c r="BN82" s="881">
        <v>78</v>
      </c>
      <c r="BO82" s="882"/>
      <c r="BP82" s="883"/>
      <c r="BT82" s="736"/>
      <c r="BU82" s="737"/>
      <c r="BV82" s="738" t="str">
        <f>IF(BT82="","-",(IF(INDEX($A$5:$BP$257,MATCH(BT82,$BN$5:$BN$257,0),50)="Aço Inoxidável",('Densidade do AR'!$S$8*1000000),IF(INDEX($A$5:$BP$257,MATCH(BT82,$BN$5:$BN$257,0),50)="Ferro Fundido",('Densidade do AR'!$S$12*1000000),IF(INDEX($A$5:$BP$257,MATCH(BT82,$BN$5:$BN$257,0),50)="Latão",('Densidade do AR'!$S$10*1000000),IF(INDEX($A$5:$BP$257,MATCH(BT82,$BN$5:$BN$257,0),50)="Alumínio",('Densidade do AR'!$S$4*1000000)))))))</f>
        <v>-</v>
      </c>
      <c r="BW82" s="739"/>
      <c r="BX82" s="739"/>
      <c r="BY82" s="740"/>
      <c r="BZ82" s="741" t="str">
        <f t="shared" si="30"/>
        <v>-</v>
      </c>
      <c r="CA82" s="742"/>
      <c r="CB82" s="742"/>
      <c r="CC82" s="743"/>
      <c r="CD82" s="741" t="str">
        <f t="shared" si="22"/>
        <v>-</v>
      </c>
      <c r="CE82" s="742"/>
      <c r="CF82" s="742"/>
      <c r="CG82" s="743"/>
      <c r="CH82" s="744" t="str">
        <f t="shared" si="31"/>
        <v>-</v>
      </c>
      <c r="CI82" s="739"/>
      <c r="CJ82" s="739"/>
      <c r="CK82" s="740"/>
      <c r="CL82" s="744" t="str">
        <f t="shared" si="23"/>
        <v>-</v>
      </c>
      <c r="CM82" s="739"/>
      <c r="CN82" s="739"/>
      <c r="CO82" s="740"/>
      <c r="CP82" s="744" t="str">
        <f>IF(BT82="","-",INDEX($A$5:$BP$257,MATCH(BT82,$BN$5:$BN$257,0),39)*(IF(BT82="","-",(1+(((-('Densidade do AR'!$M$4))+('Densidade do AR'!$T$15*1000000))/(IF(INDEX($A$5:$BP$257,MATCH(BT82,$BN$5:$BN$257,0),50)="Aço Inoxidável",('Densidade do AR'!$S$8*1000000),IF(INDEX($A$5:$BP$257,MATCH(BT82,$BN$5:$BN$257,0),50)="Ferro Fundido",('Densidade do AR'!$S$12*1000000),IF(INDEX($A$5:$BP$257,MATCH(BT82,$BN$5:$BN$257,0),50)="Latão",('Densidade do AR'!$S$10*1000000),IF(INDEX($A$5:$BP$257,MATCH(BT82,$BN$5:$BN$257,0),50)="Alumínio",('Densidade do AR'!$S$4*1000000)))))))-(((-('Densidade do AR'!$M$4))+('Densidade do AR'!$T$15*1000000))/('Densidade do AR'!$S$14*1000000))))))</f>
        <v>-</v>
      </c>
      <c r="CQ82" s="739"/>
      <c r="CR82" s="739"/>
      <c r="CS82" s="745"/>
      <c r="CT82" s="91" t="str">
        <f t="shared" si="32"/>
        <v>-</v>
      </c>
      <c r="CU82" s="736"/>
      <c r="CV82" s="737"/>
      <c r="CW82" s="738" t="str">
        <f>IF(CU82="","-",(IF(INDEX($A$5:$BP$257,MATCH(CU82,$BN$5:$BN$257,0),50)="Aço Inoxidável",('Densidade do AR'!$S$8*1000000),IF(INDEX($A$5:$BP$257,MATCH(CU82,$BN$5:$BN$257,0),50)="Ferro Fundido",('Densidade do AR'!$S$12*1000000),IF(INDEX($A$5:$BP$257,MATCH(CU82,$BN$5:$BN$257,0),50)="Latão",('Densidade do AR'!$S$10*1000000),IF(INDEX($A$5:$BP$257,MATCH(CU82,$BN$5:$BN$257,0),50)="Alumínio",('Densidade do AR'!$S$4*1000000)))))))</f>
        <v>-</v>
      </c>
      <c r="CX82" s="739"/>
      <c r="CY82" s="739"/>
      <c r="CZ82" s="740"/>
      <c r="DA82" s="741" t="str">
        <f t="shared" si="33"/>
        <v>-</v>
      </c>
      <c r="DB82" s="742"/>
      <c r="DC82" s="742"/>
      <c r="DD82" s="743"/>
      <c r="DE82" s="741" t="str">
        <f t="shared" si="24"/>
        <v>-</v>
      </c>
      <c r="DF82" s="742"/>
      <c r="DG82" s="742"/>
      <c r="DH82" s="743"/>
      <c r="DI82" s="744" t="str">
        <f t="shared" si="34"/>
        <v>-</v>
      </c>
      <c r="DJ82" s="739"/>
      <c r="DK82" s="739"/>
      <c r="DL82" s="740"/>
      <c r="DM82" s="744" t="str">
        <f t="shared" si="25"/>
        <v>-</v>
      </c>
      <c r="DN82" s="739"/>
      <c r="DO82" s="739"/>
      <c r="DP82" s="740"/>
      <c r="DQ82" s="744" t="str">
        <f>IF(CU82="","-",INDEX($A$5:$BP$257,MATCH(CU82,$BN$5:$BN$257,0),39)*(IF(CU82="","-",(1+(((-('Densidade do AR'!$M$4))+('Densidade do AR'!$T$15*1000000))/(IF(INDEX($A$5:$BP$257,MATCH(CU82,$BN$5:$BN$257,0),50)="Aço Inoxidável",('Densidade do AR'!$S$8*1000000),IF(INDEX($A$5:$BP$257,MATCH(CU82,$BN$5:$BN$257,0),50)="Ferro Fundido",('Densidade do AR'!$S$12*1000000),IF(INDEX($A$5:$BP$257,MATCH(CU82,$BN$5:$BN$257,0),50)="Latão",('Densidade do AR'!$S$10*1000000),IF(INDEX($A$5:$BP$257,MATCH(CU82,$BN$5:$BN$257,0),50)="Alumínio",('Densidade do AR'!$S$4*1000000)))))))-(((-('Densidade do AR'!$M$4))+('Densidade do AR'!$T$15*1000000))/('Densidade do AR'!$S$14*1000000))))))</f>
        <v>-</v>
      </c>
      <c r="DR82" s="739"/>
      <c r="DS82" s="739"/>
      <c r="DT82" s="745"/>
      <c r="DU82" s="91" t="str">
        <f t="shared" si="35"/>
        <v>-</v>
      </c>
      <c r="DV82" s="736"/>
      <c r="DW82" s="737"/>
      <c r="DX82" s="738" t="str">
        <f>IF(DV82="","-",(IF(INDEX($A$5:$BP$257,MATCH(DV82,$BN$5:$BN$257,0),50)="Aço Inoxidável",('Densidade do AR'!$S$8*1000000),IF(INDEX($A$5:$BP$257,MATCH(DV82,$BN$5:$BN$257,0),50)="Ferro Fundido",('Densidade do AR'!$S$12*1000000),IF(INDEX($A$5:$BP$257,MATCH(DV82,$BN$5:$BN$257,0),50)="Latão",('Densidade do AR'!$S$10*1000000),IF(INDEX($A$5:$BP$257,MATCH(DV82,$BN$5:$BN$257,0),50)="Alumínio",('Densidade do AR'!$S$4*1000000)))))))</f>
        <v>-</v>
      </c>
      <c r="DY82" s="739"/>
      <c r="DZ82" s="739"/>
      <c r="EA82" s="740"/>
      <c r="EB82" s="741" t="str">
        <f t="shared" si="36"/>
        <v>-</v>
      </c>
      <c r="EC82" s="742"/>
      <c r="ED82" s="742"/>
      <c r="EE82" s="743"/>
      <c r="EF82" s="741" t="str">
        <f t="shared" si="26"/>
        <v>-</v>
      </c>
      <c r="EG82" s="742"/>
      <c r="EH82" s="742"/>
      <c r="EI82" s="743"/>
      <c r="EJ82" s="744" t="str">
        <f t="shared" si="37"/>
        <v>-</v>
      </c>
      <c r="EK82" s="739"/>
      <c r="EL82" s="739"/>
      <c r="EM82" s="740"/>
      <c r="EN82" s="744" t="str">
        <f t="shared" si="27"/>
        <v>-</v>
      </c>
      <c r="EO82" s="739"/>
      <c r="EP82" s="739"/>
      <c r="EQ82" s="740"/>
      <c r="ER82" s="744" t="str">
        <f>IF(DV82="","-",INDEX($A$5:$BP$257,MATCH(DV82,$BN$5:$BN$257,0),39)*(IF(DV82="","-",(1+(((-('Densidade do AR'!$M$4))+('Densidade do AR'!$T$15*1000000))/(IF(INDEX($A$5:$BP$257,MATCH(DV82,$BN$5:$BN$257,0),50)="Aço Inoxidável",('Densidade do AR'!$S$8*1000000),IF(INDEX($A$5:$BP$257,MATCH(DV82,$BN$5:$BN$257,0),50)="Ferro Fundido",('Densidade do AR'!$S$12*1000000),IF(INDEX($A$5:$BP$257,MATCH(DV82,$BN$5:$BN$257,0),50)="Latão",('Densidade do AR'!$S$10*1000000),IF(INDEX($A$5:$BP$257,MATCH(DV82,$BN$5:$BN$257,0),50)="Alumínio",('Densidade do AR'!$S$4*1000000)))))))-(((-('Densidade do AR'!$M$4))+('Densidade do AR'!$T$15*1000000))/('Densidade do AR'!$S$14*1000000))))))</f>
        <v>-</v>
      </c>
      <c r="ES82" s="739"/>
      <c r="ET82" s="739"/>
      <c r="EU82" s="745"/>
      <c r="EV82" s="91" t="str">
        <f t="shared" si="38"/>
        <v>-</v>
      </c>
      <c r="EW82" s="736"/>
      <c r="EX82" s="737"/>
      <c r="EY82" s="738" t="str">
        <f>IF(EW82="","-",(IF(INDEX($A$5:$BP$257,MATCH(EW82,$BN$5:$BN$257,0),50)="Aço Inoxidável",('Densidade do AR'!$S$8*1000000),IF(INDEX($A$5:$BP$257,MATCH(EW82,$BN$5:$BN$257,0),50)="Ferro Fundido",('Densidade do AR'!$S$12*1000000),IF(INDEX($A$5:$BP$257,MATCH(EW82,$BN$5:$BN$257,0),50)="Latão",('Densidade do AR'!$S$10*1000000),IF(INDEX($A$5:$BP$257,MATCH(EW82,$BN$5:$BN$257,0),50)="Alumínio",('Densidade do AR'!$S$4*1000000)))))))</f>
        <v>-</v>
      </c>
      <c r="EZ82" s="739"/>
      <c r="FA82" s="739"/>
      <c r="FB82" s="740"/>
      <c r="FC82" s="741" t="str">
        <f t="shared" si="39"/>
        <v>-</v>
      </c>
      <c r="FD82" s="742"/>
      <c r="FE82" s="742"/>
      <c r="FF82" s="743"/>
      <c r="FG82" s="741" t="str">
        <f t="shared" si="28"/>
        <v>-</v>
      </c>
      <c r="FH82" s="742"/>
      <c r="FI82" s="742"/>
      <c r="FJ82" s="743"/>
      <c r="FK82" s="744" t="str">
        <f t="shared" si="40"/>
        <v>-</v>
      </c>
      <c r="FL82" s="739"/>
      <c r="FM82" s="739"/>
      <c r="FN82" s="740"/>
      <c r="FO82" s="744" t="str">
        <f t="shared" si="29"/>
        <v>-</v>
      </c>
      <c r="FP82" s="739"/>
      <c r="FQ82" s="739"/>
      <c r="FR82" s="740"/>
      <c r="FS82" s="744" t="str">
        <f>IF(EW82="","-",INDEX($A$5:$BP$257,MATCH(EW82,$BN$5:$BN$257,0),39)*(IF(EW82="","-",(1+(((-('Densidade do AR'!$M$4))+('Densidade do AR'!$T$15*1000000))/(IF(INDEX($A$5:$BP$257,MATCH(EW82,$BN$5:$BN$257,0),50)="Aço Inoxidável",('Densidade do AR'!$S$8*1000000),IF(INDEX($A$5:$BP$257,MATCH(EW82,$BN$5:$BN$257,0),50)="Ferro Fundido",('Densidade do AR'!$S$12*1000000),IF(INDEX($A$5:$BP$257,MATCH(EW82,$BN$5:$BN$257,0),50)="Latão",('Densidade do AR'!$S$10*1000000),IF(INDEX($A$5:$BP$257,MATCH(EW82,$BN$5:$BN$257,0),50)="Alumínio",('Densidade do AR'!$S$4*1000000)))))))-(((-('Densidade do AR'!$M$4))+('Densidade do AR'!$T$15*1000000))/('Densidade do AR'!$S$14*1000000))))))</f>
        <v>-</v>
      </c>
      <c r="FT82" s="739"/>
      <c r="FU82" s="739"/>
      <c r="FV82" s="745"/>
      <c r="FW82" s="91" t="str">
        <f t="shared" si="41"/>
        <v>-</v>
      </c>
      <c r="FX82" s="135"/>
    </row>
    <row r="83" spans="1:180" x14ac:dyDescent="0.2">
      <c r="A83" s="717">
        <v>79</v>
      </c>
      <c r="B83" s="713"/>
      <c r="C83" s="708">
        <v>500000</v>
      </c>
      <c r="D83" s="709"/>
      <c r="E83" s="709"/>
      <c r="F83" s="709"/>
      <c r="G83" s="710"/>
      <c r="H83" s="933" t="s">
        <v>308</v>
      </c>
      <c r="I83" s="934"/>
      <c r="J83" s="934"/>
      <c r="K83" s="935"/>
      <c r="L83" s="708" t="s">
        <v>323</v>
      </c>
      <c r="M83" s="709"/>
      <c r="N83" s="709"/>
      <c r="O83" s="709"/>
      <c r="P83" s="708">
        <v>63</v>
      </c>
      <c r="Q83" s="879"/>
      <c r="R83" s="879"/>
      <c r="S83" s="879"/>
      <c r="T83" s="937"/>
      <c r="U83" s="898" t="s">
        <v>320</v>
      </c>
      <c r="V83" s="715"/>
      <c r="W83" s="715"/>
      <c r="X83" s="715"/>
      <c r="Y83" s="715"/>
      <c r="Z83" s="715"/>
      <c r="AA83" s="716"/>
      <c r="AB83" s="850"/>
      <c r="AC83" s="851"/>
      <c r="AD83" s="851"/>
      <c r="AE83" s="851"/>
      <c r="AF83" s="851"/>
      <c r="AG83" s="851"/>
      <c r="AH83" s="851"/>
      <c r="AI83" s="851"/>
      <c r="AJ83" s="851"/>
      <c r="AK83" s="851"/>
      <c r="AL83" s="852"/>
      <c r="AM83" s="917">
        <v>499995000</v>
      </c>
      <c r="AN83" s="712"/>
      <c r="AO83" s="712"/>
      <c r="AP83" s="712"/>
      <c r="AQ83" s="712"/>
      <c r="AR83" s="712"/>
      <c r="AS83" s="713"/>
      <c r="AT83" s="917">
        <f t="shared" si="21"/>
        <v>-5000</v>
      </c>
      <c r="AU83" s="712"/>
      <c r="AV83" s="712"/>
      <c r="AW83" s="713"/>
      <c r="AX83" s="917" t="s">
        <v>13</v>
      </c>
      <c r="AY83" s="712"/>
      <c r="AZ83" s="712"/>
      <c r="BA83" s="712"/>
      <c r="BB83" s="712"/>
      <c r="BC83" s="713"/>
      <c r="BD83" s="917">
        <v>25000</v>
      </c>
      <c r="BE83" s="712"/>
      <c r="BF83" s="712"/>
      <c r="BG83" s="713"/>
      <c r="BH83" s="917">
        <v>2</v>
      </c>
      <c r="BI83" s="994"/>
      <c r="BJ83" s="994"/>
      <c r="BK83" s="994"/>
      <c r="BL83" s="995"/>
      <c r="BN83" s="881">
        <v>79</v>
      </c>
      <c r="BO83" s="882"/>
      <c r="BP83" s="883"/>
      <c r="BT83" s="794"/>
      <c r="BU83" s="795"/>
      <c r="BV83" s="784" t="str">
        <f>IF(BT83="","-",(IF(INDEX($A$5:$BP$257,MATCH(BT83,$BN$5:$BN$257,0),50)="Aço Inoxidável",('Densidade do AR'!$S$8*1000000),IF(INDEX($A$5:$BP$257,MATCH(BT83,$BN$5:$BN$257,0),50)="Ferro Fundido",('Densidade do AR'!$S$12*1000000),IF(INDEX($A$5:$BP$257,MATCH(BT83,$BN$5:$BN$257,0),50)="Latão",('Densidade do AR'!$S$10*1000000),IF(INDEX($A$5:$BP$257,MATCH(BT83,$BN$5:$BN$257,0),50)="Alumínio",('Densidade do AR'!$S$4*1000000)))))))</f>
        <v>-</v>
      </c>
      <c r="BW83" s="785"/>
      <c r="BX83" s="785"/>
      <c r="BY83" s="786"/>
      <c r="BZ83" s="787" t="str">
        <f t="shared" si="30"/>
        <v>-</v>
      </c>
      <c r="CA83" s="788"/>
      <c r="CB83" s="788"/>
      <c r="CC83" s="789"/>
      <c r="CD83" s="787" t="str">
        <f t="shared" si="22"/>
        <v>-</v>
      </c>
      <c r="CE83" s="788"/>
      <c r="CF83" s="788"/>
      <c r="CG83" s="789"/>
      <c r="CH83" s="790" t="str">
        <f t="shared" si="31"/>
        <v>-</v>
      </c>
      <c r="CI83" s="785"/>
      <c r="CJ83" s="785"/>
      <c r="CK83" s="786"/>
      <c r="CL83" s="790" t="str">
        <f t="shared" si="23"/>
        <v>-</v>
      </c>
      <c r="CM83" s="785"/>
      <c r="CN83" s="785"/>
      <c r="CO83" s="786"/>
      <c r="CP83" s="790" t="str">
        <f>IF(BT83="","-",INDEX($A$5:$BP$257,MATCH(BT83,$BN$5:$BN$257,0),39)*(IF(BT83="","-",(1+(((-('Densidade do AR'!$M$4))+('Densidade do AR'!$T$15*1000000))/(IF(INDEX($A$5:$BP$257,MATCH(BT83,$BN$5:$BN$257,0),50)="Aço Inoxidável",('Densidade do AR'!$S$8*1000000),IF(INDEX($A$5:$BP$257,MATCH(BT83,$BN$5:$BN$257,0),50)="Ferro Fundido",('Densidade do AR'!$S$12*1000000),IF(INDEX($A$5:$BP$257,MATCH(BT83,$BN$5:$BN$257,0),50)="Latão",('Densidade do AR'!$S$10*1000000),IF(INDEX($A$5:$BP$257,MATCH(BT83,$BN$5:$BN$257,0),50)="Alumínio",('Densidade do AR'!$S$4*1000000)))))))-(((-('Densidade do AR'!$M$4))+('Densidade do AR'!$T$15*1000000))/('Densidade do AR'!$S$14*1000000))))))</f>
        <v>-</v>
      </c>
      <c r="CQ83" s="785"/>
      <c r="CR83" s="785"/>
      <c r="CS83" s="791"/>
      <c r="CT83" s="91" t="str">
        <f t="shared" si="32"/>
        <v>-</v>
      </c>
      <c r="CU83" s="794"/>
      <c r="CV83" s="795"/>
      <c r="CW83" s="784" t="str">
        <f>IF(CU83="","-",(IF(INDEX($A$5:$BP$257,MATCH(CU83,$BN$5:$BN$257,0),50)="Aço Inoxidável",('Densidade do AR'!$S$8*1000000),IF(INDEX($A$5:$BP$257,MATCH(CU83,$BN$5:$BN$257,0),50)="Ferro Fundido",('Densidade do AR'!$S$12*1000000),IF(INDEX($A$5:$BP$257,MATCH(CU83,$BN$5:$BN$257,0),50)="Latão",('Densidade do AR'!$S$10*1000000),IF(INDEX($A$5:$BP$257,MATCH(CU83,$BN$5:$BN$257,0),50)="Alumínio",('Densidade do AR'!$S$4*1000000)))))))</f>
        <v>-</v>
      </c>
      <c r="CX83" s="785"/>
      <c r="CY83" s="785"/>
      <c r="CZ83" s="786"/>
      <c r="DA83" s="787" t="str">
        <f t="shared" si="33"/>
        <v>-</v>
      </c>
      <c r="DB83" s="788"/>
      <c r="DC83" s="788"/>
      <c r="DD83" s="789"/>
      <c r="DE83" s="787" t="str">
        <f t="shared" si="24"/>
        <v>-</v>
      </c>
      <c r="DF83" s="788"/>
      <c r="DG83" s="788"/>
      <c r="DH83" s="789"/>
      <c r="DI83" s="790" t="str">
        <f t="shared" si="34"/>
        <v>-</v>
      </c>
      <c r="DJ83" s="785"/>
      <c r="DK83" s="785"/>
      <c r="DL83" s="786"/>
      <c r="DM83" s="790" t="str">
        <f t="shared" si="25"/>
        <v>-</v>
      </c>
      <c r="DN83" s="785"/>
      <c r="DO83" s="785"/>
      <c r="DP83" s="786"/>
      <c r="DQ83" s="790" t="str">
        <f>IF(CU83="","-",INDEX($A$5:$BP$257,MATCH(CU83,$BN$5:$BN$257,0),39)*(IF(CU83="","-",(1+(((-('Densidade do AR'!$M$4))+('Densidade do AR'!$T$15*1000000))/(IF(INDEX($A$5:$BP$257,MATCH(CU83,$BN$5:$BN$257,0),50)="Aço Inoxidável",('Densidade do AR'!$S$8*1000000),IF(INDEX($A$5:$BP$257,MATCH(CU83,$BN$5:$BN$257,0),50)="Ferro Fundido",('Densidade do AR'!$S$12*1000000),IF(INDEX($A$5:$BP$257,MATCH(CU83,$BN$5:$BN$257,0),50)="Latão",('Densidade do AR'!$S$10*1000000),IF(INDEX($A$5:$BP$257,MATCH(CU83,$BN$5:$BN$257,0),50)="Alumínio",('Densidade do AR'!$S$4*1000000)))))))-(((-('Densidade do AR'!$M$4))+('Densidade do AR'!$T$15*1000000))/('Densidade do AR'!$S$14*1000000))))))</f>
        <v>-</v>
      </c>
      <c r="DR83" s="785"/>
      <c r="DS83" s="785"/>
      <c r="DT83" s="791"/>
      <c r="DU83" s="91" t="str">
        <f t="shared" si="35"/>
        <v>-</v>
      </c>
      <c r="DV83" s="746"/>
      <c r="DW83" s="747"/>
      <c r="DX83" s="784" t="str">
        <f>IF(DV83="","-",(IF(INDEX($A$5:$BP$257,MATCH(DV83,$BN$5:$BN$257,0),50)="Aço Inoxidável",('Densidade do AR'!$S$8*1000000),IF(INDEX($A$5:$BP$257,MATCH(DV83,$BN$5:$BN$257,0),50)="Ferro Fundido",('Densidade do AR'!$S$12*1000000),IF(INDEX($A$5:$BP$257,MATCH(DV83,$BN$5:$BN$257,0),50)="Latão",('Densidade do AR'!$S$10*1000000),IF(INDEX($A$5:$BP$257,MATCH(DV83,$BN$5:$BN$257,0),50)="Alumínio",('Densidade do AR'!$S$4*1000000)))))))</f>
        <v>-</v>
      </c>
      <c r="DY83" s="785"/>
      <c r="DZ83" s="785"/>
      <c r="EA83" s="786"/>
      <c r="EB83" s="787" t="str">
        <f t="shared" si="36"/>
        <v>-</v>
      </c>
      <c r="EC83" s="788"/>
      <c r="ED83" s="788"/>
      <c r="EE83" s="789"/>
      <c r="EF83" s="787" t="str">
        <f t="shared" si="26"/>
        <v>-</v>
      </c>
      <c r="EG83" s="788"/>
      <c r="EH83" s="788"/>
      <c r="EI83" s="789"/>
      <c r="EJ83" s="790" t="str">
        <f t="shared" si="37"/>
        <v>-</v>
      </c>
      <c r="EK83" s="785"/>
      <c r="EL83" s="785"/>
      <c r="EM83" s="786"/>
      <c r="EN83" s="790" t="str">
        <f t="shared" si="27"/>
        <v>-</v>
      </c>
      <c r="EO83" s="785"/>
      <c r="EP83" s="785"/>
      <c r="EQ83" s="786"/>
      <c r="ER83" s="790" t="str">
        <f>IF(DV83="","-",INDEX($A$5:$BP$257,MATCH(DV83,$BN$5:$BN$257,0),39)*(IF(DV83="","-",(1+(((-('Densidade do AR'!$M$4))+('Densidade do AR'!$T$15*1000000))/(IF(INDEX($A$5:$BP$257,MATCH(DV83,$BN$5:$BN$257,0),50)="Aço Inoxidável",('Densidade do AR'!$S$8*1000000),IF(INDEX($A$5:$BP$257,MATCH(DV83,$BN$5:$BN$257,0),50)="Ferro Fundido",('Densidade do AR'!$S$12*1000000),IF(INDEX($A$5:$BP$257,MATCH(DV83,$BN$5:$BN$257,0),50)="Latão",('Densidade do AR'!$S$10*1000000),IF(INDEX($A$5:$BP$257,MATCH(DV83,$BN$5:$BN$257,0),50)="Alumínio",('Densidade do AR'!$S$4*1000000)))))))-(((-('Densidade do AR'!$M$4))+('Densidade do AR'!$T$15*1000000))/('Densidade do AR'!$S$14*1000000))))))</f>
        <v>-</v>
      </c>
      <c r="ES83" s="785"/>
      <c r="ET83" s="785"/>
      <c r="EU83" s="791"/>
      <c r="EV83" s="91" t="str">
        <f t="shared" si="38"/>
        <v>-</v>
      </c>
      <c r="EW83" s="794"/>
      <c r="EX83" s="795"/>
      <c r="EY83" s="784" t="str">
        <f>IF(EW83="","-",(IF(INDEX($A$5:$BP$257,MATCH(EW83,$BN$5:$BN$257,0),50)="Aço Inoxidável",('Densidade do AR'!$S$8*1000000),IF(INDEX($A$5:$BP$257,MATCH(EW83,$BN$5:$BN$257,0),50)="Ferro Fundido",('Densidade do AR'!$S$12*1000000),IF(INDEX($A$5:$BP$257,MATCH(EW83,$BN$5:$BN$257,0),50)="Latão",('Densidade do AR'!$S$10*1000000),IF(INDEX($A$5:$BP$257,MATCH(EW83,$BN$5:$BN$257,0),50)="Alumínio",('Densidade do AR'!$S$4*1000000)))))))</f>
        <v>-</v>
      </c>
      <c r="EZ83" s="785"/>
      <c r="FA83" s="785"/>
      <c r="FB83" s="786"/>
      <c r="FC83" s="787" t="str">
        <f t="shared" si="39"/>
        <v>-</v>
      </c>
      <c r="FD83" s="788"/>
      <c r="FE83" s="788"/>
      <c r="FF83" s="789"/>
      <c r="FG83" s="787" t="str">
        <f t="shared" si="28"/>
        <v>-</v>
      </c>
      <c r="FH83" s="788"/>
      <c r="FI83" s="788"/>
      <c r="FJ83" s="789"/>
      <c r="FK83" s="790" t="str">
        <f t="shared" si="40"/>
        <v>-</v>
      </c>
      <c r="FL83" s="785"/>
      <c r="FM83" s="785"/>
      <c r="FN83" s="786"/>
      <c r="FO83" s="790" t="str">
        <f t="shared" si="29"/>
        <v>-</v>
      </c>
      <c r="FP83" s="785"/>
      <c r="FQ83" s="785"/>
      <c r="FR83" s="786"/>
      <c r="FS83" s="790" t="str">
        <f>IF(EW83="","-",INDEX($A$5:$BP$257,MATCH(EW83,$BN$5:$BN$257,0),39)*(IF(EW83="","-",(1+(((-('Densidade do AR'!$M$4))+('Densidade do AR'!$T$15*1000000))/(IF(INDEX($A$5:$BP$257,MATCH(EW83,$BN$5:$BN$257,0),50)="Aço Inoxidável",('Densidade do AR'!$S$8*1000000),IF(INDEX($A$5:$BP$257,MATCH(EW83,$BN$5:$BN$257,0),50)="Ferro Fundido",('Densidade do AR'!$S$12*1000000),IF(INDEX($A$5:$BP$257,MATCH(EW83,$BN$5:$BN$257,0),50)="Latão",('Densidade do AR'!$S$10*1000000),IF(INDEX($A$5:$BP$257,MATCH(EW83,$BN$5:$BN$257,0),50)="Alumínio",('Densidade do AR'!$S$4*1000000)))))))-(((-('Densidade do AR'!$M$4))+('Densidade do AR'!$T$15*1000000))/('Densidade do AR'!$S$14*1000000))))))</f>
        <v>-</v>
      </c>
      <c r="FT83" s="785"/>
      <c r="FU83" s="785"/>
      <c r="FV83" s="791"/>
      <c r="FW83" s="91" t="str">
        <f t="shared" si="41"/>
        <v>-</v>
      </c>
      <c r="FX83" s="135"/>
    </row>
    <row r="84" spans="1:180" ht="12.75" customHeight="1" x14ac:dyDescent="0.2">
      <c r="A84" s="718">
        <v>80</v>
      </c>
      <c r="B84" s="713"/>
      <c r="C84" s="719">
        <v>500000</v>
      </c>
      <c r="D84" s="709"/>
      <c r="E84" s="709"/>
      <c r="F84" s="709"/>
      <c r="G84" s="710"/>
      <c r="H84" s="940" t="s">
        <v>308</v>
      </c>
      <c r="I84" s="941"/>
      <c r="J84" s="941"/>
      <c r="K84" s="942"/>
      <c r="L84" s="719" t="s">
        <v>323</v>
      </c>
      <c r="M84" s="709"/>
      <c r="N84" s="709"/>
      <c r="O84" s="709"/>
      <c r="P84" s="719">
        <v>67</v>
      </c>
      <c r="Q84" s="709"/>
      <c r="R84" s="709"/>
      <c r="S84" s="709"/>
      <c r="T84" s="710"/>
      <c r="U84" s="897" t="s">
        <v>320</v>
      </c>
      <c r="V84" s="722"/>
      <c r="W84" s="722"/>
      <c r="X84" s="722"/>
      <c r="Y84" s="722"/>
      <c r="Z84" s="722"/>
      <c r="AA84" s="723"/>
      <c r="AB84" s="853"/>
      <c r="AC84" s="854"/>
      <c r="AD84" s="854"/>
      <c r="AE84" s="854"/>
      <c r="AF84" s="854"/>
      <c r="AG84" s="854"/>
      <c r="AH84" s="854"/>
      <c r="AI84" s="854"/>
      <c r="AJ84" s="854"/>
      <c r="AK84" s="854"/>
      <c r="AL84" s="855"/>
      <c r="AM84" s="909">
        <v>500000000</v>
      </c>
      <c r="AN84" s="712"/>
      <c r="AO84" s="712"/>
      <c r="AP84" s="712"/>
      <c r="AQ84" s="712"/>
      <c r="AR84" s="712"/>
      <c r="AS84" s="713"/>
      <c r="AT84" s="909">
        <f t="shared" ref="AT84" si="42">AM84-C84*1000</f>
        <v>0</v>
      </c>
      <c r="AU84" s="712"/>
      <c r="AV84" s="712"/>
      <c r="AW84" s="713"/>
      <c r="AX84" s="908" t="s">
        <v>13</v>
      </c>
      <c r="AY84" s="712"/>
      <c r="AZ84" s="712"/>
      <c r="BA84" s="712"/>
      <c r="BB84" s="712"/>
      <c r="BC84" s="713"/>
      <c r="BD84" s="909">
        <v>25000</v>
      </c>
      <c r="BE84" s="712"/>
      <c r="BF84" s="712"/>
      <c r="BG84" s="713"/>
      <c r="BH84" s="909">
        <v>2</v>
      </c>
      <c r="BI84" s="994"/>
      <c r="BJ84" s="994"/>
      <c r="BK84" s="994"/>
      <c r="BL84" s="995"/>
      <c r="BN84" s="878">
        <v>80</v>
      </c>
      <c r="BO84" s="879"/>
      <c r="BP84" s="880"/>
      <c r="BT84" s="792"/>
      <c r="BU84" s="793"/>
      <c r="BV84" s="738" t="str">
        <f>IF(BT84="","-",(IF(INDEX($A$5:$BP$257,MATCH(BT84,$BN$5:$BN$257,0),50)="Aço Inoxidável",('Densidade do AR'!$S$8*1000000),IF(INDEX($A$5:$BP$257,MATCH(BT84,$BN$5:$BN$257,0),50)="Ferro Fundido",('Densidade do AR'!$S$12*1000000),IF(INDEX($A$5:$BP$257,MATCH(BT84,$BN$5:$BN$257,0),50)="Latão",('Densidade do AR'!$S$10*1000000),IF(INDEX($A$5:$BP$257,MATCH(BT84,$BN$5:$BN$257,0),50)="Alumínio",('Densidade do AR'!$S$4*1000000)))))))</f>
        <v>-</v>
      </c>
      <c r="BW84" s="739"/>
      <c r="BX84" s="739"/>
      <c r="BY84" s="740"/>
      <c r="BZ84" s="741" t="str">
        <f t="shared" si="30"/>
        <v>-</v>
      </c>
      <c r="CA84" s="742"/>
      <c r="CB84" s="742"/>
      <c r="CC84" s="743"/>
      <c r="CD84" s="741" t="str">
        <f t="shared" si="22"/>
        <v>-</v>
      </c>
      <c r="CE84" s="742"/>
      <c r="CF84" s="742"/>
      <c r="CG84" s="743"/>
      <c r="CH84" s="744" t="str">
        <f t="shared" si="31"/>
        <v>-</v>
      </c>
      <c r="CI84" s="739"/>
      <c r="CJ84" s="739"/>
      <c r="CK84" s="740"/>
      <c r="CL84" s="744" t="str">
        <f t="shared" si="23"/>
        <v>-</v>
      </c>
      <c r="CM84" s="739"/>
      <c r="CN84" s="739"/>
      <c r="CO84" s="740"/>
      <c r="CP84" s="744" t="str">
        <f>IF(BT84="","-",INDEX($A$5:$BP$257,MATCH(BT84,$BN$5:$BN$257,0),39)*(IF(BT84="","-",(1+(((-('Densidade do AR'!$M$4))+('Densidade do AR'!$T$15*1000000))/(IF(INDEX($A$5:$BP$257,MATCH(BT84,$BN$5:$BN$257,0),50)="Aço Inoxidável",('Densidade do AR'!$S$8*1000000),IF(INDEX($A$5:$BP$257,MATCH(BT84,$BN$5:$BN$257,0),50)="Ferro Fundido",('Densidade do AR'!$S$12*1000000),IF(INDEX($A$5:$BP$257,MATCH(BT84,$BN$5:$BN$257,0),50)="Latão",('Densidade do AR'!$S$10*1000000),IF(INDEX($A$5:$BP$257,MATCH(BT84,$BN$5:$BN$257,0),50)="Alumínio",('Densidade do AR'!$S$4*1000000)))))))-(((-('Densidade do AR'!$M$4))+('Densidade do AR'!$T$15*1000000))/('Densidade do AR'!$S$14*1000000))))))</f>
        <v>-</v>
      </c>
      <c r="CQ84" s="739"/>
      <c r="CR84" s="739"/>
      <c r="CS84" s="745"/>
      <c r="CT84" s="91" t="str">
        <f t="shared" si="32"/>
        <v>-</v>
      </c>
      <c r="CU84" s="792"/>
      <c r="CV84" s="793"/>
      <c r="CW84" s="738" t="str">
        <f>IF(CU84="","-",(IF(INDEX($A$5:$BP$257,MATCH(CU84,$BN$5:$BN$257,0),50)="Aço Inoxidável",('Densidade do AR'!$S$8*1000000),IF(INDEX($A$5:$BP$257,MATCH(CU84,$BN$5:$BN$257,0),50)="Ferro Fundido",('Densidade do AR'!$S$12*1000000),IF(INDEX($A$5:$BP$257,MATCH(CU84,$BN$5:$BN$257,0),50)="Latão",('Densidade do AR'!$S$10*1000000),IF(INDEX($A$5:$BP$257,MATCH(CU84,$BN$5:$BN$257,0),50)="Alumínio",('Densidade do AR'!$S$4*1000000)))))))</f>
        <v>-</v>
      </c>
      <c r="CX84" s="739"/>
      <c r="CY84" s="739"/>
      <c r="CZ84" s="740"/>
      <c r="DA84" s="741" t="str">
        <f t="shared" si="33"/>
        <v>-</v>
      </c>
      <c r="DB84" s="742"/>
      <c r="DC84" s="742"/>
      <c r="DD84" s="743"/>
      <c r="DE84" s="741" t="str">
        <f t="shared" si="24"/>
        <v>-</v>
      </c>
      <c r="DF84" s="742"/>
      <c r="DG84" s="742"/>
      <c r="DH84" s="743"/>
      <c r="DI84" s="744" t="str">
        <f t="shared" si="34"/>
        <v>-</v>
      </c>
      <c r="DJ84" s="739"/>
      <c r="DK84" s="739"/>
      <c r="DL84" s="740"/>
      <c r="DM84" s="744" t="str">
        <f t="shared" si="25"/>
        <v>-</v>
      </c>
      <c r="DN84" s="739"/>
      <c r="DO84" s="739"/>
      <c r="DP84" s="740"/>
      <c r="DQ84" s="744" t="str">
        <f>IF(CU84="","-",INDEX($A$5:$BP$257,MATCH(CU84,$BN$5:$BN$257,0),39)*(IF(CU84="","-",(1+(((-('Densidade do AR'!$M$4))+('Densidade do AR'!$T$15*1000000))/(IF(INDEX($A$5:$BP$257,MATCH(CU84,$BN$5:$BN$257,0),50)="Aço Inoxidável",('Densidade do AR'!$S$8*1000000),IF(INDEX($A$5:$BP$257,MATCH(CU84,$BN$5:$BN$257,0),50)="Ferro Fundido",('Densidade do AR'!$S$12*1000000),IF(INDEX($A$5:$BP$257,MATCH(CU84,$BN$5:$BN$257,0),50)="Latão",('Densidade do AR'!$S$10*1000000),IF(INDEX($A$5:$BP$257,MATCH(CU84,$BN$5:$BN$257,0),50)="Alumínio",('Densidade do AR'!$S$4*1000000)))))))-(((-('Densidade do AR'!$M$4))+('Densidade do AR'!$T$15*1000000))/('Densidade do AR'!$S$14*1000000))))))</f>
        <v>-</v>
      </c>
      <c r="DR84" s="739"/>
      <c r="DS84" s="739"/>
      <c r="DT84" s="745"/>
      <c r="DU84" s="91" t="str">
        <f t="shared" si="35"/>
        <v>-</v>
      </c>
      <c r="DV84" s="736"/>
      <c r="DW84" s="737"/>
      <c r="DX84" s="738" t="str">
        <f>IF(DV84="","-",(IF(INDEX($A$5:$BP$257,MATCH(DV84,$BN$5:$BN$257,0),50)="Aço Inoxidável",('Densidade do AR'!$S$8*1000000),IF(INDEX($A$5:$BP$257,MATCH(DV84,$BN$5:$BN$257,0),50)="Ferro Fundido",('Densidade do AR'!$S$12*1000000),IF(INDEX($A$5:$BP$257,MATCH(DV84,$BN$5:$BN$257,0),50)="Latão",('Densidade do AR'!$S$10*1000000),IF(INDEX($A$5:$BP$257,MATCH(DV84,$BN$5:$BN$257,0),50)="Alumínio",('Densidade do AR'!$S$4*1000000)))))))</f>
        <v>-</v>
      </c>
      <c r="DY84" s="739"/>
      <c r="DZ84" s="739"/>
      <c r="EA84" s="740"/>
      <c r="EB84" s="741" t="str">
        <f t="shared" si="36"/>
        <v>-</v>
      </c>
      <c r="EC84" s="742"/>
      <c r="ED84" s="742"/>
      <c r="EE84" s="743"/>
      <c r="EF84" s="741" t="str">
        <f t="shared" si="26"/>
        <v>-</v>
      </c>
      <c r="EG84" s="742"/>
      <c r="EH84" s="742"/>
      <c r="EI84" s="743"/>
      <c r="EJ84" s="744" t="str">
        <f t="shared" si="37"/>
        <v>-</v>
      </c>
      <c r="EK84" s="739"/>
      <c r="EL84" s="739"/>
      <c r="EM84" s="740"/>
      <c r="EN84" s="744" t="str">
        <f t="shared" si="27"/>
        <v>-</v>
      </c>
      <c r="EO84" s="739"/>
      <c r="EP84" s="739"/>
      <c r="EQ84" s="740"/>
      <c r="ER84" s="744" t="str">
        <f>IF(DV84="","-",INDEX($A$5:$BP$257,MATCH(DV84,$BN$5:$BN$257,0),39)*(IF(DV84="","-",(1+(((-('Densidade do AR'!$M$4))+('Densidade do AR'!$T$15*1000000))/(IF(INDEX($A$5:$BP$257,MATCH(DV84,$BN$5:$BN$257,0),50)="Aço Inoxidável",('Densidade do AR'!$S$8*1000000),IF(INDEX($A$5:$BP$257,MATCH(DV84,$BN$5:$BN$257,0),50)="Ferro Fundido",('Densidade do AR'!$S$12*1000000),IF(INDEX($A$5:$BP$257,MATCH(DV84,$BN$5:$BN$257,0),50)="Latão",('Densidade do AR'!$S$10*1000000),IF(INDEX($A$5:$BP$257,MATCH(DV84,$BN$5:$BN$257,0),50)="Alumínio",('Densidade do AR'!$S$4*1000000)))))))-(((-('Densidade do AR'!$M$4))+('Densidade do AR'!$T$15*1000000))/('Densidade do AR'!$S$14*1000000))))))</f>
        <v>-</v>
      </c>
      <c r="ES84" s="739"/>
      <c r="ET84" s="739"/>
      <c r="EU84" s="745"/>
      <c r="EV84" s="91" t="str">
        <f t="shared" si="38"/>
        <v>-</v>
      </c>
      <c r="EW84" s="792"/>
      <c r="EX84" s="793"/>
      <c r="EY84" s="738" t="str">
        <f>IF(EW84="","-",(IF(INDEX($A$5:$BP$257,MATCH(EW84,$BN$5:$BN$257,0),50)="Aço Inoxidável",('Densidade do AR'!$S$8*1000000),IF(INDEX($A$5:$BP$257,MATCH(EW84,$BN$5:$BN$257,0),50)="Ferro Fundido",('Densidade do AR'!$S$12*1000000),IF(INDEX($A$5:$BP$257,MATCH(EW84,$BN$5:$BN$257,0),50)="Latão",('Densidade do AR'!$S$10*1000000),IF(INDEX($A$5:$BP$257,MATCH(EW84,$BN$5:$BN$257,0),50)="Alumínio",('Densidade do AR'!$S$4*1000000)))))))</f>
        <v>-</v>
      </c>
      <c r="EZ84" s="739"/>
      <c r="FA84" s="739"/>
      <c r="FB84" s="740"/>
      <c r="FC84" s="741" t="str">
        <f t="shared" si="39"/>
        <v>-</v>
      </c>
      <c r="FD84" s="742"/>
      <c r="FE84" s="742"/>
      <c r="FF84" s="743"/>
      <c r="FG84" s="741" t="str">
        <f t="shared" si="28"/>
        <v>-</v>
      </c>
      <c r="FH84" s="742"/>
      <c r="FI84" s="742"/>
      <c r="FJ84" s="743"/>
      <c r="FK84" s="744" t="str">
        <f t="shared" si="40"/>
        <v>-</v>
      </c>
      <c r="FL84" s="739"/>
      <c r="FM84" s="739"/>
      <c r="FN84" s="740"/>
      <c r="FO84" s="744" t="str">
        <f t="shared" si="29"/>
        <v>-</v>
      </c>
      <c r="FP84" s="739"/>
      <c r="FQ84" s="739"/>
      <c r="FR84" s="740"/>
      <c r="FS84" s="744" t="str">
        <f>IF(EW84="","-",INDEX($A$5:$BP$257,MATCH(EW84,$BN$5:$BN$257,0),39)*(IF(EW84="","-",(1+(((-('Densidade do AR'!$M$4))+('Densidade do AR'!$T$15*1000000))/(IF(INDEX($A$5:$BP$257,MATCH(EW84,$BN$5:$BN$257,0),50)="Aço Inoxidável",('Densidade do AR'!$S$8*1000000),IF(INDEX($A$5:$BP$257,MATCH(EW84,$BN$5:$BN$257,0),50)="Ferro Fundido",('Densidade do AR'!$S$12*1000000),IF(INDEX($A$5:$BP$257,MATCH(EW84,$BN$5:$BN$257,0),50)="Latão",('Densidade do AR'!$S$10*1000000),IF(INDEX($A$5:$BP$257,MATCH(EW84,$BN$5:$BN$257,0),50)="Alumínio",('Densidade do AR'!$S$4*1000000)))))))-(((-('Densidade do AR'!$M$4))+('Densidade do AR'!$T$15*1000000))/('Densidade do AR'!$S$14*1000000))))))</f>
        <v>-</v>
      </c>
      <c r="FT84" s="739"/>
      <c r="FU84" s="739"/>
      <c r="FV84" s="745"/>
      <c r="FW84" s="91" t="str">
        <f t="shared" si="41"/>
        <v>-</v>
      </c>
      <c r="FX84" s="135"/>
    </row>
    <row r="85" spans="1:180" ht="12.75" customHeight="1" x14ac:dyDescent="0.2">
      <c r="A85" s="717">
        <v>81</v>
      </c>
      <c r="B85" s="713"/>
      <c r="C85" s="708">
        <v>500000</v>
      </c>
      <c r="D85" s="709"/>
      <c r="E85" s="709"/>
      <c r="F85" s="709"/>
      <c r="G85" s="710"/>
      <c r="H85" s="933" t="s">
        <v>308</v>
      </c>
      <c r="I85" s="934"/>
      <c r="J85" s="934"/>
      <c r="K85" s="935"/>
      <c r="L85" s="708" t="s">
        <v>323</v>
      </c>
      <c r="M85" s="709"/>
      <c r="N85" s="709"/>
      <c r="O85" s="709"/>
      <c r="P85" s="708">
        <v>146</v>
      </c>
      <c r="Q85" s="709"/>
      <c r="R85" s="709"/>
      <c r="S85" s="709"/>
      <c r="T85" s="710"/>
      <c r="U85" s="898" t="s">
        <v>320</v>
      </c>
      <c r="V85" s="715"/>
      <c r="W85" s="715"/>
      <c r="X85" s="715"/>
      <c r="Y85" s="715"/>
      <c r="Z85" s="715"/>
      <c r="AA85" s="716"/>
      <c r="AB85" s="850"/>
      <c r="AC85" s="851"/>
      <c r="AD85" s="851"/>
      <c r="AE85" s="851"/>
      <c r="AF85" s="851"/>
      <c r="AG85" s="851"/>
      <c r="AH85" s="851"/>
      <c r="AI85" s="851"/>
      <c r="AJ85" s="851"/>
      <c r="AK85" s="851"/>
      <c r="AL85" s="852"/>
      <c r="AM85" s="917">
        <v>500000000</v>
      </c>
      <c r="AN85" s="712"/>
      <c r="AO85" s="712"/>
      <c r="AP85" s="712"/>
      <c r="AQ85" s="712"/>
      <c r="AR85" s="712"/>
      <c r="AS85" s="713"/>
      <c r="AT85" s="917">
        <f t="shared" ref="AT85" si="43">AM85-C85*1000</f>
        <v>0</v>
      </c>
      <c r="AU85" s="712"/>
      <c r="AV85" s="712"/>
      <c r="AW85" s="713"/>
      <c r="AX85" s="917" t="s">
        <v>13</v>
      </c>
      <c r="AY85" s="712"/>
      <c r="AZ85" s="712"/>
      <c r="BA85" s="712"/>
      <c r="BB85" s="712"/>
      <c r="BC85" s="713"/>
      <c r="BD85" s="917">
        <v>25000</v>
      </c>
      <c r="BE85" s="712"/>
      <c r="BF85" s="712"/>
      <c r="BG85" s="713"/>
      <c r="BH85" s="917">
        <v>2</v>
      </c>
      <c r="BI85" s="994"/>
      <c r="BJ85" s="994"/>
      <c r="BK85" s="994"/>
      <c r="BL85" s="995"/>
      <c r="BN85" s="881">
        <v>81</v>
      </c>
      <c r="BO85" s="882"/>
      <c r="BP85" s="883"/>
      <c r="BT85" s="794"/>
      <c r="BU85" s="795"/>
      <c r="BV85" s="784" t="str">
        <f>IF(BT85="","-",(IF(INDEX($A$5:$BP$257,MATCH(BT85,$BN$5:$BN$257,0),50)="Aço Inoxidável",('Densidade do AR'!$S$8*1000000),IF(INDEX($A$5:$BP$257,MATCH(BT85,$BN$5:$BN$257,0),50)="Ferro Fundido",('Densidade do AR'!$S$12*1000000),IF(INDEX($A$5:$BP$257,MATCH(BT85,$BN$5:$BN$257,0),50)="Latão",('Densidade do AR'!$S$10*1000000),IF(INDEX($A$5:$BP$257,MATCH(BT85,$BN$5:$BN$257,0),50)="Alumínio",('Densidade do AR'!$S$4*1000000)))))))</f>
        <v>-</v>
      </c>
      <c r="BW85" s="785"/>
      <c r="BX85" s="785"/>
      <c r="BY85" s="786"/>
      <c r="BZ85" s="787" t="str">
        <f t="shared" si="30"/>
        <v>-</v>
      </c>
      <c r="CA85" s="788"/>
      <c r="CB85" s="788"/>
      <c r="CC85" s="789"/>
      <c r="CD85" s="787" t="str">
        <f t="shared" si="22"/>
        <v>-</v>
      </c>
      <c r="CE85" s="788"/>
      <c r="CF85" s="788"/>
      <c r="CG85" s="789"/>
      <c r="CH85" s="790" t="str">
        <f t="shared" si="31"/>
        <v>-</v>
      </c>
      <c r="CI85" s="785"/>
      <c r="CJ85" s="785"/>
      <c r="CK85" s="786"/>
      <c r="CL85" s="790" t="str">
        <f t="shared" si="23"/>
        <v>-</v>
      </c>
      <c r="CM85" s="785"/>
      <c r="CN85" s="785"/>
      <c r="CO85" s="786"/>
      <c r="CP85" s="790" t="str">
        <f>IF(BT85="","-",INDEX($A$5:$BP$257,MATCH(BT85,$BN$5:$BN$257,0),39)*(IF(BT85="","-",(1+(((-('Densidade do AR'!$M$4))+('Densidade do AR'!$T$15*1000000))/(IF(INDEX($A$5:$BP$257,MATCH(BT85,$BN$5:$BN$257,0),50)="Aço Inoxidável",('Densidade do AR'!$S$8*1000000),IF(INDEX($A$5:$BP$257,MATCH(BT85,$BN$5:$BN$257,0),50)="Ferro Fundido",('Densidade do AR'!$S$12*1000000),IF(INDEX($A$5:$BP$257,MATCH(BT85,$BN$5:$BN$257,0),50)="Latão",('Densidade do AR'!$S$10*1000000),IF(INDEX($A$5:$BP$257,MATCH(BT85,$BN$5:$BN$257,0),50)="Alumínio",('Densidade do AR'!$S$4*1000000)))))))-(((-('Densidade do AR'!$M$4))+('Densidade do AR'!$T$15*1000000))/('Densidade do AR'!$S$14*1000000))))))</f>
        <v>-</v>
      </c>
      <c r="CQ85" s="785"/>
      <c r="CR85" s="785"/>
      <c r="CS85" s="791"/>
      <c r="CT85" s="91" t="str">
        <f t="shared" si="32"/>
        <v>-</v>
      </c>
      <c r="CU85" s="794"/>
      <c r="CV85" s="795"/>
      <c r="CW85" s="784" t="str">
        <f>IF(CU85="","-",(IF(INDEX($A$5:$BP$257,MATCH(CU85,$BN$5:$BN$257,0),50)="Aço Inoxidável",('Densidade do AR'!$S$8*1000000),IF(INDEX($A$5:$BP$257,MATCH(CU85,$BN$5:$BN$257,0),50)="Ferro Fundido",('Densidade do AR'!$S$12*1000000),IF(INDEX($A$5:$BP$257,MATCH(CU85,$BN$5:$BN$257,0),50)="Latão",('Densidade do AR'!$S$10*1000000),IF(INDEX($A$5:$BP$257,MATCH(CU85,$BN$5:$BN$257,0),50)="Alumínio",('Densidade do AR'!$S$4*1000000)))))))</f>
        <v>-</v>
      </c>
      <c r="CX85" s="785"/>
      <c r="CY85" s="785"/>
      <c r="CZ85" s="786"/>
      <c r="DA85" s="787" t="str">
        <f t="shared" si="33"/>
        <v>-</v>
      </c>
      <c r="DB85" s="788"/>
      <c r="DC85" s="788"/>
      <c r="DD85" s="789"/>
      <c r="DE85" s="787" t="str">
        <f t="shared" si="24"/>
        <v>-</v>
      </c>
      <c r="DF85" s="788"/>
      <c r="DG85" s="788"/>
      <c r="DH85" s="789"/>
      <c r="DI85" s="790" t="str">
        <f t="shared" si="34"/>
        <v>-</v>
      </c>
      <c r="DJ85" s="785"/>
      <c r="DK85" s="785"/>
      <c r="DL85" s="786"/>
      <c r="DM85" s="790" t="str">
        <f t="shared" si="25"/>
        <v>-</v>
      </c>
      <c r="DN85" s="785"/>
      <c r="DO85" s="785"/>
      <c r="DP85" s="786"/>
      <c r="DQ85" s="790" t="str">
        <f>IF(CU85="","-",INDEX($A$5:$BP$257,MATCH(CU85,$BN$5:$BN$257,0),39)*(IF(CU85="","-",(1+(((-('Densidade do AR'!$M$4))+('Densidade do AR'!$T$15*1000000))/(IF(INDEX($A$5:$BP$257,MATCH(CU85,$BN$5:$BN$257,0),50)="Aço Inoxidável",('Densidade do AR'!$S$8*1000000),IF(INDEX($A$5:$BP$257,MATCH(CU85,$BN$5:$BN$257,0),50)="Ferro Fundido",('Densidade do AR'!$S$12*1000000),IF(INDEX($A$5:$BP$257,MATCH(CU85,$BN$5:$BN$257,0),50)="Latão",('Densidade do AR'!$S$10*1000000),IF(INDEX($A$5:$BP$257,MATCH(CU85,$BN$5:$BN$257,0),50)="Alumínio",('Densidade do AR'!$S$4*1000000)))))))-(((-('Densidade do AR'!$M$4))+('Densidade do AR'!$T$15*1000000))/('Densidade do AR'!$S$14*1000000))))))</f>
        <v>-</v>
      </c>
      <c r="DR85" s="785"/>
      <c r="DS85" s="785"/>
      <c r="DT85" s="791"/>
      <c r="DU85" s="91" t="str">
        <f t="shared" si="35"/>
        <v>-</v>
      </c>
      <c r="DV85" s="746"/>
      <c r="DW85" s="747"/>
      <c r="DX85" s="784" t="str">
        <f>IF(DV85="","-",(IF(INDEX($A$5:$BP$257,MATCH(DV85,$BN$5:$BN$257,0),50)="Aço Inoxidável",('Densidade do AR'!$S$8*1000000),IF(INDEX($A$5:$BP$257,MATCH(DV85,$BN$5:$BN$257,0),50)="Ferro Fundido",('Densidade do AR'!$S$12*1000000),IF(INDEX($A$5:$BP$257,MATCH(DV85,$BN$5:$BN$257,0),50)="Latão",('Densidade do AR'!$S$10*1000000),IF(INDEX($A$5:$BP$257,MATCH(DV85,$BN$5:$BN$257,0),50)="Alumínio",('Densidade do AR'!$S$4*1000000)))))))</f>
        <v>-</v>
      </c>
      <c r="DY85" s="785"/>
      <c r="DZ85" s="785"/>
      <c r="EA85" s="786"/>
      <c r="EB85" s="787" t="str">
        <f t="shared" si="36"/>
        <v>-</v>
      </c>
      <c r="EC85" s="788"/>
      <c r="ED85" s="788"/>
      <c r="EE85" s="789"/>
      <c r="EF85" s="787" t="str">
        <f t="shared" si="26"/>
        <v>-</v>
      </c>
      <c r="EG85" s="788"/>
      <c r="EH85" s="788"/>
      <c r="EI85" s="789"/>
      <c r="EJ85" s="790" t="str">
        <f t="shared" si="37"/>
        <v>-</v>
      </c>
      <c r="EK85" s="785"/>
      <c r="EL85" s="785"/>
      <c r="EM85" s="786"/>
      <c r="EN85" s="790" t="str">
        <f t="shared" si="27"/>
        <v>-</v>
      </c>
      <c r="EO85" s="785"/>
      <c r="EP85" s="785"/>
      <c r="EQ85" s="786"/>
      <c r="ER85" s="790" t="str">
        <f>IF(DV85="","-",INDEX($A$5:$BP$257,MATCH(DV85,$BN$5:$BN$257,0),39)*(IF(DV85="","-",(1+(((-('Densidade do AR'!$M$4))+('Densidade do AR'!$T$15*1000000))/(IF(INDEX($A$5:$BP$257,MATCH(DV85,$BN$5:$BN$257,0),50)="Aço Inoxidável",('Densidade do AR'!$S$8*1000000),IF(INDEX($A$5:$BP$257,MATCH(DV85,$BN$5:$BN$257,0),50)="Ferro Fundido",('Densidade do AR'!$S$12*1000000),IF(INDEX($A$5:$BP$257,MATCH(DV85,$BN$5:$BN$257,0),50)="Latão",('Densidade do AR'!$S$10*1000000),IF(INDEX($A$5:$BP$257,MATCH(DV85,$BN$5:$BN$257,0),50)="Alumínio",('Densidade do AR'!$S$4*1000000)))))))-(((-('Densidade do AR'!$M$4))+('Densidade do AR'!$T$15*1000000))/('Densidade do AR'!$S$14*1000000))))))</f>
        <v>-</v>
      </c>
      <c r="ES85" s="785"/>
      <c r="ET85" s="785"/>
      <c r="EU85" s="791"/>
      <c r="EV85" s="91" t="str">
        <f t="shared" si="38"/>
        <v>-</v>
      </c>
      <c r="EW85" s="794"/>
      <c r="EX85" s="795"/>
      <c r="EY85" s="784" t="str">
        <f>IF(EW85="","-",(IF(INDEX($A$5:$BP$257,MATCH(EW85,$BN$5:$BN$257,0),50)="Aço Inoxidável",('Densidade do AR'!$S$8*1000000),IF(INDEX($A$5:$BP$257,MATCH(EW85,$BN$5:$BN$257,0),50)="Ferro Fundido",('Densidade do AR'!$S$12*1000000),IF(INDEX($A$5:$BP$257,MATCH(EW85,$BN$5:$BN$257,0),50)="Latão",('Densidade do AR'!$S$10*1000000),IF(INDEX($A$5:$BP$257,MATCH(EW85,$BN$5:$BN$257,0),50)="Alumínio",('Densidade do AR'!$S$4*1000000)))))))</f>
        <v>-</v>
      </c>
      <c r="EZ85" s="785"/>
      <c r="FA85" s="785"/>
      <c r="FB85" s="786"/>
      <c r="FC85" s="787" t="str">
        <f t="shared" si="39"/>
        <v>-</v>
      </c>
      <c r="FD85" s="788"/>
      <c r="FE85" s="788"/>
      <c r="FF85" s="789"/>
      <c r="FG85" s="787" t="str">
        <f t="shared" si="28"/>
        <v>-</v>
      </c>
      <c r="FH85" s="788"/>
      <c r="FI85" s="788"/>
      <c r="FJ85" s="789"/>
      <c r="FK85" s="790" t="str">
        <f t="shared" si="40"/>
        <v>-</v>
      </c>
      <c r="FL85" s="785"/>
      <c r="FM85" s="785"/>
      <c r="FN85" s="786"/>
      <c r="FO85" s="790" t="str">
        <f t="shared" si="29"/>
        <v>-</v>
      </c>
      <c r="FP85" s="785"/>
      <c r="FQ85" s="785"/>
      <c r="FR85" s="786"/>
      <c r="FS85" s="790" t="str">
        <f>IF(EW85="","-",INDEX($A$5:$BP$257,MATCH(EW85,$BN$5:$BN$257,0),39)*(IF(EW85="","-",(1+(((-('Densidade do AR'!$M$4))+('Densidade do AR'!$T$15*1000000))/(IF(INDEX($A$5:$BP$257,MATCH(EW85,$BN$5:$BN$257,0),50)="Aço Inoxidável",('Densidade do AR'!$S$8*1000000),IF(INDEX($A$5:$BP$257,MATCH(EW85,$BN$5:$BN$257,0),50)="Ferro Fundido",('Densidade do AR'!$S$12*1000000),IF(INDEX($A$5:$BP$257,MATCH(EW85,$BN$5:$BN$257,0),50)="Latão",('Densidade do AR'!$S$10*1000000),IF(INDEX($A$5:$BP$257,MATCH(EW85,$BN$5:$BN$257,0),50)="Alumínio",('Densidade do AR'!$S$4*1000000)))))))-(((-('Densidade do AR'!$M$4))+('Densidade do AR'!$T$15*1000000))/('Densidade do AR'!$S$14*1000000))))))</f>
        <v>-</v>
      </c>
      <c r="FT85" s="785"/>
      <c r="FU85" s="785"/>
      <c r="FV85" s="791"/>
      <c r="FW85" s="91" t="str">
        <f t="shared" si="41"/>
        <v>-</v>
      </c>
      <c r="FX85" s="135"/>
    </row>
    <row r="86" spans="1:180" ht="12.75" customHeight="1" x14ac:dyDescent="0.2">
      <c r="A86" s="718">
        <v>82</v>
      </c>
      <c r="B86" s="713"/>
      <c r="C86" s="719"/>
      <c r="D86" s="709"/>
      <c r="E86" s="709"/>
      <c r="F86" s="709"/>
      <c r="G86" s="710"/>
      <c r="H86" s="720"/>
      <c r="I86" s="712"/>
      <c r="J86" s="712"/>
      <c r="K86" s="713"/>
      <c r="L86" s="719"/>
      <c r="M86" s="709"/>
      <c r="N86" s="709"/>
      <c r="O86" s="709"/>
      <c r="P86" s="719"/>
      <c r="Q86" s="709"/>
      <c r="R86" s="709"/>
      <c r="S86" s="709"/>
      <c r="T86" s="710"/>
      <c r="U86" s="721"/>
      <c r="V86" s="722"/>
      <c r="W86" s="722"/>
      <c r="X86" s="722"/>
      <c r="Y86" s="722"/>
      <c r="Z86" s="722"/>
      <c r="AA86" s="723"/>
      <c r="AB86" s="853"/>
      <c r="AC86" s="854"/>
      <c r="AD86" s="854"/>
      <c r="AE86" s="854"/>
      <c r="AF86" s="854"/>
      <c r="AG86" s="854"/>
      <c r="AH86" s="854"/>
      <c r="AI86" s="854"/>
      <c r="AJ86" s="854"/>
      <c r="AK86" s="854"/>
      <c r="AL86" s="855"/>
      <c r="AM86" s="909"/>
      <c r="AN86" s="712"/>
      <c r="AO86" s="712"/>
      <c r="AP86" s="712"/>
      <c r="AQ86" s="712"/>
      <c r="AR86" s="712"/>
      <c r="AS86" s="713"/>
      <c r="AT86" s="909"/>
      <c r="AU86" s="712"/>
      <c r="AV86" s="712"/>
      <c r="AW86" s="713"/>
      <c r="AX86" s="908"/>
      <c r="AY86" s="712"/>
      <c r="AZ86" s="712"/>
      <c r="BA86" s="712"/>
      <c r="BB86" s="712"/>
      <c r="BC86" s="713"/>
      <c r="BD86" s="909"/>
      <c r="BE86" s="712"/>
      <c r="BF86" s="712"/>
      <c r="BG86" s="713"/>
      <c r="BH86" s="909"/>
      <c r="BI86" s="994"/>
      <c r="BJ86" s="994"/>
      <c r="BK86" s="994"/>
      <c r="BL86" s="995"/>
      <c r="BN86" s="881"/>
      <c r="BO86" s="882"/>
      <c r="BP86" s="883"/>
      <c r="BT86" s="792"/>
      <c r="BU86" s="793"/>
      <c r="BV86" s="738" t="str">
        <f>IF(BT86="","-",(IF(INDEX($A$5:$BP$257,MATCH(BT86,$BN$5:$BN$257,0),50)="Aço Inoxidável",('Densidade do AR'!$S$8*1000000),IF(INDEX($A$5:$BP$257,MATCH(BT86,$BN$5:$BN$257,0),50)="Ferro Fundido",('Densidade do AR'!$S$12*1000000),IF(INDEX($A$5:$BP$257,MATCH(BT86,$BN$5:$BN$257,0),50)="Latão",('Densidade do AR'!$S$10*1000000),IF(INDEX($A$5:$BP$257,MATCH(BT86,$BN$5:$BN$257,0),50)="Alumínio",('Densidade do AR'!$S$4*1000000)))))))</f>
        <v>-</v>
      </c>
      <c r="BW86" s="739"/>
      <c r="BX86" s="739"/>
      <c r="BY86" s="740"/>
      <c r="BZ86" s="741" t="str">
        <f t="shared" si="30"/>
        <v>-</v>
      </c>
      <c r="CA86" s="742"/>
      <c r="CB86" s="742"/>
      <c r="CC86" s="743"/>
      <c r="CD86" s="741" t="str">
        <f t="shared" si="22"/>
        <v>-</v>
      </c>
      <c r="CE86" s="742"/>
      <c r="CF86" s="742"/>
      <c r="CG86" s="743"/>
      <c r="CH86" s="744" t="str">
        <f t="shared" si="31"/>
        <v>-</v>
      </c>
      <c r="CI86" s="739"/>
      <c r="CJ86" s="739"/>
      <c r="CK86" s="740"/>
      <c r="CL86" s="744" t="str">
        <f t="shared" si="23"/>
        <v>-</v>
      </c>
      <c r="CM86" s="739"/>
      <c r="CN86" s="739"/>
      <c r="CO86" s="740"/>
      <c r="CP86" s="744" t="str">
        <f>IF(BT86="","-",INDEX($A$5:$BP$257,MATCH(BT86,$BN$5:$BN$257,0),39)*(IF(BT86="","-",(1+(((-('Densidade do AR'!$M$4))+('Densidade do AR'!$T$15*1000000))/(IF(INDEX($A$5:$BP$257,MATCH(BT86,$BN$5:$BN$257,0),50)="Aço Inoxidável",('Densidade do AR'!$S$8*1000000),IF(INDEX($A$5:$BP$257,MATCH(BT86,$BN$5:$BN$257,0),50)="Ferro Fundido",('Densidade do AR'!$S$12*1000000),IF(INDEX($A$5:$BP$257,MATCH(BT86,$BN$5:$BN$257,0),50)="Latão",('Densidade do AR'!$S$10*1000000),IF(INDEX($A$5:$BP$257,MATCH(BT86,$BN$5:$BN$257,0),50)="Alumínio",('Densidade do AR'!$S$4*1000000)))))))-(((-('Densidade do AR'!$M$4))+('Densidade do AR'!$T$15*1000000))/('Densidade do AR'!$S$14*1000000))))))</f>
        <v>-</v>
      </c>
      <c r="CQ86" s="739"/>
      <c r="CR86" s="739"/>
      <c r="CS86" s="745"/>
      <c r="CT86" s="91" t="str">
        <f t="shared" si="32"/>
        <v>-</v>
      </c>
      <c r="CU86" s="792"/>
      <c r="CV86" s="793"/>
      <c r="CW86" s="738" t="str">
        <f>IF(CU86="","-",(IF(INDEX($A$5:$BP$257,MATCH(CU86,$BN$5:$BN$257,0),50)="Aço Inoxidável",('Densidade do AR'!$S$8*1000000),IF(INDEX($A$5:$BP$257,MATCH(CU86,$BN$5:$BN$257,0),50)="Ferro Fundido",('Densidade do AR'!$S$12*1000000),IF(INDEX($A$5:$BP$257,MATCH(CU86,$BN$5:$BN$257,0),50)="Latão",('Densidade do AR'!$S$10*1000000),IF(INDEX($A$5:$BP$257,MATCH(CU86,$BN$5:$BN$257,0),50)="Alumínio",('Densidade do AR'!$S$4*1000000)))))))</f>
        <v>-</v>
      </c>
      <c r="CX86" s="739"/>
      <c r="CY86" s="739"/>
      <c r="CZ86" s="740"/>
      <c r="DA86" s="741" t="str">
        <f t="shared" si="33"/>
        <v>-</v>
      </c>
      <c r="DB86" s="742"/>
      <c r="DC86" s="742"/>
      <c r="DD86" s="743"/>
      <c r="DE86" s="741" t="str">
        <f t="shared" si="24"/>
        <v>-</v>
      </c>
      <c r="DF86" s="742"/>
      <c r="DG86" s="742"/>
      <c r="DH86" s="743"/>
      <c r="DI86" s="744" t="str">
        <f t="shared" si="34"/>
        <v>-</v>
      </c>
      <c r="DJ86" s="739"/>
      <c r="DK86" s="739"/>
      <c r="DL86" s="740"/>
      <c r="DM86" s="744" t="str">
        <f t="shared" si="25"/>
        <v>-</v>
      </c>
      <c r="DN86" s="739"/>
      <c r="DO86" s="739"/>
      <c r="DP86" s="740"/>
      <c r="DQ86" s="744" t="str">
        <f>IF(CU86="","-",INDEX($A$5:$BP$257,MATCH(CU86,$BN$5:$BN$257,0),39)*(IF(CU86="","-",(1+(((-('Densidade do AR'!$M$4))+('Densidade do AR'!$T$15*1000000))/(IF(INDEX($A$5:$BP$257,MATCH(CU86,$BN$5:$BN$257,0),50)="Aço Inoxidável",('Densidade do AR'!$S$8*1000000),IF(INDEX($A$5:$BP$257,MATCH(CU86,$BN$5:$BN$257,0),50)="Ferro Fundido",('Densidade do AR'!$S$12*1000000),IF(INDEX($A$5:$BP$257,MATCH(CU86,$BN$5:$BN$257,0),50)="Latão",('Densidade do AR'!$S$10*1000000),IF(INDEX($A$5:$BP$257,MATCH(CU86,$BN$5:$BN$257,0),50)="Alumínio",('Densidade do AR'!$S$4*1000000)))))))-(((-('Densidade do AR'!$M$4))+('Densidade do AR'!$T$15*1000000))/('Densidade do AR'!$S$14*1000000))))))</f>
        <v>-</v>
      </c>
      <c r="DR86" s="739"/>
      <c r="DS86" s="739"/>
      <c r="DT86" s="745"/>
      <c r="DU86" s="91" t="str">
        <f t="shared" si="35"/>
        <v>-</v>
      </c>
      <c r="DV86" s="736"/>
      <c r="DW86" s="737"/>
      <c r="DX86" s="738" t="str">
        <f>IF(DV86="","-",(IF(INDEX($A$5:$BP$257,MATCH(DV86,$BN$5:$BN$257,0),50)="Aço Inoxidável",('Densidade do AR'!$S$8*1000000),IF(INDEX($A$5:$BP$257,MATCH(DV86,$BN$5:$BN$257,0),50)="Ferro Fundido",('Densidade do AR'!$S$12*1000000),IF(INDEX($A$5:$BP$257,MATCH(DV86,$BN$5:$BN$257,0),50)="Latão",('Densidade do AR'!$S$10*1000000),IF(INDEX($A$5:$BP$257,MATCH(DV86,$BN$5:$BN$257,0),50)="Alumínio",('Densidade do AR'!$S$4*1000000)))))))</f>
        <v>-</v>
      </c>
      <c r="DY86" s="739"/>
      <c r="DZ86" s="739"/>
      <c r="EA86" s="740"/>
      <c r="EB86" s="741" t="str">
        <f t="shared" si="36"/>
        <v>-</v>
      </c>
      <c r="EC86" s="742"/>
      <c r="ED86" s="742"/>
      <c r="EE86" s="743"/>
      <c r="EF86" s="741" t="str">
        <f t="shared" si="26"/>
        <v>-</v>
      </c>
      <c r="EG86" s="742"/>
      <c r="EH86" s="742"/>
      <c r="EI86" s="743"/>
      <c r="EJ86" s="744" t="str">
        <f t="shared" si="37"/>
        <v>-</v>
      </c>
      <c r="EK86" s="739"/>
      <c r="EL86" s="739"/>
      <c r="EM86" s="740"/>
      <c r="EN86" s="744" t="str">
        <f t="shared" si="27"/>
        <v>-</v>
      </c>
      <c r="EO86" s="739"/>
      <c r="EP86" s="739"/>
      <c r="EQ86" s="740"/>
      <c r="ER86" s="744" t="str">
        <f>IF(DV86="","-",INDEX($A$5:$BP$257,MATCH(DV86,$BN$5:$BN$257,0),39)*(IF(DV86="","-",(1+(((-('Densidade do AR'!$M$4))+('Densidade do AR'!$T$15*1000000))/(IF(INDEX($A$5:$BP$257,MATCH(DV86,$BN$5:$BN$257,0),50)="Aço Inoxidável",('Densidade do AR'!$S$8*1000000),IF(INDEX($A$5:$BP$257,MATCH(DV86,$BN$5:$BN$257,0),50)="Ferro Fundido",('Densidade do AR'!$S$12*1000000),IF(INDEX($A$5:$BP$257,MATCH(DV86,$BN$5:$BN$257,0),50)="Latão",('Densidade do AR'!$S$10*1000000),IF(INDEX($A$5:$BP$257,MATCH(DV86,$BN$5:$BN$257,0),50)="Alumínio",('Densidade do AR'!$S$4*1000000)))))))-(((-('Densidade do AR'!$M$4))+('Densidade do AR'!$T$15*1000000))/('Densidade do AR'!$S$14*1000000))))))</f>
        <v>-</v>
      </c>
      <c r="ES86" s="739"/>
      <c r="ET86" s="739"/>
      <c r="EU86" s="745"/>
      <c r="EV86" s="91" t="str">
        <f t="shared" si="38"/>
        <v>-</v>
      </c>
      <c r="EW86" s="792"/>
      <c r="EX86" s="793"/>
      <c r="EY86" s="738" t="str">
        <f>IF(EW86="","-",(IF(INDEX($A$5:$BP$257,MATCH(EW86,$BN$5:$BN$257,0),50)="Aço Inoxidável",('Densidade do AR'!$S$8*1000000),IF(INDEX($A$5:$BP$257,MATCH(EW86,$BN$5:$BN$257,0),50)="Ferro Fundido",('Densidade do AR'!$S$12*1000000),IF(INDEX($A$5:$BP$257,MATCH(EW86,$BN$5:$BN$257,0),50)="Latão",('Densidade do AR'!$S$10*1000000),IF(INDEX($A$5:$BP$257,MATCH(EW86,$BN$5:$BN$257,0),50)="Alumínio",('Densidade do AR'!$S$4*1000000)))))))</f>
        <v>-</v>
      </c>
      <c r="EZ86" s="739"/>
      <c r="FA86" s="739"/>
      <c r="FB86" s="740"/>
      <c r="FC86" s="741" t="str">
        <f t="shared" si="39"/>
        <v>-</v>
      </c>
      <c r="FD86" s="742"/>
      <c r="FE86" s="742"/>
      <c r="FF86" s="743"/>
      <c r="FG86" s="741" t="str">
        <f t="shared" si="28"/>
        <v>-</v>
      </c>
      <c r="FH86" s="742"/>
      <c r="FI86" s="742"/>
      <c r="FJ86" s="743"/>
      <c r="FK86" s="744" t="str">
        <f t="shared" si="40"/>
        <v>-</v>
      </c>
      <c r="FL86" s="739"/>
      <c r="FM86" s="739"/>
      <c r="FN86" s="740"/>
      <c r="FO86" s="744" t="str">
        <f t="shared" si="29"/>
        <v>-</v>
      </c>
      <c r="FP86" s="739"/>
      <c r="FQ86" s="739"/>
      <c r="FR86" s="740"/>
      <c r="FS86" s="744" t="str">
        <f>IF(EW86="","-",INDEX($A$5:$BP$257,MATCH(EW86,$BN$5:$BN$257,0),39)*(IF(EW86="","-",(1+(((-('Densidade do AR'!$M$4))+('Densidade do AR'!$T$15*1000000))/(IF(INDEX($A$5:$BP$257,MATCH(EW86,$BN$5:$BN$257,0),50)="Aço Inoxidável",('Densidade do AR'!$S$8*1000000),IF(INDEX($A$5:$BP$257,MATCH(EW86,$BN$5:$BN$257,0),50)="Ferro Fundido",('Densidade do AR'!$S$12*1000000),IF(INDEX($A$5:$BP$257,MATCH(EW86,$BN$5:$BN$257,0),50)="Latão",('Densidade do AR'!$S$10*1000000),IF(INDEX($A$5:$BP$257,MATCH(EW86,$BN$5:$BN$257,0),50)="Alumínio",('Densidade do AR'!$S$4*1000000)))))))-(((-('Densidade do AR'!$M$4))+('Densidade do AR'!$T$15*1000000))/('Densidade do AR'!$S$14*1000000))))))</f>
        <v>-</v>
      </c>
      <c r="FT86" s="739"/>
      <c r="FU86" s="739"/>
      <c r="FV86" s="745"/>
      <c r="FW86" s="91" t="str">
        <f t="shared" si="41"/>
        <v>-</v>
      </c>
      <c r="FX86" s="135"/>
    </row>
    <row r="87" spans="1:180" ht="12.75" customHeight="1" x14ac:dyDescent="0.2">
      <c r="A87" s="717">
        <v>83</v>
      </c>
      <c r="B87" s="713"/>
      <c r="C87" s="708"/>
      <c r="D87" s="709"/>
      <c r="E87" s="709"/>
      <c r="F87" s="709"/>
      <c r="G87" s="710"/>
      <c r="H87" s="711"/>
      <c r="I87" s="712"/>
      <c r="J87" s="712"/>
      <c r="K87" s="713"/>
      <c r="L87" s="708"/>
      <c r="M87" s="709"/>
      <c r="N87" s="709"/>
      <c r="O87" s="709"/>
      <c r="P87" s="708"/>
      <c r="Q87" s="709"/>
      <c r="R87" s="709"/>
      <c r="S87" s="709"/>
      <c r="T87" s="710"/>
      <c r="U87" s="714"/>
      <c r="V87" s="715"/>
      <c r="W87" s="715"/>
      <c r="X87" s="715"/>
      <c r="Y87" s="715"/>
      <c r="Z87" s="715"/>
      <c r="AA87" s="716"/>
      <c r="AB87" s="850"/>
      <c r="AC87" s="851"/>
      <c r="AD87" s="851"/>
      <c r="AE87" s="851"/>
      <c r="AF87" s="851"/>
      <c r="AG87" s="851"/>
      <c r="AH87" s="851"/>
      <c r="AI87" s="851"/>
      <c r="AJ87" s="851"/>
      <c r="AK87" s="851"/>
      <c r="AL87" s="852"/>
      <c r="AM87" s="917"/>
      <c r="AN87" s="712"/>
      <c r="AO87" s="712"/>
      <c r="AP87" s="712"/>
      <c r="AQ87" s="712"/>
      <c r="AR87" s="712"/>
      <c r="AS87" s="713"/>
      <c r="AT87" s="917"/>
      <c r="AU87" s="712"/>
      <c r="AV87" s="712"/>
      <c r="AW87" s="713"/>
      <c r="AX87" s="917"/>
      <c r="AY87" s="712"/>
      <c r="AZ87" s="712"/>
      <c r="BA87" s="712"/>
      <c r="BB87" s="712"/>
      <c r="BC87" s="713"/>
      <c r="BD87" s="917"/>
      <c r="BE87" s="712"/>
      <c r="BF87" s="712"/>
      <c r="BG87" s="713"/>
      <c r="BH87" s="917"/>
      <c r="BI87" s="994"/>
      <c r="BJ87" s="994"/>
      <c r="BK87" s="994"/>
      <c r="BL87" s="995"/>
      <c r="BN87" s="878"/>
      <c r="BO87" s="879"/>
      <c r="BP87" s="880"/>
      <c r="BT87" s="794"/>
      <c r="BU87" s="795"/>
      <c r="BV87" s="784" t="str">
        <f>IF(BT87="","-",(IF(INDEX($A$5:$BP$257,MATCH(BT87,$BN$5:$BN$257,0),50)="Aço Inoxidável",('Densidade do AR'!$S$8*1000000),IF(INDEX($A$5:$BP$257,MATCH(BT87,$BN$5:$BN$257,0),50)="Ferro Fundido",('Densidade do AR'!$S$12*1000000),IF(INDEX($A$5:$BP$257,MATCH(BT87,$BN$5:$BN$257,0),50)="Latão",('Densidade do AR'!$S$10*1000000),IF(INDEX($A$5:$BP$257,MATCH(BT87,$BN$5:$BN$257,0),50)="Alumínio",('Densidade do AR'!$S$4*1000000)))))))</f>
        <v>-</v>
      </c>
      <c r="BW87" s="785"/>
      <c r="BX87" s="785"/>
      <c r="BY87" s="786"/>
      <c r="BZ87" s="787" t="str">
        <f t="shared" si="30"/>
        <v>-</v>
      </c>
      <c r="CA87" s="788"/>
      <c r="CB87" s="788"/>
      <c r="CC87" s="789"/>
      <c r="CD87" s="787" t="str">
        <f t="shared" si="22"/>
        <v>-</v>
      </c>
      <c r="CE87" s="788"/>
      <c r="CF87" s="788"/>
      <c r="CG87" s="789"/>
      <c r="CH87" s="790" t="str">
        <f t="shared" si="31"/>
        <v>-</v>
      </c>
      <c r="CI87" s="785"/>
      <c r="CJ87" s="785"/>
      <c r="CK87" s="786"/>
      <c r="CL87" s="790" t="str">
        <f t="shared" si="23"/>
        <v>-</v>
      </c>
      <c r="CM87" s="785"/>
      <c r="CN87" s="785"/>
      <c r="CO87" s="786"/>
      <c r="CP87" s="790" t="str">
        <f>IF(BT87="","-",INDEX($A$5:$BP$257,MATCH(BT87,$BN$5:$BN$257,0),39)*(IF(BT87="","-",(1+(((-('Densidade do AR'!$M$4))+('Densidade do AR'!$T$15*1000000))/(IF(INDEX($A$5:$BP$257,MATCH(BT87,$BN$5:$BN$257,0),50)="Aço Inoxidável",('Densidade do AR'!$S$8*1000000),IF(INDEX($A$5:$BP$257,MATCH(BT87,$BN$5:$BN$257,0),50)="Ferro Fundido",('Densidade do AR'!$S$12*1000000),IF(INDEX($A$5:$BP$257,MATCH(BT87,$BN$5:$BN$257,0),50)="Latão",('Densidade do AR'!$S$10*1000000),IF(INDEX($A$5:$BP$257,MATCH(BT87,$BN$5:$BN$257,0),50)="Alumínio",('Densidade do AR'!$S$4*1000000)))))))-(((-('Densidade do AR'!$M$4))+('Densidade do AR'!$T$15*1000000))/('Densidade do AR'!$S$14*1000000))))))</f>
        <v>-</v>
      </c>
      <c r="CQ87" s="785"/>
      <c r="CR87" s="785"/>
      <c r="CS87" s="791"/>
      <c r="CT87" s="91" t="str">
        <f t="shared" si="32"/>
        <v>-</v>
      </c>
      <c r="CU87" s="794"/>
      <c r="CV87" s="795"/>
      <c r="CW87" s="784" t="str">
        <f>IF(CU87="","-",(IF(INDEX($A$5:$BP$257,MATCH(CU87,$BN$5:$BN$257,0),50)="Aço Inoxidável",('Densidade do AR'!$S$8*1000000),IF(INDEX($A$5:$BP$257,MATCH(CU87,$BN$5:$BN$257,0),50)="Ferro Fundido",('Densidade do AR'!$S$12*1000000),IF(INDEX($A$5:$BP$257,MATCH(CU87,$BN$5:$BN$257,0),50)="Latão",('Densidade do AR'!$S$10*1000000),IF(INDEX($A$5:$BP$257,MATCH(CU87,$BN$5:$BN$257,0),50)="Alumínio",('Densidade do AR'!$S$4*1000000)))))))</f>
        <v>-</v>
      </c>
      <c r="CX87" s="785"/>
      <c r="CY87" s="785"/>
      <c r="CZ87" s="786"/>
      <c r="DA87" s="787" t="str">
        <f t="shared" si="33"/>
        <v>-</v>
      </c>
      <c r="DB87" s="788"/>
      <c r="DC87" s="788"/>
      <c r="DD87" s="789"/>
      <c r="DE87" s="787" t="str">
        <f t="shared" si="24"/>
        <v>-</v>
      </c>
      <c r="DF87" s="788"/>
      <c r="DG87" s="788"/>
      <c r="DH87" s="789"/>
      <c r="DI87" s="790" t="str">
        <f t="shared" si="34"/>
        <v>-</v>
      </c>
      <c r="DJ87" s="785"/>
      <c r="DK87" s="785"/>
      <c r="DL87" s="786"/>
      <c r="DM87" s="790" t="str">
        <f t="shared" si="25"/>
        <v>-</v>
      </c>
      <c r="DN87" s="785"/>
      <c r="DO87" s="785"/>
      <c r="DP87" s="786"/>
      <c r="DQ87" s="790" t="str">
        <f>IF(CU87="","-",INDEX($A$5:$BP$257,MATCH(CU87,$BN$5:$BN$257,0),39)*(IF(CU87="","-",(1+(((-('Densidade do AR'!$M$4))+('Densidade do AR'!$T$15*1000000))/(IF(INDEX($A$5:$BP$257,MATCH(CU87,$BN$5:$BN$257,0),50)="Aço Inoxidável",('Densidade do AR'!$S$8*1000000),IF(INDEX($A$5:$BP$257,MATCH(CU87,$BN$5:$BN$257,0),50)="Ferro Fundido",('Densidade do AR'!$S$12*1000000),IF(INDEX($A$5:$BP$257,MATCH(CU87,$BN$5:$BN$257,0),50)="Latão",('Densidade do AR'!$S$10*1000000),IF(INDEX($A$5:$BP$257,MATCH(CU87,$BN$5:$BN$257,0),50)="Alumínio",('Densidade do AR'!$S$4*1000000)))))))-(((-('Densidade do AR'!$M$4))+('Densidade do AR'!$T$15*1000000))/('Densidade do AR'!$S$14*1000000))))))</f>
        <v>-</v>
      </c>
      <c r="DR87" s="785"/>
      <c r="DS87" s="785"/>
      <c r="DT87" s="791"/>
      <c r="DU87" s="91" t="str">
        <f t="shared" si="35"/>
        <v>-</v>
      </c>
      <c r="DV87" s="746"/>
      <c r="DW87" s="747"/>
      <c r="DX87" s="784" t="str">
        <f>IF(DV87="","-",(IF(INDEX($A$5:$BP$257,MATCH(DV87,$BN$5:$BN$257,0),50)="Aço Inoxidável",('Densidade do AR'!$S$8*1000000),IF(INDEX($A$5:$BP$257,MATCH(DV87,$BN$5:$BN$257,0),50)="Ferro Fundido",('Densidade do AR'!$S$12*1000000),IF(INDEX($A$5:$BP$257,MATCH(DV87,$BN$5:$BN$257,0),50)="Latão",('Densidade do AR'!$S$10*1000000),IF(INDEX($A$5:$BP$257,MATCH(DV87,$BN$5:$BN$257,0),50)="Alumínio",('Densidade do AR'!$S$4*1000000)))))))</f>
        <v>-</v>
      </c>
      <c r="DY87" s="785"/>
      <c r="DZ87" s="785"/>
      <c r="EA87" s="786"/>
      <c r="EB87" s="787" t="str">
        <f t="shared" si="36"/>
        <v>-</v>
      </c>
      <c r="EC87" s="788"/>
      <c r="ED87" s="788"/>
      <c r="EE87" s="789"/>
      <c r="EF87" s="787" t="str">
        <f t="shared" si="26"/>
        <v>-</v>
      </c>
      <c r="EG87" s="788"/>
      <c r="EH87" s="788"/>
      <c r="EI87" s="789"/>
      <c r="EJ87" s="790" t="str">
        <f t="shared" si="37"/>
        <v>-</v>
      </c>
      <c r="EK87" s="785"/>
      <c r="EL87" s="785"/>
      <c r="EM87" s="786"/>
      <c r="EN87" s="790" t="str">
        <f t="shared" si="27"/>
        <v>-</v>
      </c>
      <c r="EO87" s="785"/>
      <c r="EP87" s="785"/>
      <c r="EQ87" s="786"/>
      <c r="ER87" s="790" t="str">
        <f>IF(DV87="","-",INDEX($A$5:$BP$257,MATCH(DV87,$BN$5:$BN$257,0),39)*(IF(DV87="","-",(1+(((-('Densidade do AR'!$M$4))+('Densidade do AR'!$T$15*1000000))/(IF(INDEX($A$5:$BP$257,MATCH(DV87,$BN$5:$BN$257,0),50)="Aço Inoxidável",('Densidade do AR'!$S$8*1000000),IF(INDEX($A$5:$BP$257,MATCH(DV87,$BN$5:$BN$257,0),50)="Ferro Fundido",('Densidade do AR'!$S$12*1000000),IF(INDEX($A$5:$BP$257,MATCH(DV87,$BN$5:$BN$257,0),50)="Latão",('Densidade do AR'!$S$10*1000000),IF(INDEX($A$5:$BP$257,MATCH(DV87,$BN$5:$BN$257,0),50)="Alumínio",('Densidade do AR'!$S$4*1000000)))))))-(((-('Densidade do AR'!$M$4))+('Densidade do AR'!$T$15*1000000))/('Densidade do AR'!$S$14*1000000))))))</f>
        <v>-</v>
      </c>
      <c r="ES87" s="785"/>
      <c r="ET87" s="785"/>
      <c r="EU87" s="791"/>
      <c r="EV87" s="91" t="str">
        <f t="shared" si="38"/>
        <v>-</v>
      </c>
      <c r="EW87" s="794"/>
      <c r="EX87" s="795"/>
      <c r="EY87" s="784" t="str">
        <f>IF(EW87="","-",(IF(INDEX($A$5:$BP$257,MATCH(EW87,$BN$5:$BN$257,0),50)="Aço Inoxidável",('Densidade do AR'!$S$8*1000000),IF(INDEX($A$5:$BP$257,MATCH(EW87,$BN$5:$BN$257,0),50)="Ferro Fundido",('Densidade do AR'!$S$12*1000000),IF(INDEX($A$5:$BP$257,MATCH(EW87,$BN$5:$BN$257,0),50)="Latão",('Densidade do AR'!$S$10*1000000),IF(INDEX($A$5:$BP$257,MATCH(EW87,$BN$5:$BN$257,0),50)="Alumínio",('Densidade do AR'!$S$4*1000000)))))))</f>
        <v>-</v>
      </c>
      <c r="EZ87" s="785"/>
      <c r="FA87" s="785"/>
      <c r="FB87" s="786"/>
      <c r="FC87" s="787" t="str">
        <f t="shared" si="39"/>
        <v>-</v>
      </c>
      <c r="FD87" s="788"/>
      <c r="FE87" s="788"/>
      <c r="FF87" s="789"/>
      <c r="FG87" s="787" t="str">
        <f t="shared" si="28"/>
        <v>-</v>
      </c>
      <c r="FH87" s="788"/>
      <c r="FI87" s="788"/>
      <c r="FJ87" s="789"/>
      <c r="FK87" s="790" t="str">
        <f t="shared" si="40"/>
        <v>-</v>
      </c>
      <c r="FL87" s="785"/>
      <c r="FM87" s="785"/>
      <c r="FN87" s="786"/>
      <c r="FO87" s="790" t="str">
        <f t="shared" si="29"/>
        <v>-</v>
      </c>
      <c r="FP87" s="785"/>
      <c r="FQ87" s="785"/>
      <c r="FR87" s="786"/>
      <c r="FS87" s="790" t="str">
        <f>IF(EW87="","-",INDEX($A$5:$BP$257,MATCH(EW87,$BN$5:$BN$257,0),39)*(IF(EW87="","-",(1+(((-('Densidade do AR'!$M$4))+('Densidade do AR'!$T$15*1000000))/(IF(INDEX($A$5:$BP$257,MATCH(EW87,$BN$5:$BN$257,0),50)="Aço Inoxidável",('Densidade do AR'!$S$8*1000000),IF(INDEX($A$5:$BP$257,MATCH(EW87,$BN$5:$BN$257,0),50)="Ferro Fundido",('Densidade do AR'!$S$12*1000000),IF(INDEX($A$5:$BP$257,MATCH(EW87,$BN$5:$BN$257,0),50)="Latão",('Densidade do AR'!$S$10*1000000),IF(INDEX($A$5:$BP$257,MATCH(EW87,$BN$5:$BN$257,0),50)="Alumínio",('Densidade do AR'!$S$4*1000000)))))))-(((-('Densidade do AR'!$M$4))+('Densidade do AR'!$T$15*1000000))/('Densidade do AR'!$S$14*1000000))))))</f>
        <v>-</v>
      </c>
      <c r="FT87" s="785"/>
      <c r="FU87" s="785"/>
      <c r="FV87" s="791"/>
      <c r="FW87" s="91" t="str">
        <f t="shared" si="41"/>
        <v>-</v>
      </c>
      <c r="FX87" s="135"/>
    </row>
    <row r="88" spans="1:180" ht="12.75" customHeight="1" x14ac:dyDescent="0.2">
      <c r="A88" s="718">
        <v>84</v>
      </c>
      <c r="B88" s="713"/>
      <c r="C88" s="719"/>
      <c r="D88" s="709"/>
      <c r="E88" s="709"/>
      <c r="F88" s="709"/>
      <c r="G88" s="710"/>
      <c r="H88" s="720"/>
      <c r="I88" s="712"/>
      <c r="J88" s="712"/>
      <c r="K88" s="713"/>
      <c r="L88" s="719"/>
      <c r="M88" s="709"/>
      <c r="N88" s="709"/>
      <c r="O88" s="709"/>
      <c r="P88" s="719"/>
      <c r="Q88" s="709"/>
      <c r="R88" s="709"/>
      <c r="S88" s="709"/>
      <c r="T88" s="710"/>
      <c r="U88" s="721"/>
      <c r="V88" s="722"/>
      <c r="W88" s="722"/>
      <c r="X88" s="722"/>
      <c r="Y88" s="722"/>
      <c r="Z88" s="722"/>
      <c r="AA88" s="723"/>
      <c r="AB88" s="853"/>
      <c r="AC88" s="854"/>
      <c r="AD88" s="854"/>
      <c r="AE88" s="854"/>
      <c r="AF88" s="854"/>
      <c r="AG88" s="854"/>
      <c r="AH88" s="854"/>
      <c r="AI88" s="854"/>
      <c r="AJ88" s="854"/>
      <c r="AK88" s="854"/>
      <c r="AL88" s="855"/>
      <c r="AM88" s="909"/>
      <c r="AN88" s="712"/>
      <c r="AO88" s="712"/>
      <c r="AP88" s="712"/>
      <c r="AQ88" s="712"/>
      <c r="AR88" s="712"/>
      <c r="AS88" s="713"/>
      <c r="AT88" s="909"/>
      <c r="AU88" s="712"/>
      <c r="AV88" s="712"/>
      <c r="AW88" s="713"/>
      <c r="AX88" s="908"/>
      <c r="AY88" s="712"/>
      <c r="AZ88" s="712"/>
      <c r="BA88" s="712"/>
      <c r="BB88" s="712"/>
      <c r="BC88" s="713"/>
      <c r="BD88" s="909"/>
      <c r="BE88" s="712"/>
      <c r="BF88" s="712"/>
      <c r="BG88" s="713"/>
      <c r="BH88" s="909"/>
      <c r="BI88" s="994"/>
      <c r="BJ88" s="994"/>
      <c r="BK88" s="994"/>
      <c r="BL88" s="995"/>
      <c r="BN88" s="881"/>
      <c r="BO88" s="882"/>
      <c r="BP88" s="883"/>
      <c r="BT88" s="792"/>
      <c r="BU88" s="793"/>
      <c r="BV88" s="738" t="str">
        <f>IF(BT88="","-",(IF(INDEX($A$5:$BP$257,MATCH(BT88,$BN$5:$BN$257,0),50)="Aço Inoxidável",('Densidade do AR'!$S$8*1000000),IF(INDEX($A$5:$BP$257,MATCH(BT88,$BN$5:$BN$257,0),50)="Ferro Fundido",('Densidade do AR'!$S$12*1000000),IF(INDEX($A$5:$BP$257,MATCH(BT88,$BN$5:$BN$257,0),50)="Latão",('Densidade do AR'!$S$10*1000000),IF(INDEX($A$5:$BP$257,MATCH(BT88,$BN$5:$BN$257,0),50)="Alumínio",('Densidade do AR'!$S$4*1000000)))))))</f>
        <v>-</v>
      </c>
      <c r="BW88" s="739"/>
      <c r="BX88" s="739"/>
      <c r="BY88" s="740"/>
      <c r="BZ88" s="741" t="str">
        <f t="shared" si="30"/>
        <v>-</v>
      </c>
      <c r="CA88" s="742"/>
      <c r="CB88" s="742"/>
      <c r="CC88" s="743"/>
      <c r="CD88" s="741" t="str">
        <f t="shared" si="22"/>
        <v>-</v>
      </c>
      <c r="CE88" s="742"/>
      <c r="CF88" s="742"/>
      <c r="CG88" s="743"/>
      <c r="CH88" s="744" t="str">
        <f t="shared" si="31"/>
        <v>-</v>
      </c>
      <c r="CI88" s="739"/>
      <c r="CJ88" s="739"/>
      <c r="CK88" s="740"/>
      <c r="CL88" s="744" t="str">
        <f t="shared" si="23"/>
        <v>-</v>
      </c>
      <c r="CM88" s="739"/>
      <c r="CN88" s="739"/>
      <c r="CO88" s="740"/>
      <c r="CP88" s="744" t="str">
        <f>IF(BT88="","-",INDEX($A$5:$BP$257,MATCH(BT88,$BN$5:$BN$257,0),39)*(IF(BT88="","-",(1+(((-('Densidade do AR'!$M$4))+('Densidade do AR'!$T$15*1000000))/(IF(INDEX($A$5:$BP$257,MATCH(BT88,$BN$5:$BN$257,0),50)="Aço Inoxidável",('Densidade do AR'!$S$8*1000000),IF(INDEX($A$5:$BP$257,MATCH(BT88,$BN$5:$BN$257,0),50)="Ferro Fundido",('Densidade do AR'!$S$12*1000000),IF(INDEX($A$5:$BP$257,MATCH(BT88,$BN$5:$BN$257,0),50)="Latão",('Densidade do AR'!$S$10*1000000),IF(INDEX($A$5:$BP$257,MATCH(BT88,$BN$5:$BN$257,0),50)="Alumínio",('Densidade do AR'!$S$4*1000000)))))))-(((-('Densidade do AR'!$M$4))+('Densidade do AR'!$T$15*1000000))/('Densidade do AR'!$S$14*1000000))))))</f>
        <v>-</v>
      </c>
      <c r="CQ88" s="739"/>
      <c r="CR88" s="739"/>
      <c r="CS88" s="745"/>
      <c r="CT88" s="91" t="str">
        <f t="shared" si="32"/>
        <v>-</v>
      </c>
      <c r="CU88" s="792"/>
      <c r="CV88" s="793"/>
      <c r="CW88" s="738" t="str">
        <f>IF(CU88="","-",(IF(INDEX($A$5:$BP$257,MATCH(CU88,$BN$5:$BN$257,0),50)="Aço Inoxidável",('Densidade do AR'!$S$8*1000000),IF(INDEX($A$5:$BP$257,MATCH(CU88,$BN$5:$BN$257,0),50)="Ferro Fundido",('Densidade do AR'!$S$12*1000000),IF(INDEX($A$5:$BP$257,MATCH(CU88,$BN$5:$BN$257,0),50)="Latão",('Densidade do AR'!$S$10*1000000),IF(INDEX($A$5:$BP$257,MATCH(CU88,$BN$5:$BN$257,0),50)="Alumínio",('Densidade do AR'!$S$4*1000000)))))))</f>
        <v>-</v>
      </c>
      <c r="CX88" s="739"/>
      <c r="CY88" s="739"/>
      <c r="CZ88" s="740"/>
      <c r="DA88" s="741" t="str">
        <f t="shared" si="33"/>
        <v>-</v>
      </c>
      <c r="DB88" s="742"/>
      <c r="DC88" s="742"/>
      <c r="DD88" s="743"/>
      <c r="DE88" s="741" t="str">
        <f t="shared" si="24"/>
        <v>-</v>
      </c>
      <c r="DF88" s="742"/>
      <c r="DG88" s="742"/>
      <c r="DH88" s="743"/>
      <c r="DI88" s="744" t="str">
        <f t="shared" si="34"/>
        <v>-</v>
      </c>
      <c r="DJ88" s="739"/>
      <c r="DK88" s="739"/>
      <c r="DL88" s="740"/>
      <c r="DM88" s="744" t="str">
        <f t="shared" si="25"/>
        <v>-</v>
      </c>
      <c r="DN88" s="739"/>
      <c r="DO88" s="739"/>
      <c r="DP88" s="740"/>
      <c r="DQ88" s="744" t="str">
        <f>IF(CU88="","-",INDEX($A$5:$BP$257,MATCH(CU88,$BN$5:$BN$257,0),39)*(IF(CU88="","-",(1+(((-('Densidade do AR'!$M$4))+('Densidade do AR'!$T$15*1000000))/(IF(INDEX($A$5:$BP$257,MATCH(CU88,$BN$5:$BN$257,0),50)="Aço Inoxidável",('Densidade do AR'!$S$8*1000000),IF(INDEX($A$5:$BP$257,MATCH(CU88,$BN$5:$BN$257,0),50)="Ferro Fundido",('Densidade do AR'!$S$12*1000000),IF(INDEX($A$5:$BP$257,MATCH(CU88,$BN$5:$BN$257,0),50)="Latão",('Densidade do AR'!$S$10*1000000),IF(INDEX($A$5:$BP$257,MATCH(CU88,$BN$5:$BN$257,0),50)="Alumínio",('Densidade do AR'!$S$4*1000000)))))))-(((-('Densidade do AR'!$M$4))+('Densidade do AR'!$T$15*1000000))/('Densidade do AR'!$S$14*1000000))))))</f>
        <v>-</v>
      </c>
      <c r="DR88" s="739"/>
      <c r="DS88" s="739"/>
      <c r="DT88" s="745"/>
      <c r="DU88" s="91" t="str">
        <f t="shared" si="35"/>
        <v>-</v>
      </c>
      <c r="DV88" s="736"/>
      <c r="DW88" s="737"/>
      <c r="DX88" s="738" t="str">
        <f>IF(DV88="","-",(IF(INDEX($A$5:$BP$257,MATCH(DV88,$BN$5:$BN$257,0),50)="Aço Inoxidável",('Densidade do AR'!$S$8*1000000),IF(INDEX($A$5:$BP$257,MATCH(DV88,$BN$5:$BN$257,0),50)="Ferro Fundido",('Densidade do AR'!$S$12*1000000),IF(INDEX($A$5:$BP$257,MATCH(DV88,$BN$5:$BN$257,0),50)="Latão",('Densidade do AR'!$S$10*1000000),IF(INDEX($A$5:$BP$257,MATCH(DV88,$BN$5:$BN$257,0),50)="Alumínio",('Densidade do AR'!$S$4*1000000)))))))</f>
        <v>-</v>
      </c>
      <c r="DY88" s="739"/>
      <c r="DZ88" s="739"/>
      <c r="EA88" s="740"/>
      <c r="EB88" s="741" t="str">
        <f t="shared" si="36"/>
        <v>-</v>
      </c>
      <c r="EC88" s="742"/>
      <c r="ED88" s="742"/>
      <c r="EE88" s="743"/>
      <c r="EF88" s="741" t="str">
        <f t="shared" si="26"/>
        <v>-</v>
      </c>
      <c r="EG88" s="742"/>
      <c r="EH88" s="742"/>
      <c r="EI88" s="743"/>
      <c r="EJ88" s="744" t="str">
        <f t="shared" si="37"/>
        <v>-</v>
      </c>
      <c r="EK88" s="739"/>
      <c r="EL88" s="739"/>
      <c r="EM88" s="740"/>
      <c r="EN88" s="744" t="str">
        <f t="shared" si="27"/>
        <v>-</v>
      </c>
      <c r="EO88" s="739"/>
      <c r="EP88" s="739"/>
      <c r="EQ88" s="740"/>
      <c r="ER88" s="744" t="str">
        <f>IF(DV88="","-",INDEX($A$5:$BP$257,MATCH(DV88,$BN$5:$BN$257,0),39)*(IF(DV88="","-",(1+(((-('Densidade do AR'!$M$4))+('Densidade do AR'!$T$15*1000000))/(IF(INDEX($A$5:$BP$257,MATCH(DV88,$BN$5:$BN$257,0),50)="Aço Inoxidável",('Densidade do AR'!$S$8*1000000),IF(INDEX($A$5:$BP$257,MATCH(DV88,$BN$5:$BN$257,0),50)="Ferro Fundido",('Densidade do AR'!$S$12*1000000),IF(INDEX($A$5:$BP$257,MATCH(DV88,$BN$5:$BN$257,0),50)="Latão",('Densidade do AR'!$S$10*1000000),IF(INDEX($A$5:$BP$257,MATCH(DV88,$BN$5:$BN$257,0),50)="Alumínio",('Densidade do AR'!$S$4*1000000)))))))-(((-('Densidade do AR'!$M$4))+('Densidade do AR'!$T$15*1000000))/('Densidade do AR'!$S$14*1000000))))))</f>
        <v>-</v>
      </c>
      <c r="ES88" s="739"/>
      <c r="ET88" s="739"/>
      <c r="EU88" s="745"/>
      <c r="EV88" s="91" t="str">
        <f t="shared" si="38"/>
        <v>-</v>
      </c>
      <c r="EW88" s="792"/>
      <c r="EX88" s="793"/>
      <c r="EY88" s="738" t="str">
        <f>IF(EW88="","-",(IF(INDEX($A$5:$BP$257,MATCH(EW88,$BN$5:$BN$257,0),50)="Aço Inoxidável",('Densidade do AR'!$S$8*1000000),IF(INDEX($A$5:$BP$257,MATCH(EW88,$BN$5:$BN$257,0),50)="Ferro Fundido",('Densidade do AR'!$S$12*1000000),IF(INDEX($A$5:$BP$257,MATCH(EW88,$BN$5:$BN$257,0),50)="Latão",('Densidade do AR'!$S$10*1000000),IF(INDEX($A$5:$BP$257,MATCH(EW88,$BN$5:$BN$257,0),50)="Alumínio",('Densidade do AR'!$S$4*1000000)))))))</f>
        <v>-</v>
      </c>
      <c r="EZ88" s="739"/>
      <c r="FA88" s="739"/>
      <c r="FB88" s="740"/>
      <c r="FC88" s="741" t="str">
        <f t="shared" si="39"/>
        <v>-</v>
      </c>
      <c r="FD88" s="742"/>
      <c r="FE88" s="742"/>
      <c r="FF88" s="743"/>
      <c r="FG88" s="741" t="str">
        <f t="shared" si="28"/>
        <v>-</v>
      </c>
      <c r="FH88" s="742"/>
      <c r="FI88" s="742"/>
      <c r="FJ88" s="743"/>
      <c r="FK88" s="744" t="str">
        <f t="shared" si="40"/>
        <v>-</v>
      </c>
      <c r="FL88" s="739"/>
      <c r="FM88" s="739"/>
      <c r="FN88" s="740"/>
      <c r="FO88" s="744" t="str">
        <f t="shared" si="29"/>
        <v>-</v>
      </c>
      <c r="FP88" s="739"/>
      <c r="FQ88" s="739"/>
      <c r="FR88" s="740"/>
      <c r="FS88" s="744" t="str">
        <f>IF(EW88="","-",INDEX($A$5:$BP$257,MATCH(EW88,$BN$5:$BN$257,0),39)*(IF(EW88="","-",(1+(((-('Densidade do AR'!$M$4))+('Densidade do AR'!$T$15*1000000))/(IF(INDEX($A$5:$BP$257,MATCH(EW88,$BN$5:$BN$257,0),50)="Aço Inoxidável",('Densidade do AR'!$S$8*1000000),IF(INDEX($A$5:$BP$257,MATCH(EW88,$BN$5:$BN$257,0),50)="Ferro Fundido",('Densidade do AR'!$S$12*1000000),IF(INDEX($A$5:$BP$257,MATCH(EW88,$BN$5:$BN$257,0),50)="Latão",('Densidade do AR'!$S$10*1000000),IF(INDEX($A$5:$BP$257,MATCH(EW88,$BN$5:$BN$257,0),50)="Alumínio",('Densidade do AR'!$S$4*1000000)))))))-(((-('Densidade do AR'!$M$4))+('Densidade do AR'!$T$15*1000000))/('Densidade do AR'!$S$14*1000000))))))</f>
        <v>-</v>
      </c>
      <c r="FT88" s="739"/>
      <c r="FU88" s="739"/>
      <c r="FV88" s="745"/>
      <c r="FW88" s="91" t="str">
        <f t="shared" si="41"/>
        <v>-</v>
      </c>
      <c r="FX88" s="135"/>
    </row>
    <row r="89" spans="1:180" ht="12.75" customHeight="1" x14ac:dyDescent="0.2">
      <c r="A89" s="717">
        <v>85</v>
      </c>
      <c r="B89" s="713"/>
      <c r="C89" s="708"/>
      <c r="D89" s="709"/>
      <c r="E89" s="709"/>
      <c r="F89" s="709"/>
      <c r="G89" s="710"/>
      <c r="H89" s="711"/>
      <c r="I89" s="712"/>
      <c r="J89" s="712"/>
      <c r="K89" s="713"/>
      <c r="L89" s="708"/>
      <c r="M89" s="709"/>
      <c r="N89" s="709"/>
      <c r="O89" s="709"/>
      <c r="P89" s="708"/>
      <c r="Q89" s="709"/>
      <c r="R89" s="709"/>
      <c r="S89" s="709"/>
      <c r="T89" s="710"/>
      <c r="U89" s="714"/>
      <c r="V89" s="715"/>
      <c r="W89" s="715"/>
      <c r="X89" s="715"/>
      <c r="Y89" s="715"/>
      <c r="Z89" s="715"/>
      <c r="AA89" s="716"/>
      <c r="AB89" s="850"/>
      <c r="AC89" s="851"/>
      <c r="AD89" s="851"/>
      <c r="AE89" s="851"/>
      <c r="AF89" s="851"/>
      <c r="AG89" s="851"/>
      <c r="AH89" s="851"/>
      <c r="AI89" s="851"/>
      <c r="AJ89" s="851"/>
      <c r="AK89" s="851"/>
      <c r="AL89" s="852"/>
      <c r="AM89" s="917"/>
      <c r="AN89" s="712"/>
      <c r="AO89" s="712"/>
      <c r="AP89" s="712"/>
      <c r="AQ89" s="712"/>
      <c r="AR89" s="712"/>
      <c r="AS89" s="713"/>
      <c r="AT89" s="917"/>
      <c r="AU89" s="712"/>
      <c r="AV89" s="712"/>
      <c r="AW89" s="713"/>
      <c r="AX89" s="917"/>
      <c r="AY89" s="712"/>
      <c r="AZ89" s="712"/>
      <c r="BA89" s="712"/>
      <c r="BB89" s="712"/>
      <c r="BC89" s="713"/>
      <c r="BD89" s="917"/>
      <c r="BE89" s="712"/>
      <c r="BF89" s="712"/>
      <c r="BG89" s="713"/>
      <c r="BH89" s="917"/>
      <c r="BI89" s="994"/>
      <c r="BJ89" s="994"/>
      <c r="BK89" s="994"/>
      <c r="BL89" s="995"/>
      <c r="BN89" s="878"/>
      <c r="BO89" s="879"/>
      <c r="BP89" s="880"/>
      <c r="BT89" s="794"/>
      <c r="BU89" s="795"/>
      <c r="BV89" s="784" t="str">
        <f>IF(BT89="","-",(IF(INDEX($A$5:$BP$257,MATCH(BT89,$BN$5:$BN$257,0),50)="Aço Inoxidável",('Densidade do AR'!$S$8*1000000),IF(INDEX($A$5:$BP$257,MATCH(BT89,$BN$5:$BN$257,0),50)="Ferro Fundido",('Densidade do AR'!$S$12*1000000),IF(INDEX($A$5:$BP$257,MATCH(BT89,$BN$5:$BN$257,0),50)="Latão",('Densidade do AR'!$S$10*1000000),IF(INDEX($A$5:$BP$257,MATCH(BT89,$BN$5:$BN$257,0),50)="Alumínio",('Densidade do AR'!$S$4*1000000)))))))</f>
        <v>-</v>
      </c>
      <c r="BW89" s="785"/>
      <c r="BX89" s="785"/>
      <c r="BY89" s="786"/>
      <c r="BZ89" s="787" t="str">
        <f t="shared" si="30"/>
        <v>-</v>
      </c>
      <c r="CA89" s="788"/>
      <c r="CB89" s="788"/>
      <c r="CC89" s="789"/>
      <c r="CD89" s="787" t="str">
        <f t="shared" si="22"/>
        <v>-</v>
      </c>
      <c r="CE89" s="788"/>
      <c r="CF89" s="788"/>
      <c r="CG89" s="789"/>
      <c r="CH89" s="790" t="str">
        <f t="shared" si="31"/>
        <v>-</v>
      </c>
      <c r="CI89" s="785"/>
      <c r="CJ89" s="785"/>
      <c r="CK89" s="786"/>
      <c r="CL89" s="790" t="str">
        <f t="shared" si="23"/>
        <v>-</v>
      </c>
      <c r="CM89" s="785"/>
      <c r="CN89" s="785"/>
      <c r="CO89" s="786"/>
      <c r="CP89" s="790" t="str">
        <f>IF(BT89="","-",INDEX($A$5:$BP$257,MATCH(BT89,$BN$5:$BN$257,0),39)*(IF(BT89="","-",(1+(((-('Densidade do AR'!$M$4))+('Densidade do AR'!$T$15*1000000))/(IF(INDEX($A$5:$BP$257,MATCH(BT89,$BN$5:$BN$257,0),50)="Aço Inoxidável",('Densidade do AR'!$S$8*1000000),IF(INDEX($A$5:$BP$257,MATCH(BT89,$BN$5:$BN$257,0),50)="Ferro Fundido",('Densidade do AR'!$S$12*1000000),IF(INDEX($A$5:$BP$257,MATCH(BT89,$BN$5:$BN$257,0),50)="Latão",('Densidade do AR'!$S$10*1000000),IF(INDEX($A$5:$BP$257,MATCH(BT89,$BN$5:$BN$257,0),50)="Alumínio",('Densidade do AR'!$S$4*1000000)))))))-(((-('Densidade do AR'!$M$4))+('Densidade do AR'!$T$15*1000000))/('Densidade do AR'!$S$14*1000000))))))</f>
        <v>-</v>
      </c>
      <c r="CQ89" s="785"/>
      <c r="CR89" s="785"/>
      <c r="CS89" s="791"/>
      <c r="CT89" s="91" t="str">
        <f t="shared" si="32"/>
        <v>-</v>
      </c>
      <c r="CU89" s="794"/>
      <c r="CV89" s="795"/>
      <c r="CW89" s="784" t="str">
        <f>IF(CU89="","-",(IF(INDEX($A$5:$BP$257,MATCH(CU89,$BN$5:$BN$257,0),50)="Aço Inoxidável",('Densidade do AR'!$S$8*1000000),IF(INDEX($A$5:$BP$257,MATCH(CU89,$BN$5:$BN$257,0),50)="Ferro Fundido",('Densidade do AR'!$S$12*1000000),IF(INDEX($A$5:$BP$257,MATCH(CU89,$BN$5:$BN$257,0),50)="Latão",('Densidade do AR'!$S$10*1000000),IF(INDEX($A$5:$BP$257,MATCH(CU89,$BN$5:$BN$257,0),50)="Alumínio",('Densidade do AR'!$S$4*1000000)))))))</f>
        <v>-</v>
      </c>
      <c r="CX89" s="785"/>
      <c r="CY89" s="785"/>
      <c r="CZ89" s="786"/>
      <c r="DA89" s="787" t="str">
        <f t="shared" si="33"/>
        <v>-</v>
      </c>
      <c r="DB89" s="788"/>
      <c r="DC89" s="788"/>
      <c r="DD89" s="789"/>
      <c r="DE89" s="787" t="str">
        <f t="shared" si="24"/>
        <v>-</v>
      </c>
      <c r="DF89" s="788"/>
      <c r="DG89" s="788"/>
      <c r="DH89" s="789"/>
      <c r="DI89" s="790" t="str">
        <f t="shared" si="34"/>
        <v>-</v>
      </c>
      <c r="DJ89" s="785"/>
      <c r="DK89" s="785"/>
      <c r="DL89" s="786"/>
      <c r="DM89" s="790" t="str">
        <f t="shared" si="25"/>
        <v>-</v>
      </c>
      <c r="DN89" s="785"/>
      <c r="DO89" s="785"/>
      <c r="DP89" s="786"/>
      <c r="DQ89" s="790" t="str">
        <f>IF(CU89="","-",INDEX($A$5:$BP$257,MATCH(CU89,$BN$5:$BN$257,0),39)*(IF(CU89="","-",(1+(((-('Densidade do AR'!$M$4))+('Densidade do AR'!$T$15*1000000))/(IF(INDEX($A$5:$BP$257,MATCH(CU89,$BN$5:$BN$257,0),50)="Aço Inoxidável",('Densidade do AR'!$S$8*1000000),IF(INDEX($A$5:$BP$257,MATCH(CU89,$BN$5:$BN$257,0),50)="Ferro Fundido",('Densidade do AR'!$S$12*1000000),IF(INDEX($A$5:$BP$257,MATCH(CU89,$BN$5:$BN$257,0),50)="Latão",('Densidade do AR'!$S$10*1000000),IF(INDEX($A$5:$BP$257,MATCH(CU89,$BN$5:$BN$257,0),50)="Alumínio",('Densidade do AR'!$S$4*1000000)))))))-(((-('Densidade do AR'!$M$4))+('Densidade do AR'!$T$15*1000000))/('Densidade do AR'!$S$14*1000000))))))</f>
        <v>-</v>
      </c>
      <c r="DR89" s="785"/>
      <c r="DS89" s="785"/>
      <c r="DT89" s="791"/>
      <c r="DU89" s="91" t="str">
        <f t="shared" si="35"/>
        <v>-</v>
      </c>
      <c r="DV89" s="746"/>
      <c r="DW89" s="747"/>
      <c r="DX89" s="784" t="str">
        <f>IF(DV89="","-",(IF(INDEX($A$5:$BP$257,MATCH(DV89,$BN$5:$BN$257,0),50)="Aço Inoxidável",('Densidade do AR'!$S$8*1000000),IF(INDEX($A$5:$BP$257,MATCH(DV89,$BN$5:$BN$257,0),50)="Ferro Fundido",('Densidade do AR'!$S$12*1000000),IF(INDEX($A$5:$BP$257,MATCH(DV89,$BN$5:$BN$257,0),50)="Latão",('Densidade do AR'!$S$10*1000000),IF(INDEX($A$5:$BP$257,MATCH(DV89,$BN$5:$BN$257,0),50)="Alumínio",('Densidade do AR'!$S$4*1000000)))))))</f>
        <v>-</v>
      </c>
      <c r="DY89" s="785"/>
      <c r="DZ89" s="785"/>
      <c r="EA89" s="786"/>
      <c r="EB89" s="787" t="str">
        <f t="shared" si="36"/>
        <v>-</v>
      </c>
      <c r="EC89" s="788"/>
      <c r="ED89" s="788"/>
      <c r="EE89" s="789"/>
      <c r="EF89" s="787" t="str">
        <f t="shared" si="26"/>
        <v>-</v>
      </c>
      <c r="EG89" s="788"/>
      <c r="EH89" s="788"/>
      <c r="EI89" s="789"/>
      <c r="EJ89" s="790" t="str">
        <f t="shared" si="37"/>
        <v>-</v>
      </c>
      <c r="EK89" s="785"/>
      <c r="EL89" s="785"/>
      <c r="EM89" s="786"/>
      <c r="EN89" s="790" t="str">
        <f t="shared" si="27"/>
        <v>-</v>
      </c>
      <c r="EO89" s="785"/>
      <c r="EP89" s="785"/>
      <c r="EQ89" s="786"/>
      <c r="ER89" s="790" t="str">
        <f>IF(DV89="","-",INDEX($A$5:$BP$257,MATCH(DV89,$BN$5:$BN$257,0),39)*(IF(DV89="","-",(1+(((-('Densidade do AR'!$M$4))+('Densidade do AR'!$T$15*1000000))/(IF(INDEX($A$5:$BP$257,MATCH(DV89,$BN$5:$BN$257,0),50)="Aço Inoxidável",('Densidade do AR'!$S$8*1000000),IF(INDEX($A$5:$BP$257,MATCH(DV89,$BN$5:$BN$257,0),50)="Ferro Fundido",('Densidade do AR'!$S$12*1000000),IF(INDEX($A$5:$BP$257,MATCH(DV89,$BN$5:$BN$257,0),50)="Latão",('Densidade do AR'!$S$10*1000000),IF(INDEX($A$5:$BP$257,MATCH(DV89,$BN$5:$BN$257,0),50)="Alumínio",('Densidade do AR'!$S$4*1000000)))))))-(((-('Densidade do AR'!$M$4))+('Densidade do AR'!$T$15*1000000))/('Densidade do AR'!$S$14*1000000))))))</f>
        <v>-</v>
      </c>
      <c r="ES89" s="785"/>
      <c r="ET89" s="785"/>
      <c r="EU89" s="791"/>
      <c r="EV89" s="91" t="str">
        <f t="shared" si="38"/>
        <v>-</v>
      </c>
      <c r="EW89" s="794"/>
      <c r="EX89" s="795"/>
      <c r="EY89" s="784" t="str">
        <f>IF(EW89="","-",(IF(INDEX($A$5:$BP$257,MATCH(EW89,$BN$5:$BN$257,0),50)="Aço Inoxidável",('Densidade do AR'!$S$8*1000000),IF(INDEX($A$5:$BP$257,MATCH(EW89,$BN$5:$BN$257,0),50)="Ferro Fundido",('Densidade do AR'!$S$12*1000000),IF(INDEX($A$5:$BP$257,MATCH(EW89,$BN$5:$BN$257,0),50)="Latão",('Densidade do AR'!$S$10*1000000),IF(INDEX($A$5:$BP$257,MATCH(EW89,$BN$5:$BN$257,0),50)="Alumínio",('Densidade do AR'!$S$4*1000000)))))))</f>
        <v>-</v>
      </c>
      <c r="EZ89" s="785"/>
      <c r="FA89" s="785"/>
      <c r="FB89" s="786"/>
      <c r="FC89" s="787" t="str">
        <f t="shared" si="39"/>
        <v>-</v>
      </c>
      <c r="FD89" s="788"/>
      <c r="FE89" s="788"/>
      <c r="FF89" s="789"/>
      <c r="FG89" s="787" t="str">
        <f t="shared" si="28"/>
        <v>-</v>
      </c>
      <c r="FH89" s="788"/>
      <c r="FI89" s="788"/>
      <c r="FJ89" s="789"/>
      <c r="FK89" s="790" t="str">
        <f t="shared" si="40"/>
        <v>-</v>
      </c>
      <c r="FL89" s="785"/>
      <c r="FM89" s="785"/>
      <c r="FN89" s="786"/>
      <c r="FO89" s="790" t="str">
        <f t="shared" si="29"/>
        <v>-</v>
      </c>
      <c r="FP89" s="785"/>
      <c r="FQ89" s="785"/>
      <c r="FR89" s="786"/>
      <c r="FS89" s="790" t="str">
        <f>IF(EW89="","-",INDEX($A$5:$BP$257,MATCH(EW89,$BN$5:$BN$257,0),39)*(IF(EW89="","-",(1+(((-('Densidade do AR'!$M$4))+('Densidade do AR'!$T$15*1000000))/(IF(INDEX($A$5:$BP$257,MATCH(EW89,$BN$5:$BN$257,0),50)="Aço Inoxidável",('Densidade do AR'!$S$8*1000000),IF(INDEX($A$5:$BP$257,MATCH(EW89,$BN$5:$BN$257,0),50)="Ferro Fundido",('Densidade do AR'!$S$12*1000000),IF(INDEX($A$5:$BP$257,MATCH(EW89,$BN$5:$BN$257,0),50)="Latão",('Densidade do AR'!$S$10*1000000),IF(INDEX($A$5:$BP$257,MATCH(EW89,$BN$5:$BN$257,0),50)="Alumínio",('Densidade do AR'!$S$4*1000000)))))))-(((-('Densidade do AR'!$M$4))+('Densidade do AR'!$T$15*1000000))/('Densidade do AR'!$S$14*1000000))))))</f>
        <v>-</v>
      </c>
      <c r="FT89" s="785"/>
      <c r="FU89" s="785"/>
      <c r="FV89" s="791"/>
      <c r="FW89" s="91" t="str">
        <f t="shared" si="41"/>
        <v>-</v>
      </c>
      <c r="FX89" s="135"/>
    </row>
    <row r="90" spans="1:180" ht="12.75" customHeight="1" x14ac:dyDescent="0.2">
      <c r="A90" s="718">
        <v>86</v>
      </c>
      <c r="B90" s="713"/>
      <c r="C90" s="719"/>
      <c r="D90" s="709"/>
      <c r="E90" s="709"/>
      <c r="F90" s="709"/>
      <c r="G90" s="710"/>
      <c r="H90" s="720"/>
      <c r="I90" s="712"/>
      <c r="J90" s="712"/>
      <c r="K90" s="713"/>
      <c r="L90" s="719"/>
      <c r="M90" s="709"/>
      <c r="N90" s="709"/>
      <c r="O90" s="709"/>
      <c r="P90" s="719"/>
      <c r="Q90" s="709"/>
      <c r="R90" s="709"/>
      <c r="S90" s="709"/>
      <c r="T90" s="710"/>
      <c r="U90" s="721"/>
      <c r="V90" s="722"/>
      <c r="W90" s="722"/>
      <c r="X90" s="722"/>
      <c r="Y90" s="722"/>
      <c r="Z90" s="722"/>
      <c r="AA90" s="723"/>
      <c r="AB90" s="853"/>
      <c r="AC90" s="854"/>
      <c r="AD90" s="854"/>
      <c r="AE90" s="854"/>
      <c r="AF90" s="854"/>
      <c r="AG90" s="854"/>
      <c r="AH90" s="854"/>
      <c r="AI90" s="854"/>
      <c r="AJ90" s="854"/>
      <c r="AK90" s="854"/>
      <c r="AL90" s="855"/>
      <c r="AM90" s="909"/>
      <c r="AN90" s="712"/>
      <c r="AO90" s="712"/>
      <c r="AP90" s="712"/>
      <c r="AQ90" s="712"/>
      <c r="AR90" s="712"/>
      <c r="AS90" s="713"/>
      <c r="AT90" s="909"/>
      <c r="AU90" s="712"/>
      <c r="AV90" s="712"/>
      <c r="AW90" s="713"/>
      <c r="AX90" s="908"/>
      <c r="AY90" s="712"/>
      <c r="AZ90" s="712"/>
      <c r="BA90" s="712"/>
      <c r="BB90" s="712"/>
      <c r="BC90" s="713"/>
      <c r="BD90" s="909"/>
      <c r="BE90" s="712"/>
      <c r="BF90" s="712"/>
      <c r="BG90" s="713"/>
      <c r="BH90" s="909"/>
      <c r="BI90" s="994"/>
      <c r="BJ90" s="994"/>
      <c r="BK90" s="994"/>
      <c r="BL90" s="995"/>
      <c r="BN90" s="881"/>
      <c r="BO90" s="882"/>
      <c r="BP90" s="883"/>
      <c r="BT90" s="792"/>
      <c r="BU90" s="793"/>
      <c r="BV90" s="738" t="str">
        <f>IF(BT90="","-",(IF(INDEX($A$5:$BP$257,MATCH(BT90,$BN$5:$BN$257,0),50)="Aço Inoxidável",('Densidade do AR'!$S$8*1000000),IF(INDEX($A$5:$BP$257,MATCH(BT90,$BN$5:$BN$257,0),50)="Ferro Fundido",('Densidade do AR'!$S$12*1000000),IF(INDEX($A$5:$BP$257,MATCH(BT90,$BN$5:$BN$257,0),50)="Latão",('Densidade do AR'!$S$10*1000000),IF(INDEX($A$5:$BP$257,MATCH(BT90,$BN$5:$BN$257,0),50)="Alumínio",('Densidade do AR'!$S$4*1000000)))))))</f>
        <v>-</v>
      </c>
      <c r="BW90" s="739"/>
      <c r="BX90" s="739"/>
      <c r="BY90" s="740"/>
      <c r="BZ90" s="741" t="str">
        <f t="shared" si="30"/>
        <v>-</v>
      </c>
      <c r="CA90" s="742"/>
      <c r="CB90" s="742"/>
      <c r="CC90" s="743"/>
      <c r="CD90" s="741" t="str">
        <f t="shared" si="22"/>
        <v>-</v>
      </c>
      <c r="CE90" s="742"/>
      <c r="CF90" s="742"/>
      <c r="CG90" s="743"/>
      <c r="CH90" s="744" t="str">
        <f t="shared" si="31"/>
        <v>-</v>
      </c>
      <c r="CI90" s="739"/>
      <c r="CJ90" s="739"/>
      <c r="CK90" s="740"/>
      <c r="CL90" s="744" t="str">
        <f t="shared" si="23"/>
        <v>-</v>
      </c>
      <c r="CM90" s="739"/>
      <c r="CN90" s="739"/>
      <c r="CO90" s="740"/>
      <c r="CP90" s="744" t="str">
        <f>IF(BT90="","-",INDEX($A$5:$BP$257,MATCH(BT90,$BN$5:$BN$257,0),39)*(IF(BT90="","-",(1+(((-('Densidade do AR'!$M$4))+('Densidade do AR'!$T$15*1000000))/(IF(INDEX($A$5:$BP$257,MATCH(BT90,$BN$5:$BN$257,0),50)="Aço Inoxidável",('Densidade do AR'!$S$8*1000000),IF(INDEX($A$5:$BP$257,MATCH(BT90,$BN$5:$BN$257,0),50)="Ferro Fundido",('Densidade do AR'!$S$12*1000000),IF(INDEX($A$5:$BP$257,MATCH(BT90,$BN$5:$BN$257,0),50)="Latão",('Densidade do AR'!$S$10*1000000),IF(INDEX($A$5:$BP$257,MATCH(BT90,$BN$5:$BN$257,0),50)="Alumínio",('Densidade do AR'!$S$4*1000000)))))))-(((-('Densidade do AR'!$M$4))+('Densidade do AR'!$T$15*1000000))/('Densidade do AR'!$S$14*1000000))))))</f>
        <v>-</v>
      </c>
      <c r="CQ90" s="739"/>
      <c r="CR90" s="739"/>
      <c r="CS90" s="745"/>
      <c r="CT90" s="91" t="str">
        <f t="shared" si="32"/>
        <v>-</v>
      </c>
      <c r="CU90" s="792"/>
      <c r="CV90" s="793"/>
      <c r="CW90" s="738" t="str">
        <f>IF(CU90="","-",(IF(INDEX($A$5:$BP$257,MATCH(CU90,$BN$5:$BN$257,0),50)="Aço Inoxidável",('Densidade do AR'!$S$8*1000000),IF(INDEX($A$5:$BP$257,MATCH(CU90,$BN$5:$BN$257,0),50)="Ferro Fundido",('Densidade do AR'!$S$12*1000000),IF(INDEX($A$5:$BP$257,MATCH(CU90,$BN$5:$BN$257,0),50)="Latão",('Densidade do AR'!$S$10*1000000),IF(INDEX($A$5:$BP$257,MATCH(CU90,$BN$5:$BN$257,0),50)="Alumínio",('Densidade do AR'!$S$4*1000000)))))))</f>
        <v>-</v>
      </c>
      <c r="CX90" s="739"/>
      <c r="CY90" s="739"/>
      <c r="CZ90" s="740"/>
      <c r="DA90" s="741" t="str">
        <f t="shared" si="33"/>
        <v>-</v>
      </c>
      <c r="DB90" s="742"/>
      <c r="DC90" s="742"/>
      <c r="DD90" s="743"/>
      <c r="DE90" s="741" t="str">
        <f t="shared" si="24"/>
        <v>-</v>
      </c>
      <c r="DF90" s="742"/>
      <c r="DG90" s="742"/>
      <c r="DH90" s="743"/>
      <c r="DI90" s="744" t="str">
        <f t="shared" si="34"/>
        <v>-</v>
      </c>
      <c r="DJ90" s="739"/>
      <c r="DK90" s="739"/>
      <c r="DL90" s="740"/>
      <c r="DM90" s="744" t="str">
        <f t="shared" si="25"/>
        <v>-</v>
      </c>
      <c r="DN90" s="739"/>
      <c r="DO90" s="739"/>
      <c r="DP90" s="740"/>
      <c r="DQ90" s="744" t="str">
        <f>IF(CU90="","-",INDEX($A$5:$BP$257,MATCH(CU90,$BN$5:$BN$257,0),39)*(IF(CU90="","-",(1+(((-('Densidade do AR'!$M$4))+('Densidade do AR'!$T$15*1000000))/(IF(INDEX($A$5:$BP$257,MATCH(CU90,$BN$5:$BN$257,0),50)="Aço Inoxidável",('Densidade do AR'!$S$8*1000000),IF(INDEX($A$5:$BP$257,MATCH(CU90,$BN$5:$BN$257,0),50)="Ferro Fundido",('Densidade do AR'!$S$12*1000000),IF(INDEX($A$5:$BP$257,MATCH(CU90,$BN$5:$BN$257,0),50)="Latão",('Densidade do AR'!$S$10*1000000),IF(INDEX($A$5:$BP$257,MATCH(CU90,$BN$5:$BN$257,0),50)="Alumínio",('Densidade do AR'!$S$4*1000000)))))))-(((-('Densidade do AR'!$M$4))+('Densidade do AR'!$T$15*1000000))/('Densidade do AR'!$S$14*1000000))))))</f>
        <v>-</v>
      </c>
      <c r="DR90" s="739"/>
      <c r="DS90" s="739"/>
      <c r="DT90" s="745"/>
      <c r="DU90" s="91" t="str">
        <f t="shared" si="35"/>
        <v>-</v>
      </c>
      <c r="DV90" s="792"/>
      <c r="DW90" s="793"/>
      <c r="DX90" s="738" t="str">
        <f>IF(DV90="","-",(IF(INDEX($A$5:$BP$257,MATCH(DV90,$BN$5:$BN$257,0),50)="Aço Inoxidável",('Densidade do AR'!$S$8*1000000),IF(INDEX($A$5:$BP$257,MATCH(DV90,$BN$5:$BN$257,0),50)="Ferro Fundido",('Densidade do AR'!$S$12*1000000),IF(INDEX($A$5:$BP$257,MATCH(DV90,$BN$5:$BN$257,0),50)="Latão",('Densidade do AR'!$S$10*1000000),IF(INDEX($A$5:$BP$257,MATCH(DV90,$BN$5:$BN$257,0),50)="Alumínio",('Densidade do AR'!$S$4*1000000)))))))</f>
        <v>-</v>
      </c>
      <c r="DY90" s="739"/>
      <c r="DZ90" s="739"/>
      <c r="EA90" s="740"/>
      <c r="EB90" s="741" t="str">
        <f t="shared" si="36"/>
        <v>-</v>
      </c>
      <c r="EC90" s="742"/>
      <c r="ED90" s="742"/>
      <c r="EE90" s="743"/>
      <c r="EF90" s="741" t="str">
        <f t="shared" si="26"/>
        <v>-</v>
      </c>
      <c r="EG90" s="742"/>
      <c r="EH90" s="742"/>
      <c r="EI90" s="743"/>
      <c r="EJ90" s="744" t="str">
        <f t="shared" si="37"/>
        <v>-</v>
      </c>
      <c r="EK90" s="739"/>
      <c r="EL90" s="739"/>
      <c r="EM90" s="740"/>
      <c r="EN90" s="744" t="str">
        <f t="shared" si="27"/>
        <v>-</v>
      </c>
      <c r="EO90" s="739"/>
      <c r="EP90" s="739"/>
      <c r="EQ90" s="740"/>
      <c r="ER90" s="744" t="str">
        <f>IF(DV90="","-",INDEX($A$5:$BP$257,MATCH(DV90,$BN$5:$BN$257,0),39)*(IF(DV90="","-",(1+(((-('Densidade do AR'!$M$4))+('Densidade do AR'!$T$15*1000000))/(IF(INDEX($A$5:$BP$257,MATCH(DV90,$BN$5:$BN$257,0),50)="Aço Inoxidável",('Densidade do AR'!$S$8*1000000),IF(INDEX($A$5:$BP$257,MATCH(DV90,$BN$5:$BN$257,0),50)="Ferro Fundido",('Densidade do AR'!$S$12*1000000),IF(INDEX($A$5:$BP$257,MATCH(DV90,$BN$5:$BN$257,0),50)="Latão",('Densidade do AR'!$S$10*1000000),IF(INDEX($A$5:$BP$257,MATCH(DV90,$BN$5:$BN$257,0),50)="Alumínio",('Densidade do AR'!$S$4*1000000)))))))-(((-('Densidade do AR'!$M$4))+('Densidade do AR'!$T$15*1000000))/('Densidade do AR'!$S$14*1000000))))))</f>
        <v>-</v>
      </c>
      <c r="ES90" s="739"/>
      <c r="ET90" s="739"/>
      <c r="EU90" s="745"/>
      <c r="EV90" s="91" t="str">
        <f t="shared" si="38"/>
        <v>-</v>
      </c>
      <c r="EW90" s="792"/>
      <c r="EX90" s="793"/>
      <c r="EY90" s="738" t="str">
        <f>IF(EW90="","-",(IF(INDEX($A$5:$BP$257,MATCH(EW90,$BN$5:$BN$257,0),50)="Aço Inoxidável",('Densidade do AR'!$S$8*1000000),IF(INDEX($A$5:$BP$257,MATCH(EW90,$BN$5:$BN$257,0),50)="Ferro Fundido",('Densidade do AR'!$S$12*1000000),IF(INDEX($A$5:$BP$257,MATCH(EW90,$BN$5:$BN$257,0),50)="Latão",('Densidade do AR'!$S$10*1000000),IF(INDEX($A$5:$BP$257,MATCH(EW90,$BN$5:$BN$257,0),50)="Alumínio",('Densidade do AR'!$S$4*1000000)))))))</f>
        <v>-</v>
      </c>
      <c r="EZ90" s="739"/>
      <c r="FA90" s="739"/>
      <c r="FB90" s="740"/>
      <c r="FC90" s="741" t="str">
        <f t="shared" si="39"/>
        <v>-</v>
      </c>
      <c r="FD90" s="742"/>
      <c r="FE90" s="742"/>
      <c r="FF90" s="743"/>
      <c r="FG90" s="741" t="str">
        <f t="shared" si="28"/>
        <v>-</v>
      </c>
      <c r="FH90" s="742"/>
      <c r="FI90" s="742"/>
      <c r="FJ90" s="743"/>
      <c r="FK90" s="744" t="str">
        <f t="shared" si="40"/>
        <v>-</v>
      </c>
      <c r="FL90" s="739"/>
      <c r="FM90" s="739"/>
      <c r="FN90" s="740"/>
      <c r="FO90" s="744" t="str">
        <f t="shared" si="29"/>
        <v>-</v>
      </c>
      <c r="FP90" s="739"/>
      <c r="FQ90" s="739"/>
      <c r="FR90" s="740"/>
      <c r="FS90" s="744" t="str">
        <f>IF(EW90="","-",INDEX($A$5:$BP$257,MATCH(EW90,$BN$5:$BN$257,0),39)*(IF(EW90="","-",(1+(((-('Densidade do AR'!$M$4))+('Densidade do AR'!$T$15*1000000))/(IF(INDEX($A$5:$BP$257,MATCH(EW90,$BN$5:$BN$257,0),50)="Aço Inoxidável",('Densidade do AR'!$S$8*1000000),IF(INDEX($A$5:$BP$257,MATCH(EW90,$BN$5:$BN$257,0),50)="Ferro Fundido",('Densidade do AR'!$S$12*1000000),IF(INDEX($A$5:$BP$257,MATCH(EW90,$BN$5:$BN$257,0),50)="Latão",('Densidade do AR'!$S$10*1000000),IF(INDEX($A$5:$BP$257,MATCH(EW90,$BN$5:$BN$257,0),50)="Alumínio",('Densidade do AR'!$S$4*1000000)))))))-(((-('Densidade do AR'!$M$4))+('Densidade do AR'!$T$15*1000000))/('Densidade do AR'!$S$14*1000000))))))</f>
        <v>-</v>
      </c>
      <c r="FT90" s="739"/>
      <c r="FU90" s="739"/>
      <c r="FV90" s="745"/>
      <c r="FW90" s="91" t="str">
        <f t="shared" si="41"/>
        <v>-</v>
      </c>
      <c r="FX90" s="135"/>
    </row>
    <row r="91" spans="1:180" ht="12.75" customHeight="1" x14ac:dyDescent="0.2">
      <c r="A91" s="717">
        <v>87</v>
      </c>
      <c r="B91" s="713"/>
      <c r="C91" s="708"/>
      <c r="D91" s="709"/>
      <c r="E91" s="709"/>
      <c r="F91" s="709"/>
      <c r="G91" s="710"/>
      <c r="H91" s="711"/>
      <c r="I91" s="712"/>
      <c r="J91" s="712"/>
      <c r="K91" s="713"/>
      <c r="L91" s="708"/>
      <c r="M91" s="709"/>
      <c r="N91" s="709"/>
      <c r="O91" s="709"/>
      <c r="P91" s="708"/>
      <c r="Q91" s="709"/>
      <c r="R91" s="709"/>
      <c r="S91" s="709"/>
      <c r="T91" s="710"/>
      <c r="U91" s="714"/>
      <c r="V91" s="715"/>
      <c r="W91" s="715"/>
      <c r="X91" s="715"/>
      <c r="Y91" s="715"/>
      <c r="Z91" s="715"/>
      <c r="AA91" s="716"/>
      <c r="AB91" s="850"/>
      <c r="AC91" s="851"/>
      <c r="AD91" s="851"/>
      <c r="AE91" s="851"/>
      <c r="AF91" s="851"/>
      <c r="AG91" s="851"/>
      <c r="AH91" s="851"/>
      <c r="AI91" s="851"/>
      <c r="AJ91" s="851"/>
      <c r="AK91" s="851"/>
      <c r="AL91" s="852"/>
      <c r="AM91" s="917"/>
      <c r="AN91" s="712"/>
      <c r="AO91" s="712"/>
      <c r="AP91" s="712"/>
      <c r="AQ91" s="712"/>
      <c r="AR91" s="712"/>
      <c r="AS91" s="713"/>
      <c r="AT91" s="917"/>
      <c r="AU91" s="712"/>
      <c r="AV91" s="712"/>
      <c r="AW91" s="713"/>
      <c r="AX91" s="917"/>
      <c r="AY91" s="712"/>
      <c r="AZ91" s="712"/>
      <c r="BA91" s="712"/>
      <c r="BB91" s="712"/>
      <c r="BC91" s="713"/>
      <c r="BD91" s="917"/>
      <c r="BE91" s="712"/>
      <c r="BF91" s="712"/>
      <c r="BG91" s="713"/>
      <c r="BH91" s="917"/>
      <c r="BI91" s="994"/>
      <c r="BJ91" s="994"/>
      <c r="BK91" s="994"/>
      <c r="BL91" s="995"/>
      <c r="BN91" s="878"/>
      <c r="BO91" s="879"/>
      <c r="BP91" s="880"/>
      <c r="BT91" s="794"/>
      <c r="BU91" s="795"/>
      <c r="BV91" s="784" t="str">
        <f>IF(BT91="","-",(IF(INDEX($A$5:$BP$257,MATCH(BT91,$BN$5:$BN$257,0),50)="Aço Inoxidável",('Densidade do AR'!$S$8*1000000),IF(INDEX($A$5:$BP$257,MATCH(BT91,$BN$5:$BN$257,0),50)="Ferro Fundido",('Densidade do AR'!$S$12*1000000),IF(INDEX($A$5:$BP$257,MATCH(BT91,$BN$5:$BN$257,0),50)="Latão",('Densidade do AR'!$S$10*1000000),IF(INDEX($A$5:$BP$257,MATCH(BT91,$BN$5:$BN$257,0),50)="Alumínio",('Densidade do AR'!$S$4*1000000)))))))</f>
        <v>-</v>
      </c>
      <c r="BW91" s="785"/>
      <c r="BX91" s="785"/>
      <c r="BY91" s="786"/>
      <c r="BZ91" s="787" t="str">
        <f t="shared" si="30"/>
        <v>-</v>
      </c>
      <c r="CA91" s="788"/>
      <c r="CB91" s="788"/>
      <c r="CC91" s="789"/>
      <c r="CD91" s="787" t="str">
        <f t="shared" si="22"/>
        <v>-</v>
      </c>
      <c r="CE91" s="788"/>
      <c r="CF91" s="788"/>
      <c r="CG91" s="789"/>
      <c r="CH91" s="790" t="str">
        <f t="shared" si="31"/>
        <v>-</v>
      </c>
      <c r="CI91" s="785"/>
      <c r="CJ91" s="785"/>
      <c r="CK91" s="786"/>
      <c r="CL91" s="790" t="str">
        <f t="shared" si="23"/>
        <v>-</v>
      </c>
      <c r="CM91" s="785"/>
      <c r="CN91" s="785"/>
      <c r="CO91" s="786"/>
      <c r="CP91" s="790" t="str">
        <f>IF(BT91="","-",INDEX($A$5:$BP$257,MATCH(BT91,$BN$5:$BN$257,0),39)*(IF(BT91="","-",(1+(((-('Densidade do AR'!$M$4))+('Densidade do AR'!$T$15*1000000))/(IF(INDEX($A$5:$BP$257,MATCH(BT91,$BN$5:$BN$257,0),50)="Aço Inoxidável",('Densidade do AR'!$S$8*1000000),IF(INDEX($A$5:$BP$257,MATCH(BT91,$BN$5:$BN$257,0),50)="Ferro Fundido",('Densidade do AR'!$S$12*1000000),IF(INDEX($A$5:$BP$257,MATCH(BT91,$BN$5:$BN$257,0),50)="Latão",('Densidade do AR'!$S$10*1000000),IF(INDEX($A$5:$BP$257,MATCH(BT91,$BN$5:$BN$257,0),50)="Alumínio",('Densidade do AR'!$S$4*1000000)))))))-(((-('Densidade do AR'!$M$4))+('Densidade do AR'!$T$15*1000000))/('Densidade do AR'!$S$14*1000000))))))</f>
        <v>-</v>
      </c>
      <c r="CQ91" s="785"/>
      <c r="CR91" s="785"/>
      <c r="CS91" s="791"/>
      <c r="CT91" s="91" t="str">
        <f t="shared" si="32"/>
        <v>-</v>
      </c>
      <c r="CU91" s="794"/>
      <c r="CV91" s="795"/>
      <c r="CW91" s="784" t="str">
        <f>IF(CU91="","-",(IF(INDEX($A$5:$BP$257,MATCH(CU91,$BN$5:$BN$257,0),50)="Aço Inoxidável",('Densidade do AR'!$S$8*1000000),IF(INDEX($A$5:$BP$257,MATCH(CU91,$BN$5:$BN$257,0),50)="Ferro Fundido",('Densidade do AR'!$S$12*1000000),IF(INDEX($A$5:$BP$257,MATCH(CU91,$BN$5:$BN$257,0),50)="Latão",('Densidade do AR'!$S$10*1000000),IF(INDEX($A$5:$BP$257,MATCH(CU91,$BN$5:$BN$257,0),50)="Alumínio",('Densidade do AR'!$S$4*1000000)))))))</f>
        <v>-</v>
      </c>
      <c r="CX91" s="785"/>
      <c r="CY91" s="785"/>
      <c r="CZ91" s="786"/>
      <c r="DA91" s="787" t="str">
        <f t="shared" si="33"/>
        <v>-</v>
      </c>
      <c r="DB91" s="788"/>
      <c r="DC91" s="788"/>
      <c r="DD91" s="789"/>
      <c r="DE91" s="787" t="str">
        <f t="shared" si="24"/>
        <v>-</v>
      </c>
      <c r="DF91" s="788"/>
      <c r="DG91" s="788"/>
      <c r="DH91" s="789"/>
      <c r="DI91" s="790" t="str">
        <f t="shared" si="34"/>
        <v>-</v>
      </c>
      <c r="DJ91" s="785"/>
      <c r="DK91" s="785"/>
      <c r="DL91" s="786"/>
      <c r="DM91" s="790" t="str">
        <f t="shared" si="25"/>
        <v>-</v>
      </c>
      <c r="DN91" s="785"/>
      <c r="DO91" s="785"/>
      <c r="DP91" s="786"/>
      <c r="DQ91" s="790" t="str">
        <f>IF(CU91="","-",INDEX($A$5:$BP$257,MATCH(CU91,$BN$5:$BN$257,0),39)*(IF(CU91="","-",(1+(((-('Densidade do AR'!$M$4))+('Densidade do AR'!$T$15*1000000))/(IF(INDEX($A$5:$BP$257,MATCH(CU91,$BN$5:$BN$257,0),50)="Aço Inoxidável",('Densidade do AR'!$S$8*1000000),IF(INDEX($A$5:$BP$257,MATCH(CU91,$BN$5:$BN$257,0),50)="Ferro Fundido",('Densidade do AR'!$S$12*1000000),IF(INDEX($A$5:$BP$257,MATCH(CU91,$BN$5:$BN$257,0),50)="Latão",('Densidade do AR'!$S$10*1000000),IF(INDEX($A$5:$BP$257,MATCH(CU91,$BN$5:$BN$257,0),50)="Alumínio",('Densidade do AR'!$S$4*1000000)))))))-(((-('Densidade do AR'!$M$4))+('Densidade do AR'!$T$15*1000000))/('Densidade do AR'!$S$14*1000000))))))</f>
        <v>-</v>
      </c>
      <c r="DR91" s="785"/>
      <c r="DS91" s="785"/>
      <c r="DT91" s="791"/>
      <c r="DU91" s="91" t="str">
        <f t="shared" si="35"/>
        <v>-</v>
      </c>
      <c r="DV91" s="794"/>
      <c r="DW91" s="795"/>
      <c r="DX91" s="784" t="str">
        <f>IF(DV91="","-",(IF(INDEX($A$5:$BP$257,MATCH(DV91,$BN$5:$BN$257,0),50)="Aço Inoxidável",('Densidade do AR'!$S$8*1000000),IF(INDEX($A$5:$BP$257,MATCH(DV91,$BN$5:$BN$257,0),50)="Ferro Fundido",('Densidade do AR'!$S$12*1000000),IF(INDEX($A$5:$BP$257,MATCH(DV91,$BN$5:$BN$257,0),50)="Latão",('Densidade do AR'!$S$10*1000000),IF(INDEX($A$5:$BP$257,MATCH(DV91,$BN$5:$BN$257,0),50)="Alumínio",('Densidade do AR'!$S$4*1000000)))))))</f>
        <v>-</v>
      </c>
      <c r="DY91" s="785"/>
      <c r="DZ91" s="785"/>
      <c r="EA91" s="786"/>
      <c r="EB91" s="787" t="str">
        <f t="shared" si="36"/>
        <v>-</v>
      </c>
      <c r="EC91" s="788"/>
      <c r="ED91" s="788"/>
      <c r="EE91" s="789"/>
      <c r="EF91" s="787" t="str">
        <f t="shared" si="26"/>
        <v>-</v>
      </c>
      <c r="EG91" s="788"/>
      <c r="EH91" s="788"/>
      <c r="EI91" s="789"/>
      <c r="EJ91" s="790" t="str">
        <f t="shared" si="37"/>
        <v>-</v>
      </c>
      <c r="EK91" s="785"/>
      <c r="EL91" s="785"/>
      <c r="EM91" s="786"/>
      <c r="EN91" s="790" t="str">
        <f t="shared" si="27"/>
        <v>-</v>
      </c>
      <c r="EO91" s="785"/>
      <c r="EP91" s="785"/>
      <c r="EQ91" s="786"/>
      <c r="ER91" s="790" t="str">
        <f>IF(DV91="","-",INDEX($A$5:$BP$257,MATCH(DV91,$BN$5:$BN$257,0),39)*(IF(DV91="","-",(1+(((-('Densidade do AR'!$M$4))+('Densidade do AR'!$T$15*1000000))/(IF(INDEX($A$5:$BP$257,MATCH(DV91,$BN$5:$BN$257,0),50)="Aço Inoxidável",('Densidade do AR'!$S$8*1000000),IF(INDEX($A$5:$BP$257,MATCH(DV91,$BN$5:$BN$257,0),50)="Ferro Fundido",('Densidade do AR'!$S$12*1000000),IF(INDEX($A$5:$BP$257,MATCH(DV91,$BN$5:$BN$257,0),50)="Latão",('Densidade do AR'!$S$10*1000000),IF(INDEX($A$5:$BP$257,MATCH(DV91,$BN$5:$BN$257,0),50)="Alumínio",('Densidade do AR'!$S$4*1000000)))))))-(((-('Densidade do AR'!$M$4))+('Densidade do AR'!$T$15*1000000))/('Densidade do AR'!$S$14*1000000))))))</f>
        <v>-</v>
      </c>
      <c r="ES91" s="785"/>
      <c r="ET91" s="785"/>
      <c r="EU91" s="791"/>
      <c r="EV91" s="91" t="str">
        <f t="shared" si="38"/>
        <v>-</v>
      </c>
      <c r="EW91" s="794"/>
      <c r="EX91" s="795"/>
      <c r="EY91" s="784" t="str">
        <f>IF(EW91="","-",(IF(INDEX($A$5:$BP$257,MATCH(EW91,$BN$5:$BN$257,0),50)="Aço Inoxidável",('Densidade do AR'!$S$8*1000000),IF(INDEX($A$5:$BP$257,MATCH(EW91,$BN$5:$BN$257,0),50)="Ferro Fundido",('Densidade do AR'!$S$12*1000000),IF(INDEX($A$5:$BP$257,MATCH(EW91,$BN$5:$BN$257,0),50)="Latão",('Densidade do AR'!$S$10*1000000),IF(INDEX($A$5:$BP$257,MATCH(EW91,$BN$5:$BN$257,0),50)="Alumínio",('Densidade do AR'!$S$4*1000000)))))))</f>
        <v>-</v>
      </c>
      <c r="EZ91" s="785"/>
      <c r="FA91" s="785"/>
      <c r="FB91" s="786"/>
      <c r="FC91" s="787" t="str">
        <f t="shared" si="39"/>
        <v>-</v>
      </c>
      <c r="FD91" s="788"/>
      <c r="FE91" s="788"/>
      <c r="FF91" s="789"/>
      <c r="FG91" s="787" t="str">
        <f t="shared" si="28"/>
        <v>-</v>
      </c>
      <c r="FH91" s="788"/>
      <c r="FI91" s="788"/>
      <c r="FJ91" s="789"/>
      <c r="FK91" s="790" t="str">
        <f t="shared" si="40"/>
        <v>-</v>
      </c>
      <c r="FL91" s="785"/>
      <c r="FM91" s="785"/>
      <c r="FN91" s="786"/>
      <c r="FO91" s="790" t="str">
        <f t="shared" si="29"/>
        <v>-</v>
      </c>
      <c r="FP91" s="785"/>
      <c r="FQ91" s="785"/>
      <c r="FR91" s="786"/>
      <c r="FS91" s="790" t="str">
        <f>IF(EW91="","-",INDEX($A$5:$BP$257,MATCH(EW91,$BN$5:$BN$257,0),39)*(IF(EW91="","-",(1+(((-('Densidade do AR'!$M$4))+('Densidade do AR'!$T$15*1000000))/(IF(INDEX($A$5:$BP$257,MATCH(EW91,$BN$5:$BN$257,0),50)="Aço Inoxidável",('Densidade do AR'!$S$8*1000000),IF(INDEX($A$5:$BP$257,MATCH(EW91,$BN$5:$BN$257,0),50)="Ferro Fundido",('Densidade do AR'!$S$12*1000000),IF(INDEX($A$5:$BP$257,MATCH(EW91,$BN$5:$BN$257,0),50)="Latão",('Densidade do AR'!$S$10*1000000),IF(INDEX($A$5:$BP$257,MATCH(EW91,$BN$5:$BN$257,0),50)="Alumínio",('Densidade do AR'!$S$4*1000000)))))))-(((-('Densidade do AR'!$M$4))+('Densidade do AR'!$T$15*1000000))/('Densidade do AR'!$S$14*1000000))))))</f>
        <v>-</v>
      </c>
      <c r="FT91" s="785"/>
      <c r="FU91" s="785"/>
      <c r="FV91" s="791"/>
      <c r="FW91" s="91" t="str">
        <f t="shared" si="41"/>
        <v>-</v>
      </c>
      <c r="FX91" s="135"/>
    </row>
    <row r="92" spans="1:180" ht="12.75" customHeight="1" x14ac:dyDescent="0.2">
      <c r="A92" s="718">
        <v>88</v>
      </c>
      <c r="B92" s="713"/>
      <c r="C92" s="719"/>
      <c r="D92" s="709"/>
      <c r="E92" s="709"/>
      <c r="F92" s="709"/>
      <c r="G92" s="710"/>
      <c r="H92" s="720"/>
      <c r="I92" s="712"/>
      <c r="J92" s="712"/>
      <c r="K92" s="713"/>
      <c r="L92" s="719"/>
      <c r="M92" s="709"/>
      <c r="N92" s="709"/>
      <c r="O92" s="709"/>
      <c r="P92" s="719"/>
      <c r="Q92" s="709"/>
      <c r="R92" s="709"/>
      <c r="S92" s="709"/>
      <c r="T92" s="710"/>
      <c r="U92" s="721"/>
      <c r="V92" s="722"/>
      <c r="W92" s="722"/>
      <c r="X92" s="722"/>
      <c r="Y92" s="722"/>
      <c r="Z92" s="722"/>
      <c r="AA92" s="723"/>
      <c r="AB92" s="853"/>
      <c r="AC92" s="854"/>
      <c r="AD92" s="854"/>
      <c r="AE92" s="854"/>
      <c r="AF92" s="854"/>
      <c r="AG92" s="854"/>
      <c r="AH92" s="854"/>
      <c r="AI92" s="854"/>
      <c r="AJ92" s="854"/>
      <c r="AK92" s="854"/>
      <c r="AL92" s="855"/>
      <c r="AM92" s="909"/>
      <c r="AN92" s="712"/>
      <c r="AO92" s="712"/>
      <c r="AP92" s="712"/>
      <c r="AQ92" s="712"/>
      <c r="AR92" s="712"/>
      <c r="AS92" s="713"/>
      <c r="AT92" s="909"/>
      <c r="AU92" s="712"/>
      <c r="AV92" s="712"/>
      <c r="AW92" s="713"/>
      <c r="AX92" s="908"/>
      <c r="AY92" s="712"/>
      <c r="AZ92" s="712"/>
      <c r="BA92" s="712"/>
      <c r="BB92" s="712"/>
      <c r="BC92" s="713"/>
      <c r="BD92" s="909"/>
      <c r="BE92" s="712"/>
      <c r="BF92" s="712"/>
      <c r="BG92" s="713"/>
      <c r="BH92" s="909"/>
      <c r="BI92" s="994"/>
      <c r="BJ92" s="994"/>
      <c r="BK92" s="994"/>
      <c r="BL92" s="995"/>
      <c r="BN92" s="881"/>
      <c r="BO92" s="882"/>
      <c r="BP92" s="883"/>
      <c r="BT92" s="792"/>
      <c r="BU92" s="793"/>
      <c r="BV92" s="738" t="str">
        <f>IF(BT92="","-",(IF(INDEX($A$5:$BP$257,MATCH(BT92,$BN$5:$BN$257,0),50)="Aço Inoxidável",('Densidade do AR'!$S$8*1000000),IF(INDEX($A$5:$BP$257,MATCH(BT92,$BN$5:$BN$257,0),50)="Ferro Fundido",('Densidade do AR'!$S$12*1000000),IF(INDEX($A$5:$BP$257,MATCH(BT92,$BN$5:$BN$257,0),50)="Latão",('Densidade do AR'!$S$10*1000000),IF(INDEX($A$5:$BP$257,MATCH(BT92,$BN$5:$BN$257,0),50)="Alumínio",('Densidade do AR'!$S$4*1000000)))))))</f>
        <v>-</v>
      </c>
      <c r="BW92" s="739"/>
      <c r="BX92" s="739"/>
      <c r="BY92" s="740"/>
      <c r="BZ92" s="741" t="str">
        <f t="shared" si="30"/>
        <v>-</v>
      </c>
      <c r="CA92" s="742"/>
      <c r="CB92" s="742"/>
      <c r="CC92" s="743"/>
      <c r="CD92" s="741" t="str">
        <f t="shared" si="22"/>
        <v>-</v>
      </c>
      <c r="CE92" s="742"/>
      <c r="CF92" s="742"/>
      <c r="CG92" s="743"/>
      <c r="CH92" s="744" t="str">
        <f t="shared" si="31"/>
        <v>-</v>
      </c>
      <c r="CI92" s="739"/>
      <c r="CJ92" s="739"/>
      <c r="CK92" s="740"/>
      <c r="CL92" s="744" t="str">
        <f t="shared" si="23"/>
        <v>-</v>
      </c>
      <c r="CM92" s="739"/>
      <c r="CN92" s="739"/>
      <c r="CO92" s="740"/>
      <c r="CP92" s="744" t="str">
        <f>IF(BT92="","-",INDEX($A$5:$BP$257,MATCH(BT92,$BN$5:$BN$257,0),39)*(IF(BT92="","-",(1+(((-('Densidade do AR'!$M$4))+('Densidade do AR'!$T$15*1000000))/(IF(INDEX($A$5:$BP$257,MATCH(BT92,$BN$5:$BN$257,0),50)="Aço Inoxidável",('Densidade do AR'!$S$8*1000000),IF(INDEX($A$5:$BP$257,MATCH(BT92,$BN$5:$BN$257,0),50)="Ferro Fundido",('Densidade do AR'!$S$12*1000000),IF(INDEX($A$5:$BP$257,MATCH(BT92,$BN$5:$BN$257,0),50)="Latão",('Densidade do AR'!$S$10*1000000),IF(INDEX($A$5:$BP$257,MATCH(BT92,$BN$5:$BN$257,0),50)="Alumínio",('Densidade do AR'!$S$4*1000000)))))))-(((-('Densidade do AR'!$M$4))+('Densidade do AR'!$T$15*1000000))/('Densidade do AR'!$S$14*1000000))))))</f>
        <v>-</v>
      </c>
      <c r="CQ92" s="739"/>
      <c r="CR92" s="739"/>
      <c r="CS92" s="745"/>
      <c r="CT92" s="91" t="str">
        <f t="shared" si="32"/>
        <v>-</v>
      </c>
      <c r="CU92" s="792"/>
      <c r="CV92" s="793"/>
      <c r="CW92" s="738" t="str">
        <f>IF(CU92="","-",(IF(INDEX($A$5:$BP$257,MATCH(CU92,$BN$5:$BN$257,0),50)="Aço Inoxidável",('Densidade do AR'!$S$8*1000000),IF(INDEX($A$5:$BP$257,MATCH(CU92,$BN$5:$BN$257,0),50)="Ferro Fundido",('Densidade do AR'!$S$12*1000000),IF(INDEX($A$5:$BP$257,MATCH(CU92,$BN$5:$BN$257,0),50)="Latão",('Densidade do AR'!$S$10*1000000),IF(INDEX($A$5:$BP$257,MATCH(CU92,$BN$5:$BN$257,0),50)="Alumínio",('Densidade do AR'!$S$4*1000000)))))))</f>
        <v>-</v>
      </c>
      <c r="CX92" s="739"/>
      <c r="CY92" s="739"/>
      <c r="CZ92" s="740"/>
      <c r="DA92" s="741" t="str">
        <f t="shared" si="33"/>
        <v>-</v>
      </c>
      <c r="DB92" s="742"/>
      <c r="DC92" s="742"/>
      <c r="DD92" s="743"/>
      <c r="DE92" s="741" t="str">
        <f t="shared" si="24"/>
        <v>-</v>
      </c>
      <c r="DF92" s="742"/>
      <c r="DG92" s="742"/>
      <c r="DH92" s="743"/>
      <c r="DI92" s="744" t="str">
        <f t="shared" si="34"/>
        <v>-</v>
      </c>
      <c r="DJ92" s="739"/>
      <c r="DK92" s="739"/>
      <c r="DL92" s="740"/>
      <c r="DM92" s="744" t="str">
        <f t="shared" si="25"/>
        <v>-</v>
      </c>
      <c r="DN92" s="739"/>
      <c r="DO92" s="739"/>
      <c r="DP92" s="740"/>
      <c r="DQ92" s="744" t="str">
        <f>IF(CU92="","-",INDEX($A$5:$BP$257,MATCH(CU92,$BN$5:$BN$257,0),39)*(IF(CU92="","-",(1+(((-('Densidade do AR'!$M$4))+('Densidade do AR'!$T$15*1000000))/(IF(INDEX($A$5:$BP$257,MATCH(CU92,$BN$5:$BN$257,0),50)="Aço Inoxidável",('Densidade do AR'!$S$8*1000000),IF(INDEX($A$5:$BP$257,MATCH(CU92,$BN$5:$BN$257,0),50)="Ferro Fundido",('Densidade do AR'!$S$12*1000000),IF(INDEX($A$5:$BP$257,MATCH(CU92,$BN$5:$BN$257,0),50)="Latão",('Densidade do AR'!$S$10*1000000),IF(INDEX($A$5:$BP$257,MATCH(CU92,$BN$5:$BN$257,0),50)="Alumínio",('Densidade do AR'!$S$4*1000000)))))))-(((-('Densidade do AR'!$M$4))+('Densidade do AR'!$T$15*1000000))/('Densidade do AR'!$S$14*1000000))))))</f>
        <v>-</v>
      </c>
      <c r="DR92" s="739"/>
      <c r="DS92" s="739"/>
      <c r="DT92" s="745"/>
      <c r="DU92" s="91" t="str">
        <f t="shared" si="35"/>
        <v>-</v>
      </c>
      <c r="DV92" s="792"/>
      <c r="DW92" s="793"/>
      <c r="DX92" s="738" t="str">
        <f>IF(DV92="","-",(IF(INDEX($A$5:$BP$257,MATCH(DV92,$BN$5:$BN$257,0),50)="Aço Inoxidável",('Densidade do AR'!$S$8*1000000),IF(INDEX($A$5:$BP$257,MATCH(DV92,$BN$5:$BN$257,0),50)="Ferro Fundido",('Densidade do AR'!$S$12*1000000),IF(INDEX($A$5:$BP$257,MATCH(DV92,$BN$5:$BN$257,0),50)="Latão",('Densidade do AR'!$S$10*1000000),IF(INDEX($A$5:$BP$257,MATCH(DV92,$BN$5:$BN$257,0),50)="Alumínio",('Densidade do AR'!$S$4*1000000)))))))</f>
        <v>-</v>
      </c>
      <c r="DY92" s="739"/>
      <c r="DZ92" s="739"/>
      <c r="EA92" s="740"/>
      <c r="EB92" s="741" t="str">
        <f t="shared" si="36"/>
        <v>-</v>
      </c>
      <c r="EC92" s="742"/>
      <c r="ED92" s="742"/>
      <c r="EE92" s="743"/>
      <c r="EF92" s="741" t="str">
        <f t="shared" si="26"/>
        <v>-</v>
      </c>
      <c r="EG92" s="742"/>
      <c r="EH92" s="742"/>
      <c r="EI92" s="743"/>
      <c r="EJ92" s="744" t="str">
        <f t="shared" si="37"/>
        <v>-</v>
      </c>
      <c r="EK92" s="739"/>
      <c r="EL92" s="739"/>
      <c r="EM92" s="740"/>
      <c r="EN92" s="744" t="str">
        <f t="shared" si="27"/>
        <v>-</v>
      </c>
      <c r="EO92" s="739"/>
      <c r="EP92" s="739"/>
      <c r="EQ92" s="740"/>
      <c r="ER92" s="744" t="str">
        <f>IF(DV92="","-",INDEX($A$5:$BP$257,MATCH(DV92,$BN$5:$BN$257,0),39)*(IF(DV92="","-",(1+(((-('Densidade do AR'!$M$4))+('Densidade do AR'!$T$15*1000000))/(IF(INDEX($A$5:$BP$257,MATCH(DV92,$BN$5:$BN$257,0),50)="Aço Inoxidável",('Densidade do AR'!$S$8*1000000),IF(INDEX($A$5:$BP$257,MATCH(DV92,$BN$5:$BN$257,0),50)="Ferro Fundido",('Densidade do AR'!$S$12*1000000),IF(INDEX($A$5:$BP$257,MATCH(DV92,$BN$5:$BN$257,0),50)="Latão",('Densidade do AR'!$S$10*1000000),IF(INDEX($A$5:$BP$257,MATCH(DV92,$BN$5:$BN$257,0),50)="Alumínio",('Densidade do AR'!$S$4*1000000)))))))-(((-('Densidade do AR'!$M$4))+('Densidade do AR'!$T$15*1000000))/('Densidade do AR'!$S$14*1000000))))))</f>
        <v>-</v>
      </c>
      <c r="ES92" s="739"/>
      <c r="ET92" s="739"/>
      <c r="EU92" s="745"/>
      <c r="EV92" s="91" t="str">
        <f t="shared" si="38"/>
        <v>-</v>
      </c>
      <c r="EW92" s="792"/>
      <c r="EX92" s="793"/>
      <c r="EY92" s="738" t="str">
        <f>IF(EW92="","-",(IF(INDEX($A$5:$BP$257,MATCH(EW92,$BN$5:$BN$257,0),50)="Aço Inoxidável",('Densidade do AR'!$S$8*1000000),IF(INDEX($A$5:$BP$257,MATCH(EW92,$BN$5:$BN$257,0),50)="Ferro Fundido",('Densidade do AR'!$S$12*1000000),IF(INDEX($A$5:$BP$257,MATCH(EW92,$BN$5:$BN$257,0),50)="Latão",('Densidade do AR'!$S$10*1000000),IF(INDEX($A$5:$BP$257,MATCH(EW92,$BN$5:$BN$257,0),50)="Alumínio",('Densidade do AR'!$S$4*1000000)))))))</f>
        <v>-</v>
      </c>
      <c r="EZ92" s="739"/>
      <c r="FA92" s="739"/>
      <c r="FB92" s="740"/>
      <c r="FC92" s="741" t="str">
        <f t="shared" si="39"/>
        <v>-</v>
      </c>
      <c r="FD92" s="742"/>
      <c r="FE92" s="742"/>
      <c r="FF92" s="743"/>
      <c r="FG92" s="741" t="str">
        <f t="shared" si="28"/>
        <v>-</v>
      </c>
      <c r="FH92" s="742"/>
      <c r="FI92" s="742"/>
      <c r="FJ92" s="743"/>
      <c r="FK92" s="744" t="str">
        <f t="shared" si="40"/>
        <v>-</v>
      </c>
      <c r="FL92" s="739"/>
      <c r="FM92" s="739"/>
      <c r="FN92" s="740"/>
      <c r="FO92" s="744" t="str">
        <f t="shared" si="29"/>
        <v>-</v>
      </c>
      <c r="FP92" s="739"/>
      <c r="FQ92" s="739"/>
      <c r="FR92" s="740"/>
      <c r="FS92" s="744" t="str">
        <f>IF(EW92="","-",INDEX($A$5:$BP$257,MATCH(EW92,$BN$5:$BN$257,0),39)*(IF(EW92="","-",(1+(((-('Densidade do AR'!$M$4))+('Densidade do AR'!$T$15*1000000))/(IF(INDEX($A$5:$BP$257,MATCH(EW92,$BN$5:$BN$257,0),50)="Aço Inoxidável",('Densidade do AR'!$S$8*1000000),IF(INDEX($A$5:$BP$257,MATCH(EW92,$BN$5:$BN$257,0),50)="Ferro Fundido",('Densidade do AR'!$S$12*1000000),IF(INDEX($A$5:$BP$257,MATCH(EW92,$BN$5:$BN$257,0),50)="Latão",('Densidade do AR'!$S$10*1000000),IF(INDEX($A$5:$BP$257,MATCH(EW92,$BN$5:$BN$257,0),50)="Alumínio",('Densidade do AR'!$S$4*1000000)))))))-(((-('Densidade do AR'!$M$4))+('Densidade do AR'!$T$15*1000000))/('Densidade do AR'!$S$14*1000000))))))</f>
        <v>-</v>
      </c>
      <c r="FT92" s="739"/>
      <c r="FU92" s="739"/>
      <c r="FV92" s="745"/>
      <c r="FW92" s="91" t="str">
        <f t="shared" si="41"/>
        <v>-</v>
      </c>
      <c r="FX92" s="135"/>
    </row>
    <row r="93" spans="1:180" ht="12.75" customHeight="1" x14ac:dyDescent="0.2">
      <c r="A93" s="717">
        <v>89</v>
      </c>
      <c r="B93" s="713"/>
      <c r="C93" s="708"/>
      <c r="D93" s="709"/>
      <c r="E93" s="709"/>
      <c r="F93" s="709"/>
      <c r="G93" s="710"/>
      <c r="H93" s="711"/>
      <c r="I93" s="712"/>
      <c r="J93" s="712"/>
      <c r="K93" s="713"/>
      <c r="L93" s="708"/>
      <c r="M93" s="709"/>
      <c r="N93" s="709"/>
      <c r="O93" s="709"/>
      <c r="P93" s="708"/>
      <c r="Q93" s="709"/>
      <c r="R93" s="709"/>
      <c r="S93" s="709"/>
      <c r="T93" s="710"/>
      <c r="U93" s="714"/>
      <c r="V93" s="715"/>
      <c r="W93" s="715"/>
      <c r="X93" s="715"/>
      <c r="Y93" s="715"/>
      <c r="Z93" s="715"/>
      <c r="AA93" s="716"/>
      <c r="AB93" s="850"/>
      <c r="AC93" s="851"/>
      <c r="AD93" s="851"/>
      <c r="AE93" s="851"/>
      <c r="AF93" s="851"/>
      <c r="AG93" s="851"/>
      <c r="AH93" s="851"/>
      <c r="AI93" s="851"/>
      <c r="AJ93" s="851"/>
      <c r="AK93" s="851"/>
      <c r="AL93" s="852"/>
      <c r="AM93" s="917"/>
      <c r="AN93" s="712"/>
      <c r="AO93" s="712"/>
      <c r="AP93" s="712"/>
      <c r="AQ93" s="712"/>
      <c r="AR93" s="712"/>
      <c r="AS93" s="713"/>
      <c r="AT93" s="917"/>
      <c r="AU93" s="712"/>
      <c r="AV93" s="712"/>
      <c r="AW93" s="713"/>
      <c r="AX93" s="917"/>
      <c r="AY93" s="712"/>
      <c r="AZ93" s="712"/>
      <c r="BA93" s="712"/>
      <c r="BB93" s="712"/>
      <c r="BC93" s="713"/>
      <c r="BD93" s="917"/>
      <c r="BE93" s="712"/>
      <c r="BF93" s="712"/>
      <c r="BG93" s="713"/>
      <c r="BH93" s="917"/>
      <c r="BI93" s="994"/>
      <c r="BJ93" s="994"/>
      <c r="BK93" s="994"/>
      <c r="BL93" s="995"/>
      <c r="BN93" s="878"/>
      <c r="BO93" s="879"/>
      <c r="BP93" s="880"/>
      <c r="BT93" s="794"/>
      <c r="BU93" s="795"/>
      <c r="BV93" s="784" t="str">
        <f>IF(BT93="","-",(IF(INDEX($A$5:$BP$257,MATCH(BT93,$BN$5:$BN$257,0),50)="Aço Inoxidável",('Densidade do AR'!$S$8*1000000),IF(INDEX($A$5:$BP$257,MATCH(BT93,$BN$5:$BN$257,0),50)="Ferro Fundido",('Densidade do AR'!$S$12*1000000),IF(INDEX($A$5:$BP$257,MATCH(BT93,$BN$5:$BN$257,0),50)="Latão",('Densidade do AR'!$S$10*1000000),IF(INDEX($A$5:$BP$257,MATCH(BT93,$BN$5:$BN$257,0),50)="Alumínio",('Densidade do AR'!$S$4*1000000)))))))</f>
        <v>-</v>
      </c>
      <c r="BW93" s="785"/>
      <c r="BX93" s="785"/>
      <c r="BY93" s="786"/>
      <c r="BZ93" s="787" t="str">
        <f t="shared" si="30"/>
        <v>-</v>
      </c>
      <c r="CA93" s="788"/>
      <c r="CB93" s="788"/>
      <c r="CC93" s="789"/>
      <c r="CD93" s="787" t="str">
        <f t="shared" si="22"/>
        <v>-</v>
      </c>
      <c r="CE93" s="788"/>
      <c r="CF93" s="788"/>
      <c r="CG93" s="789"/>
      <c r="CH93" s="790" t="str">
        <f t="shared" si="31"/>
        <v>-</v>
      </c>
      <c r="CI93" s="785"/>
      <c r="CJ93" s="785"/>
      <c r="CK93" s="786"/>
      <c r="CL93" s="790" t="str">
        <f t="shared" si="23"/>
        <v>-</v>
      </c>
      <c r="CM93" s="785"/>
      <c r="CN93" s="785"/>
      <c r="CO93" s="786"/>
      <c r="CP93" s="790" t="str">
        <f>IF(BT93="","-",INDEX($A$5:$BP$257,MATCH(BT93,$BN$5:$BN$257,0),39)*(IF(BT93="","-",(1+(((-('Densidade do AR'!$M$4))+('Densidade do AR'!$T$15*1000000))/(IF(INDEX($A$5:$BP$257,MATCH(BT93,$BN$5:$BN$257,0),50)="Aço Inoxidável",('Densidade do AR'!$S$8*1000000),IF(INDEX($A$5:$BP$257,MATCH(BT93,$BN$5:$BN$257,0),50)="Ferro Fundido",('Densidade do AR'!$S$12*1000000),IF(INDEX($A$5:$BP$257,MATCH(BT93,$BN$5:$BN$257,0),50)="Latão",('Densidade do AR'!$S$10*1000000),IF(INDEX($A$5:$BP$257,MATCH(BT93,$BN$5:$BN$257,0),50)="Alumínio",('Densidade do AR'!$S$4*1000000)))))))-(((-('Densidade do AR'!$M$4))+('Densidade do AR'!$T$15*1000000))/('Densidade do AR'!$S$14*1000000))))))</f>
        <v>-</v>
      </c>
      <c r="CQ93" s="785"/>
      <c r="CR93" s="785"/>
      <c r="CS93" s="791"/>
      <c r="CT93" s="91" t="str">
        <f t="shared" si="32"/>
        <v>-</v>
      </c>
      <c r="CU93" s="794"/>
      <c r="CV93" s="795"/>
      <c r="CW93" s="784" t="str">
        <f>IF(CU93="","-",(IF(INDEX($A$5:$BP$257,MATCH(CU93,$BN$5:$BN$257,0),50)="Aço Inoxidável",('Densidade do AR'!$S$8*1000000),IF(INDEX($A$5:$BP$257,MATCH(CU93,$BN$5:$BN$257,0),50)="Ferro Fundido",('Densidade do AR'!$S$12*1000000),IF(INDEX($A$5:$BP$257,MATCH(CU93,$BN$5:$BN$257,0),50)="Latão",('Densidade do AR'!$S$10*1000000),IF(INDEX($A$5:$BP$257,MATCH(CU93,$BN$5:$BN$257,0),50)="Alumínio",('Densidade do AR'!$S$4*1000000)))))))</f>
        <v>-</v>
      </c>
      <c r="CX93" s="785"/>
      <c r="CY93" s="785"/>
      <c r="CZ93" s="786"/>
      <c r="DA93" s="787" t="str">
        <f t="shared" si="33"/>
        <v>-</v>
      </c>
      <c r="DB93" s="788"/>
      <c r="DC93" s="788"/>
      <c r="DD93" s="789"/>
      <c r="DE93" s="787" t="str">
        <f t="shared" si="24"/>
        <v>-</v>
      </c>
      <c r="DF93" s="788"/>
      <c r="DG93" s="788"/>
      <c r="DH93" s="789"/>
      <c r="DI93" s="790" t="str">
        <f t="shared" si="34"/>
        <v>-</v>
      </c>
      <c r="DJ93" s="785"/>
      <c r="DK93" s="785"/>
      <c r="DL93" s="786"/>
      <c r="DM93" s="790" t="str">
        <f t="shared" si="25"/>
        <v>-</v>
      </c>
      <c r="DN93" s="785"/>
      <c r="DO93" s="785"/>
      <c r="DP93" s="786"/>
      <c r="DQ93" s="790" t="str">
        <f>IF(CU93="","-",INDEX($A$5:$BP$257,MATCH(CU93,$BN$5:$BN$257,0),39)*(IF(CU93="","-",(1+(((-('Densidade do AR'!$M$4))+('Densidade do AR'!$T$15*1000000))/(IF(INDEX($A$5:$BP$257,MATCH(CU93,$BN$5:$BN$257,0),50)="Aço Inoxidável",('Densidade do AR'!$S$8*1000000),IF(INDEX($A$5:$BP$257,MATCH(CU93,$BN$5:$BN$257,0),50)="Ferro Fundido",('Densidade do AR'!$S$12*1000000),IF(INDEX($A$5:$BP$257,MATCH(CU93,$BN$5:$BN$257,0),50)="Latão",('Densidade do AR'!$S$10*1000000),IF(INDEX($A$5:$BP$257,MATCH(CU93,$BN$5:$BN$257,0),50)="Alumínio",('Densidade do AR'!$S$4*1000000)))))))-(((-('Densidade do AR'!$M$4))+('Densidade do AR'!$T$15*1000000))/('Densidade do AR'!$S$14*1000000))))))</f>
        <v>-</v>
      </c>
      <c r="DR93" s="785"/>
      <c r="DS93" s="785"/>
      <c r="DT93" s="791"/>
      <c r="DU93" s="91" t="str">
        <f t="shared" si="35"/>
        <v>-</v>
      </c>
      <c r="DV93" s="794"/>
      <c r="DW93" s="795"/>
      <c r="DX93" s="784" t="str">
        <f>IF(DV93="","-",(IF(INDEX($A$5:$BP$257,MATCH(DV93,$BN$5:$BN$257,0),50)="Aço Inoxidável",('Densidade do AR'!$S$8*1000000),IF(INDEX($A$5:$BP$257,MATCH(DV93,$BN$5:$BN$257,0),50)="Ferro Fundido",('Densidade do AR'!$S$12*1000000),IF(INDEX($A$5:$BP$257,MATCH(DV93,$BN$5:$BN$257,0),50)="Latão",('Densidade do AR'!$S$10*1000000),IF(INDEX($A$5:$BP$257,MATCH(DV93,$BN$5:$BN$257,0),50)="Alumínio",('Densidade do AR'!$S$4*1000000)))))))</f>
        <v>-</v>
      </c>
      <c r="DY93" s="785"/>
      <c r="DZ93" s="785"/>
      <c r="EA93" s="786"/>
      <c r="EB93" s="787" t="str">
        <f t="shared" si="36"/>
        <v>-</v>
      </c>
      <c r="EC93" s="788"/>
      <c r="ED93" s="788"/>
      <c r="EE93" s="789"/>
      <c r="EF93" s="787" t="str">
        <f t="shared" si="26"/>
        <v>-</v>
      </c>
      <c r="EG93" s="788"/>
      <c r="EH93" s="788"/>
      <c r="EI93" s="789"/>
      <c r="EJ93" s="790" t="str">
        <f t="shared" si="37"/>
        <v>-</v>
      </c>
      <c r="EK93" s="785"/>
      <c r="EL93" s="785"/>
      <c r="EM93" s="786"/>
      <c r="EN93" s="790" t="str">
        <f t="shared" si="27"/>
        <v>-</v>
      </c>
      <c r="EO93" s="785"/>
      <c r="EP93" s="785"/>
      <c r="EQ93" s="786"/>
      <c r="ER93" s="790" t="str">
        <f>IF(DV93="","-",INDEX($A$5:$BP$257,MATCH(DV93,$BN$5:$BN$257,0),39)*(IF(DV93="","-",(1+(((-('Densidade do AR'!$M$4))+('Densidade do AR'!$T$15*1000000))/(IF(INDEX($A$5:$BP$257,MATCH(DV93,$BN$5:$BN$257,0),50)="Aço Inoxidável",('Densidade do AR'!$S$8*1000000),IF(INDEX($A$5:$BP$257,MATCH(DV93,$BN$5:$BN$257,0),50)="Ferro Fundido",('Densidade do AR'!$S$12*1000000),IF(INDEX($A$5:$BP$257,MATCH(DV93,$BN$5:$BN$257,0),50)="Latão",('Densidade do AR'!$S$10*1000000),IF(INDEX($A$5:$BP$257,MATCH(DV93,$BN$5:$BN$257,0),50)="Alumínio",('Densidade do AR'!$S$4*1000000)))))))-(((-('Densidade do AR'!$M$4))+('Densidade do AR'!$T$15*1000000))/('Densidade do AR'!$S$14*1000000))))))</f>
        <v>-</v>
      </c>
      <c r="ES93" s="785"/>
      <c r="ET93" s="785"/>
      <c r="EU93" s="791"/>
      <c r="EV93" s="91" t="str">
        <f t="shared" si="38"/>
        <v>-</v>
      </c>
      <c r="EW93" s="794"/>
      <c r="EX93" s="795"/>
      <c r="EY93" s="784" t="str">
        <f>IF(EW93="","-",(IF(INDEX($A$5:$BP$257,MATCH(EW93,$BN$5:$BN$257,0),50)="Aço Inoxidável",('Densidade do AR'!$S$8*1000000),IF(INDEX($A$5:$BP$257,MATCH(EW93,$BN$5:$BN$257,0),50)="Ferro Fundido",('Densidade do AR'!$S$12*1000000),IF(INDEX($A$5:$BP$257,MATCH(EW93,$BN$5:$BN$257,0),50)="Latão",('Densidade do AR'!$S$10*1000000),IF(INDEX($A$5:$BP$257,MATCH(EW93,$BN$5:$BN$257,0),50)="Alumínio",('Densidade do AR'!$S$4*1000000)))))))</f>
        <v>-</v>
      </c>
      <c r="EZ93" s="785"/>
      <c r="FA93" s="785"/>
      <c r="FB93" s="786"/>
      <c r="FC93" s="787" t="str">
        <f t="shared" si="39"/>
        <v>-</v>
      </c>
      <c r="FD93" s="788"/>
      <c r="FE93" s="788"/>
      <c r="FF93" s="789"/>
      <c r="FG93" s="787" t="str">
        <f t="shared" si="28"/>
        <v>-</v>
      </c>
      <c r="FH93" s="788"/>
      <c r="FI93" s="788"/>
      <c r="FJ93" s="789"/>
      <c r="FK93" s="790" t="str">
        <f t="shared" si="40"/>
        <v>-</v>
      </c>
      <c r="FL93" s="785"/>
      <c r="FM93" s="785"/>
      <c r="FN93" s="786"/>
      <c r="FO93" s="790" t="str">
        <f t="shared" si="29"/>
        <v>-</v>
      </c>
      <c r="FP93" s="785"/>
      <c r="FQ93" s="785"/>
      <c r="FR93" s="786"/>
      <c r="FS93" s="790" t="str">
        <f>IF(EW93="","-",INDEX($A$5:$BP$257,MATCH(EW93,$BN$5:$BN$257,0),39)*(IF(EW93="","-",(1+(((-('Densidade do AR'!$M$4))+('Densidade do AR'!$T$15*1000000))/(IF(INDEX($A$5:$BP$257,MATCH(EW93,$BN$5:$BN$257,0),50)="Aço Inoxidável",('Densidade do AR'!$S$8*1000000),IF(INDEX($A$5:$BP$257,MATCH(EW93,$BN$5:$BN$257,0),50)="Ferro Fundido",('Densidade do AR'!$S$12*1000000),IF(INDEX($A$5:$BP$257,MATCH(EW93,$BN$5:$BN$257,0),50)="Latão",('Densidade do AR'!$S$10*1000000),IF(INDEX($A$5:$BP$257,MATCH(EW93,$BN$5:$BN$257,0),50)="Alumínio",('Densidade do AR'!$S$4*1000000)))))))-(((-('Densidade do AR'!$M$4))+('Densidade do AR'!$T$15*1000000))/('Densidade do AR'!$S$14*1000000))))))</f>
        <v>-</v>
      </c>
      <c r="FT93" s="785"/>
      <c r="FU93" s="785"/>
      <c r="FV93" s="791"/>
      <c r="FW93" s="91" t="str">
        <f t="shared" si="41"/>
        <v>-</v>
      </c>
      <c r="FX93" s="135"/>
    </row>
    <row r="94" spans="1:180" ht="12.75" customHeight="1" x14ac:dyDescent="0.2">
      <c r="A94" s="718">
        <v>90</v>
      </c>
      <c r="B94" s="713"/>
      <c r="C94" s="719"/>
      <c r="D94" s="709"/>
      <c r="E94" s="709"/>
      <c r="F94" s="709"/>
      <c r="G94" s="710"/>
      <c r="H94" s="720"/>
      <c r="I94" s="712"/>
      <c r="J94" s="712"/>
      <c r="K94" s="713"/>
      <c r="L94" s="719"/>
      <c r="M94" s="709"/>
      <c r="N94" s="709"/>
      <c r="O94" s="709"/>
      <c r="P94" s="719"/>
      <c r="Q94" s="709"/>
      <c r="R94" s="709"/>
      <c r="S94" s="709"/>
      <c r="T94" s="710"/>
      <c r="U94" s="721"/>
      <c r="V94" s="722"/>
      <c r="W94" s="722"/>
      <c r="X94" s="722"/>
      <c r="Y94" s="722"/>
      <c r="Z94" s="722"/>
      <c r="AA94" s="723"/>
      <c r="AB94" s="853"/>
      <c r="AC94" s="854"/>
      <c r="AD94" s="854"/>
      <c r="AE94" s="854"/>
      <c r="AF94" s="854"/>
      <c r="AG94" s="854"/>
      <c r="AH94" s="854"/>
      <c r="AI94" s="854"/>
      <c r="AJ94" s="854"/>
      <c r="AK94" s="854"/>
      <c r="AL94" s="855"/>
      <c r="AM94" s="909"/>
      <c r="AN94" s="712"/>
      <c r="AO94" s="712"/>
      <c r="AP94" s="712"/>
      <c r="AQ94" s="712"/>
      <c r="AR94" s="712"/>
      <c r="AS94" s="713"/>
      <c r="AT94" s="909"/>
      <c r="AU94" s="712"/>
      <c r="AV94" s="712"/>
      <c r="AW94" s="713"/>
      <c r="AX94" s="908"/>
      <c r="AY94" s="712"/>
      <c r="AZ94" s="712"/>
      <c r="BA94" s="712"/>
      <c r="BB94" s="712"/>
      <c r="BC94" s="713"/>
      <c r="BD94" s="909"/>
      <c r="BE94" s="712"/>
      <c r="BF94" s="712"/>
      <c r="BG94" s="713"/>
      <c r="BH94" s="909"/>
      <c r="BI94" s="994"/>
      <c r="BJ94" s="994"/>
      <c r="BK94" s="994"/>
      <c r="BL94" s="995"/>
      <c r="BN94" s="881"/>
      <c r="BO94" s="882"/>
      <c r="BP94" s="883"/>
      <c r="BT94" s="792"/>
      <c r="BU94" s="793"/>
      <c r="BV94" s="738" t="str">
        <f>IF(BT94="","-",(IF(INDEX($A$5:$BP$257,MATCH(BT94,$BN$5:$BN$257,0),50)="Aço Inoxidável",('Densidade do AR'!$S$8*1000000),IF(INDEX($A$5:$BP$257,MATCH(BT94,$BN$5:$BN$257,0),50)="Ferro Fundido",('Densidade do AR'!$S$12*1000000),IF(INDEX($A$5:$BP$257,MATCH(BT94,$BN$5:$BN$257,0),50)="Latão",('Densidade do AR'!$S$10*1000000),IF(INDEX($A$5:$BP$257,MATCH(BT94,$BN$5:$BN$257,0),50)="Alumínio",('Densidade do AR'!$S$4*1000000)))))))</f>
        <v>-</v>
      </c>
      <c r="BW94" s="739"/>
      <c r="BX94" s="739"/>
      <c r="BY94" s="740"/>
      <c r="BZ94" s="741" t="str">
        <f t="shared" si="30"/>
        <v>-</v>
      </c>
      <c r="CA94" s="742"/>
      <c r="CB94" s="742"/>
      <c r="CC94" s="743"/>
      <c r="CD94" s="741" t="str">
        <f t="shared" si="22"/>
        <v>-</v>
      </c>
      <c r="CE94" s="742"/>
      <c r="CF94" s="742"/>
      <c r="CG94" s="743"/>
      <c r="CH94" s="744" t="str">
        <f t="shared" si="31"/>
        <v>-</v>
      </c>
      <c r="CI94" s="739"/>
      <c r="CJ94" s="739"/>
      <c r="CK94" s="740"/>
      <c r="CL94" s="744" t="str">
        <f t="shared" si="23"/>
        <v>-</v>
      </c>
      <c r="CM94" s="739"/>
      <c r="CN94" s="739"/>
      <c r="CO94" s="740"/>
      <c r="CP94" s="744" t="str">
        <f>IF(BT94="","-",INDEX($A$5:$BP$257,MATCH(BT94,$BN$5:$BN$257,0),39)*(IF(BT94="","-",(1+(((-('Densidade do AR'!$M$4))+('Densidade do AR'!$T$15*1000000))/(IF(INDEX($A$5:$BP$257,MATCH(BT94,$BN$5:$BN$257,0),50)="Aço Inoxidável",('Densidade do AR'!$S$8*1000000),IF(INDEX($A$5:$BP$257,MATCH(BT94,$BN$5:$BN$257,0),50)="Ferro Fundido",('Densidade do AR'!$S$12*1000000),IF(INDEX($A$5:$BP$257,MATCH(BT94,$BN$5:$BN$257,0),50)="Latão",('Densidade do AR'!$S$10*1000000),IF(INDEX($A$5:$BP$257,MATCH(BT94,$BN$5:$BN$257,0),50)="Alumínio",('Densidade do AR'!$S$4*1000000)))))))-(((-('Densidade do AR'!$M$4))+('Densidade do AR'!$T$15*1000000))/('Densidade do AR'!$S$14*1000000))))))</f>
        <v>-</v>
      </c>
      <c r="CQ94" s="739"/>
      <c r="CR94" s="739"/>
      <c r="CS94" s="745"/>
      <c r="CT94" s="91" t="str">
        <f t="shared" si="32"/>
        <v>-</v>
      </c>
      <c r="CU94" s="792"/>
      <c r="CV94" s="793"/>
      <c r="CW94" s="738" t="str">
        <f>IF(CU94="","-",(IF(INDEX($A$5:$BP$257,MATCH(CU94,$BN$5:$BN$257,0),50)="Aço Inoxidável",('Densidade do AR'!$S$8*1000000),IF(INDEX($A$5:$BP$257,MATCH(CU94,$BN$5:$BN$257,0),50)="Ferro Fundido",('Densidade do AR'!$S$12*1000000),IF(INDEX($A$5:$BP$257,MATCH(CU94,$BN$5:$BN$257,0),50)="Latão",('Densidade do AR'!$S$10*1000000),IF(INDEX($A$5:$BP$257,MATCH(CU94,$BN$5:$BN$257,0),50)="Alumínio",('Densidade do AR'!$S$4*1000000)))))))</f>
        <v>-</v>
      </c>
      <c r="CX94" s="739"/>
      <c r="CY94" s="739"/>
      <c r="CZ94" s="740"/>
      <c r="DA94" s="741" t="str">
        <f t="shared" si="33"/>
        <v>-</v>
      </c>
      <c r="DB94" s="742"/>
      <c r="DC94" s="742"/>
      <c r="DD94" s="743"/>
      <c r="DE94" s="741" t="str">
        <f t="shared" si="24"/>
        <v>-</v>
      </c>
      <c r="DF94" s="742"/>
      <c r="DG94" s="742"/>
      <c r="DH94" s="743"/>
      <c r="DI94" s="744" t="str">
        <f t="shared" si="34"/>
        <v>-</v>
      </c>
      <c r="DJ94" s="739"/>
      <c r="DK94" s="739"/>
      <c r="DL94" s="740"/>
      <c r="DM94" s="744" t="str">
        <f t="shared" si="25"/>
        <v>-</v>
      </c>
      <c r="DN94" s="739"/>
      <c r="DO94" s="739"/>
      <c r="DP94" s="740"/>
      <c r="DQ94" s="744" t="str">
        <f>IF(CU94="","-",INDEX($A$5:$BP$257,MATCH(CU94,$BN$5:$BN$257,0),39)*(IF(CU94="","-",(1+(((-('Densidade do AR'!$M$4))+('Densidade do AR'!$T$15*1000000))/(IF(INDEX($A$5:$BP$257,MATCH(CU94,$BN$5:$BN$257,0),50)="Aço Inoxidável",('Densidade do AR'!$S$8*1000000),IF(INDEX($A$5:$BP$257,MATCH(CU94,$BN$5:$BN$257,0),50)="Ferro Fundido",('Densidade do AR'!$S$12*1000000),IF(INDEX($A$5:$BP$257,MATCH(CU94,$BN$5:$BN$257,0),50)="Latão",('Densidade do AR'!$S$10*1000000),IF(INDEX($A$5:$BP$257,MATCH(CU94,$BN$5:$BN$257,0),50)="Alumínio",('Densidade do AR'!$S$4*1000000)))))))-(((-('Densidade do AR'!$M$4))+('Densidade do AR'!$T$15*1000000))/('Densidade do AR'!$S$14*1000000))))))</f>
        <v>-</v>
      </c>
      <c r="DR94" s="739"/>
      <c r="DS94" s="739"/>
      <c r="DT94" s="745"/>
      <c r="DU94" s="91" t="str">
        <f t="shared" si="35"/>
        <v>-</v>
      </c>
      <c r="DV94" s="792"/>
      <c r="DW94" s="793"/>
      <c r="DX94" s="738" t="str">
        <f>IF(DV94="","-",(IF(INDEX($A$5:$BP$257,MATCH(DV94,$BN$5:$BN$257,0),50)="Aço Inoxidável",('Densidade do AR'!$S$8*1000000),IF(INDEX($A$5:$BP$257,MATCH(DV94,$BN$5:$BN$257,0),50)="Ferro Fundido",('Densidade do AR'!$S$12*1000000),IF(INDEX($A$5:$BP$257,MATCH(DV94,$BN$5:$BN$257,0),50)="Latão",('Densidade do AR'!$S$10*1000000),IF(INDEX($A$5:$BP$257,MATCH(DV94,$BN$5:$BN$257,0),50)="Alumínio",('Densidade do AR'!$S$4*1000000)))))))</f>
        <v>-</v>
      </c>
      <c r="DY94" s="739"/>
      <c r="DZ94" s="739"/>
      <c r="EA94" s="740"/>
      <c r="EB94" s="741" t="str">
        <f t="shared" si="36"/>
        <v>-</v>
      </c>
      <c r="EC94" s="742"/>
      <c r="ED94" s="742"/>
      <c r="EE94" s="743"/>
      <c r="EF94" s="741" t="str">
        <f t="shared" si="26"/>
        <v>-</v>
      </c>
      <c r="EG94" s="742"/>
      <c r="EH94" s="742"/>
      <c r="EI94" s="743"/>
      <c r="EJ94" s="744" t="str">
        <f t="shared" si="37"/>
        <v>-</v>
      </c>
      <c r="EK94" s="739"/>
      <c r="EL94" s="739"/>
      <c r="EM94" s="740"/>
      <c r="EN94" s="744" t="str">
        <f t="shared" si="27"/>
        <v>-</v>
      </c>
      <c r="EO94" s="739"/>
      <c r="EP94" s="739"/>
      <c r="EQ94" s="740"/>
      <c r="ER94" s="744" t="str">
        <f>IF(DV94="","-",INDEX($A$5:$BP$257,MATCH(DV94,$BN$5:$BN$257,0),39)*(IF(DV94="","-",(1+(((-('Densidade do AR'!$M$4))+('Densidade do AR'!$T$15*1000000))/(IF(INDEX($A$5:$BP$257,MATCH(DV94,$BN$5:$BN$257,0),50)="Aço Inoxidável",('Densidade do AR'!$S$8*1000000),IF(INDEX($A$5:$BP$257,MATCH(DV94,$BN$5:$BN$257,0),50)="Ferro Fundido",('Densidade do AR'!$S$12*1000000),IF(INDEX($A$5:$BP$257,MATCH(DV94,$BN$5:$BN$257,0),50)="Latão",('Densidade do AR'!$S$10*1000000),IF(INDEX($A$5:$BP$257,MATCH(DV94,$BN$5:$BN$257,0),50)="Alumínio",('Densidade do AR'!$S$4*1000000)))))))-(((-('Densidade do AR'!$M$4))+('Densidade do AR'!$T$15*1000000))/('Densidade do AR'!$S$14*1000000))))))</f>
        <v>-</v>
      </c>
      <c r="ES94" s="739"/>
      <c r="ET94" s="739"/>
      <c r="EU94" s="745"/>
      <c r="EV94" s="91" t="str">
        <f t="shared" si="38"/>
        <v>-</v>
      </c>
      <c r="EW94" s="792"/>
      <c r="EX94" s="793"/>
      <c r="EY94" s="738" t="str">
        <f>IF(EW94="","-",(IF(INDEX($A$5:$BP$257,MATCH(EW94,$BN$5:$BN$257,0),50)="Aço Inoxidável",('Densidade do AR'!$S$8*1000000),IF(INDEX($A$5:$BP$257,MATCH(EW94,$BN$5:$BN$257,0),50)="Ferro Fundido",('Densidade do AR'!$S$12*1000000),IF(INDEX($A$5:$BP$257,MATCH(EW94,$BN$5:$BN$257,0),50)="Latão",('Densidade do AR'!$S$10*1000000),IF(INDEX($A$5:$BP$257,MATCH(EW94,$BN$5:$BN$257,0),50)="Alumínio",('Densidade do AR'!$S$4*1000000)))))))</f>
        <v>-</v>
      </c>
      <c r="EZ94" s="739"/>
      <c r="FA94" s="739"/>
      <c r="FB94" s="740"/>
      <c r="FC94" s="741" t="str">
        <f t="shared" si="39"/>
        <v>-</v>
      </c>
      <c r="FD94" s="742"/>
      <c r="FE94" s="742"/>
      <c r="FF94" s="743"/>
      <c r="FG94" s="741" t="str">
        <f t="shared" si="28"/>
        <v>-</v>
      </c>
      <c r="FH94" s="742"/>
      <c r="FI94" s="742"/>
      <c r="FJ94" s="743"/>
      <c r="FK94" s="744" t="str">
        <f t="shared" si="40"/>
        <v>-</v>
      </c>
      <c r="FL94" s="739"/>
      <c r="FM94" s="739"/>
      <c r="FN94" s="740"/>
      <c r="FO94" s="744" t="str">
        <f t="shared" si="29"/>
        <v>-</v>
      </c>
      <c r="FP94" s="739"/>
      <c r="FQ94" s="739"/>
      <c r="FR94" s="740"/>
      <c r="FS94" s="744" t="str">
        <f>IF(EW94="","-",INDEX($A$5:$BP$257,MATCH(EW94,$BN$5:$BN$257,0),39)*(IF(EW94="","-",(1+(((-('Densidade do AR'!$M$4))+('Densidade do AR'!$T$15*1000000))/(IF(INDEX($A$5:$BP$257,MATCH(EW94,$BN$5:$BN$257,0),50)="Aço Inoxidável",('Densidade do AR'!$S$8*1000000),IF(INDEX($A$5:$BP$257,MATCH(EW94,$BN$5:$BN$257,0),50)="Ferro Fundido",('Densidade do AR'!$S$12*1000000),IF(INDEX($A$5:$BP$257,MATCH(EW94,$BN$5:$BN$257,0),50)="Latão",('Densidade do AR'!$S$10*1000000),IF(INDEX($A$5:$BP$257,MATCH(EW94,$BN$5:$BN$257,0),50)="Alumínio",('Densidade do AR'!$S$4*1000000)))))))-(((-('Densidade do AR'!$M$4))+('Densidade do AR'!$T$15*1000000))/('Densidade do AR'!$S$14*1000000))))))</f>
        <v>-</v>
      </c>
      <c r="FT94" s="739"/>
      <c r="FU94" s="739"/>
      <c r="FV94" s="745"/>
      <c r="FW94" s="91" t="str">
        <f t="shared" si="41"/>
        <v>-</v>
      </c>
      <c r="FX94" s="135"/>
    </row>
    <row r="95" spans="1:180" ht="12.75" customHeight="1" x14ac:dyDescent="0.2">
      <c r="A95" s="717">
        <v>91</v>
      </c>
      <c r="B95" s="713"/>
      <c r="C95" s="708"/>
      <c r="D95" s="709"/>
      <c r="E95" s="709"/>
      <c r="F95" s="709"/>
      <c r="G95" s="710"/>
      <c r="H95" s="711"/>
      <c r="I95" s="712"/>
      <c r="J95" s="712"/>
      <c r="K95" s="713"/>
      <c r="L95" s="708"/>
      <c r="M95" s="709"/>
      <c r="N95" s="709"/>
      <c r="O95" s="709"/>
      <c r="P95" s="708"/>
      <c r="Q95" s="709"/>
      <c r="R95" s="709"/>
      <c r="S95" s="709"/>
      <c r="T95" s="710"/>
      <c r="U95" s="714"/>
      <c r="V95" s="715"/>
      <c r="W95" s="715"/>
      <c r="X95" s="715"/>
      <c r="Y95" s="715"/>
      <c r="Z95" s="715"/>
      <c r="AA95" s="716"/>
      <c r="AB95" s="850"/>
      <c r="AC95" s="851"/>
      <c r="AD95" s="851"/>
      <c r="AE95" s="851"/>
      <c r="AF95" s="851"/>
      <c r="AG95" s="851"/>
      <c r="AH95" s="851"/>
      <c r="AI95" s="851"/>
      <c r="AJ95" s="851"/>
      <c r="AK95" s="851"/>
      <c r="AL95" s="852"/>
      <c r="AM95" s="917"/>
      <c r="AN95" s="712"/>
      <c r="AO95" s="712"/>
      <c r="AP95" s="712"/>
      <c r="AQ95" s="712"/>
      <c r="AR95" s="712"/>
      <c r="AS95" s="713"/>
      <c r="AT95" s="917"/>
      <c r="AU95" s="712"/>
      <c r="AV95" s="712"/>
      <c r="AW95" s="713"/>
      <c r="AX95" s="917"/>
      <c r="AY95" s="712"/>
      <c r="AZ95" s="712"/>
      <c r="BA95" s="712"/>
      <c r="BB95" s="712"/>
      <c r="BC95" s="713"/>
      <c r="BD95" s="917"/>
      <c r="BE95" s="712"/>
      <c r="BF95" s="712"/>
      <c r="BG95" s="713"/>
      <c r="BH95" s="917"/>
      <c r="BI95" s="994"/>
      <c r="BJ95" s="994"/>
      <c r="BK95" s="994"/>
      <c r="BL95" s="995"/>
      <c r="BN95" s="878"/>
      <c r="BO95" s="879"/>
      <c r="BP95" s="880"/>
      <c r="BT95" s="794"/>
      <c r="BU95" s="795"/>
      <c r="BV95" s="784" t="str">
        <f>IF(BT95="","-",(IF(INDEX($A$5:$BP$257,MATCH(BT95,$BN$5:$BN$257,0),50)="Aço Inoxidável",('Densidade do AR'!$S$8*1000000),IF(INDEX($A$5:$BP$257,MATCH(BT95,$BN$5:$BN$257,0),50)="Ferro Fundido",('Densidade do AR'!$S$12*1000000),IF(INDEX($A$5:$BP$257,MATCH(BT95,$BN$5:$BN$257,0),50)="Latão",('Densidade do AR'!$S$10*1000000),IF(INDEX($A$5:$BP$257,MATCH(BT95,$BN$5:$BN$257,0),50)="Alumínio",('Densidade do AR'!$S$4*1000000)))))))</f>
        <v>-</v>
      </c>
      <c r="BW95" s="785"/>
      <c r="BX95" s="785"/>
      <c r="BY95" s="786"/>
      <c r="BZ95" s="787" t="str">
        <f t="shared" si="30"/>
        <v>-</v>
      </c>
      <c r="CA95" s="788"/>
      <c r="CB95" s="788"/>
      <c r="CC95" s="789"/>
      <c r="CD95" s="787" t="str">
        <f t="shared" si="22"/>
        <v>-</v>
      </c>
      <c r="CE95" s="788"/>
      <c r="CF95" s="788"/>
      <c r="CG95" s="789"/>
      <c r="CH95" s="790" t="str">
        <f t="shared" si="31"/>
        <v>-</v>
      </c>
      <c r="CI95" s="785"/>
      <c r="CJ95" s="785"/>
      <c r="CK95" s="786"/>
      <c r="CL95" s="790" t="str">
        <f t="shared" si="23"/>
        <v>-</v>
      </c>
      <c r="CM95" s="785"/>
      <c r="CN95" s="785"/>
      <c r="CO95" s="786"/>
      <c r="CP95" s="790" t="str">
        <f>IF(BT95="","-",INDEX($A$5:$BP$257,MATCH(BT95,$BN$5:$BN$257,0),39)*(IF(BT95="","-",(1+(((-('Densidade do AR'!$M$4))+('Densidade do AR'!$T$15*1000000))/(IF(INDEX($A$5:$BP$257,MATCH(BT95,$BN$5:$BN$257,0),50)="Aço Inoxidável",('Densidade do AR'!$S$8*1000000),IF(INDEX($A$5:$BP$257,MATCH(BT95,$BN$5:$BN$257,0),50)="Ferro Fundido",('Densidade do AR'!$S$12*1000000),IF(INDEX($A$5:$BP$257,MATCH(BT95,$BN$5:$BN$257,0),50)="Latão",('Densidade do AR'!$S$10*1000000),IF(INDEX($A$5:$BP$257,MATCH(BT95,$BN$5:$BN$257,0),50)="Alumínio",('Densidade do AR'!$S$4*1000000)))))))-(((-('Densidade do AR'!$M$4))+('Densidade do AR'!$T$15*1000000))/('Densidade do AR'!$S$14*1000000))))))</f>
        <v>-</v>
      </c>
      <c r="CQ95" s="785"/>
      <c r="CR95" s="785"/>
      <c r="CS95" s="791"/>
      <c r="CT95" s="91" t="str">
        <f t="shared" si="32"/>
        <v>-</v>
      </c>
      <c r="CU95" s="794"/>
      <c r="CV95" s="795"/>
      <c r="CW95" s="784" t="str">
        <f>IF(CU95="","-",(IF(INDEX($A$5:$BP$257,MATCH(CU95,$BN$5:$BN$257,0),50)="Aço Inoxidável",('Densidade do AR'!$S$8*1000000),IF(INDEX($A$5:$BP$257,MATCH(CU95,$BN$5:$BN$257,0),50)="Ferro Fundido",('Densidade do AR'!$S$12*1000000),IF(INDEX($A$5:$BP$257,MATCH(CU95,$BN$5:$BN$257,0),50)="Latão",('Densidade do AR'!$S$10*1000000),IF(INDEX($A$5:$BP$257,MATCH(CU95,$BN$5:$BN$257,0),50)="Alumínio",('Densidade do AR'!$S$4*1000000)))))))</f>
        <v>-</v>
      </c>
      <c r="CX95" s="785"/>
      <c r="CY95" s="785"/>
      <c r="CZ95" s="786"/>
      <c r="DA95" s="787" t="str">
        <f t="shared" si="33"/>
        <v>-</v>
      </c>
      <c r="DB95" s="788"/>
      <c r="DC95" s="788"/>
      <c r="DD95" s="789"/>
      <c r="DE95" s="787" t="str">
        <f t="shared" si="24"/>
        <v>-</v>
      </c>
      <c r="DF95" s="788"/>
      <c r="DG95" s="788"/>
      <c r="DH95" s="789"/>
      <c r="DI95" s="790" t="str">
        <f t="shared" si="34"/>
        <v>-</v>
      </c>
      <c r="DJ95" s="785"/>
      <c r="DK95" s="785"/>
      <c r="DL95" s="786"/>
      <c r="DM95" s="790" t="str">
        <f t="shared" si="25"/>
        <v>-</v>
      </c>
      <c r="DN95" s="785"/>
      <c r="DO95" s="785"/>
      <c r="DP95" s="786"/>
      <c r="DQ95" s="790" t="str">
        <f>IF(CU95="","-",INDEX($A$5:$BP$257,MATCH(CU95,$BN$5:$BN$257,0),39)*(IF(CU95="","-",(1+(((-('Densidade do AR'!$M$4))+('Densidade do AR'!$T$15*1000000))/(IF(INDEX($A$5:$BP$257,MATCH(CU95,$BN$5:$BN$257,0),50)="Aço Inoxidável",('Densidade do AR'!$S$8*1000000),IF(INDEX($A$5:$BP$257,MATCH(CU95,$BN$5:$BN$257,0),50)="Ferro Fundido",('Densidade do AR'!$S$12*1000000),IF(INDEX($A$5:$BP$257,MATCH(CU95,$BN$5:$BN$257,0),50)="Latão",('Densidade do AR'!$S$10*1000000),IF(INDEX($A$5:$BP$257,MATCH(CU95,$BN$5:$BN$257,0),50)="Alumínio",('Densidade do AR'!$S$4*1000000)))))))-(((-('Densidade do AR'!$M$4))+('Densidade do AR'!$T$15*1000000))/('Densidade do AR'!$S$14*1000000))))))</f>
        <v>-</v>
      </c>
      <c r="DR95" s="785"/>
      <c r="DS95" s="785"/>
      <c r="DT95" s="791"/>
      <c r="DU95" s="91" t="str">
        <f t="shared" si="35"/>
        <v>-</v>
      </c>
      <c r="DV95" s="794"/>
      <c r="DW95" s="795"/>
      <c r="DX95" s="784" t="str">
        <f>IF(DV95="","-",(IF(INDEX($A$5:$BP$257,MATCH(DV95,$BN$5:$BN$257,0),50)="Aço Inoxidável",('Densidade do AR'!$S$8*1000000),IF(INDEX($A$5:$BP$257,MATCH(DV95,$BN$5:$BN$257,0),50)="Ferro Fundido",('Densidade do AR'!$S$12*1000000),IF(INDEX($A$5:$BP$257,MATCH(DV95,$BN$5:$BN$257,0),50)="Latão",('Densidade do AR'!$S$10*1000000),IF(INDEX($A$5:$BP$257,MATCH(DV95,$BN$5:$BN$257,0),50)="Alumínio",('Densidade do AR'!$S$4*1000000)))))))</f>
        <v>-</v>
      </c>
      <c r="DY95" s="785"/>
      <c r="DZ95" s="785"/>
      <c r="EA95" s="786"/>
      <c r="EB95" s="787" t="str">
        <f t="shared" si="36"/>
        <v>-</v>
      </c>
      <c r="EC95" s="788"/>
      <c r="ED95" s="788"/>
      <c r="EE95" s="789"/>
      <c r="EF95" s="787" t="str">
        <f t="shared" si="26"/>
        <v>-</v>
      </c>
      <c r="EG95" s="788"/>
      <c r="EH95" s="788"/>
      <c r="EI95" s="789"/>
      <c r="EJ95" s="790" t="str">
        <f t="shared" si="37"/>
        <v>-</v>
      </c>
      <c r="EK95" s="785"/>
      <c r="EL95" s="785"/>
      <c r="EM95" s="786"/>
      <c r="EN95" s="790" t="str">
        <f t="shared" si="27"/>
        <v>-</v>
      </c>
      <c r="EO95" s="785"/>
      <c r="EP95" s="785"/>
      <c r="EQ95" s="786"/>
      <c r="ER95" s="790" t="str">
        <f>IF(DV95="","-",INDEX($A$5:$BP$257,MATCH(DV95,$BN$5:$BN$257,0),39)*(IF(DV95="","-",(1+(((-('Densidade do AR'!$M$4))+('Densidade do AR'!$T$15*1000000))/(IF(INDEX($A$5:$BP$257,MATCH(DV95,$BN$5:$BN$257,0),50)="Aço Inoxidável",('Densidade do AR'!$S$8*1000000),IF(INDEX($A$5:$BP$257,MATCH(DV95,$BN$5:$BN$257,0),50)="Ferro Fundido",('Densidade do AR'!$S$12*1000000),IF(INDEX($A$5:$BP$257,MATCH(DV95,$BN$5:$BN$257,0),50)="Latão",('Densidade do AR'!$S$10*1000000),IF(INDEX($A$5:$BP$257,MATCH(DV95,$BN$5:$BN$257,0),50)="Alumínio",('Densidade do AR'!$S$4*1000000)))))))-(((-('Densidade do AR'!$M$4))+('Densidade do AR'!$T$15*1000000))/('Densidade do AR'!$S$14*1000000))))))</f>
        <v>-</v>
      </c>
      <c r="ES95" s="785"/>
      <c r="ET95" s="785"/>
      <c r="EU95" s="791"/>
      <c r="EV95" s="91" t="str">
        <f t="shared" si="38"/>
        <v>-</v>
      </c>
      <c r="EW95" s="794"/>
      <c r="EX95" s="795"/>
      <c r="EY95" s="784" t="str">
        <f>IF(EW95="","-",(IF(INDEX($A$5:$BP$257,MATCH(EW95,$BN$5:$BN$257,0),50)="Aço Inoxidável",('Densidade do AR'!$S$8*1000000),IF(INDEX($A$5:$BP$257,MATCH(EW95,$BN$5:$BN$257,0),50)="Ferro Fundido",('Densidade do AR'!$S$12*1000000),IF(INDEX($A$5:$BP$257,MATCH(EW95,$BN$5:$BN$257,0),50)="Latão",('Densidade do AR'!$S$10*1000000),IF(INDEX($A$5:$BP$257,MATCH(EW95,$BN$5:$BN$257,0),50)="Alumínio",('Densidade do AR'!$S$4*1000000)))))))</f>
        <v>-</v>
      </c>
      <c r="EZ95" s="785"/>
      <c r="FA95" s="785"/>
      <c r="FB95" s="786"/>
      <c r="FC95" s="787" t="str">
        <f t="shared" si="39"/>
        <v>-</v>
      </c>
      <c r="FD95" s="788"/>
      <c r="FE95" s="788"/>
      <c r="FF95" s="789"/>
      <c r="FG95" s="787" t="str">
        <f t="shared" si="28"/>
        <v>-</v>
      </c>
      <c r="FH95" s="788"/>
      <c r="FI95" s="788"/>
      <c r="FJ95" s="789"/>
      <c r="FK95" s="790" t="str">
        <f t="shared" si="40"/>
        <v>-</v>
      </c>
      <c r="FL95" s="785"/>
      <c r="FM95" s="785"/>
      <c r="FN95" s="786"/>
      <c r="FO95" s="790" t="str">
        <f t="shared" si="29"/>
        <v>-</v>
      </c>
      <c r="FP95" s="785"/>
      <c r="FQ95" s="785"/>
      <c r="FR95" s="786"/>
      <c r="FS95" s="790" t="str">
        <f>IF(EW95="","-",INDEX($A$5:$BP$257,MATCH(EW95,$BN$5:$BN$257,0),39)*(IF(EW95="","-",(1+(((-('Densidade do AR'!$M$4))+('Densidade do AR'!$T$15*1000000))/(IF(INDEX($A$5:$BP$257,MATCH(EW95,$BN$5:$BN$257,0),50)="Aço Inoxidável",('Densidade do AR'!$S$8*1000000),IF(INDEX($A$5:$BP$257,MATCH(EW95,$BN$5:$BN$257,0),50)="Ferro Fundido",('Densidade do AR'!$S$12*1000000),IF(INDEX($A$5:$BP$257,MATCH(EW95,$BN$5:$BN$257,0),50)="Latão",('Densidade do AR'!$S$10*1000000),IF(INDEX($A$5:$BP$257,MATCH(EW95,$BN$5:$BN$257,0),50)="Alumínio",('Densidade do AR'!$S$4*1000000)))))))-(((-('Densidade do AR'!$M$4))+('Densidade do AR'!$T$15*1000000))/('Densidade do AR'!$S$14*1000000))))))</f>
        <v>-</v>
      </c>
      <c r="FT95" s="785"/>
      <c r="FU95" s="785"/>
      <c r="FV95" s="791"/>
      <c r="FW95" s="91" t="str">
        <f t="shared" si="41"/>
        <v>-</v>
      </c>
      <c r="FX95" s="135"/>
    </row>
    <row r="96" spans="1:180" ht="12.75" customHeight="1" x14ac:dyDescent="0.2">
      <c r="A96" s="718">
        <v>92</v>
      </c>
      <c r="B96" s="713"/>
      <c r="C96" s="719"/>
      <c r="D96" s="709"/>
      <c r="E96" s="709"/>
      <c r="F96" s="709"/>
      <c r="G96" s="710"/>
      <c r="H96" s="720"/>
      <c r="I96" s="712"/>
      <c r="J96" s="712"/>
      <c r="K96" s="713"/>
      <c r="L96" s="719"/>
      <c r="M96" s="709"/>
      <c r="N96" s="709"/>
      <c r="O96" s="709"/>
      <c r="P96" s="719"/>
      <c r="Q96" s="709"/>
      <c r="R96" s="709"/>
      <c r="S96" s="709"/>
      <c r="T96" s="710"/>
      <c r="U96" s="721"/>
      <c r="V96" s="722"/>
      <c r="W96" s="722"/>
      <c r="X96" s="722"/>
      <c r="Y96" s="722"/>
      <c r="Z96" s="722"/>
      <c r="AA96" s="723"/>
      <c r="AB96" s="853"/>
      <c r="AC96" s="854"/>
      <c r="AD96" s="854"/>
      <c r="AE96" s="854"/>
      <c r="AF96" s="854"/>
      <c r="AG96" s="854"/>
      <c r="AH96" s="854"/>
      <c r="AI96" s="854"/>
      <c r="AJ96" s="854"/>
      <c r="AK96" s="854"/>
      <c r="AL96" s="855"/>
      <c r="AM96" s="909"/>
      <c r="AN96" s="712"/>
      <c r="AO96" s="712"/>
      <c r="AP96" s="712"/>
      <c r="AQ96" s="712"/>
      <c r="AR96" s="712"/>
      <c r="AS96" s="713"/>
      <c r="AT96" s="909"/>
      <c r="AU96" s="712"/>
      <c r="AV96" s="712"/>
      <c r="AW96" s="713"/>
      <c r="AX96" s="908"/>
      <c r="AY96" s="712"/>
      <c r="AZ96" s="712"/>
      <c r="BA96" s="712"/>
      <c r="BB96" s="712"/>
      <c r="BC96" s="713"/>
      <c r="BD96" s="909"/>
      <c r="BE96" s="712"/>
      <c r="BF96" s="712"/>
      <c r="BG96" s="713"/>
      <c r="BH96" s="908"/>
      <c r="BI96" s="712"/>
      <c r="BJ96" s="712"/>
      <c r="BK96" s="712"/>
      <c r="BL96" s="910"/>
      <c r="BN96" s="881"/>
      <c r="BO96" s="882"/>
      <c r="BP96" s="883"/>
      <c r="BT96" s="792"/>
      <c r="BU96" s="793"/>
      <c r="BV96" s="738" t="str">
        <f>IF(BT96="","-",(IF(INDEX($A$5:$BP$257,MATCH(BT96,$BN$5:$BN$257,0),50)="Aço Inoxidável",('Densidade do AR'!$S$8*1000000),IF(INDEX($A$5:$BP$257,MATCH(BT96,$BN$5:$BN$257,0),50)="Ferro Fundido",('Densidade do AR'!$S$12*1000000),IF(INDEX($A$5:$BP$257,MATCH(BT96,$BN$5:$BN$257,0),50)="Latão",('Densidade do AR'!$S$10*1000000),IF(INDEX($A$5:$BP$257,MATCH(BT96,$BN$5:$BN$257,0),50)="Alumínio",('Densidade do AR'!$S$4*1000000)))))))</f>
        <v>-</v>
      </c>
      <c r="BW96" s="739"/>
      <c r="BX96" s="739"/>
      <c r="BY96" s="740"/>
      <c r="BZ96" s="741" t="str">
        <f t="shared" si="30"/>
        <v>-</v>
      </c>
      <c r="CA96" s="742"/>
      <c r="CB96" s="742"/>
      <c r="CC96" s="743"/>
      <c r="CD96" s="741" t="str">
        <f t="shared" si="22"/>
        <v>-</v>
      </c>
      <c r="CE96" s="742"/>
      <c r="CF96" s="742"/>
      <c r="CG96" s="743"/>
      <c r="CH96" s="744" t="str">
        <f t="shared" si="31"/>
        <v>-</v>
      </c>
      <c r="CI96" s="739"/>
      <c r="CJ96" s="739"/>
      <c r="CK96" s="740"/>
      <c r="CL96" s="744" t="str">
        <f t="shared" si="23"/>
        <v>-</v>
      </c>
      <c r="CM96" s="739"/>
      <c r="CN96" s="739"/>
      <c r="CO96" s="740"/>
      <c r="CP96" s="744" t="str">
        <f>IF(BT96="","-",INDEX($A$5:$BP$257,MATCH(BT96,$BN$5:$BN$257,0),39)*(IF(BT96="","-",(1+(((-('Densidade do AR'!$M$4))+('Densidade do AR'!$T$15*1000000))/(IF(INDEX($A$5:$BP$257,MATCH(BT96,$BN$5:$BN$257,0),50)="Aço Inoxidável",('Densidade do AR'!$S$8*1000000),IF(INDEX($A$5:$BP$257,MATCH(BT96,$BN$5:$BN$257,0),50)="Ferro Fundido",('Densidade do AR'!$S$12*1000000),IF(INDEX($A$5:$BP$257,MATCH(BT96,$BN$5:$BN$257,0),50)="Latão",('Densidade do AR'!$S$10*1000000),IF(INDEX($A$5:$BP$257,MATCH(BT96,$BN$5:$BN$257,0),50)="Alumínio",('Densidade do AR'!$S$4*1000000)))))))-(((-('Densidade do AR'!$M$4))+('Densidade do AR'!$T$15*1000000))/('Densidade do AR'!$S$14*1000000))))))</f>
        <v>-</v>
      </c>
      <c r="CQ96" s="739"/>
      <c r="CR96" s="739"/>
      <c r="CS96" s="745"/>
      <c r="CT96" s="91" t="str">
        <f t="shared" si="32"/>
        <v>-</v>
      </c>
      <c r="CU96" s="792"/>
      <c r="CV96" s="793"/>
      <c r="CW96" s="738" t="str">
        <f>IF(CU96="","-",(IF(INDEX($A$5:$BP$257,MATCH(CU96,$BN$5:$BN$257,0),50)="Aço Inoxidável",('Densidade do AR'!$S$8*1000000),IF(INDEX($A$5:$BP$257,MATCH(CU96,$BN$5:$BN$257,0),50)="Ferro Fundido",('Densidade do AR'!$S$12*1000000),IF(INDEX($A$5:$BP$257,MATCH(CU96,$BN$5:$BN$257,0),50)="Latão",('Densidade do AR'!$S$10*1000000),IF(INDEX($A$5:$BP$257,MATCH(CU96,$BN$5:$BN$257,0),50)="Alumínio",('Densidade do AR'!$S$4*1000000)))))))</f>
        <v>-</v>
      </c>
      <c r="CX96" s="739"/>
      <c r="CY96" s="739"/>
      <c r="CZ96" s="740"/>
      <c r="DA96" s="741" t="str">
        <f t="shared" si="33"/>
        <v>-</v>
      </c>
      <c r="DB96" s="742"/>
      <c r="DC96" s="742"/>
      <c r="DD96" s="743"/>
      <c r="DE96" s="741" t="str">
        <f t="shared" si="24"/>
        <v>-</v>
      </c>
      <c r="DF96" s="742"/>
      <c r="DG96" s="742"/>
      <c r="DH96" s="743"/>
      <c r="DI96" s="744" t="str">
        <f t="shared" si="34"/>
        <v>-</v>
      </c>
      <c r="DJ96" s="739"/>
      <c r="DK96" s="739"/>
      <c r="DL96" s="740"/>
      <c r="DM96" s="744" t="str">
        <f t="shared" si="25"/>
        <v>-</v>
      </c>
      <c r="DN96" s="739"/>
      <c r="DO96" s="739"/>
      <c r="DP96" s="740"/>
      <c r="DQ96" s="744" t="str">
        <f>IF(CU96="","-",INDEX($A$5:$BP$257,MATCH(CU96,$BN$5:$BN$257,0),39)*(IF(CU96="","-",(1+(((-('Densidade do AR'!$M$4))+('Densidade do AR'!$T$15*1000000))/(IF(INDEX($A$5:$BP$257,MATCH(CU96,$BN$5:$BN$257,0),50)="Aço Inoxidável",('Densidade do AR'!$S$8*1000000),IF(INDEX($A$5:$BP$257,MATCH(CU96,$BN$5:$BN$257,0),50)="Ferro Fundido",('Densidade do AR'!$S$12*1000000),IF(INDEX($A$5:$BP$257,MATCH(CU96,$BN$5:$BN$257,0),50)="Latão",('Densidade do AR'!$S$10*1000000),IF(INDEX($A$5:$BP$257,MATCH(CU96,$BN$5:$BN$257,0),50)="Alumínio",('Densidade do AR'!$S$4*1000000)))))))-(((-('Densidade do AR'!$M$4))+('Densidade do AR'!$T$15*1000000))/('Densidade do AR'!$S$14*1000000))))))</f>
        <v>-</v>
      </c>
      <c r="DR96" s="739"/>
      <c r="DS96" s="739"/>
      <c r="DT96" s="745"/>
      <c r="DU96" s="91" t="str">
        <f t="shared" si="35"/>
        <v>-</v>
      </c>
      <c r="DV96" s="792"/>
      <c r="DW96" s="793"/>
      <c r="DX96" s="738" t="str">
        <f>IF(DV96="","-",(IF(INDEX($A$5:$BP$257,MATCH(DV96,$BN$5:$BN$257,0),50)="Aço Inoxidável",('Densidade do AR'!$S$8*1000000),IF(INDEX($A$5:$BP$257,MATCH(DV96,$BN$5:$BN$257,0),50)="Ferro Fundido",('Densidade do AR'!$S$12*1000000),IF(INDEX($A$5:$BP$257,MATCH(DV96,$BN$5:$BN$257,0),50)="Latão",('Densidade do AR'!$S$10*1000000),IF(INDEX($A$5:$BP$257,MATCH(DV96,$BN$5:$BN$257,0),50)="Alumínio",('Densidade do AR'!$S$4*1000000)))))))</f>
        <v>-</v>
      </c>
      <c r="DY96" s="739"/>
      <c r="DZ96" s="739"/>
      <c r="EA96" s="740"/>
      <c r="EB96" s="741" t="str">
        <f t="shared" si="36"/>
        <v>-</v>
      </c>
      <c r="EC96" s="742"/>
      <c r="ED96" s="742"/>
      <c r="EE96" s="743"/>
      <c r="EF96" s="741" t="str">
        <f t="shared" si="26"/>
        <v>-</v>
      </c>
      <c r="EG96" s="742"/>
      <c r="EH96" s="742"/>
      <c r="EI96" s="743"/>
      <c r="EJ96" s="744" t="str">
        <f t="shared" si="37"/>
        <v>-</v>
      </c>
      <c r="EK96" s="739"/>
      <c r="EL96" s="739"/>
      <c r="EM96" s="740"/>
      <c r="EN96" s="744" t="str">
        <f t="shared" si="27"/>
        <v>-</v>
      </c>
      <c r="EO96" s="739"/>
      <c r="EP96" s="739"/>
      <c r="EQ96" s="740"/>
      <c r="ER96" s="744" t="str">
        <f>IF(DV96="","-",INDEX($A$5:$BP$257,MATCH(DV96,$BN$5:$BN$257,0),39)*(IF(DV96="","-",(1+(((-('Densidade do AR'!$M$4))+('Densidade do AR'!$T$15*1000000))/(IF(INDEX($A$5:$BP$257,MATCH(DV96,$BN$5:$BN$257,0),50)="Aço Inoxidável",('Densidade do AR'!$S$8*1000000),IF(INDEX($A$5:$BP$257,MATCH(DV96,$BN$5:$BN$257,0),50)="Ferro Fundido",('Densidade do AR'!$S$12*1000000),IF(INDEX($A$5:$BP$257,MATCH(DV96,$BN$5:$BN$257,0),50)="Latão",('Densidade do AR'!$S$10*1000000),IF(INDEX($A$5:$BP$257,MATCH(DV96,$BN$5:$BN$257,0),50)="Alumínio",('Densidade do AR'!$S$4*1000000)))))))-(((-('Densidade do AR'!$M$4))+('Densidade do AR'!$T$15*1000000))/('Densidade do AR'!$S$14*1000000))))))</f>
        <v>-</v>
      </c>
      <c r="ES96" s="739"/>
      <c r="ET96" s="739"/>
      <c r="EU96" s="745"/>
      <c r="EV96" s="91" t="str">
        <f t="shared" si="38"/>
        <v>-</v>
      </c>
      <c r="EW96" s="792"/>
      <c r="EX96" s="793"/>
      <c r="EY96" s="738" t="str">
        <f>IF(EW96="","-",(IF(INDEX($A$5:$BP$257,MATCH(EW96,$BN$5:$BN$257,0),50)="Aço Inoxidável",('Densidade do AR'!$S$8*1000000),IF(INDEX($A$5:$BP$257,MATCH(EW96,$BN$5:$BN$257,0),50)="Ferro Fundido",('Densidade do AR'!$S$12*1000000),IF(INDEX($A$5:$BP$257,MATCH(EW96,$BN$5:$BN$257,0),50)="Latão",('Densidade do AR'!$S$10*1000000),IF(INDEX($A$5:$BP$257,MATCH(EW96,$BN$5:$BN$257,0),50)="Alumínio",('Densidade do AR'!$S$4*1000000)))))))</f>
        <v>-</v>
      </c>
      <c r="EZ96" s="739"/>
      <c r="FA96" s="739"/>
      <c r="FB96" s="740"/>
      <c r="FC96" s="741" t="str">
        <f t="shared" si="39"/>
        <v>-</v>
      </c>
      <c r="FD96" s="742"/>
      <c r="FE96" s="742"/>
      <c r="FF96" s="743"/>
      <c r="FG96" s="741" t="str">
        <f t="shared" si="28"/>
        <v>-</v>
      </c>
      <c r="FH96" s="742"/>
      <c r="FI96" s="742"/>
      <c r="FJ96" s="743"/>
      <c r="FK96" s="744" t="str">
        <f t="shared" si="40"/>
        <v>-</v>
      </c>
      <c r="FL96" s="739"/>
      <c r="FM96" s="739"/>
      <c r="FN96" s="740"/>
      <c r="FO96" s="744" t="str">
        <f t="shared" si="29"/>
        <v>-</v>
      </c>
      <c r="FP96" s="739"/>
      <c r="FQ96" s="739"/>
      <c r="FR96" s="740"/>
      <c r="FS96" s="744" t="str">
        <f>IF(EW96="","-",INDEX($A$5:$BP$257,MATCH(EW96,$BN$5:$BN$257,0),39)*(IF(EW96="","-",(1+(((-('Densidade do AR'!$M$4))+('Densidade do AR'!$T$15*1000000))/(IF(INDEX($A$5:$BP$257,MATCH(EW96,$BN$5:$BN$257,0),50)="Aço Inoxidável",('Densidade do AR'!$S$8*1000000),IF(INDEX($A$5:$BP$257,MATCH(EW96,$BN$5:$BN$257,0),50)="Ferro Fundido",('Densidade do AR'!$S$12*1000000),IF(INDEX($A$5:$BP$257,MATCH(EW96,$BN$5:$BN$257,0),50)="Latão",('Densidade do AR'!$S$10*1000000),IF(INDEX($A$5:$BP$257,MATCH(EW96,$BN$5:$BN$257,0),50)="Alumínio",('Densidade do AR'!$S$4*1000000)))))))-(((-('Densidade do AR'!$M$4))+('Densidade do AR'!$T$15*1000000))/('Densidade do AR'!$S$14*1000000))))))</f>
        <v>-</v>
      </c>
      <c r="FT96" s="739"/>
      <c r="FU96" s="739"/>
      <c r="FV96" s="745"/>
      <c r="FW96" s="91" t="str">
        <f t="shared" si="41"/>
        <v>-</v>
      </c>
      <c r="FX96" s="135"/>
    </row>
    <row r="97" spans="1:180" ht="12.75" customHeight="1" x14ac:dyDescent="0.2">
      <c r="A97" s="717">
        <v>93</v>
      </c>
      <c r="B97" s="713"/>
      <c r="C97" s="708"/>
      <c r="D97" s="709"/>
      <c r="E97" s="709"/>
      <c r="F97" s="709"/>
      <c r="G97" s="710"/>
      <c r="H97" s="711"/>
      <c r="I97" s="712"/>
      <c r="J97" s="712"/>
      <c r="K97" s="713"/>
      <c r="L97" s="708"/>
      <c r="M97" s="709"/>
      <c r="N97" s="709"/>
      <c r="O97" s="709"/>
      <c r="P97" s="708"/>
      <c r="Q97" s="709"/>
      <c r="R97" s="709"/>
      <c r="S97" s="709"/>
      <c r="T97" s="710"/>
      <c r="U97" s="714"/>
      <c r="V97" s="715"/>
      <c r="W97" s="715"/>
      <c r="X97" s="715"/>
      <c r="Y97" s="715"/>
      <c r="Z97" s="715"/>
      <c r="AA97" s="716"/>
      <c r="AB97" s="850"/>
      <c r="AC97" s="851"/>
      <c r="AD97" s="851"/>
      <c r="AE97" s="851"/>
      <c r="AF97" s="851"/>
      <c r="AG97" s="851"/>
      <c r="AH97" s="851"/>
      <c r="AI97" s="851"/>
      <c r="AJ97" s="851"/>
      <c r="AK97" s="851"/>
      <c r="AL97" s="852"/>
      <c r="AM97" s="917"/>
      <c r="AN97" s="712"/>
      <c r="AO97" s="712"/>
      <c r="AP97" s="712"/>
      <c r="AQ97" s="712"/>
      <c r="AR97" s="712"/>
      <c r="AS97" s="713"/>
      <c r="AT97" s="917"/>
      <c r="AU97" s="712"/>
      <c r="AV97" s="712"/>
      <c r="AW97" s="713"/>
      <c r="AX97" s="917"/>
      <c r="AY97" s="712"/>
      <c r="AZ97" s="712"/>
      <c r="BA97" s="712"/>
      <c r="BB97" s="712"/>
      <c r="BC97" s="713"/>
      <c r="BD97" s="917"/>
      <c r="BE97" s="712"/>
      <c r="BF97" s="712"/>
      <c r="BG97" s="713"/>
      <c r="BH97" s="918"/>
      <c r="BI97" s="712"/>
      <c r="BJ97" s="712"/>
      <c r="BK97" s="712"/>
      <c r="BL97" s="910"/>
      <c r="BN97" s="878"/>
      <c r="BO97" s="879"/>
      <c r="BP97" s="880"/>
      <c r="BT97" s="794"/>
      <c r="BU97" s="795"/>
      <c r="BV97" s="784" t="str">
        <f>IF(BT97="","-",(IF(INDEX($A$5:$BP$257,MATCH(BT97,$BN$5:$BN$257,0),50)="Aço Inoxidável",('Densidade do AR'!$S$8*1000000),IF(INDEX($A$5:$BP$257,MATCH(BT97,$BN$5:$BN$257,0),50)="Ferro Fundido",('Densidade do AR'!$S$12*1000000),IF(INDEX($A$5:$BP$257,MATCH(BT97,$BN$5:$BN$257,0),50)="Latão",('Densidade do AR'!$S$10*1000000),IF(INDEX($A$5:$BP$257,MATCH(BT97,$BN$5:$BN$257,0),50)="Alumínio",('Densidade do AR'!$S$4*1000000)))))))</f>
        <v>-</v>
      </c>
      <c r="BW97" s="785"/>
      <c r="BX97" s="785"/>
      <c r="BY97" s="786"/>
      <c r="BZ97" s="787" t="str">
        <f t="shared" si="30"/>
        <v>-</v>
      </c>
      <c r="CA97" s="788"/>
      <c r="CB97" s="788"/>
      <c r="CC97" s="789"/>
      <c r="CD97" s="787" t="str">
        <f t="shared" si="22"/>
        <v>-</v>
      </c>
      <c r="CE97" s="788"/>
      <c r="CF97" s="788"/>
      <c r="CG97" s="789"/>
      <c r="CH97" s="790" t="str">
        <f t="shared" si="31"/>
        <v>-</v>
      </c>
      <c r="CI97" s="785"/>
      <c r="CJ97" s="785"/>
      <c r="CK97" s="786"/>
      <c r="CL97" s="790" t="str">
        <f t="shared" si="23"/>
        <v>-</v>
      </c>
      <c r="CM97" s="785"/>
      <c r="CN97" s="785"/>
      <c r="CO97" s="786"/>
      <c r="CP97" s="790" t="str">
        <f>IF(BT97="","-",INDEX($A$5:$BP$257,MATCH(BT97,$BN$5:$BN$257,0),39)*(IF(BT97="","-",(1+(((-('Densidade do AR'!$M$4))+('Densidade do AR'!$T$15*1000000))/(IF(INDEX($A$5:$BP$257,MATCH(BT97,$BN$5:$BN$257,0),50)="Aço Inoxidável",('Densidade do AR'!$S$8*1000000),IF(INDEX($A$5:$BP$257,MATCH(BT97,$BN$5:$BN$257,0),50)="Ferro Fundido",('Densidade do AR'!$S$12*1000000),IF(INDEX($A$5:$BP$257,MATCH(BT97,$BN$5:$BN$257,0),50)="Latão",('Densidade do AR'!$S$10*1000000),IF(INDEX($A$5:$BP$257,MATCH(BT97,$BN$5:$BN$257,0),50)="Alumínio",('Densidade do AR'!$S$4*1000000)))))))-(((-('Densidade do AR'!$M$4))+('Densidade do AR'!$T$15*1000000))/('Densidade do AR'!$S$14*1000000))))))</f>
        <v>-</v>
      </c>
      <c r="CQ97" s="785"/>
      <c r="CR97" s="785"/>
      <c r="CS97" s="791"/>
      <c r="CT97" s="91" t="str">
        <f t="shared" si="32"/>
        <v>-</v>
      </c>
      <c r="CU97" s="794"/>
      <c r="CV97" s="795"/>
      <c r="CW97" s="784" t="str">
        <f>IF(CU97="","-",(IF(INDEX($A$5:$BP$257,MATCH(CU97,$BN$5:$BN$257,0),50)="Aço Inoxidável",('Densidade do AR'!$S$8*1000000),IF(INDEX($A$5:$BP$257,MATCH(CU97,$BN$5:$BN$257,0),50)="Ferro Fundido",('Densidade do AR'!$S$12*1000000),IF(INDEX($A$5:$BP$257,MATCH(CU97,$BN$5:$BN$257,0),50)="Latão",('Densidade do AR'!$S$10*1000000),IF(INDEX($A$5:$BP$257,MATCH(CU97,$BN$5:$BN$257,0),50)="Alumínio",('Densidade do AR'!$S$4*1000000)))))))</f>
        <v>-</v>
      </c>
      <c r="CX97" s="785"/>
      <c r="CY97" s="785"/>
      <c r="CZ97" s="786"/>
      <c r="DA97" s="787" t="str">
        <f t="shared" si="33"/>
        <v>-</v>
      </c>
      <c r="DB97" s="788"/>
      <c r="DC97" s="788"/>
      <c r="DD97" s="789"/>
      <c r="DE97" s="787" t="str">
        <f t="shared" si="24"/>
        <v>-</v>
      </c>
      <c r="DF97" s="788"/>
      <c r="DG97" s="788"/>
      <c r="DH97" s="789"/>
      <c r="DI97" s="790" t="str">
        <f t="shared" si="34"/>
        <v>-</v>
      </c>
      <c r="DJ97" s="785"/>
      <c r="DK97" s="785"/>
      <c r="DL97" s="786"/>
      <c r="DM97" s="790" t="str">
        <f t="shared" si="25"/>
        <v>-</v>
      </c>
      <c r="DN97" s="785"/>
      <c r="DO97" s="785"/>
      <c r="DP97" s="786"/>
      <c r="DQ97" s="790" t="str">
        <f>IF(CU97="","-",INDEX($A$5:$BP$257,MATCH(CU97,$BN$5:$BN$257,0),39)*(IF(CU97="","-",(1+(((-('Densidade do AR'!$M$4))+('Densidade do AR'!$T$15*1000000))/(IF(INDEX($A$5:$BP$257,MATCH(CU97,$BN$5:$BN$257,0),50)="Aço Inoxidável",('Densidade do AR'!$S$8*1000000),IF(INDEX($A$5:$BP$257,MATCH(CU97,$BN$5:$BN$257,0),50)="Ferro Fundido",('Densidade do AR'!$S$12*1000000),IF(INDEX($A$5:$BP$257,MATCH(CU97,$BN$5:$BN$257,0),50)="Latão",('Densidade do AR'!$S$10*1000000),IF(INDEX($A$5:$BP$257,MATCH(CU97,$BN$5:$BN$257,0),50)="Alumínio",('Densidade do AR'!$S$4*1000000)))))))-(((-('Densidade do AR'!$M$4))+('Densidade do AR'!$T$15*1000000))/('Densidade do AR'!$S$14*1000000))))))</f>
        <v>-</v>
      </c>
      <c r="DR97" s="785"/>
      <c r="DS97" s="785"/>
      <c r="DT97" s="791"/>
      <c r="DU97" s="91" t="str">
        <f t="shared" si="35"/>
        <v>-</v>
      </c>
      <c r="DV97" s="794"/>
      <c r="DW97" s="795"/>
      <c r="DX97" s="784" t="str">
        <f>IF(DV97="","-",(IF(INDEX($A$5:$BP$257,MATCH(DV97,$BN$5:$BN$257,0),50)="Aço Inoxidável",('Densidade do AR'!$S$8*1000000),IF(INDEX($A$5:$BP$257,MATCH(DV97,$BN$5:$BN$257,0),50)="Ferro Fundido",('Densidade do AR'!$S$12*1000000),IF(INDEX($A$5:$BP$257,MATCH(DV97,$BN$5:$BN$257,0),50)="Latão",('Densidade do AR'!$S$10*1000000),IF(INDEX($A$5:$BP$257,MATCH(DV97,$BN$5:$BN$257,0),50)="Alumínio",('Densidade do AR'!$S$4*1000000)))))))</f>
        <v>-</v>
      </c>
      <c r="DY97" s="785"/>
      <c r="DZ97" s="785"/>
      <c r="EA97" s="786"/>
      <c r="EB97" s="787" t="str">
        <f t="shared" si="36"/>
        <v>-</v>
      </c>
      <c r="EC97" s="788"/>
      <c r="ED97" s="788"/>
      <c r="EE97" s="789"/>
      <c r="EF97" s="787" t="str">
        <f t="shared" si="26"/>
        <v>-</v>
      </c>
      <c r="EG97" s="788"/>
      <c r="EH97" s="788"/>
      <c r="EI97" s="789"/>
      <c r="EJ97" s="790" t="str">
        <f t="shared" si="37"/>
        <v>-</v>
      </c>
      <c r="EK97" s="785"/>
      <c r="EL97" s="785"/>
      <c r="EM97" s="786"/>
      <c r="EN97" s="790" t="str">
        <f t="shared" si="27"/>
        <v>-</v>
      </c>
      <c r="EO97" s="785"/>
      <c r="EP97" s="785"/>
      <c r="EQ97" s="786"/>
      <c r="ER97" s="790" t="str">
        <f>IF(DV97="","-",INDEX($A$5:$BP$257,MATCH(DV97,$BN$5:$BN$257,0),39)*(IF(DV97="","-",(1+(((-('Densidade do AR'!$M$4))+('Densidade do AR'!$T$15*1000000))/(IF(INDEX($A$5:$BP$257,MATCH(DV97,$BN$5:$BN$257,0),50)="Aço Inoxidável",('Densidade do AR'!$S$8*1000000),IF(INDEX($A$5:$BP$257,MATCH(DV97,$BN$5:$BN$257,0),50)="Ferro Fundido",('Densidade do AR'!$S$12*1000000),IF(INDEX($A$5:$BP$257,MATCH(DV97,$BN$5:$BN$257,0),50)="Latão",('Densidade do AR'!$S$10*1000000),IF(INDEX($A$5:$BP$257,MATCH(DV97,$BN$5:$BN$257,0),50)="Alumínio",('Densidade do AR'!$S$4*1000000)))))))-(((-('Densidade do AR'!$M$4))+('Densidade do AR'!$T$15*1000000))/('Densidade do AR'!$S$14*1000000))))))</f>
        <v>-</v>
      </c>
      <c r="ES97" s="785"/>
      <c r="ET97" s="785"/>
      <c r="EU97" s="791"/>
      <c r="EV97" s="91" t="str">
        <f t="shared" si="38"/>
        <v>-</v>
      </c>
      <c r="EW97" s="794"/>
      <c r="EX97" s="795"/>
      <c r="EY97" s="784" t="str">
        <f>IF(EW97="","-",(IF(INDEX($A$5:$BP$257,MATCH(EW97,$BN$5:$BN$257,0),50)="Aço Inoxidável",('Densidade do AR'!$S$8*1000000),IF(INDEX($A$5:$BP$257,MATCH(EW97,$BN$5:$BN$257,0),50)="Ferro Fundido",('Densidade do AR'!$S$12*1000000),IF(INDEX($A$5:$BP$257,MATCH(EW97,$BN$5:$BN$257,0),50)="Latão",('Densidade do AR'!$S$10*1000000),IF(INDEX($A$5:$BP$257,MATCH(EW97,$BN$5:$BN$257,0),50)="Alumínio",('Densidade do AR'!$S$4*1000000)))))))</f>
        <v>-</v>
      </c>
      <c r="EZ97" s="785"/>
      <c r="FA97" s="785"/>
      <c r="FB97" s="786"/>
      <c r="FC97" s="787" t="str">
        <f t="shared" si="39"/>
        <v>-</v>
      </c>
      <c r="FD97" s="788"/>
      <c r="FE97" s="788"/>
      <c r="FF97" s="789"/>
      <c r="FG97" s="787" t="str">
        <f t="shared" si="28"/>
        <v>-</v>
      </c>
      <c r="FH97" s="788"/>
      <c r="FI97" s="788"/>
      <c r="FJ97" s="789"/>
      <c r="FK97" s="790" t="str">
        <f t="shared" si="40"/>
        <v>-</v>
      </c>
      <c r="FL97" s="785"/>
      <c r="FM97" s="785"/>
      <c r="FN97" s="786"/>
      <c r="FO97" s="790" t="str">
        <f t="shared" si="29"/>
        <v>-</v>
      </c>
      <c r="FP97" s="785"/>
      <c r="FQ97" s="785"/>
      <c r="FR97" s="786"/>
      <c r="FS97" s="790" t="str">
        <f>IF(EW97="","-",INDEX($A$5:$BP$257,MATCH(EW97,$BN$5:$BN$257,0),39)*(IF(EW97="","-",(1+(((-('Densidade do AR'!$M$4))+('Densidade do AR'!$T$15*1000000))/(IF(INDEX($A$5:$BP$257,MATCH(EW97,$BN$5:$BN$257,0),50)="Aço Inoxidável",('Densidade do AR'!$S$8*1000000),IF(INDEX($A$5:$BP$257,MATCH(EW97,$BN$5:$BN$257,0),50)="Ferro Fundido",('Densidade do AR'!$S$12*1000000),IF(INDEX($A$5:$BP$257,MATCH(EW97,$BN$5:$BN$257,0),50)="Latão",('Densidade do AR'!$S$10*1000000),IF(INDEX($A$5:$BP$257,MATCH(EW97,$BN$5:$BN$257,0),50)="Alumínio",('Densidade do AR'!$S$4*1000000)))))))-(((-('Densidade do AR'!$M$4))+('Densidade do AR'!$T$15*1000000))/('Densidade do AR'!$S$14*1000000))))))</f>
        <v>-</v>
      </c>
      <c r="FT97" s="785"/>
      <c r="FU97" s="785"/>
      <c r="FV97" s="791"/>
      <c r="FW97" s="91" t="str">
        <f t="shared" si="41"/>
        <v>-</v>
      </c>
      <c r="FX97" s="135"/>
    </row>
    <row r="98" spans="1:180" ht="12.75" customHeight="1" x14ac:dyDescent="0.2">
      <c r="A98" s="718">
        <v>94</v>
      </c>
      <c r="B98" s="713"/>
      <c r="C98" s="719"/>
      <c r="D98" s="709"/>
      <c r="E98" s="709"/>
      <c r="F98" s="709"/>
      <c r="G98" s="710"/>
      <c r="H98" s="720"/>
      <c r="I98" s="712"/>
      <c r="J98" s="712"/>
      <c r="K98" s="713"/>
      <c r="L98" s="719"/>
      <c r="M98" s="709"/>
      <c r="N98" s="709"/>
      <c r="O98" s="709"/>
      <c r="P98" s="719"/>
      <c r="Q98" s="709"/>
      <c r="R98" s="709"/>
      <c r="S98" s="709"/>
      <c r="T98" s="710"/>
      <c r="U98" s="721"/>
      <c r="V98" s="722"/>
      <c r="W98" s="722"/>
      <c r="X98" s="722"/>
      <c r="Y98" s="722"/>
      <c r="Z98" s="722"/>
      <c r="AA98" s="723"/>
      <c r="AB98" s="853"/>
      <c r="AC98" s="854"/>
      <c r="AD98" s="854"/>
      <c r="AE98" s="854"/>
      <c r="AF98" s="854"/>
      <c r="AG98" s="854"/>
      <c r="AH98" s="854"/>
      <c r="AI98" s="854"/>
      <c r="AJ98" s="854"/>
      <c r="AK98" s="854"/>
      <c r="AL98" s="855"/>
      <c r="AM98" s="909"/>
      <c r="AN98" s="712"/>
      <c r="AO98" s="712"/>
      <c r="AP98" s="712"/>
      <c r="AQ98" s="712"/>
      <c r="AR98" s="712"/>
      <c r="AS98" s="713"/>
      <c r="AT98" s="909"/>
      <c r="AU98" s="712"/>
      <c r="AV98" s="712"/>
      <c r="AW98" s="713"/>
      <c r="AX98" s="908"/>
      <c r="AY98" s="712"/>
      <c r="AZ98" s="712"/>
      <c r="BA98" s="712"/>
      <c r="BB98" s="712"/>
      <c r="BC98" s="713"/>
      <c r="BD98" s="909"/>
      <c r="BE98" s="712"/>
      <c r="BF98" s="712"/>
      <c r="BG98" s="713"/>
      <c r="BH98" s="908"/>
      <c r="BI98" s="712"/>
      <c r="BJ98" s="712"/>
      <c r="BK98" s="712"/>
      <c r="BL98" s="910"/>
      <c r="BN98" s="881"/>
      <c r="BO98" s="882"/>
      <c r="BP98" s="883"/>
      <c r="BT98" s="792"/>
      <c r="BU98" s="793"/>
      <c r="BV98" s="738" t="str">
        <f>IF(BT98="","-",(IF(INDEX($A$5:$BP$257,MATCH(BT98,$BN$5:$BN$257,0),50)="Aço Inoxidável",('Densidade do AR'!$S$8*1000000),IF(INDEX($A$5:$BP$257,MATCH(BT98,$BN$5:$BN$257,0),50)="Ferro Fundido",('Densidade do AR'!$S$12*1000000),IF(INDEX($A$5:$BP$257,MATCH(BT98,$BN$5:$BN$257,0),50)="Latão",('Densidade do AR'!$S$10*1000000),IF(INDEX($A$5:$BP$257,MATCH(BT98,$BN$5:$BN$257,0),50)="Alumínio",('Densidade do AR'!$S$4*1000000)))))))</f>
        <v>-</v>
      </c>
      <c r="BW98" s="739"/>
      <c r="BX98" s="739"/>
      <c r="BY98" s="740"/>
      <c r="BZ98" s="741" t="str">
        <f t="shared" si="30"/>
        <v>-</v>
      </c>
      <c r="CA98" s="742"/>
      <c r="CB98" s="742"/>
      <c r="CC98" s="743"/>
      <c r="CD98" s="741" t="str">
        <f t="shared" si="22"/>
        <v>-</v>
      </c>
      <c r="CE98" s="742"/>
      <c r="CF98" s="742"/>
      <c r="CG98" s="743"/>
      <c r="CH98" s="744" t="str">
        <f t="shared" si="31"/>
        <v>-</v>
      </c>
      <c r="CI98" s="739"/>
      <c r="CJ98" s="739"/>
      <c r="CK98" s="740"/>
      <c r="CL98" s="744" t="str">
        <f t="shared" si="23"/>
        <v>-</v>
      </c>
      <c r="CM98" s="739"/>
      <c r="CN98" s="739"/>
      <c r="CO98" s="740"/>
      <c r="CP98" s="744" t="str">
        <f>IF(BT98="","-",INDEX($A$5:$BP$257,MATCH(BT98,$BN$5:$BN$257,0),39)*(IF(BT98="","-",(1+(((-('Densidade do AR'!$M$4))+('Densidade do AR'!$T$15*1000000))/(IF(INDEX($A$5:$BP$257,MATCH(BT98,$BN$5:$BN$257,0),50)="Aço Inoxidável",('Densidade do AR'!$S$8*1000000),IF(INDEX($A$5:$BP$257,MATCH(BT98,$BN$5:$BN$257,0),50)="Ferro Fundido",('Densidade do AR'!$S$12*1000000),IF(INDEX($A$5:$BP$257,MATCH(BT98,$BN$5:$BN$257,0),50)="Latão",('Densidade do AR'!$S$10*1000000),IF(INDEX($A$5:$BP$257,MATCH(BT98,$BN$5:$BN$257,0),50)="Alumínio",('Densidade do AR'!$S$4*1000000)))))))-(((-('Densidade do AR'!$M$4))+('Densidade do AR'!$T$15*1000000))/('Densidade do AR'!$S$14*1000000))))))</f>
        <v>-</v>
      </c>
      <c r="CQ98" s="739"/>
      <c r="CR98" s="739"/>
      <c r="CS98" s="745"/>
      <c r="CT98" s="91" t="str">
        <f t="shared" si="32"/>
        <v>-</v>
      </c>
      <c r="CU98" s="792"/>
      <c r="CV98" s="793"/>
      <c r="CW98" s="738" t="str">
        <f>IF(CU98="","-",(IF(INDEX($A$5:$BP$257,MATCH(CU98,$BN$5:$BN$257,0),50)="Aço Inoxidável",('Densidade do AR'!$S$8*1000000),IF(INDEX($A$5:$BP$257,MATCH(CU98,$BN$5:$BN$257,0),50)="Ferro Fundido",('Densidade do AR'!$S$12*1000000),IF(INDEX($A$5:$BP$257,MATCH(CU98,$BN$5:$BN$257,0),50)="Latão",('Densidade do AR'!$S$10*1000000),IF(INDEX($A$5:$BP$257,MATCH(CU98,$BN$5:$BN$257,0),50)="Alumínio",('Densidade do AR'!$S$4*1000000)))))))</f>
        <v>-</v>
      </c>
      <c r="CX98" s="739"/>
      <c r="CY98" s="739"/>
      <c r="CZ98" s="740"/>
      <c r="DA98" s="741" t="str">
        <f t="shared" si="33"/>
        <v>-</v>
      </c>
      <c r="DB98" s="742"/>
      <c r="DC98" s="742"/>
      <c r="DD98" s="743"/>
      <c r="DE98" s="741" t="str">
        <f t="shared" si="24"/>
        <v>-</v>
      </c>
      <c r="DF98" s="742"/>
      <c r="DG98" s="742"/>
      <c r="DH98" s="743"/>
      <c r="DI98" s="744" t="str">
        <f t="shared" si="34"/>
        <v>-</v>
      </c>
      <c r="DJ98" s="739"/>
      <c r="DK98" s="739"/>
      <c r="DL98" s="740"/>
      <c r="DM98" s="744" t="str">
        <f t="shared" si="25"/>
        <v>-</v>
      </c>
      <c r="DN98" s="739"/>
      <c r="DO98" s="739"/>
      <c r="DP98" s="740"/>
      <c r="DQ98" s="744" t="str">
        <f>IF(CU98="","-",INDEX($A$5:$BP$257,MATCH(CU98,$BN$5:$BN$257,0),39)*(IF(CU98="","-",(1+(((-('Densidade do AR'!$M$4))+('Densidade do AR'!$T$15*1000000))/(IF(INDEX($A$5:$BP$257,MATCH(CU98,$BN$5:$BN$257,0),50)="Aço Inoxidável",('Densidade do AR'!$S$8*1000000),IF(INDEX($A$5:$BP$257,MATCH(CU98,$BN$5:$BN$257,0),50)="Ferro Fundido",('Densidade do AR'!$S$12*1000000),IF(INDEX($A$5:$BP$257,MATCH(CU98,$BN$5:$BN$257,0),50)="Latão",('Densidade do AR'!$S$10*1000000),IF(INDEX($A$5:$BP$257,MATCH(CU98,$BN$5:$BN$257,0),50)="Alumínio",('Densidade do AR'!$S$4*1000000)))))))-(((-('Densidade do AR'!$M$4))+('Densidade do AR'!$T$15*1000000))/('Densidade do AR'!$S$14*1000000))))))</f>
        <v>-</v>
      </c>
      <c r="DR98" s="739"/>
      <c r="DS98" s="739"/>
      <c r="DT98" s="745"/>
      <c r="DU98" s="91" t="str">
        <f t="shared" si="35"/>
        <v>-</v>
      </c>
      <c r="DV98" s="792"/>
      <c r="DW98" s="793"/>
      <c r="DX98" s="738" t="str">
        <f>IF(DV98="","-",(IF(INDEX($A$5:$BP$257,MATCH(DV98,$BN$5:$BN$257,0),50)="Aço Inoxidável",('Densidade do AR'!$S$8*1000000),IF(INDEX($A$5:$BP$257,MATCH(DV98,$BN$5:$BN$257,0),50)="Ferro Fundido",('Densidade do AR'!$S$12*1000000),IF(INDEX($A$5:$BP$257,MATCH(DV98,$BN$5:$BN$257,0),50)="Latão",('Densidade do AR'!$S$10*1000000),IF(INDEX($A$5:$BP$257,MATCH(DV98,$BN$5:$BN$257,0),50)="Alumínio",('Densidade do AR'!$S$4*1000000)))))))</f>
        <v>-</v>
      </c>
      <c r="DY98" s="739"/>
      <c r="DZ98" s="739"/>
      <c r="EA98" s="740"/>
      <c r="EB98" s="741" t="str">
        <f t="shared" si="36"/>
        <v>-</v>
      </c>
      <c r="EC98" s="742"/>
      <c r="ED98" s="742"/>
      <c r="EE98" s="743"/>
      <c r="EF98" s="741" t="str">
        <f t="shared" si="26"/>
        <v>-</v>
      </c>
      <c r="EG98" s="742"/>
      <c r="EH98" s="742"/>
      <c r="EI98" s="743"/>
      <c r="EJ98" s="744" t="str">
        <f t="shared" si="37"/>
        <v>-</v>
      </c>
      <c r="EK98" s="739"/>
      <c r="EL98" s="739"/>
      <c r="EM98" s="740"/>
      <c r="EN98" s="744" t="str">
        <f t="shared" si="27"/>
        <v>-</v>
      </c>
      <c r="EO98" s="739"/>
      <c r="EP98" s="739"/>
      <c r="EQ98" s="740"/>
      <c r="ER98" s="744" t="str">
        <f>IF(DV98="","-",INDEX($A$5:$BP$257,MATCH(DV98,$BN$5:$BN$257,0),39)*(IF(DV98="","-",(1+(((-('Densidade do AR'!$M$4))+('Densidade do AR'!$T$15*1000000))/(IF(INDEX($A$5:$BP$257,MATCH(DV98,$BN$5:$BN$257,0),50)="Aço Inoxidável",('Densidade do AR'!$S$8*1000000),IF(INDEX($A$5:$BP$257,MATCH(DV98,$BN$5:$BN$257,0),50)="Ferro Fundido",('Densidade do AR'!$S$12*1000000),IF(INDEX($A$5:$BP$257,MATCH(DV98,$BN$5:$BN$257,0),50)="Latão",('Densidade do AR'!$S$10*1000000),IF(INDEX($A$5:$BP$257,MATCH(DV98,$BN$5:$BN$257,0),50)="Alumínio",('Densidade do AR'!$S$4*1000000)))))))-(((-('Densidade do AR'!$M$4))+('Densidade do AR'!$T$15*1000000))/('Densidade do AR'!$S$14*1000000))))))</f>
        <v>-</v>
      </c>
      <c r="ES98" s="739"/>
      <c r="ET98" s="739"/>
      <c r="EU98" s="745"/>
      <c r="EV98" s="91" t="str">
        <f t="shared" si="38"/>
        <v>-</v>
      </c>
      <c r="EW98" s="792"/>
      <c r="EX98" s="793"/>
      <c r="EY98" s="738" t="str">
        <f>IF(EW98="","-",(IF(INDEX($A$5:$BP$257,MATCH(EW98,$BN$5:$BN$257,0),50)="Aço Inoxidável",('Densidade do AR'!$S$8*1000000),IF(INDEX($A$5:$BP$257,MATCH(EW98,$BN$5:$BN$257,0),50)="Ferro Fundido",('Densidade do AR'!$S$12*1000000),IF(INDEX($A$5:$BP$257,MATCH(EW98,$BN$5:$BN$257,0),50)="Latão",('Densidade do AR'!$S$10*1000000),IF(INDEX($A$5:$BP$257,MATCH(EW98,$BN$5:$BN$257,0),50)="Alumínio",('Densidade do AR'!$S$4*1000000)))))))</f>
        <v>-</v>
      </c>
      <c r="EZ98" s="739"/>
      <c r="FA98" s="739"/>
      <c r="FB98" s="740"/>
      <c r="FC98" s="741" t="str">
        <f t="shared" si="39"/>
        <v>-</v>
      </c>
      <c r="FD98" s="742"/>
      <c r="FE98" s="742"/>
      <c r="FF98" s="743"/>
      <c r="FG98" s="741" t="str">
        <f t="shared" si="28"/>
        <v>-</v>
      </c>
      <c r="FH98" s="742"/>
      <c r="FI98" s="742"/>
      <c r="FJ98" s="743"/>
      <c r="FK98" s="744" t="str">
        <f t="shared" si="40"/>
        <v>-</v>
      </c>
      <c r="FL98" s="739"/>
      <c r="FM98" s="739"/>
      <c r="FN98" s="740"/>
      <c r="FO98" s="744" t="str">
        <f t="shared" si="29"/>
        <v>-</v>
      </c>
      <c r="FP98" s="739"/>
      <c r="FQ98" s="739"/>
      <c r="FR98" s="740"/>
      <c r="FS98" s="744" t="str">
        <f>IF(EW98="","-",INDEX($A$5:$BP$257,MATCH(EW98,$BN$5:$BN$257,0),39)*(IF(EW98="","-",(1+(((-('Densidade do AR'!$M$4))+('Densidade do AR'!$T$15*1000000))/(IF(INDEX($A$5:$BP$257,MATCH(EW98,$BN$5:$BN$257,0),50)="Aço Inoxidável",('Densidade do AR'!$S$8*1000000),IF(INDEX($A$5:$BP$257,MATCH(EW98,$BN$5:$BN$257,0),50)="Ferro Fundido",('Densidade do AR'!$S$12*1000000),IF(INDEX($A$5:$BP$257,MATCH(EW98,$BN$5:$BN$257,0),50)="Latão",('Densidade do AR'!$S$10*1000000),IF(INDEX($A$5:$BP$257,MATCH(EW98,$BN$5:$BN$257,0),50)="Alumínio",('Densidade do AR'!$S$4*1000000)))))))-(((-('Densidade do AR'!$M$4))+('Densidade do AR'!$T$15*1000000))/('Densidade do AR'!$S$14*1000000))))))</f>
        <v>-</v>
      </c>
      <c r="FT98" s="739"/>
      <c r="FU98" s="739"/>
      <c r="FV98" s="745"/>
      <c r="FW98" s="91" t="str">
        <f t="shared" si="41"/>
        <v>-</v>
      </c>
      <c r="FX98" s="135"/>
    </row>
    <row r="99" spans="1:180" ht="12.75" customHeight="1" x14ac:dyDescent="0.2">
      <c r="A99" s="717">
        <v>95</v>
      </c>
      <c r="B99" s="713"/>
      <c r="C99" s="708"/>
      <c r="D99" s="709"/>
      <c r="E99" s="709"/>
      <c r="F99" s="709"/>
      <c r="G99" s="710"/>
      <c r="H99" s="711"/>
      <c r="I99" s="712"/>
      <c r="J99" s="712"/>
      <c r="K99" s="713"/>
      <c r="L99" s="708"/>
      <c r="M99" s="709"/>
      <c r="N99" s="709"/>
      <c r="O99" s="709"/>
      <c r="P99" s="708"/>
      <c r="Q99" s="709"/>
      <c r="R99" s="709"/>
      <c r="S99" s="709"/>
      <c r="T99" s="710"/>
      <c r="U99" s="714"/>
      <c r="V99" s="715"/>
      <c r="W99" s="715"/>
      <c r="X99" s="715"/>
      <c r="Y99" s="715"/>
      <c r="Z99" s="715"/>
      <c r="AA99" s="716"/>
      <c r="AB99" s="850"/>
      <c r="AC99" s="851"/>
      <c r="AD99" s="851"/>
      <c r="AE99" s="851"/>
      <c r="AF99" s="851"/>
      <c r="AG99" s="851"/>
      <c r="AH99" s="851"/>
      <c r="AI99" s="851"/>
      <c r="AJ99" s="851"/>
      <c r="AK99" s="851"/>
      <c r="AL99" s="852"/>
      <c r="AM99" s="917"/>
      <c r="AN99" s="712"/>
      <c r="AO99" s="712"/>
      <c r="AP99" s="712"/>
      <c r="AQ99" s="712"/>
      <c r="AR99" s="712"/>
      <c r="AS99" s="713"/>
      <c r="AT99" s="917"/>
      <c r="AU99" s="712"/>
      <c r="AV99" s="712"/>
      <c r="AW99" s="713"/>
      <c r="AX99" s="917"/>
      <c r="AY99" s="712"/>
      <c r="AZ99" s="712"/>
      <c r="BA99" s="712"/>
      <c r="BB99" s="712"/>
      <c r="BC99" s="713"/>
      <c r="BD99" s="917"/>
      <c r="BE99" s="712"/>
      <c r="BF99" s="712"/>
      <c r="BG99" s="713"/>
      <c r="BH99" s="918"/>
      <c r="BI99" s="712"/>
      <c r="BJ99" s="712"/>
      <c r="BK99" s="712"/>
      <c r="BL99" s="910"/>
      <c r="BN99" s="878"/>
      <c r="BO99" s="879"/>
      <c r="BP99" s="880"/>
      <c r="BT99" s="794"/>
      <c r="BU99" s="795"/>
      <c r="BV99" s="784" t="str">
        <f>IF(BT99="","-",(IF(INDEX($A$5:$BP$257,MATCH(BT99,$BN$5:$BN$257,0),50)="Aço Inoxidável",('Densidade do AR'!$S$8*1000000),IF(INDEX($A$5:$BP$257,MATCH(BT99,$BN$5:$BN$257,0),50)="Ferro Fundido",('Densidade do AR'!$S$12*1000000),IF(INDEX($A$5:$BP$257,MATCH(BT99,$BN$5:$BN$257,0),50)="Latão",('Densidade do AR'!$S$10*1000000),IF(INDEX($A$5:$BP$257,MATCH(BT99,$BN$5:$BN$257,0),50)="Alumínio",('Densidade do AR'!$S$4*1000000)))))))</f>
        <v>-</v>
      </c>
      <c r="BW99" s="785"/>
      <c r="BX99" s="785"/>
      <c r="BY99" s="786"/>
      <c r="BZ99" s="787" t="str">
        <f t="shared" si="30"/>
        <v>-</v>
      </c>
      <c r="CA99" s="788"/>
      <c r="CB99" s="788"/>
      <c r="CC99" s="789"/>
      <c r="CD99" s="787" t="str">
        <f t="shared" si="22"/>
        <v>-</v>
      </c>
      <c r="CE99" s="788"/>
      <c r="CF99" s="788"/>
      <c r="CG99" s="789"/>
      <c r="CH99" s="790" t="str">
        <f t="shared" si="31"/>
        <v>-</v>
      </c>
      <c r="CI99" s="785"/>
      <c r="CJ99" s="785"/>
      <c r="CK99" s="786"/>
      <c r="CL99" s="790" t="str">
        <f t="shared" si="23"/>
        <v>-</v>
      </c>
      <c r="CM99" s="785"/>
      <c r="CN99" s="785"/>
      <c r="CO99" s="786"/>
      <c r="CP99" s="790" t="str">
        <f>IF(BT99="","-",INDEX($A$5:$BP$257,MATCH(BT99,$BN$5:$BN$257,0),39)*(IF(BT99="","-",(1+(((-('Densidade do AR'!$M$4))+('Densidade do AR'!$T$15*1000000))/(IF(INDEX($A$5:$BP$257,MATCH(BT99,$BN$5:$BN$257,0),50)="Aço Inoxidável",('Densidade do AR'!$S$8*1000000),IF(INDEX($A$5:$BP$257,MATCH(BT99,$BN$5:$BN$257,0),50)="Ferro Fundido",('Densidade do AR'!$S$12*1000000),IF(INDEX($A$5:$BP$257,MATCH(BT99,$BN$5:$BN$257,0),50)="Latão",('Densidade do AR'!$S$10*1000000),IF(INDEX($A$5:$BP$257,MATCH(BT99,$BN$5:$BN$257,0),50)="Alumínio",('Densidade do AR'!$S$4*1000000)))))))-(((-('Densidade do AR'!$M$4))+('Densidade do AR'!$T$15*1000000))/('Densidade do AR'!$S$14*1000000))))))</f>
        <v>-</v>
      </c>
      <c r="CQ99" s="785"/>
      <c r="CR99" s="785"/>
      <c r="CS99" s="791"/>
      <c r="CT99" s="91" t="str">
        <f t="shared" si="32"/>
        <v>-</v>
      </c>
      <c r="CU99" s="794"/>
      <c r="CV99" s="795"/>
      <c r="CW99" s="784" t="str">
        <f>IF(CU99="","-",(IF(INDEX($A$5:$BP$257,MATCH(CU99,$BN$5:$BN$257,0),50)="Aço Inoxidável",('Densidade do AR'!$S$8*1000000),IF(INDEX($A$5:$BP$257,MATCH(CU99,$BN$5:$BN$257,0),50)="Ferro Fundido",('Densidade do AR'!$S$12*1000000),IF(INDEX($A$5:$BP$257,MATCH(CU99,$BN$5:$BN$257,0),50)="Latão",('Densidade do AR'!$S$10*1000000),IF(INDEX($A$5:$BP$257,MATCH(CU99,$BN$5:$BN$257,0),50)="Alumínio",('Densidade do AR'!$S$4*1000000)))))))</f>
        <v>-</v>
      </c>
      <c r="CX99" s="785"/>
      <c r="CY99" s="785"/>
      <c r="CZ99" s="786"/>
      <c r="DA99" s="787" t="str">
        <f t="shared" si="33"/>
        <v>-</v>
      </c>
      <c r="DB99" s="788"/>
      <c r="DC99" s="788"/>
      <c r="DD99" s="789"/>
      <c r="DE99" s="787" t="str">
        <f t="shared" si="24"/>
        <v>-</v>
      </c>
      <c r="DF99" s="788"/>
      <c r="DG99" s="788"/>
      <c r="DH99" s="789"/>
      <c r="DI99" s="790" t="str">
        <f t="shared" si="34"/>
        <v>-</v>
      </c>
      <c r="DJ99" s="785"/>
      <c r="DK99" s="785"/>
      <c r="DL99" s="786"/>
      <c r="DM99" s="790" t="str">
        <f t="shared" si="25"/>
        <v>-</v>
      </c>
      <c r="DN99" s="785"/>
      <c r="DO99" s="785"/>
      <c r="DP99" s="786"/>
      <c r="DQ99" s="790" t="str">
        <f>IF(CU99="","-",INDEX($A$5:$BP$257,MATCH(CU99,$BN$5:$BN$257,0),39)*(IF(CU99="","-",(1+(((-('Densidade do AR'!$M$4))+('Densidade do AR'!$T$15*1000000))/(IF(INDEX($A$5:$BP$257,MATCH(CU99,$BN$5:$BN$257,0),50)="Aço Inoxidável",('Densidade do AR'!$S$8*1000000),IF(INDEX($A$5:$BP$257,MATCH(CU99,$BN$5:$BN$257,0),50)="Ferro Fundido",('Densidade do AR'!$S$12*1000000),IF(INDEX($A$5:$BP$257,MATCH(CU99,$BN$5:$BN$257,0),50)="Latão",('Densidade do AR'!$S$10*1000000),IF(INDEX($A$5:$BP$257,MATCH(CU99,$BN$5:$BN$257,0),50)="Alumínio",('Densidade do AR'!$S$4*1000000)))))))-(((-('Densidade do AR'!$M$4))+('Densidade do AR'!$T$15*1000000))/('Densidade do AR'!$S$14*1000000))))))</f>
        <v>-</v>
      </c>
      <c r="DR99" s="785"/>
      <c r="DS99" s="785"/>
      <c r="DT99" s="791"/>
      <c r="DU99" s="91" t="str">
        <f t="shared" si="35"/>
        <v>-</v>
      </c>
      <c r="DV99" s="794"/>
      <c r="DW99" s="795"/>
      <c r="DX99" s="784" t="str">
        <f>IF(DV99="","-",(IF(INDEX($A$5:$BP$257,MATCH(DV99,$BN$5:$BN$257,0),50)="Aço Inoxidável",('Densidade do AR'!$S$8*1000000),IF(INDEX($A$5:$BP$257,MATCH(DV99,$BN$5:$BN$257,0),50)="Ferro Fundido",('Densidade do AR'!$S$12*1000000),IF(INDEX($A$5:$BP$257,MATCH(DV99,$BN$5:$BN$257,0),50)="Latão",('Densidade do AR'!$S$10*1000000),IF(INDEX($A$5:$BP$257,MATCH(DV99,$BN$5:$BN$257,0),50)="Alumínio",('Densidade do AR'!$S$4*1000000)))))))</f>
        <v>-</v>
      </c>
      <c r="DY99" s="785"/>
      <c r="DZ99" s="785"/>
      <c r="EA99" s="786"/>
      <c r="EB99" s="787" t="str">
        <f t="shared" si="36"/>
        <v>-</v>
      </c>
      <c r="EC99" s="788"/>
      <c r="ED99" s="788"/>
      <c r="EE99" s="789"/>
      <c r="EF99" s="787" t="str">
        <f t="shared" si="26"/>
        <v>-</v>
      </c>
      <c r="EG99" s="788"/>
      <c r="EH99" s="788"/>
      <c r="EI99" s="789"/>
      <c r="EJ99" s="790" t="str">
        <f t="shared" si="37"/>
        <v>-</v>
      </c>
      <c r="EK99" s="785"/>
      <c r="EL99" s="785"/>
      <c r="EM99" s="786"/>
      <c r="EN99" s="790" t="str">
        <f t="shared" si="27"/>
        <v>-</v>
      </c>
      <c r="EO99" s="785"/>
      <c r="EP99" s="785"/>
      <c r="EQ99" s="786"/>
      <c r="ER99" s="790" t="str">
        <f>IF(DV99="","-",INDEX($A$5:$BP$257,MATCH(DV99,$BN$5:$BN$257,0),39)*(IF(DV99="","-",(1+(((-('Densidade do AR'!$M$4))+('Densidade do AR'!$T$15*1000000))/(IF(INDEX($A$5:$BP$257,MATCH(DV99,$BN$5:$BN$257,0),50)="Aço Inoxidável",('Densidade do AR'!$S$8*1000000),IF(INDEX($A$5:$BP$257,MATCH(DV99,$BN$5:$BN$257,0),50)="Ferro Fundido",('Densidade do AR'!$S$12*1000000),IF(INDEX($A$5:$BP$257,MATCH(DV99,$BN$5:$BN$257,0),50)="Latão",('Densidade do AR'!$S$10*1000000),IF(INDEX($A$5:$BP$257,MATCH(DV99,$BN$5:$BN$257,0),50)="Alumínio",('Densidade do AR'!$S$4*1000000)))))))-(((-('Densidade do AR'!$M$4))+('Densidade do AR'!$T$15*1000000))/('Densidade do AR'!$S$14*1000000))))))</f>
        <v>-</v>
      </c>
      <c r="ES99" s="785"/>
      <c r="ET99" s="785"/>
      <c r="EU99" s="791"/>
      <c r="EV99" s="91" t="str">
        <f t="shared" si="38"/>
        <v>-</v>
      </c>
      <c r="EW99" s="794"/>
      <c r="EX99" s="795"/>
      <c r="EY99" s="784" t="str">
        <f>IF(EW99="","-",(IF(INDEX($A$5:$BP$257,MATCH(EW99,$BN$5:$BN$257,0),50)="Aço Inoxidável",('Densidade do AR'!$S$8*1000000),IF(INDEX($A$5:$BP$257,MATCH(EW99,$BN$5:$BN$257,0),50)="Ferro Fundido",('Densidade do AR'!$S$12*1000000),IF(INDEX($A$5:$BP$257,MATCH(EW99,$BN$5:$BN$257,0),50)="Latão",('Densidade do AR'!$S$10*1000000),IF(INDEX($A$5:$BP$257,MATCH(EW99,$BN$5:$BN$257,0),50)="Alumínio",('Densidade do AR'!$S$4*1000000)))))))</f>
        <v>-</v>
      </c>
      <c r="EZ99" s="785"/>
      <c r="FA99" s="785"/>
      <c r="FB99" s="786"/>
      <c r="FC99" s="787" t="str">
        <f t="shared" si="39"/>
        <v>-</v>
      </c>
      <c r="FD99" s="788"/>
      <c r="FE99" s="788"/>
      <c r="FF99" s="789"/>
      <c r="FG99" s="787" t="str">
        <f t="shared" si="28"/>
        <v>-</v>
      </c>
      <c r="FH99" s="788"/>
      <c r="FI99" s="788"/>
      <c r="FJ99" s="789"/>
      <c r="FK99" s="790" t="str">
        <f t="shared" si="40"/>
        <v>-</v>
      </c>
      <c r="FL99" s="785"/>
      <c r="FM99" s="785"/>
      <c r="FN99" s="786"/>
      <c r="FO99" s="790" t="str">
        <f t="shared" si="29"/>
        <v>-</v>
      </c>
      <c r="FP99" s="785"/>
      <c r="FQ99" s="785"/>
      <c r="FR99" s="786"/>
      <c r="FS99" s="790" t="str">
        <f>IF(EW99="","-",INDEX($A$5:$BP$257,MATCH(EW99,$BN$5:$BN$257,0),39)*(IF(EW99="","-",(1+(((-('Densidade do AR'!$M$4))+('Densidade do AR'!$T$15*1000000))/(IF(INDEX($A$5:$BP$257,MATCH(EW99,$BN$5:$BN$257,0),50)="Aço Inoxidável",('Densidade do AR'!$S$8*1000000),IF(INDEX($A$5:$BP$257,MATCH(EW99,$BN$5:$BN$257,0),50)="Ferro Fundido",('Densidade do AR'!$S$12*1000000),IF(INDEX($A$5:$BP$257,MATCH(EW99,$BN$5:$BN$257,0),50)="Latão",('Densidade do AR'!$S$10*1000000),IF(INDEX($A$5:$BP$257,MATCH(EW99,$BN$5:$BN$257,0),50)="Alumínio",('Densidade do AR'!$S$4*1000000)))))))-(((-('Densidade do AR'!$M$4))+('Densidade do AR'!$T$15*1000000))/('Densidade do AR'!$S$14*1000000))))))</f>
        <v>-</v>
      </c>
      <c r="FT99" s="785"/>
      <c r="FU99" s="785"/>
      <c r="FV99" s="791"/>
      <c r="FW99" s="91" t="str">
        <f t="shared" si="41"/>
        <v>-</v>
      </c>
      <c r="FX99" s="135"/>
    </row>
    <row r="100" spans="1:180" ht="12.75" customHeight="1" x14ac:dyDescent="0.2">
      <c r="A100" s="718">
        <v>96</v>
      </c>
      <c r="B100" s="713"/>
      <c r="C100" s="719"/>
      <c r="D100" s="709"/>
      <c r="E100" s="709"/>
      <c r="F100" s="709"/>
      <c r="G100" s="710"/>
      <c r="H100" s="720"/>
      <c r="I100" s="712"/>
      <c r="J100" s="712"/>
      <c r="K100" s="713"/>
      <c r="L100" s="719"/>
      <c r="M100" s="709"/>
      <c r="N100" s="709"/>
      <c r="O100" s="709"/>
      <c r="P100" s="719"/>
      <c r="Q100" s="709"/>
      <c r="R100" s="709"/>
      <c r="S100" s="709"/>
      <c r="T100" s="710"/>
      <c r="U100" s="721"/>
      <c r="V100" s="722"/>
      <c r="W100" s="722"/>
      <c r="X100" s="722"/>
      <c r="Y100" s="722"/>
      <c r="Z100" s="722"/>
      <c r="AA100" s="723"/>
      <c r="AB100" s="853"/>
      <c r="AC100" s="854"/>
      <c r="AD100" s="854"/>
      <c r="AE100" s="854"/>
      <c r="AF100" s="854"/>
      <c r="AG100" s="854"/>
      <c r="AH100" s="854"/>
      <c r="AI100" s="854"/>
      <c r="AJ100" s="854"/>
      <c r="AK100" s="854"/>
      <c r="AL100" s="855"/>
      <c r="AM100" s="909"/>
      <c r="AN100" s="712"/>
      <c r="AO100" s="712"/>
      <c r="AP100" s="712"/>
      <c r="AQ100" s="712"/>
      <c r="AR100" s="712"/>
      <c r="AS100" s="713"/>
      <c r="AT100" s="909"/>
      <c r="AU100" s="712"/>
      <c r="AV100" s="712"/>
      <c r="AW100" s="713"/>
      <c r="AX100" s="908"/>
      <c r="AY100" s="712"/>
      <c r="AZ100" s="712"/>
      <c r="BA100" s="712"/>
      <c r="BB100" s="712"/>
      <c r="BC100" s="713"/>
      <c r="BD100" s="909"/>
      <c r="BE100" s="712"/>
      <c r="BF100" s="712"/>
      <c r="BG100" s="713"/>
      <c r="BH100" s="908"/>
      <c r="BI100" s="712"/>
      <c r="BJ100" s="712"/>
      <c r="BK100" s="712"/>
      <c r="BL100" s="910"/>
      <c r="BN100" s="881"/>
      <c r="BO100" s="882"/>
      <c r="BP100" s="883"/>
      <c r="BT100" s="792"/>
      <c r="BU100" s="793"/>
      <c r="BV100" s="738" t="str">
        <f>IF(BT100="","-",(IF(INDEX($A$5:$BP$257,MATCH(BT100,$BN$5:$BN$257,0),50)="Aço Inoxidável",('Densidade do AR'!$S$8*1000000),IF(INDEX($A$5:$BP$257,MATCH(BT100,$BN$5:$BN$257,0),50)="Ferro Fundido",('Densidade do AR'!$S$12*1000000),IF(INDEX($A$5:$BP$257,MATCH(BT100,$BN$5:$BN$257,0),50)="Latão",('Densidade do AR'!$S$10*1000000),IF(INDEX($A$5:$BP$257,MATCH(BT100,$BN$5:$BN$257,0),50)="Alumínio",('Densidade do AR'!$S$4*1000000)))))))</f>
        <v>-</v>
      </c>
      <c r="BW100" s="739"/>
      <c r="BX100" s="739"/>
      <c r="BY100" s="740"/>
      <c r="BZ100" s="741" t="str">
        <f t="shared" si="30"/>
        <v>-</v>
      </c>
      <c r="CA100" s="742"/>
      <c r="CB100" s="742"/>
      <c r="CC100" s="743"/>
      <c r="CD100" s="741" t="str">
        <f t="shared" si="22"/>
        <v>-</v>
      </c>
      <c r="CE100" s="742"/>
      <c r="CF100" s="742"/>
      <c r="CG100" s="743"/>
      <c r="CH100" s="744" t="str">
        <f t="shared" si="31"/>
        <v>-</v>
      </c>
      <c r="CI100" s="739"/>
      <c r="CJ100" s="739"/>
      <c r="CK100" s="740"/>
      <c r="CL100" s="744" t="str">
        <f t="shared" si="23"/>
        <v>-</v>
      </c>
      <c r="CM100" s="739"/>
      <c r="CN100" s="739"/>
      <c r="CO100" s="740"/>
      <c r="CP100" s="744" t="str">
        <f>IF(BT100="","-",INDEX($A$5:$BP$257,MATCH(BT100,$BN$5:$BN$257,0),39)*(IF(BT100="","-",(1+(((-('Densidade do AR'!$M$4))+('Densidade do AR'!$T$15*1000000))/(IF(INDEX($A$5:$BP$257,MATCH(BT100,$BN$5:$BN$257,0),50)="Aço Inoxidável",('Densidade do AR'!$S$8*1000000),IF(INDEX($A$5:$BP$257,MATCH(BT100,$BN$5:$BN$257,0),50)="Ferro Fundido",('Densidade do AR'!$S$12*1000000),IF(INDEX($A$5:$BP$257,MATCH(BT100,$BN$5:$BN$257,0),50)="Latão",('Densidade do AR'!$S$10*1000000),IF(INDEX($A$5:$BP$257,MATCH(BT100,$BN$5:$BN$257,0),50)="Alumínio",('Densidade do AR'!$S$4*1000000)))))))-(((-('Densidade do AR'!$M$4))+('Densidade do AR'!$T$15*1000000))/('Densidade do AR'!$S$14*1000000))))))</f>
        <v>-</v>
      </c>
      <c r="CQ100" s="739"/>
      <c r="CR100" s="739"/>
      <c r="CS100" s="745"/>
      <c r="CT100" s="91" t="str">
        <f t="shared" si="32"/>
        <v>-</v>
      </c>
      <c r="CU100" s="792"/>
      <c r="CV100" s="793"/>
      <c r="CW100" s="738" t="str">
        <f>IF(CU100="","-",(IF(INDEX($A$5:$BP$257,MATCH(CU100,$BN$5:$BN$257,0),50)="Aço Inoxidável",('Densidade do AR'!$S$8*1000000),IF(INDEX($A$5:$BP$257,MATCH(CU100,$BN$5:$BN$257,0),50)="Ferro Fundido",('Densidade do AR'!$S$12*1000000),IF(INDEX($A$5:$BP$257,MATCH(CU100,$BN$5:$BN$257,0),50)="Latão",('Densidade do AR'!$S$10*1000000),IF(INDEX($A$5:$BP$257,MATCH(CU100,$BN$5:$BN$257,0),50)="Alumínio",('Densidade do AR'!$S$4*1000000)))))))</f>
        <v>-</v>
      </c>
      <c r="CX100" s="739"/>
      <c r="CY100" s="739"/>
      <c r="CZ100" s="740"/>
      <c r="DA100" s="741" t="str">
        <f t="shared" si="33"/>
        <v>-</v>
      </c>
      <c r="DB100" s="742"/>
      <c r="DC100" s="742"/>
      <c r="DD100" s="743"/>
      <c r="DE100" s="741" t="str">
        <f t="shared" si="24"/>
        <v>-</v>
      </c>
      <c r="DF100" s="742"/>
      <c r="DG100" s="742"/>
      <c r="DH100" s="743"/>
      <c r="DI100" s="744" t="str">
        <f t="shared" si="34"/>
        <v>-</v>
      </c>
      <c r="DJ100" s="739"/>
      <c r="DK100" s="739"/>
      <c r="DL100" s="740"/>
      <c r="DM100" s="744" t="str">
        <f t="shared" si="25"/>
        <v>-</v>
      </c>
      <c r="DN100" s="739"/>
      <c r="DO100" s="739"/>
      <c r="DP100" s="740"/>
      <c r="DQ100" s="744" t="str">
        <f>IF(CU100="","-",INDEX($A$5:$BP$257,MATCH(CU100,$BN$5:$BN$257,0),39)*(IF(CU100="","-",(1+(((-('Densidade do AR'!$M$4))+('Densidade do AR'!$T$15*1000000))/(IF(INDEX($A$5:$BP$257,MATCH(CU100,$BN$5:$BN$257,0),50)="Aço Inoxidável",('Densidade do AR'!$S$8*1000000),IF(INDEX($A$5:$BP$257,MATCH(CU100,$BN$5:$BN$257,0),50)="Ferro Fundido",('Densidade do AR'!$S$12*1000000),IF(INDEX($A$5:$BP$257,MATCH(CU100,$BN$5:$BN$257,0),50)="Latão",('Densidade do AR'!$S$10*1000000),IF(INDEX($A$5:$BP$257,MATCH(CU100,$BN$5:$BN$257,0),50)="Alumínio",('Densidade do AR'!$S$4*1000000)))))))-(((-('Densidade do AR'!$M$4))+('Densidade do AR'!$T$15*1000000))/('Densidade do AR'!$S$14*1000000))))))</f>
        <v>-</v>
      </c>
      <c r="DR100" s="739"/>
      <c r="DS100" s="739"/>
      <c r="DT100" s="745"/>
      <c r="DU100" s="91" t="str">
        <f t="shared" si="35"/>
        <v>-</v>
      </c>
      <c r="DV100" s="792"/>
      <c r="DW100" s="793"/>
      <c r="DX100" s="738" t="str">
        <f>IF(DV100="","-",(IF(INDEX($A$5:$BP$257,MATCH(DV100,$BN$5:$BN$257,0),50)="Aço Inoxidável",('Densidade do AR'!$S$8*1000000),IF(INDEX($A$5:$BP$257,MATCH(DV100,$BN$5:$BN$257,0),50)="Ferro Fundido",('Densidade do AR'!$S$12*1000000),IF(INDEX($A$5:$BP$257,MATCH(DV100,$BN$5:$BN$257,0),50)="Latão",('Densidade do AR'!$S$10*1000000),IF(INDEX($A$5:$BP$257,MATCH(DV100,$BN$5:$BN$257,0),50)="Alumínio",('Densidade do AR'!$S$4*1000000)))))))</f>
        <v>-</v>
      </c>
      <c r="DY100" s="739"/>
      <c r="DZ100" s="739"/>
      <c r="EA100" s="740"/>
      <c r="EB100" s="741" t="str">
        <f t="shared" si="36"/>
        <v>-</v>
      </c>
      <c r="EC100" s="742"/>
      <c r="ED100" s="742"/>
      <c r="EE100" s="743"/>
      <c r="EF100" s="741" t="str">
        <f t="shared" si="26"/>
        <v>-</v>
      </c>
      <c r="EG100" s="742"/>
      <c r="EH100" s="742"/>
      <c r="EI100" s="743"/>
      <c r="EJ100" s="744" t="str">
        <f t="shared" si="37"/>
        <v>-</v>
      </c>
      <c r="EK100" s="739"/>
      <c r="EL100" s="739"/>
      <c r="EM100" s="740"/>
      <c r="EN100" s="744" t="str">
        <f t="shared" si="27"/>
        <v>-</v>
      </c>
      <c r="EO100" s="739"/>
      <c r="EP100" s="739"/>
      <c r="EQ100" s="740"/>
      <c r="ER100" s="744" t="str">
        <f>IF(DV100="","-",INDEX($A$5:$BP$257,MATCH(DV100,$BN$5:$BN$257,0),39)*(IF(DV100="","-",(1+(((-('Densidade do AR'!$M$4))+('Densidade do AR'!$T$15*1000000))/(IF(INDEX($A$5:$BP$257,MATCH(DV100,$BN$5:$BN$257,0),50)="Aço Inoxidável",('Densidade do AR'!$S$8*1000000),IF(INDEX($A$5:$BP$257,MATCH(DV100,$BN$5:$BN$257,0),50)="Ferro Fundido",('Densidade do AR'!$S$12*1000000),IF(INDEX($A$5:$BP$257,MATCH(DV100,$BN$5:$BN$257,0),50)="Latão",('Densidade do AR'!$S$10*1000000),IF(INDEX($A$5:$BP$257,MATCH(DV100,$BN$5:$BN$257,0),50)="Alumínio",('Densidade do AR'!$S$4*1000000)))))))-(((-('Densidade do AR'!$M$4))+('Densidade do AR'!$T$15*1000000))/('Densidade do AR'!$S$14*1000000))))))</f>
        <v>-</v>
      </c>
      <c r="ES100" s="739"/>
      <c r="ET100" s="739"/>
      <c r="EU100" s="745"/>
      <c r="EV100" s="91" t="str">
        <f t="shared" si="38"/>
        <v>-</v>
      </c>
      <c r="EW100" s="792"/>
      <c r="EX100" s="793"/>
      <c r="EY100" s="738" t="str">
        <f>IF(EW100="","-",(IF(INDEX($A$5:$BP$257,MATCH(EW100,$BN$5:$BN$257,0),50)="Aço Inoxidável",('Densidade do AR'!$S$8*1000000),IF(INDEX($A$5:$BP$257,MATCH(EW100,$BN$5:$BN$257,0),50)="Ferro Fundido",('Densidade do AR'!$S$12*1000000),IF(INDEX($A$5:$BP$257,MATCH(EW100,$BN$5:$BN$257,0),50)="Latão",('Densidade do AR'!$S$10*1000000),IF(INDEX($A$5:$BP$257,MATCH(EW100,$BN$5:$BN$257,0),50)="Alumínio",('Densidade do AR'!$S$4*1000000)))))))</f>
        <v>-</v>
      </c>
      <c r="EZ100" s="739"/>
      <c r="FA100" s="739"/>
      <c r="FB100" s="740"/>
      <c r="FC100" s="741" t="str">
        <f t="shared" si="39"/>
        <v>-</v>
      </c>
      <c r="FD100" s="742"/>
      <c r="FE100" s="742"/>
      <c r="FF100" s="743"/>
      <c r="FG100" s="741" t="str">
        <f t="shared" si="28"/>
        <v>-</v>
      </c>
      <c r="FH100" s="742"/>
      <c r="FI100" s="742"/>
      <c r="FJ100" s="743"/>
      <c r="FK100" s="744" t="str">
        <f t="shared" si="40"/>
        <v>-</v>
      </c>
      <c r="FL100" s="739"/>
      <c r="FM100" s="739"/>
      <c r="FN100" s="740"/>
      <c r="FO100" s="744" t="str">
        <f t="shared" si="29"/>
        <v>-</v>
      </c>
      <c r="FP100" s="739"/>
      <c r="FQ100" s="739"/>
      <c r="FR100" s="740"/>
      <c r="FS100" s="744" t="str">
        <f>IF(EW100="","-",INDEX($A$5:$BP$257,MATCH(EW100,$BN$5:$BN$257,0),39)*(IF(EW100="","-",(1+(((-('Densidade do AR'!$M$4))+('Densidade do AR'!$T$15*1000000))/(IF(INDEX($A$5:$BP$257,MATCH(EW100,$BN$5:$BN$257,0),50)="Aço Inoxidável",('Densidade do AR'!$S$8*1000000),IF(INDEX($A$5:$BP$257,MATCH(EW100,$BN$5:$BN$257,0),50)="Ferro Fundido",('Densidade do AR'!$S$12*1000000),IF(INDEX($A$5:$BP$257,MATCH(EW100,$BN$5:$BN$257,0),50)="Latão",('Densidade do AR'!$S$10*1000000),IF(INDEX($A$5:$BP$257,MATCH(EW100,$BN$5:$BN$257,0),50)="Alumínio",('Densidade do AR'!$S$4*1000000)))))))-(((-('Densidade do AR'!$M$4))+('Densidade do AR'!$T$15*1000000))/('Densidade do AR'!$S$14*1000000))))))</f>
        <v>-</v>
      </c>
      <c r="FT100" s="739"/>
      <c r="FU100" s="739"/>
      <c r="FV100" s="745"/>
      <c r="FW100" s="91" t="str">
        <f t="shared" si="41"/>
        <v>-</v>
      </c>
      <c r="FX100" s="135"/>
    </row>
    <row r="101" spans="1:180" ht="12.75" customHeight="1" x14ac:dyDescent="0.2">
      <c r="A101" s="717">
        <v>97</v>
      </c>
      <c r="B101" s="713"/>
      <c r="C101" s="708"/>
      <c r="D101" s="709"/>
      <c r="E101" s="709"/>
      <c r="F101" s="709"/>
      <c r="G101" s="710"/>
      <c r="H101" s="711"/>
      <c r="I101" s="712"/>
      <c r="J101" s="712"/>
      <c r="K101" s="713"/>
      <c r="L101" s="708"/>
      <c r="M101" s="709"/>
      <c r="N101" s="709"/>
      <c r="O101" s="709"/>
      <c r="P101" s="708"/>
      <c r="Q101" s="709"/>
      <c r="R101" s="709"/>
      <c r="S101" s="709"/>
      <c r="T101" s="710"/>
      <c r="U101" s="714"/>
      <c r="V101" s="715"/>
      <c r="W101" s="715"/>
      <c r="X101" s="715"/>
      <c r="Y101" s="715"/>
      <c r="Z101" s="715"/>
      <c r="AA101" s="716"/>
      <c r="AB101" s="850"/>
      <c r="AC101" s="851"/>
      <c r="AD101" s="851"/>
      <c r="AE101" s="851"/>
      <c r="AF101" s="851"/>
      <c r="AG101" s="851"/>
      <c r="AH101" s="851"/>
      <c r="AI101" s="851"/>
      <c r="AJ101" s="851"/>
      <c r="AK101" s="851"/>
      <c r="AL101" s="852"/>
      <c r="AM101" s="917"/>
      <c r="AN101" s="712"/>
      <c r="AO101" s="712"/>
      <c r="AP101" s="712"/>
      <c r="AQ101" s="712"/>
      <c r="AR101" s="712"/>
      <c r="AS101" s="713"/>
      <c r="AT101" s="917"/>
      <c r="AU101" s="712"/>
      <c r="AV101" s="712"/>
      <c r="AW101" s="713"/>
      <c r="AX101" s="917"/>
      <c r="AY101" s="712"/>
      <c r="AZ101" s="712"/>
      <c r="BA101" s="712"/>
      <c r="BB101" s="712"/>
      <c r="BC101" s="713"/>
      <c r="BD101" s="917"/>
      <c r="BE101" s="712"/>
      <c r="BF101" s="712"/>
      <c r="BG101" s="713"/>
      <c r="BH101" s="918"/>
      <c r="BI101" s="712"/>
      <c r="BJ101" s="712"/>
      <c r="BK101" s="712"/>
      <c r="BL101" s="910"/>
      <c r="BN101" s="878"/>
      <c r="BO101" s="879"/>
      <c r="BP101" s="880"/>
      <c r="BT101" s="794"/>
      <c r="BU101" s="795"/>
      <c r="BV101" s="784" t="str">
        <f>IF(BT101="","-",(IF(INDEX($A$5:$BP$257,MATCH(BT101,$BN$5:$BN$257,0),50)="Aço Inoxidável",('Densidade do AR'!$S$8*1000000),IF(INDEX($A$5:$BP$257,MATCH(BT101,$BN$5:$BN$257,0),50)="Ferro Fundido",('Densidade do AR'!$S$12*1000000),IF(INDEX($A$5:$BP$257,MATCH(BT101,$BN$5:$BN$257,0),50)="Latão",('Densidade do AR'!$S$10*1000000),IF(INDEX($A$5:$BP$257,MATCH(BT101,$BN$5:$BN$257,0),50)="Alumínio",('Densidade do AR'!$S$4*1000000)))))))</f>
        <v>-</v>
      </c>
      <c r="BW101" s="785"/>
      <c r="BX101" s="785"/>
      <c r="BY101" s="786"/>
      <c r="BZ101" s="787" t="str">
        <f t="shared" si="30"/>
        <v>-</v>
      </c>
      <c r="CA101" s="788"/>
      <c r="CB101" s="788"/>
      <c r="CC101" s="789"/>
      <c r="CD101" s="787" t="str">
        <f t="shared" si="22"/>
        <v>-</v>
      </c>
      <c r="CE101" s="788"/>
      <c r="CF101" s="788"/>
      <c r="CG101" s="789"/>
      <c r="CH101" s="790" t="str">
        <f t="shared" si="31"/>
        <v>-</v>
      </c>
      <c r="CI101" s="785"/>
      <c r="CJ101" s="785"/>
      <c r="CK101" s="786"/>
      <c r="CL101" s="790" t="str">
        <f t="shared" si="23"/>
        <v>-</v>
      </c>
      <c r="CM101" s="785"/>
      <c r="CN101" s="785"/>
      <c r="CO101" s="786"/>
      <c r="CP101" s="790" t="str">
        <f>IF(BT101="","-",INDEX($A$5:$BP$257,MATCH(BT101,$BN$5:$BN$257,0),39)*(IF(BT101="","-",(1+(((-('Densidade do AR'!$M$4))+('Densidade do AR'!$T$15*1000000))/(IF(INDEX($A$5:$BP$257,MATCH(BT101,$BN$5:$BN$257,0),50)="Aço Inoxidável",('Densidade do AR'!$S$8*1000000),IF(INDEX($A$5:$BP$257,MATCH(BT101,$BN$5:$BN$257,0),50)="Ferro Fundido",('Densidade do AR'!$S$12*1000000),IF(INDEX($A$5:$BP$257,MATCH(BT101,$BN$5:$BN$257,0),50)="Latão",('Densidade do AR'!$S$10*1000000),IF(INDEX($A$5:$BP$257,MATCH(BT101,$BN$5:$BN$257,0),50)="Alumínio",('Densidade do AR'!$S$4*1000000)))))))-(((-('Densidade do AR'!$M$4))+('Densidade do AR'!$T$15*1000000))/('Densidade do AR'!$S$14*1000000))))))</f>
        <v>-</v>
      </c>
      <c r="CQ101" s="785"/>
      <c r="CR101" s="785"/>
      <c r="CS101" s="791"/>
      <c r="CT101" s="91" t="str">
        <f t="shared" si="32"/>
        <v>-</v>
      </c>
      <c r="CU101" s="794"/>
      <c r="CV101" s="795"/>
      <c r="CW101" s="784" t="str">
        <f>IF(CU101="","-",(IF(INDEX($A$5:$BP$257,MATCH(CU101,$BN$5:$BN$257,0),50)="Aço Inoxidável",('Densidade do AR'!$S$8*1000000),IF(INDEX($A$5:$BP$257,MATCH(CU101,$BN$5:$BN$257,0),50)="Ferro Fundido",('Densidade do AR'!$S$12*1000000),IF(INDEX($A$5:$BP$257,MATCH(CU101,$BN$5:$BN$257,0),50)="Latão",('Densidade do AR'!$S$10*1000000),IF(INDEX($A$5:$BP$257,MATCH(CU101,$BN$5:$BN$257,0),50)="Alumínio",('Densidade do AR'!$S$4*1000000)))))))</f>
        <v>-</v>
      </c>
      <c r="CX101" s="785"/>
      <c r="CY101" s="785"/>
      <c r="CZ101" s="786"/>
      <c r="DA101" s="787" t="str">
        <f t="shared" si="33"/>
        <v>-</v>
      </c>
      <c r="DB101" s="788"/>
      <c r="DC101" s="788"/>
      <c r="DD101" s="789"/>
      <c r="DE101" s="787" t="str">
        <f t="shared" si="24"/>
        <v>-</v>
      </c>
      <c r="DF101" s="788"/>
      <c r="DG101" s="788"/>
      <c r="DH101" s="789"/>
      <c r="DI101" s="790" t="str">
        <f t="shared" si="34"/>
        <v>-</v>
      </c>
      <c r="DJ101" s="785"/>
      <c r="DK101" s="785"/>
      <c r="DL101" s="786"/>
      <c r="DM101" s="790" t="str">
        <f t="shared" si="25"/>
        <v>-</v>
      </c>
      <c r="DN101" s="785"/>
      <c r="DO101" s="785"/>
      <c r="DP101" s="786"/>
      <c r="DQ101" s="790" t="str">
        <f>IF(CU101="","-",INDEX($A$5:$BP$257,MATCH(CU101,$BN$5:$BN$257,0),39)*(IF(CU101="","-",(1+(((-('Densidade do AR'!$M$4))+('Densidade do AR'!$T$15*1000000))/(IF(INDEX($A$5:$BP$257,MATCH(CU101,$BN$5:$BN$257,0),50)="Aço Inoxidável",('Densidade do AR'!$S$8*1000000),IF(INDEX($A$5:$BP$257,MATCH(CU101,$BN$5:$BN$257,0),50)="Ferro Fundido",('Densidade do AR'!$S$12*1000000),IF(INDEX($A$5:$BP$257,MATCH(CU101,$BN$5:$BN$257,0),50)="Latão",('Densidade do AR'!$S$10*1000000),IF(INDEX($A$5:$BP$257,MATCH(CU101,$BN$5:$BN$257,0),50)="Alumínio",('Densidade do AR'!$S$4*1000000)))))))-(((-('Densidade do AR'!$M$4))+('Densidade do AR'!$T$15*1000000))/('Densidade do AR'!$S$14*1000000))))))</f>
        <v>-</v>
      </c>
      <c r="DR101" s="785"/>
      <c r="DS101" s="785"/>
      <c r="DT101" s="791"/>
      <c r="DU101" s="91" t="str">
        <f t="shared" si="35"/>
        <v>-</v>
      </c>
      <c r="DV101" s="794"/>
      <c r="DW101" s="795"/>
      <c r="DX101" s="784" t="str">
        <f>IF(DV101="","-",(IF(INDEX($A$5:$BP$257,MATCH(DV101,$BN$5:$BN$257,0),50)="Aço Inoxidável",('Densidade do AR'!$S$8*1000000),IF(INDEX($A$5:$BP$257,MATCH(DV101,$BN$5:$BN$257,0),50)="Ferro Fundido",('Densidade do AR'!$S$12*1000000),IF(INDEX($A$5:$BP$257,MATCH(DV101,$BN$5:$BN$257,0),50)="Latão",('Densidade do AR'!$S$10*1000000),IF(INDEX($A$5:$BP$257,MATCH(DV101,$BN$5:$BN$257,0),50)="Alumínio",('Densidade do AR'!$S$4*1000000)))))))</f>
        <v>-</v>
      </c>
      <c r="DY101" s="785"/>
      <c r="DZ101" s="785"/>
      <c r="EA101" s="786"/>
      <c r="EB101" s="787" t="str">
        <f t="shared" si="36"/>
        <v>-</v>
      </c>
      <c r="EC101" s="788"/>
      <c r="ED101" s="788"/>
      <c r="EE101" s="789"/>
      <c r="EF101" s="787" t="str">
        <f t="shared" si="26"/>
        <v>-</v>
      </c>
      <c r="EG101" s="788"/>
      <c r="EH101" s="788"/>
      <c r="EI101" s="789"/>
      <c r="EJ101" s="790" t="str">
        <f t="shared" si="37"/>
        <v>-</v>
      </c>
      <c r="EK101" s="785"/>
      <c r="EL101" s="785"/>
      <c r="EM101" s="786"/>
      <c r="EN101" s="790" t="str">
        <f t="shared" si="27"/>
        <v>-</v>
      </c>
      <c r="EO101" s="785"/>
      <c r="EP101" s="785"/>
      <c r="EQ101" s="786"/>
      <c r="ER101" s="790" t="str">
        <f>IF(DV101="","-",INDEX($A$5:$BP$257,MATCH(DV101,$BN$5:$BN$257,0),39)*(IF(DV101="","-",(1+(((-('Densidade do AR'!$M$4))+('Densidade do AR'!$T$15*1000000))/(IF(INDEX($A$5:$BP$257,MATCH(DV101,$BN$5:$BN$257,0),50)="Aço Inoxidável",('Densidade do AR'!$S$8*1000000),IF(INDEX($A$5:$BP$257,MATCH(DV101,$BN$5:$BN$257,0),50)="Ferro Fundido",('Densidade do AR'!$S$12*1000000),IF(INDEX($A$5:$BP$257,MATCH(DV101,$BN$5:$BN$257,0),50)="Latão",('Densidade do AR'!$S$10*1000000),IF(INDEX($A$5:$BP$257,MATCH(DV101,$BN$5:$BN$257,0),50)="Alumínio",('Densidade do AR'!$S$4*1000000)))))))-(((-('Densidade do AR'!$M$4))+('Densidade do AR'!$T$15*1000000))/('Densidade do AR'!$S$14*1000000))))))</f>
        <v>-</v>
      </c>
      <c r="ES101" s="785"/>
      <c r="ET101" s="785"/>
      <c r="EU101" s="791"/>
      <c r="EV101" s="91" t="str">
        <f t="shared" si="38"/>
        <v>-</v>
      </c>
      <c r="EW101" s="794"/>
      <c r="EX101" s="795"/>
      <c r="EY101" s="784" t="str">
        <f>IF(EW101="","-",(IF(INDEX($A$5:$BP$257,MATCH(EW101,$BN$5:$BN$257,0),50)="Aço Inoxidável",('Densidade do AR'!$S$8*1000000),IF(INDEX($A$5:$BP$257,MATCH(EW101,$BN$5:$BN$257,0),50)="Ferro Fundido",('Densidade do AR'!$S$12*1000000),IF(INDEX($A$5:$BP$257,MATCH(EW101,$BN$5:$BN$257,0),50)="Latão",('Densidade do AR'!$S$10*1000000),IF(INDEX($A$5:$BP$257,MATCH(EW101,$BN$5:$BN$257,0),50)="Alumínio",('Densidade do AR'!$S$4*1000000)))))))</f>
        <v>-</v>
      </c>
      <c r="EZ101" s="785"/>
      <c r="FA101" s="785"/>
      <c r="FB101" s="786"/>
      <c r="FC101" s="787" t="str">
        <f t="shared" si="39"/>
        <v>-</v>
      </c>
      <c r="FD101" s="788"/>
      <c r="FE101" s="788"/>
      <c r="FF101" s="789"/>
      <c r="FG101" s="787" t="str">
        <f t="shared" si="28"/>
        <v>-</v>
      </c>
      <c r="FH101" s="788"/>
      <c r="FI101" s="788"/>
      <c r="FJ101" s="789"/>
      <c r="FK101" s="790" t="str">
        <f t="shared" si="40"/>
        <v>-</v>
      </c>
      <c r="FL101" s="785"/>
      <c r="FM101" s="785"/>
      <c r="FN101" s="786"/>
      <c r="FO101" s="790" t="str">
        <f t="shared" si="29"/>
        <v>-</v>
      </c>
      <c r="FP101" s="785"/>
      <c r="FQ101" s="785"/>
      <c r="FR101" s="786"/>
      <c r="FS101" s="790" t="str">
        <f>IF(EW101="","-",INDEX($A$5:$BP$257,MATCH(EW101,$BN$5:$BN$257,0),39)*(IF(EW101="","-",(1+(((-('Densidade do AR'!$M$4))+('Densidade do AR'!$T$15*1000000))/(IF(INDEX($A$5:$BP$257,MATCH(EW101,$BN$5:$BN$257,0),50)="Aço Inoxidável",('Densidade do AR'!$S$8*1000000),IF(INDEX($A$5:$BP$257,MATCH(EW101,$BN$5:$BN$257,0),50)="Ferro Fundido",('Densidade do AR'!$S$12*1000000),IF(INDEX($A$5:$BP$257,MATCH(EW101,$BN$5:$BN$257,0),50)="Latão",('Densidade do AR'!$S$10*1000000),IF(INDEX($A$5:$BP$257,MATCH(EW101,$BN$5:$BN$257,0),50)="Alumínio",('Densidade do AR'!$S$4*1000000)))))))-(((-('Densidade do AR'!$M$4))+('Densidade do AR'!$T$15*1000000))/('Densidade do AR'!$S$14*1000000))))))</f>
        <v>-</v>
      </c>
      <c r="FT101" s="785"/>
      <c r="FU101" s="785"/>
      <c r="FV101" s="791"/>
      <c r="FW101" s="91" t="str">
        <f t="shared" si="41"/>
        <v>-</v>
      </c>
      <c r="FX101" s="135"/>
    </row>
    <row r="102" spans="1:180" ht="12.75" customHeight="1" x14ac:dyDescent="0.2">
      <c r="A102" s="718">
        <v>98</v>
      </c>
      <c r="B102" s="713"/>
      <c r="C102" s="719"/>
      <c r="D102" s="709"/>
      <c r="E102" s="709"/>
      <c r="F102" s="709"/>
      <c r="G102" s="710"/>
      <c r="H102" s="720"/>
      <c r="I102" s="712"/>
      <c r="J102" s="712"/>
      <c r="K102" s="713"/>
      <c r="L102" s="719"/>
      <c r="M102" s="709"/>
      <c r="N102" s="709"/>
      <c r="O102" s="709"/>
      <c r="P102" s="719"/>
      <c r="Q102" s="709"/>
      <c r="R102" s="709"/>
      <c r="S102" s="709"/>
      <c r="T102" s="710"/>
      <c r="U102" s="721"/>
      <c r="V102" s="722"/>
      <c r="W102" s="722"/>
      <c r="X102" s="722"/>
      <c r="Y102" s="722"/>
      <c r="Z102" s="722"/>
      <c r="AA102" s="723"/>
      <c r="AB102" s="853"/>
      <c r="AC102" s="854"/>
      <c r="AD102" s="854"/>
      <c r="AE102" s="854"/>
      <c r="AF102" s="854"/>
      <c r="AG102" s="854"/>
      <c r="AH102" s="854"/>
      <c r="AI102" s="854"/>
      <c r="AJ102" s="854"/>
      <c r="AK102" s="854"/>
      <c r="AL102" s="855"/>
      <c r="AM102" s="909"/>
      <c r="AN102" s="712"/>
      <c r="AO102" s="712"/>
      <c r="AP102" s="712"/>
      <c r="AQ102" s="712"/>
      <c r="AR102" s="712"/>
      <c r="AS102" s="713"/>
      <c r="AT102" s="909"/>
      <c r="AU102" s="712"/>
      <c r="AV102" s="712"/>
      <c r="AW102" s="713"/>
      <c r="AX102" s="908"/>
      <c r="AY102" s="712"/>
      <c r="AZ102" s="712"/>
      <c r="BA102" s="712"/>
      <c r="BB102" s="712"/>
      <c r="BC102" s="713"/>
      <c r="BD102" s="909"/>
      <c r="BE102" s="712"/>
      <c r="BF102" s="712"/>
      <c r="BG102" s="713"/>
      <c r="BH102" s="908"/>
      <c r="BI102" s="712"/>
      <c r="BJ102" s="712"/>
      <c r="BK102" s="712"/>
      <c r="BL102" s="910"/>
      <c r="BN102" s="881"/>
      <c r="BO102" s="882"/>
      <c r="BP102" s="883"/>
      <c r="BT102" s="792"/>
      <c r="BU102" s="793"/>
      <c r="BV102" s="738" t="str">
        <f>IF(BT102="","-",(IF(INDEX($A$5:$BP$257,MATCH(BT102,$BN$5:$BN$257,0),50)="Aço Inoxidável",('Densidade do AR'!$S$8*1000000),IF(INDEX($A$5:$BP$257,MATCH(BT102,$BN$5:$BN$257,0),50)="Ferro Fundido",('Densidade do AR'!$S$12*1000000),IF(INDEX($A$5:$BP$257,MATCH(BT102,$BN$5:$BN$257,0),50)="Latão",('Densidade do AR'!$S$10*1000000),IF(INDEX($A$5:$BP$257,MATCH(BT102,$BN$5:$BN$257,0),50)="Alumínio",('Densidade do AR'!$S$4*1000000)))))))</f>
        <v>-</v>
      </c>
      <c r="BW102" s="739"/>
      <c r="BX102" s="739"/>
      <c r="BY102" s="740"/>
      <c r="BZ102" s="741" t="str">
        <f t="shared" si="30"/>
        <v>-</v>
      </c>
      <c r="CA102" s="742"/>
      <c r="CB102" s="742"/>
      <c r="CC102" s="743"/>
      <c r="CD102" s="741" t="str">
        <f t="shared" si="22"/>
        <v>-</v>
      </c>
      <c r="CE102" s="742"/>
      <c r="CF102" s="742"/>
      <c r="CG102" s="743"/>
      <c r="CH102" s="744" t="str">
        <f t="shared" si="31"/>
        <v>-</v>
      </c>
      <c r="CI102" s="739"/>
      <c r="CJ102" s="739"/>
      <c r="CK102" s="740"/>
      <c r="CL102" s="744" t="str">
        <f t="shared" si="23"/>
        <v>-</v>
      </c>
      <c r="CM102" s="739"/>
      <c r="CN102" s="739"/>
      <c r="CO102" s="740"/>
      <c r="CP102" s="744" t="str">
        <f>IF(BT102="","-",INDEX($A$5:$BP$257,MATCH(BT102,$BN$5:$BN$257,0),39)*(IF(BT102="","-",(1+(((-('Densidade do AR'!$M$4))+('Densidade do AR'!$T$15*1000000))/(IF(INDEX($A$5:$BP$257,MATCH(BT102,$BN$5:$BN$257,0),50)="Aço Inoxidável",('Densidade do AR'!$S$8*1000000),IF(INDEX($A$5:$BP$257,MATCH(BT102,$BN$5:$BN$257,0),50)="Ferro Fundido",('Densidade do AR'!$S$12*1000000),IF(INDEX($A$5:$BP$257,MATCH(BT102,$BN$5:$BN$257,0),50)="Latão",('Densidade do AR'!$S$10*1000000),IF(INDEX($A$5:$BP$257,MATCH(BT102,$BN$5:$BN$257,0),50)="Alumínio",('Densidade do AR'!$S$4*1000000)))))))-(((-('Densidade do AR'!$M$4))+('Densidade do AR'!$T$15*1000000))/('Densidade do AR'!$S$14*1000000))))))</f>
        <v>-</v>
      </c>
      <c r="CQ102" s="739"/>
      <c r="CR102" s="739"/>
      <c r="CS102" s="745"/>
      <c r="CT102" s="91" t="str">
        <f t="shared" si="32"/>
        <v>-</v>
      </c>
      <c r="CU102" s="792"/>
      <c r="CV102" s="793"/>
      <c r="CW102" s="738" t="str">
        <f>IF(CU102="","-",(IF(INDEX($A$5:$BP$257,MATCH(CU102,$BN$5:$BN$257,0),50)="Aço Inoxidável",('Densidade do AR'!$S$8*1000000),IF(INDEX($A$5:$BP$257,MATCH(CU102,$BN$5:$BN$257,0),50)="Ferro Fundido",('Densidade do AR'!$S$12*1000000),IF(INDEX($A$5:$BP$257,MATCH(CU102,$BN$5:$BN$257,0),50)="Latão",('Densidade do AR'!$S$10*1000000),IF(INDEX($A$5:$BP$257,MATCH(CU102,$BN$5:$BN$257,0),50)="Alumínio",('Densidade do AR'!$S$4*1000000)))))))</f>
        <v>-</v>
      </c>
      <c r="CX102" s="739"/>
      <c r="CY102" s="739"/>
      <c r="CZ102" s="740"/>
      <c r="DA102" s="741" t="str">
        <f t="shared" si="33"/>
        <v>-</v>
      </c>
      <c r="DB102" s="742"/>
      <c r="DC102" s="742"/>
      <c r="DD102" s="743"/>
      <c r="DE102" s="741" t="str">
        <f t="shared" si="24"/>
        <v>-</v>
      </c>
      <c r="DF102" s="742"/>
      <c r="DG102" s="742"/>
      <c r="DH102" s="743"/>
      <c r="DI102" s="744" t="str">
        <f t="shared" si="34"/>
        <v>-</v>
      </c>
      <c r="DJ102" s="739"/>
      <c r="DK102" s="739"/>
      <c r="DL102" s="740"/>
      <c r="DM102" s="744" t="str">
        <f t="shared" si="25"/>
        <v>-</v>
      </c>
      <c r="DN102" s="739"/>
      <c r="DO102" s="739"/>
      <c r="DP102" s="740"/>
      <c r="DQ102" s="744" t="str">
        <f>IF(CU102="","-",INDEX($A$5:$BP$257,MATCH(CU102,$BN$5:$BN$257,0),39)*(IF(CU102="","-",(1+(((-('Densidade do AR'!$M$4))+('Densidade do AR'!$T$15*1000000))/(IF(INDEX($A$5:$BP$257,MATCH(CU102,$BN$5:$BN$257,0),50)="Aço Inoxidável",('Densidade do AR'!$S$8*1000000),IF(INDEX($A$5:$BP$257,MATCH(CU102,$BN$5:$BN$257,0),50)="Ferro Fundido",('Densidade do AR'!$S$12*1000000),IF(INDEX($A$5:$BP$257,MATCH(CU102,$BN$5:$BN$257,0),50)="Latão",('Densidade do AR'!$S$10*1000000),IF(INDEX($A$5:$BP$257,MATCH(CU102,$BN$5:$BN$257,0),50)="Alumínio",('Densidade do AR'!$S$4*1000000)))))))-(((-('Densidade do AR'!$M$4))+('Densidade do AR'!$T$15*1000000))/('Densidade do AR'!$S$14*1000000))))))</f>
        <v>-</v>
      </c>
      <c r="DR102" s="739"/>
      <c r="DS102" s="739"/>
      <c r="DT102" s="745"/>
      <c r="DU102" s="91" t="str">
        <f t="shared" si="35"/>
        <v>-</v>
      </c>
      <c r="DV102" s="792"/>
      <c r="DW102" s="793"/>
      <c r="DX102" s="738" t="str">
        <f>IF(DV102="","-",(IF(INDEX($A$5:$BP$257,MATCH(DV102,$BN$5:$BN$257,0),50)="Aço Inoxidável",('Densidade do AR'!$S$8*1000000),IF(INDEX($A$5:$BP$257,MATCH(DV102,$BN$5:$BN$257,0),50)="Ferro Fundido",('Densidade do AR'!$S$12*1000000),IF(INDEX($A$5:$BP$257,MATCH(DV102,$BN$5:$BN$257,0),50)="Latão",('Densidade do AR'!$S$10*1000000),IF(INDEX($A$5:$BP$257,MATCH(DV102,$BN$5:$BN$257,0),50)="Alumínio",('Densidade do AR'!$S$4*1000000)))))))</f>
        <v>-</v>
      </c>
      <c r="DY102" s="739"/>
      <c r="DZ102" s="739"/>
      <c r="EA102" s="740"/>
      <c r="EB102" s="741" t="str">
        <f t="shared" si="36"/>
        <v>-</v>
      </c>
      <c r="EC102" s="742"/>
      <c r="ED102" s="742"/>
      <c r="EE102" s="743"/>
      <c r="EF102" s="741" t="str">
        <f t="shared" si="26"/>
        <v>-</v>
      </c>
      <c r="EG102" s="742"/>
      <c r="EH102" s="742"/>
      <c r="EI102" s="743"/>
      <c r="EJ102" s="744" t="str">
        <f t="shared" si="37"/>
        <v>-</v>
      </c>
      <c r="EK102" s="739"/>
      <c r="EL102" s="739"/>
      <c r="EM102" s="740"/>
      <c r="EN102" s="744" t="str">
        <f t="shared" si="27"/>
        <v>-</v>
      </c>
      <c r="EO102" s="739"/>
      <c r="EP102" s="739"/>
      <c r="EQ102" s="740"/>
      <c r="ER102" s="744" t="str">
        <f>IF(DV102="","-",INDEX($A$5:$BP$257,MATCH(DV102,$BN$5:$BN$257,0),39)*(IF(DV102="","-",(1+(((-('Densidade do AR'!$M$4))+('Densidade do AR'!$T$15*1000000))/(IF(INDEX($A$5:$BP$257,MATCH(DV102,$BN$5:$BN$257,0),50)="Aço Inoxidável",('Densidade do AR'!$S$8*1000000),IF(INDEX($A$5:$BP$257,MATCH(DV102,$BN$5:$BN$257,0),50)="Ferro Fundido",('Densidade do AR'!$S$12*1000000),IF(INDEX($A$5:$BP$257,MATCH(DV102,$BN$5:$BN$257,0),50)="Latão",('Densidade do AR'!$S$10*1000000),IF(INDEX($A$5:$BP$257,MATCH(DV102,$BN$5:$BN$257,0),50)="Alumínio",('Densidade do AR'!$S$4*1000000)))))))-(((-('Densidade do AR'!$M$4))+('Densidade do AR'!$T$15*1000000))/('Densidade do AR'!$S$14*1000000))))))</f>
        <v>-</v>
      </c>
      <c r="ES102" s="739"/>
      <c r="ET102" s="739"/>
      <c r="EU102" s="745"/>
      <c r="EV102" s="91" t="str">
        <f t="shared" si="38"/>
        <v>-</v>
      </c>
      <c r="EW102" s="792"/>
      <c r="EX102" s="793"/>
      <c r="EY102" s="738" t="str">
        <f>IF(EW102="","-",(IF(INDEX($A$5:$BP$257,MATCH(EW102,$BN$5:$BN$257,0),50)="Aço Inoxidável",('Densidade do AR'!$S$8*1000000),IF(INDEX($A$5:$BP$257,MATCH(EW102,$BN$5:$BN$257,0),50)="Ferro Fundido",('Densidade do AR'!$S$12*1000000),IF(INDEX($A$5:$BP$257,MATCH(EW102,$BN$5:$BN$257,0),50)="Latão",('Densidade do AR'!$S$10*1000000),IF(INDEX($A$5:$BP$257,MATCH(EW102,$BN$5:$BN$257,0),50)="Alumínio",('Densidade do AR'!$S$4*1000000)))))))</f>
        <v>-</v>
      </c>
      <c r="EZ102" s="739"/>
      <c r="FA102" s="739"/>
      <c r="FB102" s="740"/>
      <c r="FC102" s="741" t="str">
        <f t="shared" si="39"/>
        <v>-</v>
      </c>
      <c r="FD102" s="742"/>
      <c r="FE102" s="742"/>
      <c r="FF102" s="743"/>
      <c r="FG102" s="741" t="str">
        <f t="shared" si="28"/>
        <v>-</v>
      </c>
      <c r="FH102" s="742"/>
      <c r="FI102" s="742"/>
      <c r="FJ102" s="743"/>
      <c r="FK102" s="744" t="str">
        <f t="shared" si="40"/>
        <v>-</v>
      </c>
      <c r="FL102" s="739"/>
      <c r="FM102" s="739"/>
      <c r="FN102" s="740"/>
      <c r="FO102" s="744" t="str">
        <f t="shared" si="29"/>
        <v>-</v>
      </c>
      <c r="FP102" s="739"/>
      <c r="FQ102" s="739"/>
      <c r="FR102" s="740"/>
      <c r="FS102" s="744" t="str">
        <f>IF(EW102="","-",INDEX($A$5:$BP$257,MATCH(EW102,$BN$5:$BN$257,0),39)*(IF(EW102="","-",(1+(((-('Densidade do AR'!$M$4))+('Densidade do AR'!$T$15*1000000))/(IF(INDEX($A$5:$BP$257,MATCH(EW102,$BN$5:$BN$257,0),50)="Aço Inoxidável",('Densidade do AR'!$S$8*1000000),IF(INDEX($A$5:$BP$257,MATCH(EW102,$BN$5:$BN$257,0),50)="Ferro Fundido",('Densidade do AR'!$S$12*1000000),IF(INDEX($A$5:$BP$257,MATCH(EW102,$BN$5:$BN$257,0),50)="Latão",('Densidade do AR'!$S$10*1000000),IF(INDEX($A$5:$BP$257,MATCH(EW102,$BN$5:$BN$257,0),50)="Alumínio",('Densidade do AR'!$S$4*1000000)))))))-(((-('Densidade do AR'!$M$4))+('Densidade do AR'!$T$15*1000000))/('Densidade do AR'!$S$14*1000000))))))</f>
        <v>-</v>
      </c>
      <c r="FT102" s="739"/>
      <c r="FU102" s="739"/>
      <c r="FV102" s="745"/>
      <c r="FW102" s="91" t="str">
        <f t="shared" si="41"/>
        <v>-</v>
      </c>
      <c r="FX102" s="135"/>
    </row>
    <row r="103" spans="1:180" ht="12.75" customHeight="1" x14ac:dyDescent="0.2">
      <c r="A103" s="717">
        <v>99</v>
      </c>
      <c r="B103" s="713"/>
      <c r="C103" s="708"/>
      <c r="D103" s="709"/>
      <c r="E103" s="709"/>
      <c r="F103" s="709"/>
      <c r="G103" s="710"/>
      <c r="H103" s="711"/>
      <c r="I103" s="712"/>
      <c r="J103" s="712"/>
      <c r="K103" s="713"/>
      <c r="L103" s="708"/>
      <c r="M103" s="709"/>
      <c r="N103" s="709"/>
      <c r="O103" s="709"/>
      <c r="P103" s="708"/>
      <c r="Q103" s="709"/>
      <c r="R103" s="709"/>
      <c r="S103" s="709"/>
      <c r="T103" s="710"/>
      <c r="U103" s="714"/>
      <c r="V103" s="715"/>
      <c r="W103" s="715"/>
      <c r="X103" s="715"/>
      <c r="Y103" s="715"/>
      <c r="Z103" s="715"/>
      <c r="AA103" s="716"/>
      <c r="AB103" s="850"/>
      <c r="AC103" s="851"/>
      <c r="AD103" s="851"/>
      <c r="AE103" s="851"/>
      <c r="AF103" s="851"/>
      <c r="AG103" s="851"/>
      <c r="AH103" s="851"/>
      <c r="AI103" s="851"/>
      <c r="AJ103" s="851"/>
      <c r="AK103" s="851"/>
      <c r="AL103" s="852"/>
      <c r="AM103" s="917"/>
      <c r="AN103" s="712"/>
      <c r="AO103" s="712"/>
      <c r="AP103" s="712"/>
      <c r="AQ103" s="712"/>
      <c r="AR103" s="712"/>
      <c r="AS103" s="713"/>
      <c r="AT103" s="917"/>
      <c r="AU103" s="712"/>
      <c r="AV103" s="712"/>
      <c r="AW103" s="713"/>
      <c r="AX103" s="917"/>
      <c r="AY103" s="712"/>
      <c r="AZ103" s="712"/>
      <c r="BA103" s="712"/>
      <c r="BB103" s="712"/>
      <c r="BC103" s="713"/>
      <c r="BD103" s="917"/>
      <c r="BE103" s="712"/>
      <c r="BF103" s="712"/>
      <c r="BG103" s="713"/>
      <c r="BH103" s="918"/>
      <c r="BI103" s="712"/>
      <c r="BJ103" s="712"/>
      <c r="BK103" s="712"/>
      <c r="BL103" s="910"/>
      <c r="BN103" s="878"/>
      <c r="BO103" s="879"/>
      <c r="BP103" s="880"/>
      <c r="BT103" s="794"/>
      <c r="BU103" s="795"/>
      <c r="BV103" s="784" t="str">
        <f>IF(BT103="","-",(IF(INDEX($A$5:$BP$257,MATCH(BT103,$BN$5:$BN$257,0),50)="Aço Inoxidável",('Densidade do AR'!$S$8*1000000),IF(INDEX($A$5:$BP$257,MATCH(BT103,$BN$5:$BN$257,0),50)="Ferro Fundido",('Densidade do AR'!$S$12*1000000),IF(INDEX($A$5:$BP$257,MATCH(BT103,$BN$5:$BN$257,0),50)="Latão",('Densidade do AR'!$S$10*1000000),IF(INDEX($A$5:$BP$257,MATCH(BT103,$BN$5:$BN$257,0),50)="Alumínio",('Densidade do AR'!$S$4*1000000)))))))</f>
        <v>-</v>
      </c>
      <c r="BW103" s="785"/>
      <c r="BX103" s="785"/>
      <c r="BY103" s="786"/>
      <c r="BZ103" s="787" t="str">
        <f t="shared" si="30"/>
        <v>-</v>
      </c>
      <c r="CA103" s="788"/>
      <c r="CB103" s="788"/>
      <c r="CC103" s="789"/>
      <c r="CD103" s="787" t="str">
        <f t="shared" si="22"/>
        <v>-</v>
      </c>
      <c r="CE103" s="788"/>
      <c r="CF103" s="788"/>
      <c r="CG103" s="789"/>
      <c r="CH103" s="790" t="str">
        <f t="shared" si="31"/>
        <v>-</v>
      </c>
      <c r="CI103" s="785"/>
      <c r="CJ103" s="785"/>
      <c r="CK103" s="786"/>
      <c r="CL103" s="790" t="str">
        <f t="shared" si="23"/>
        <v>-</v>
      </c>
      <c r="CM103" s="785"/>
      <c r="CN103" s="785"/>
      <c r="CO103" s="786"/>
      <c r="CP103" s="790" t="str">
        <f>IF(BT103="","-",INDEX($A$5:$BP$257,MATCH(BT103,$BN$5:$BN$257,0),39)*(IF(BT103="","-",(1+(((-('Densidade do AR'!$M$4))+('Densidade do AR'!$T$15*1000000))/(IF(INDEX($A$5:$BP$257,MATCH(BT103,$BN$5:$BN$257,0),50)="Aço Inoxidável",('Densidade do AR'!$S$8*1000000),IF(INDEX($A$5:$BP$257,MATCH(BT103,$BN$5:$BN$257,0),50)="Ferro Fundido",('Densidade do AR'!$S$12*1000000),IF(INDEX($A$5:$BP$257,MATCH(BT103,$BN$5:$BN$257,0),50)="Latão",('Densidade do AR'!$S$10*1000000),IF(INDEX($A$5:$BP$257,MATCH(BT103,$BN$5:$BN$257,0),50)="Alumínio",('Densidade do AR'!$S$4*1000000)))))))-(((-('Densidade do AR'!$M$4))+('Densidade do AR'!$T$15*1000000))/('Densidade do AR'!$S$14*1000000))))))</f>
        <v>-</v>
      </c>
      <c r="CQ103" s="785"/>
      <c r="CR103" s="785"/>
      <c r="CS103" s="791"/>
      <c r="CT103" s="91" t="str">
        <f t="shared" si="32"/>
        <v>-</v>
      </c>
      <c r="CU103" s="794"/>
      <c r="CV103" s="795"/>
      <c r="CW103" s="784" t="str">
        <f>IF(CU103="","-",(IF(INDEX($A$5:$BP$257,MATCH(CU103,$BN$5:$BN$257,0),50)="Aço Inoxidável",('Densidade do AR'!$S$8*1000000),IF(INDEX($A$5:$BP$257,MATCH(CU103,$BN$5:$BN$257,0),50)="Ferro Fundido",('Densidade do AR'!$S$12*1000000),IF(INDEX($A$5:$BP$257,MATCH(CU103,$BN$5:$BN$257,0),50)="Latão",('Densidade do AR'!$S$10*1000000),IF(INDEX($A$5:$BP$257,MATCH(CU103,$BN$5:$BN$257,0),50)="Alumínio",('Densidade do AR'!$S$4*1000000)))))))</f>
        <v>-</v>
      </c>
      <c r="CX103" s="785"/>
      <c r="CY103" s="785"/>
      <c r="CZ103" s="786"/>
      <c r="DA103" s="787" t="str">
        <f t="shared" si="33"/>
        <v>-</v>
      </c>
      <c r="DB103" s="788"/>
      <c r="DC103" s="788"/>
      <c r="DD103" s="789"/>
      <c r="DE103" s="787" t="str">
        <f t="shared" si="24"/>
        <v>-</v>
      </c>
      <c r="DF103" s="788"/>
      <c r="DG103" s="788"/>
      <c r="DH103" s="789"/>
      <c r="DI103" s="790" t="str">
        <f t="shared" si="34"/>
        <v>-</v>
      </c>
      <c r="DJ103" s="785"/>
      <c r="DK103" s="785"/>
      <c r="DL103" s="786"/>
      <c r="DM103" s="790" t="str">
        <f t="shared" si="25"/>
        <v>-</v>
      </c>
      <c r="DN103" s="785"/>
      <c r="DO103" s="785"/>
      <c r="DP103" s="786"/>
      <c r="DQ103" s="790" t="str">
        <f>IF(CU103="","-",INDEX($A$5:$BP$257,MATCH(CU103,$BN$5:$BN$257,0),39)*(IF(CU103="","-",(1+(((-('Densidade do AR'!$M$4))+('Densidade do AR'!$T$15*1000000))/(IF(INDEX($A$5:$BP$257,MATCH(CU103,$BN$5:$BN$257,0),50)="Aço Inoxidável",('Densidade do AR'!$S$8*1000000),IF(INDEX($A$5:$BP$257,MATCH(CU103,$BN$5:$BN$257,0),50)="Ferro Fundido",('Densidade do AR'!$S$12*1000000),IF(INDEX($A$5:$BP$257,MATCH(CU103,$BN$5:$BN$257,0),50)="Latão",('Densidade do AR'!$S$10*1000000),IF(INDEX($A$5:$BP$257,MATCH(CU103,$BN$5:$BN$257,0),50)="Alumínio",('Densidade do AR'!$S$4*1000000)))))))-(((-('Densidade do AR'!$M$4))+('Densidade do AR'!$T$15*1000000))/('Densidade do AR'!$S$14*1000000))))))</f>
        <v>-</v>
      </c>
      <c r="DR103" s="785"/>
      <c r="DS103" s="785"/>
      <c r="DT103" s="791"/>
      <c r="DU103" s="91" t="str">
        <f t="shared" si="35"/>
        <v>-</v>
      </c>
      <c r="DV103" s="794"/>
      <c r="DW103" s="795"/>
      <c r="DX103" s="784" t="str">
        <f>IF(DV103="","-",(IF(INDEX($A$5:$BP$257,MATCH(DV103,$BN$5:$BN$257,0),50)="Aço Inoxidável",('Densidade do AR'!$S$8*1000000),IF(INDEX($A$5:$BP$257,MATCH(DV103,$BN$5:$BN$257,0),50)="Ferro Fundido",('Densidade do AR'!$S$12*1000000),IF(INDEX($A$5:$BP$257,MATCH(DV103,$BN$5:$BN$257,0),50)="Latão",('Densidade do AR'!$S$10*1000000),IF(INDEX($A$5:$BP$257,MATCH(DV103,$BN$5:$BN$257,0),50)="Alumínio",('Densidade do AR'!$S$4*1000000)))))))</f>
        <v>-</v>
      </c>
      <c r="DY103" s="785"/>
      <c r="DZ103" s="785"/>
      <c r="EA103" s="786"/>
      <c r="EB103" s="787" t="str">
        <f t="shared" si="36"/>
        <v>-</v>
      </c>
      <c r="EC103" s="788"/>
      <c r="ED103" s="788"/>
      <c r="EE103" s="789"/>
      <c r="EF103" s="787" t="str">
        <f t="shared" si="26"/>
        <v>-</v>
      </c>
      <c r="EG103" s="788"/>
      <c r="EH103" s="788"/>
      <c r="EI103" s="789"/>
      <c r="EJ103" s="790" t="str">
        <f t="shared" si="37"/>
        <v>-</v>
      </c>
      <c r="EK103" s="785"/>
      <c r="EL103" s="785"/>
      <c r="EM103" s="786"/>
      <c r="EN103" s="790" t="str">
        <f t="shared" si="27"/>
        <v>-</v>
      </c>
      <c r="EO103" s="785"/>
      <c r="EP103" s="785"/>
      <c r="EQ103" s="786"/>
      <c r="ER103" s="790" t="str">
        <f>IF(DV103="","-",INDEX($A$5:$BP$257,MATCH(DV103,$BN$5:$BN$257,0),39)*(IF(DV103="","-",(1+(((-('Densidade do AR'!$M$4))+('Densidade do AR'!$T$15*1000000))/(IF(INDEX($A$5:$BP$257,MATCH(DV103,$BN$5:$BN$257,0),50)="Aço Inoxidável",('Densidade do AR'!$S$8*1000000),IF(INDEX($A$5:$BP$257,MATCH(DV103,$BN$5:$BN$257,0),50)="Ferro Fundido",('Densidade do AR'!$S$12*1000000),IF(INDEX($A$5:$BP$257,MATCH(DV103,$BN$5:$BN$257,0),50)="Latão",('Densidade do AR'!$S$10*1000000),IF(INDEX($A$5:$BP$257,MATCH(DV103,$BN$5:$BN$257,0),50)="Alumínio",('Densidade do AR'!$S$4*1000000)))))))-(((-('Densidade do AR'!$M$4))+('Densidade do AR'!$T$15*1000000))/('Densidade do AR'!$S$14*1000000))))))</f>
        <v>-</v>
      </c>
      <c r="ES103" s="785"/>
      <c r="ET103" s="785"/>
      <c r="EU103" s="791"/>
      <c r="EV103" s="91" t="str">
        <f t="shared" si="38"/>
        <v>-</v>
      </c>
      <c r="EW103" s="794"/>
      <c r="EX103" s="795"/>
      <c r="EY103" s="784" t="str">
        <f>IF(EW103="","-",(IF(INDEX($A$5:$BP$257,MATCH(EW103,$BN$5:$BN$257,0),50)="Aço Inoxidável",('Densidade do AR'!$S$8*1000000),IF(INDEX($A$5:$BP$257,MATCH(EW103,$BN$5:$BN$257,0),50)="Ferro Fundido",('Densidade do AR'!$S$12*1000000),IF(INDEX($A$5:$BP$257,MATCH(EW103,$BN$5:$BN$257,0),50)="Latão",('Densidade do AR'!$S$10*1000000),IF(INDEX($A$5:$BP$257,MATCH(EW103,$BN$5:$BN$257,0),50)="Alumínio",('Densidade do AR'!$S$4*1000000)))))))</f>
        <v>-</v>
      </c>
      <c r="EZ103" s="785"/>
      <c r="FA103" s="785"/>
      <c r="FB103" s="786"/>
      <c r="FC103" s="787" t="str">
        <f t="shared" si="39"/>
        <v>-</v>
      </c>
      <c r="FD103" s="788"/>
      <c r="FE103" s="788"/>
      <c r="FF103" s="789"/>
      <c r="FG103" s="787" t="str">
        <f t="shared" si="28"/>
        <v>-</v>
      </c>
      <c r="FH103" s="788"/>
      <c r="FI103" s="788"/>
      <c r="FJ103" s="789"/>
      <c r="FK103" s="790" t="str">
        <f t="shared" si="40"/>
        <v>-</v>
      </c>
      <c r="FL103" s="785"/>
      <c r="FM103" s="785"/>
      <c r="FN103" s="786"/>
      <c r="FO103" s="790" t="str">
        <f t="shared" si="29"/>
        <v>-</v>
      </c>
      <c r="FP103" s="785"/>
      <c r="FQ103" s="785"/>
      <c r="FR103" s="786"/>
      <c r="FS103" s="790" t="str">
        <f>IF(EW103="","-",INDEX($A$5:$BP$257,MATCH(EW103,$BN$5:$BN$257,0),39)*(IF(EW103="","-",(1+(((-('Densidade do AR'!$M$4))+('Densidade do AR'!$T$15*1000000))/(IF(INDEX($A$5:$BP$257,MATCH(EW103,$BN$5:$BN$257,0),50)="Aço Inoxidável",('Densidade do AR'!$S$8*1000000),IF(INDEX($A$5:$BP$257,MATCH(EW103,$BN$5:$BN$257,0),50)="Ferro Fundido",('Densidade do AR'!$S$12*1000000),IF(INDEX($A$5:$BP$257,MATCH(EW103,$BN$5:$BN$257,0),50)="Latão",('Densidade do AR'!$S$10*1000000),IF(INDEX($A$5:$BP$257,MATCH(EW103,$BN$5:$BN$257,0),50)="Alumínio",('Densidade do AR'!$S$4*1000000)))))))-(((-('Densidade do AR'!$M$4))+('Densidade do AR'!$T$15*1000000))/('Densidade do AR'!$S$14*1000000))))))</f>
        <v>-</v>
      </c>
      <c r="FT103" s="785"/>
      <c r="FU103" s="785"/>
      <c r="FV103" s="791"/>
      <c r="FW103" s="91" t="str">
        <f t="shared" si="41"/>
        <v>-</v>
      </c>
      <c r="FX103" s="135"/>
    </row>
    <row r="104" spans="1:180" ht="12.75" customHeight="1" x14ac:dyDescent="0.2">
      <c r="A104" s="718">
        <v>100</v>
      </c>
      <c r="B104" s="713"/>
      <c r="C104" s="719"/>
      <c r="D104" s="709"/>
      <c r="E104" s="709"/>
      <c r="F104" s="709"/>
      <c r="G104" s="710"/>
      <c r="H104" s="720"/>
      <c r="I104" s="712"/>
      <c r="J104" s="712"/>
      <c r="K104" s="713"/>
      <c r="L104" s="719"/>
      <c r="M104" s="709"/>
      <c r="N104" s="709"/>
      <c r="O104" s="709"/>
      <c r="P104" s="719"/>
      <c r="Q104" s="709"/>
      <c r="R104" s="709"/>
      <c r="S104" s="709"/>
      <c r="T104" s="710"/>
      <c r="U104" s="721"/>
      <c r="V104" s="722"/>
      <c r="W104" s="722"/>
      <c r="X104" s="722"/>
      <c r="Y104" s="722"/>
      <c r="Z104" s="722"/>
      <c r="AA104" s="723"/>
      <c r="AB104" s="853"/>
      <c r="AC104" s="854"/>
      <c r="AD104" s="854"/>
      <c r="AE104" s="854"/>
      <c r="AF104" s="854"/>
      <c r="AG104" s="854"/>
      <c r="AH104" s="854"/>
      <c r="AI104" s="854"/>
      <c r="AJ104" s="854"/>
      <c r="AK104" s="854"/>
      <c r="AL104" s="855"/>
      <c r="AM104" s="909"/>
      <c r="AN104" s="712"/>
      <c r="AO104" s="712"/>
      <c r="AP104" s="712"/>
      <c r="AQ104" s="712"/>
      <c r="AR104" s="712"/>
      <c r="AS104" s="713"/>
      <c r="AT104" s="909"/>
      <c r="AU104" s="712"/>
      <c r="AV104" s="712"/>
      <c r="AW104" s="713"/>
      <c r="AX104" s="908"/>
      <c r="AY104" s="712"/>
      <c r="AZ104" s="712"/>
      <c r="BA104" s="712"/>
      <c r="BB104" s="712"/>
      <c r="BC104" s="713"/>
      <c r="BD104" s="909"/>
      <c r="BE104" s="712"/>
      <c r="BF104" s="712"/>
      <c r="BG104" s="713"/>
      <c r="BH104" s="908"/>
      <c r="BI104" s="712"/>
      <c r="BJ104" s="712"/>
      <c r="BK104" s="712"/>
      <c r="BL104" s="910"/>
      <c r="BN104" s="881"/>
      <c r="BO104" s="882"/>
      <c r="BP104" s="883"/>
      <c r="BT104" s="819"/>
      <c r="BU104" s="820"/>
      <c r="BV104" s="738" t="str">
        <f>IF(BT104="","-",(IF(INDEX($A$5:$BP$257,MATCH(BT104,$BN$5:$BN$257,0),50)="Aço Inoxidável",('Densidade do AR'!$S$8*1000000),IF(INDEX($A$5:$BP$257,MATCH(BT104,$BN$5:$BN$257,0),50)="Ferro Fundido",('Densidade do AR'!$S$12*1000000),IF(INDEX($A$5:$BP$257,MATCH(BT104,$BN$5:$BN$257,0),50)="Latão",('Densidade do AR'!$S$10*1000000),IF(INDEX($A$5:$BP$257,MATCH(BT104,$BN$5:$BN$257,0),50)="Alumínio",('Densidade do AR'!$S$4*1000000)))))))</f>
        <v>-</v>
      </c>
      <c r="BW104" s="739"/>
      <c r="BX104" s="739"/>
      <c r="BY104" s="740"/>
      <c r="BZ104" s="741" t="str">
        <f t="shared" si="30"/>
        <v>-</v>
      </c>
      <c r="CA104" s="742"/>
      <c r="CB104" s="742"/>
      <c r="CC104" s="743"/>
      <c r="CD104" s="741" t="str">
        <f t="shared" si="22"/>
        <v>-</v>
      </c>
      <c r="CE104" s="742"/>
      <c r="CF104" s="742"/>
      <c r="CG104" s="743"/>
      <c r="CH104" s="744" t="str">
        <f t="shared" si="31"/>
        <v>-</v>
      </c>
      <c r="CI104" s="739"/>
      <c r="CJ104" s="739"/>
      <c r="CK104" s="740"/>
      <c r="CL104" s="744" t="str">
        <f t="shared" si="23"/>
        <v>-</v>
      </c>
      <c r="CM104" s="739"/>
      <c r="CN104" s="739"/>
      <c r="CO104" s="740"/>
      <c r="CP104" s="744" t="str">
        <f>IF(BT104="","-",INDEX($A$5:$BP$257,MATCH(BT104,$BN$5:$BN$257,0),39)*(IF(BT104="","-",(1+(((-('Densidade do AR'!$M$4))+('Densidade do AR'!$T$15*1000000))/(IF(INDEX($A$5:$BP$257,MATCH(BT104,$BN$5:$BN$257,0),50)="Aço Inoxidável",('Densidade do AR'!$S$8*1000000),IF(INDEX($A$5:$BP$257,MATCH(BT104,$BN$5:$BN$257,0),50)="Ferro Fundido",('Densidade do AR'!$S$12*1000000),IF(INDEX($A$5:$BP$257,MATCH(BT104,$BN$5:$BN$257,0),50)="Latão",('Densidade do AR'!$S$10*1000000),IF(INDEX($A$5:$BP$257,MATCH(BT104,$BN$5:$BN$257,0),50)="Alumínio",('Densidade do AR'!$S$4*1000000)))))))-(((-('Densidade do AR'!$M$4))+('Densidade do AR'!$T$15*1000000))/('Densidade do AR'!$S$14*1000000))))))</f>
        <v>-</v>
      </c>
      <c r="CQ104" s="739"/>
      <c r="CR104" s="739"/>
      <c r="CS104" s="745"/>
      <c r="CT104" s="91" t="str">
        <f t="shared" si="32"/>
        <v>-</v>
      </c>
      <c r="CU104" s="819"/>
      <c r="CV104" s="820"/>
      <c r="CW104" s="738" t="str">
        <f>IF(CU104="","-",(IF(INDEX($A$5:$BP$257,MATCH(CU104,$BN$5:$BN$257,0),50)="Aço Inoxidável",('Densidade do AR'!$S$8*1000000),IF(INDEX($A$5:$BP$257,MATCH(CU104,$BN$5:$BN$257,0),50)="Ferro Fundido",('Densidade do AR'!$S$12*1000000),IF(INDEX($A$5:$BP$257,MATCH(CU104,$BN$5:$BN$257,0),50)="Latão",('Densidade do AR'!$S$10*1000000),IF(INDEX($A$5:$BP$257,MATCH(CU104,$BN$5:$BN$257,0),50)="Alumínio",('Densidade do AR'!$S$4*1000000)))))))</f>
        <v>-</v>
      </c>
      <c r="CX104" s="739"/>
      <c r="CY104" s="739"/>
      <c r="CZ104" s="740"/>
      <c r="DA104" s="741" t="str">
        <f t="shared" si="33"/>
        <v>-</v>
      </c>
      <c r="DB104" s="742"/>
      <c r="DC104" s="742"/>
      <c r="DD104" s="743"/>
      <c r="DE104" s="741" t="str">
        <f t="shared" si="24"/>
        <v>-</v>
      </c>
      <c r="DF104" s="742"/>
      <c r="DG104" s="742"/>
      <c r="DH104" s="743"/>
      <c r="DI104" s="744" t="str">
        <f t="shared" si="34"/>
        <v>-</v>
      </c>
      <c r="DJ104" s="739"/>
      <c r="DK104" s="739"/>
      <c r="DL104" s="740"/>
      <c r="DM104" s="744" t="str">
        <f t="shared" si="25"/>
        <v>-</v>
      </c>
      <c r="DN104" s="739"/>
      <c r="DO104" s="739"/>
      <c r="DP104" s="740"/>
      <c r="DQ104" s="744" t="str">
        <f>IF(CU104="","-",INDEX($A$5:$BP$257,MATCH(CU104,$BN$5:$BN$257,0),39)*(IF(CU104="","-",(1+(((-('Densidade do AR'!$M$4))+('Densidade do AR'!$T$15*1000000))/(IF(INDEX($A$5:$BP$257,MATCH(CU104,$BN$5:$BN$257,0),50)="Aço Inoxidável",('Densidade do AR'!$S$8*1000000),IF(INDEX($A$5:$BP$257,MATCH(CU104,$BN$5:$BN$257,0),50)="Ferro Fundido",('Densidade do AR'!$S$12*1000000),IF(INDEX($A$5:$BP$257,MATCH(CU104,$BN$5:$BN$257,0),50)="Latão",('Densidade do AR'!$S$10*1000000),IF(INDEX($A$5:$BP$257,MATCH(CU104,$BN$5:$BN$257,0),50)="Alumínio",('Densidade do AR'!$S$4*1000000)))))))-(((-('Densidade do AR'!$M$4))+('Densidade do AR'!$T$15*1000000))/('Densidade do AR'!$S$14*1000000))))))</f>
        <v>-</v>
      </c>
      <c r="DR104" s="739"/>
      <c r="DS104" s="739"/>
      <c r="DT104" s="745"/>
      <c r="DU104" s="91" t="str">
        <f t="shared" si="35"/>
        <v>-</v>
      </c>
      <c r="DV104" s="819"/>
      <c r="DW104" s="820"/>
      <c r="DX104" s="738" t="str">
        <f>IF(DV104="","-",(IF(INDEX($A$5:$BP$257,MATCH(DV104,$BN$5:$BN$257,0),50)="Aço Inoxidável",('Densidade do AR'!$S$8*1000000),IF(INDEX($A$5:$BP$257,MATCH(DV104,$BN$5:$BN$257,0),50)="Ferro Fundido",('Densidade do AR'!$S$12*1000000),IF(INDEX($A$5:$BP$257,MATCH(DV104,$BN$5:$BN$257,0),50)="Latão",('Densidade do AR'!$S$10*1000000),IF(INDEX($A$5:$BP$257,MATCH(DV104,$BN$5:$BN$257,0),50)="Alumínio",('Densidade do AR'!$S$4*1000000)))))))</f>
        <v>-</v>
      </c>
      <c r="DY104" s="739"/>
      <c r="DZ104" s="739"/>
      <c r="EA104" s="740"/>
      <c r="EB104" s="741" t="str">
        <f t="shared" si="36"/>
        <v>-</v>
      </c>
      <c r="EC104" s="742"/>
      <c r="ED104" s="742"/>
      <c r="EE104" s="743"/>
      <c r="EF104" s="741" t="str">
        <f t="shared" si="26"/>
        <v>-</v>
      </c>
      <c r="EG104" s="742"/>
      <c r="EH104" s="742"/>
      <c r="EI104" s="743"/>
      <c r="EJ104" s="744" t="str">
        <f t="shared" si="37"/>
        <v>-</v>
      </c>
      <c r="EK104" s="739"/>
      <c r="EL104" s="739"/>
      <c r="EM104" s="740"/>
      <c r="EN104" s="744" t="str">
        <f t="shared" si="27"/>
        <v>-</v>
      </c>
      <c r="EO104" s="739"/>
      <c r="EP104" s="739"/>
      <c r="EQ104" s="740"/>
      <c r="ER104" s="744" t="str">
        <f>IF(DV104="","-",INDEX($A$5:$BP$257,MATCH(DV104,$BN$5:$BN$257,0),39)*(IF(DV104="","-",(1+(((-('Densidade do AR'!$M$4))+('Densidade do AR'!$T$15*1000000))/(IF(INDEX($A$5:$BP$257,MATCH(DV104,$BN$5:$BN$257,0),50)="Aço Inoxidável",('Densidade do AR'!$S$8*1000000),IF(INDEX($A$5:$BP$257,MATCH(DV104,$BN$5:$BN$257,0),50)="Ferro Fundido",('Densidade do AR'!$S$12*1000000),IF(INDEX($A$5:$BP$257,MATCH(DV104,$BN$5:$BN$257,0),50)="Latão",('Densidade do AR'!$S$10*1000000),IF(INDEX($A$5:$BP$257,MATCH(DV104,$BN$5:$BN$257,0),50)="Alumínio",('Densidade do AR'!$S$4*1000000)))))))-(((-('Densidade do AR'!$M$4))+('Densidade do AR'!$T$15*1000000))/('Densidade do AR'!$S$14*1000000))))))</f>
        <v>-</v>
      </c>
      <c r="ES104" s="739"/>
      <c r="ET104" s="739"/>
      <c r="EU104" s="745"/>
      <c r="EV104" s="91" t="str">
        <f t="shared" si="38"/>
        <v>-</v>
      </c>
      <c r="EW104" s="819"/>
      <c r="EX104" s="820"/>
      <c r="EY104" s="738" t="str">
        <f>IF(EW104="","-",(IF(INDEX($A$5:$BP$257,MATCH(EW104,$BN$5:$BN$257,0),50)="Aço Inoxidável",('Densidade do AR'!$S$8*1000000),IF(INDEX($A$5:$BP$257,MATCH(EW104,$BN$5:$BN$257,0),50)="Ferro Fundido",('Densidade do AR'!$S$12*1000000),IF(INDEX($A$5:$BP$257,MATCH(EW104,$BN$5:$BN$257,0),50)="Latão",('Densidade do AR'!$S$10*1000000),IF(INDEX($A$5:$BP$257,MATCH(EW104,$BN$5:$BN$257,0),50)="Alumínio",('Densidade do AR'!$S$4*1000000)))))))</f>
        <v>-</v>
      </c>
      <c r="EZ104" s="739"/>
      <c r="FA104" s="739"/>
      <c r="FB104" s="740"/>
      <c r="FC104" s="741" t="str">
        <f t="shared" si="39"/>
        <v>-</v>
      </c>
      <c r="FD104" s="742"/>
      <c r="FE104" s="742"/>
      <c r="FF104" s="743"/>
      <c r="FG104" s="741" t="str">
        <f t="shared" si="28"/>
        <v>-</v>
      </c>
      <c r="FH104" s="742"/>
      <c r="FI104" s="742"/>
      <c r="FJ104" s="743"/>
      <c r="FK104" s="744" t="str">
        <f t="shared" si="40"/>
        <v>-</v>
      </c>
      <c r="FL104" s="739"/>
      <c r="FM104" s="739"/>
      <c r="FN104" s="740"/>
      <c r="FO104" s="744" t="str">
        <f t="shared" si="29"/>
        <v>-</v>
      </c>
      <c r="FP104" s="739"/>
      <c r="FQ104" s="739"/>
      <c r="FR104" s="740"/>
      <c r="FS104" s="744" t="str">
        <f>IF(EW104="","-",INDEX($A$5:$BP$257,MATCH(EW104,$BN$5:$BN$257,0),39)*(IF(EW104="","-",(1+(((-('Densidade do AR'!$M$4))+('Densidade do AR'!$T$15*1000000))/(IF(INDEX($A$5:$BP$257,MATCH(EW104,$BN$5:$BN$257,0),50)="Aço Inoxidável",('Densidade do AR'!$S$8*1000000),IF(INDEX($A$5:$BP$257,MATCH(EW104,$BN$5:$BN$257,0),50)="Ferro Fundido",('Densidade do AR'!$S$12*1000000),IF(INDEX($A$5:$BP$257,MATCH(EW104,$BN$5:$BN$257,0),50)="Latão",('Densidade do AR'!$S$10*1000000),IF(INDEX($A$5:$BP$257,MATCH(EW104,$BN$5:$BN$257,0),50)="Alumínio",('Densidade do AR'!$S$4*1000000)))))))-(((-('Densidade do AR'!$M$4))+('Densidade do AR'!$T$15*1000000))/('Densidade do AR'!$S$14*1000000))))))</f>
        <v>-</v>
      </c>
      <c r="FT104" s="739"/>
      <c r="FU104" s="739"/>
      <c r="FV104" s="745"/>
      <c r="FW104" s="91" t="str">
        <f t="shared" si="41"/>
        <v>-</v>
      </c>
      <c r="FX104" s="135"/>
    </row>
    <row r="105" spans="1:180" ht="12.75" customHeight="1" x14ac:dyDescent="0.2">
      <c r="A105" s="717">
        <v>101</v>
      </c>
      <c r="B105" s="713"/>
      <c r="C105" s="708"/>
      <c r="D105" s="709"/>
      <c r="E105" s="709"/>
      <c r="F105" s="709"/>
      <c r="G105" s="710"/>
      <c r="H105" s="711"/>
      <c r="I105" s="712"/>
      <c r="J105" s="712"/>
      <c r="K105" s="713"/>
      <c r="L105" s="708"/>
      <c r="M105" s="709"/>
      <c r="N105" s="709"/>
      <c r="O105" s="709"/>
      <c r="P105" s="708"/>
      <c r="Q105" s="709"/>
      <c r="R105" s="709"/>
      <c r="S105" s="709"/>
      <c r="T105" s="710"/>
      <c r="U105" s="714"/>
      <c r="V105" s="715"/>
      <c r="W105" s="715"/>
      <c r="X105" s="715"/>
      <c r="Y105" s="715"/>
      <c r="Z105" s="715"/>
      <c r="AA105" s="716"/>
      <c r="AB105" s="850"/>
      <c r="AC105" s="851"/>
      <c r="AD105" s="851"/>
      <c r="AE105" s="851"/>
      <c r="AF105" s="851"/>
      <c r="AG105" s="851"/>
      <c r="AH105" s="851"/>
      <c r="AI105" s="851"/>
      <c r="AJ105" s="851"/>
      <c r="AK105" s="851"/>
      <c r="AL105" s="852"/>
      <c r="AM105" s="917"/>
      <c r="AN105" s="712"/>
      <c r="AO105" s="712"/>
      <c r="AP105" s="712"/>
      <c r="AQ105" s="712"/>
      <c r="AR105" s="712"/>
      <c r="AS105" s="713"/>
      <c r="AT105" s="917"/>
      <c r="AU105" s="712"/>
      <c r="AV105" s="712"/>
      <c r="AW105" s="713"/>
      <c r="AX105" s="917"/>
      <c r="AY105" s="712"/>
      <c r="AZ105" s="712"/>
      <c r="BA105" s="712"/>
      <c r="BB105" s="712"/>
      <c r="BC105" s="713"/>
      <c r="BD105" s="917"/>
      <c r="BE105" s="712"/>
      <c r="BF105" s="712"/>
      <c r="BG105" s="713"/>
      <c r="BH105" s="918"/>
      <c r="BI105" s="712"/>
      <c r="BJ105" s="712"/>
      <c r="BK105" s="712"/>
      <c r="BL105" s="910"/>
      <c r="BN105" s="878"/>
      <c r="BO105" s="879"/>
      <c r="BP105" s="880"/>
      <c r="BT105" s="794"/>
      <c r="BU105" s="795"/>
      <c r="BV105" s="784" t="str">
        <f>IF(BT105="","-",(IF(INDEX($A$5:$BP$257,MATCH(BT105,$BN$5:$BN$257,0),50)="Aço Inoxidável",('Densidade do AR'!$S$8*1000000),IF(INDEX($A$5:$BP$257,MATCH(BT105,$BN$5:$BN$257,0),50)="Ferro Fundido",('Densidade do AR'!$S$12*1000000),IF(INDEX($A$5:$BP$257,MATCH(BT105,$BN$5:$BN$257,0),50)="Latão",('Densidade do AR'!$S$10*1000000),IF(INDEX($A$5:$BP$257,MATCH(BT105,$BN$5:$BN$257,0),50)="Alumínio",('Densidade do AR'!$S$4*1000000)))))))</f>
        <v>-</v>
      </c>
      <c r="BW105" s="785"/>
      <c r="BX105" s="785"/>
      <c r="BY105" s="786"/>
      <c r="BZ105" s="787" t="str">
        <f t="shared" si="30"/>
        <v>-</v>
      </c>
      <c r="CA105" s="788"/>
      <c r="CB105" s="788"/>
      <c r="CC105" s="789"/>
      <c r="CD105" s="787" t="str">
        <f t="shared" si="22"/>
        <v>-</v>
      </c>
      <c r="CE105" s="788"/>
      <c r="CF105" s="788"/>
      <c r="CG105" s="789"/>
      <c r="CH105" s="790" t="str">
        <f t="shared" si="31"/>
        <v>-</v>
      </c>
      <c r="CI105" s="785"/>
      <c r="CJ105" s="785"/>
      <c r="CK105" s="786"/>
      <c r="CL105" s="790" t="str">
        <f t="shared" si="23"/>
        <v>-</v>
      </c>
      <c r="CM105" s="785"/>
      <c r="CN105" s="785"/>
      <c r="CO105" s="786"/>
      <c r="CP105" s="790" t="str">
        <f>IF(BT105="","-",INDEX($A$5:$BP$257,MATCH(BT105,$BN$5:$BN$257,0),39)*(IF(BT105="","-",(1+(((-('Densidade do AR'!$M$4))+('Densidade do AR'!$T$15*1000000))/(IF(INDEX($A$5:$BP$257,MATCH(BT105,$BN$5:$BN$257,0),50)="Aço Inoxidável",('Densidade do AR'!$S$8*1000000),IF(INDEX($A$5:$BP$257,MATCH(BT105,$BN$5:$BN$257,0),50)="Ferro Fundido",('Densidade do AR'!$S$12*1000000),IF(INDEX($A$5:$BP$257,MATCH(BT105,$BN$5:$BN$257,0),50)="Latão",('Densidade do AR'!$S$10*1000000),IF(INDEX($A$5:$BP$257,MATCH(BT105,$BN$5:$BN$257,0),50)="Alumínio",('Densidade do AR'!$S$4*1000000)))))))-(((-('Densidade do AR'!$M$4))+('Densidade do AR'!$T$15*1000000))/('Densidade do AR'!$S$14*1000000))))))</f>
        <v>-</v>
      </c>
      <c r="CQ105" s="785"/>
      <c r="CR105" s="785"/>
      <c r="CS105" s="791"/>
      <c r="CT105" s="91" t="str">
        <f t="shared" si="32"/>
        <v>-</v>
      </c>
      <c r="CU105" s="794"/>
      <c r="CV105" s="795"/>
      <c r="CW105" s="784" t="str">
        <f>IF(CU105="","-",(IF(INDEX($A$5:$BP$257,MATCH(CU105,$BN$5:$BN$257,0),50)="Aço Inoxidável",('Densidade do AR'!$S$8*1000000),IF(INDEX($A$5:$BP$257,MATCH(CU105,$BN$5:$BN$257,0),50)="Ferro Fundido",('Densidade do AR'!$S$12*1000000),IF(INDEX($A$5:$BP$257,MATCH(CU105,$BN$5:$BN$257,0),50)="Latão",('Densidade do AR'!$S$10*1000000),IF(INDEX($A$5:$BP$257,MATCH(CU105,$BN$5:$BN$257,0),50)="Alumínio",('Densidade do AR'!$S$4*1000000)))))))</f>
        <v>-</v>
      </c>
      <c r="CX105" s="785"/>
      <c r="CY105" s="785"/>
      <c r="CZ105" s="786"/>
      <c r="DA105" s="787" t="str">
        <f t="shared" si="33"/>
        <v>-</v>
      </c>
      <c r="DB105" s="788"/>
      <c r="DC105" s="788"/>
      <c r="DD105" s="789"/>
      <c r="DE105" s="787" t="str">
        <f t="shared" si="24"/>
        <v>-</v>
      </c>
      <c r="DF105" s="788"/>
      <c r="DG105" s="788"/>
      <c r="DH105" s="789"/>
      <c r="DI105" s="790" t="str">
        <f t="shared" si="34"/>
        <v>-</v>
      </c>
      <c r="DJ105" s="785"/>
      <c r="DK105" s="785"/>
      <c r="DL105" s="786"/>
      <c r="DM105" s="790" t="str">
        <f t="shared" si="25"/>
        <v>-</v>
      </c>
      <c r="DN105" s="785"/>
      <c r="DO105" s="785"/>
      <c r="DP105" s="786"/>
      <c r="DQ105" s="790" t="str">
        <f>IF(CU105="","-",INDEX($A$5:$BP$257,MATCH(CU105,$BN$5:$BN$257,0),39)*(IF(CU105="","-",(1+(((-('Densidade do AR'!$M$4))+('Densidade do AR'!$T$15*1000000))/(IF(INDEX($A$5:$BP$257,MATCH(CU105,$BN$5:$BN$257,0),50)="Aço Inoxidável",('Densidade do AR'!$S$8*1000000),IF(INDEX($A$5:$BP$257,MATCH(CU105,$BN$5:$BN$257,0),50)="Ferro Fundido",('Densidade do AR'!$S$12*1000000),IF(INDEX($A$5:$BP$257,MATCH(CU105,$BN$5:$BN$257,0),50)="Latão",('Densidade do AR'!$S$10*1000000),IF(INDEX($A$5:$BP$257,MATCH(CU105,$BN$5:$BN$257,0),50)="Alumínio",('Densidade do AR'!$S$4*1000000)))))))-(((-('Densidade do AR'!$M$4))+('Densidade do AR'!$T$15*1000000))/('Densidade do AR'!$S$14*1000000))))))</f>
        <v>-</v>
      </c>
      <c r="DR105" s="785"/>
      <c r="DS105" s="785"/>
      <c r="DT105" s="791"/>
      <c r="DU105" s="91" t="str">
        <f t="shared" si="35"/>
        <v>-</v>
      </c>
      <c r="DV105" s="794"/>
      <c r="DW105" s="795"/>
      <c r="DX105" s="784" t="str">
        <f>IF(DV105="","-",(IF(INDEX($A$5:$BP$257,MATCH(DV105,$BN$5:$BN$257,0),50)="Aço Inoxidável",('Densidade do AR'!$S$8*1000000),IF(INDEX($A$5:$BP$257,MATCH(DV105,$BN$5:$BN$257,0),50)="Ferro Fundido",('Densidade do AR'!$S$12*1000000),IF(INDEX($A$5:$BP$257,MATCH(DV105,$BN$5:$BN$257,0),50)="Latão",('Densidade do AR'!$S$10*1000000),IF(INDEX($A$5:$BP$257,MATCH(DV105,$BN$5:$BN$257,0),50)="Alumínio",('Densidade do AR'!$S$4*1000000)))))))</f>
        <v>-</v>
      </c>
      <c r="DY105" s="785"/>
      <c r="DZ105" s="785"/>
      <c r="EA105" s="786"/>
      <c r="EB105" s="787" t="str">
        <f t="shared" si="36"/>
        <v>-</v>
      </c>
      <c r="EC105" s="788"/>
      <c r="ED105" s="788"/>
      <c r="EE105" s="789"/>
      <c r="EF105" s="787" t="str">
        <f t="shared" si="26"/>
        <v>-</v>
      </c>
      <c r="EG105" s="788"/>
      <c r="EH105" s="788"/>
      <c r="EI105" s="789"/>
      <c r="EJ105" s="790" t="str">
        <f t="shared" si="37"/>
        <v>-</v>
      </c>
      <c r="EK105" s="785"/>
      <c r="EL105" s="785"/>
      <c r="EM105" s="786"/>
      <c r="EN105" s="790" t="str">
        <f t="shared" si="27"/>
        <v>-</v>
      </c>
      <c r="EO105" s="785"/>
      <c r="EP105" s="785"/>
      <c r="EQ105" s="786"/>
      <c r="ER105" s="790" t="str">
        <f>IF(DV105="","-",INDEX($A$5:$BP$257,MATCH(DV105,$BN$5:$BN$257,0),39)*(IF(DV105="","-",(1+(((-('Densidade do AR'!$M$4))+('Densidade do AR'!$T$15*1000000))/(IF(INDEX($A$5:$BP$257,MATCH(DV105,$BN$5:$BN$257,0),50)="Aço Inoxidável",('Densidade do AR'!$S$8*1000000),IF(INDEX($A$5:$BP$257,MATCH(DV105,$BN$5:$BN$257,0),50)="Ferro Fundido",('Densidade do AR'!$S$12*1000000),IF(INDEX($A$5:$BP$257,MATCH(DV105,$BN$5:$BN$257,0),50)="Latão",('Densidade do AR'!$S$10*1000000),IF(INDEX($A$5:$BP$257,MATCH(DV105,$BN$5:$BN$257,0),50)="Alumínio",('Densidade do AR'!$S$4*1000000)))))))-(((-('Densidade do AR'!$M$4))+('Densidade do AR'!$T$15*1000000))/('Densidade do AR'!$S$14*1000000))))))</f>
        <v>-</v>
      </c>
      <c r="ES105" s="785"/>
      <c r="ET105" s="785"/>
      <c r="EU105" s="791"/>
      <c r="EV105" s="91" t="str">
        <f t="shared" si="38"/>
        <v>-</v>
      </c>
      <c r="EW105" s="794"/>
      <c r="EX105" s="795"/>
      <c r="EY105" s="784" t="str">
        <f>IF(EW105="","-",(IF(INDEX($A$5:$BP$257,MATCH(EW105,$BN$5:$BN$257,0),50)="Aço Inoxidável",('Densidade do AR'!$S$8*1000000),IF(INDEX($A$5:$BP$257,MATCH(EW105,$BN$5:$BN$257,0),50)="Ferro Fundido",('Densidade do AR'!$S$12*1000000),IF(INDEX($A$5:$BP$257,MATCH(EW105,$BN$5:$BN$257,0),50)="Latão",('Densidade do AR'!$S$10*1000000),IF(INDEX($A$5:$BP$257,MATCH(EW105,$BN$5:$BN$257,0),50)="Alumínio",('Densidade do AR'!$S$4*1000000)))))))</f>
        <v>-</v>
      </c>
      <c r="EZ105" s="785"/>
      <c r="FA105" s="785"/>
      <c r="FB105" s="786"/>
      <c r="FC105" s="787" t="str">
        <f t="shared" si="39"/>
        <v>-</v>
      </c>
      <c r="FD105" s="788"/>
      <c r="FE105" s="788"/>
      <c r="FF105" s="789"/>
      <c r="FG105" s="787" t="str">
        <f t="shared" si="28"/>
        <v>-</v>
      </c>
      <c r="FH105" s="788"/>
      <c r="FI105" s="788"/>
      <c r="FJ105" s="789"/>
      <c r="FK105" s="790" t="str">
        <f t="shared" si="40"/>
        <v>-</v>
      </c>
      <c r="FL105" s="785"/>
      <c r="FM105" s="785"/>
      <c r="FN105" s="786"/>
      <c r="FO105" s="790" t="str">
        <f t="shared" si="29"/>
        <v>-</v>
      </c>
      <c r="FP105" s="785"/>
      <c r="FQ105" s="785"/>
      <c r="FR105" s="786"/>
      <c r="FS105" s="790" t="str">
        <f>IF(EW105="","-",INDEX($A$5:$BP$257,MATCH(EW105,$BN$5:$BN$257,0),39)*(IF(EW105="","-",(1+(((-('Densidade do AR'!$M$4))+('Densidade do AR'!$T$15*1000000))/(IF(INDEX($A$5:$BP$257,MATCH(EW105,$BN$5:$BN$257,0),50)="Aço Inoxidável",('Densidade do AR'!$S$8*1000000),IF(INDEX($A$5:$BP$257,MATCH(EW105,$BN$5:$BN$257,0),50)="Ferro Fundido",('Densidade do AR'!$S$12*1000000),IF(INDEX($A$5:$BP$257,MATCH(EW105,$BN$5:$BN$257,0),50)="Latão",('Densidade do AR'!$S$10*1000000),IF(INDEX($A$5:$BP$257,MATCH(EW105,$BN$5:$BN$257,0),50)="Alumínio",('Densidade do AR'!$S$4*1000000)))))))-(((-('Densidade do AR'!$M$4))+('Densidade do AR'!$T$15*1000000))/('Densidade do AR'!$S$14*1000000))))))</f>
        <v>-</v>
      </c>
      <c r="FT105" s="785"/>
      <c r="FU105" s="785"/>
      <c r="FV105" s="791"/>
      <c r="FW105" s="91" t="str">
        <f t="shared" si="41"/>
        <v>-</v>
      </c>
      <c r="FX105" s="135"/>
    </row>
    <row r="106" spans="1:180" ht="12.75" customHeight="1" x14ac:dyDescent="0.2">
      <c r="A106" s="718">
        <v>102</v>
      </c>
      <c r="B106" s="713"/>
      <c r="C106" s="719"/>
      <c r="D106" s="709"/>
      <c r="E106" s="709"/>
      <c r="F106" s="709"/>
      <c r="G106" s="710"/>
      <c r="H106" s="720"/>
      <c r="I106" s="712"/>
      <c r="J106" s="712"/>
      <c r="K106" s="713"/>
      <c r="L106" s="719"/>
      <c r="M106" s="709"/>
      <c r="N106" s="709"/>
      <c r="O106" s="709"/>
      <c r="P106" s="719"/>
      <c r="Q106" s="709"/>
      <c r="R106" s="709"/>
      <c r="S106" s="709"/>
      <c r="T106" s="710"/>
      <c r="U106" s="721"/>
      <c r="V106" s="722"/>
      <c r="W106" s="722"/>
      <c r="X106" s="722"/>
      <c r="Y106" s="722"/>
      <c r="Z106" s="722"/>
      <c r="AA106" s="723"/>
      <c r="AB106" s="853"/>
      <c r="AC106" s="854"/>
      <c r="AD106" s="854"/>
      <c r="AE106" s="854"/>
      <c r="AF106" s="854"/>
      <c r="AG106" s="854"/>
      <c r="AH106" s="854"/>
      <c r="AI106" s="854"/>
      <c r="AJ106" s="854"/>
      <c r="AK106" s="854"/>
      <c r="AL106" s="855"/>
      <c r="AM106" s="909"/>
      <c r="AN106" s="712"/>
      <c r="AO106" s="712"/>
      <c r="AP106" s="712"/>
      <c r="AQ106" s="712"/>
      <c r="AR106" s="712"/>
      <c r="AS106" s="713"/>
      <c r="AT106" s="909"/>
      <c r="AU106" s="712"/>
      <c r="AV106" s="712"/>
      <c r="AW106" s="713"/>
      <c r="AX106" s="908"/>
      <c r="AY106" s="712"/>
      <c r="AZ106" s="712"/>
      <c r="BA106" s="712"/>
      <c r="BB106" s="712"/>
      <c r="BC106" s="713"/>
      <c r="BD106" s="909"/>
      <c r="BE106" s="712"/>
      <c r="BF106" s="712"/>
      <c r="BG106" s="713"/>
      <c r="BH106" s="908"/>
      <c r="BI106" s="712"/>
      <c r="BJ106" s="712"/>
      <c r="BK106" s="712"/>
      <c r="BL106" s="910"/>
      <c r="BN106" s="881"/>
      <c r="BO106" s="882"/>
      <c r="BP106" s="883"/>
      <c r="BT106" s="792"/>
      <c r="BU106" s="793"/>
      <c r="BV106" s="738" t="str">
        <f>IF(BT106="","-",(IF(INDEX($A$5:$BP$257,MATCH(BT106,$BN$5:$BN$257,0),50)="Aço Inoxidável",('Densidade do AR'!$S$8*1000000),IF(INDEX($A$5:$BP$257,MATCH(BT106,$BN$5:$BN$257,0),50)="Ferro Fundido",('Densidade do AR'!$S$12*1000000),IF(INDEX($A$5:$BP$257,MATCH(BT106,$BN$5:$BN$257,0),50)="Latão",('Densidade do AR'!$S$10*1000000),IF(INDEX($A$5:$BP$257,MATCH(BT106,$BN$5:$BN$257,0),50)="Alumínio",('Densidade do AR'!$S$4*1000000)))))))</f>
        <v>-</v>
      </c>
      <c r="BW106" s="739"/>
      <c r="BX106" s="739"/>
      <c r="BY106" s="740"/>
      <c r="BZ106" s="741" t="str">
        <f t="shared" si="30"/>
        <v>-</v>
      </c>
      <c r="CA106" s="742"/>
      <c r="CB106" s="742"/>
      <c r="CC106" s="743"/>
      <c r="CD106" s="741" t="str">
        <f t="shared" si="22"/>
        <v>-</v>
      </c>
      <c r="CE106" s="742"/>
      <c r="CF106" s="742"/>
      <c r="CG106" s="743"/>
      <c r="CH106" s="744" t="str">
        <f t="shared" si="31"/>
        <v>-</v>
      </c>
      <c r="CI106" s="739"/>
      <c r="CJ106" s="739"/>
      <c r="CK106" s="740"/>
      <c r="CL106" s="744" t="str">
        <f t="shared" si="23"/>
        <v>-</v>
      </c>
      <c r="CM106" s="739"/>
      <c r="CN106" s="739"/>
      <c r="CO106" s="740"/>
      <c r="CP106" s="744" t="str">
        <f>IF(BT106="","-",INDEX($A$5:$BP$257,MATCH(BT106,$BN$5:$BN$257,0),39)*(IF(BT106="","-",(1+(((-('Densidade do AR'!$M$4))+('Densidade do AR'!$T$15*1000000))/(IF(INDEX($A$5:$BP$257,MATCH(BT106,$BN$5:$BN$257,0),50)="Aço Inoxidável",('Densidade do AR'!$S$8*1000000),IF(INDEX($A$5:$BP$257,MATCH(BT106,$BN$5:$BN$257,0),50)="Ferro Fundido",('Densidade do AR'!$S$12*1000000),IF(INDEX($A$5:$BP$257,MATCH(BT106,$BN$5:$BN$257,0),50)="Latão",('Densidade do AR'!$S$10*1000000),IF(INDEX($A$5:$BP$257,MATCH(BT106,$BN$5:$BN$257,0),50)="Alumínio",('Densidade do AR'!$S$4*1000000)))))))-(((-('Densidade do AR'!$M$4))+('Densidade do AR'!$T$15*1000000))/('Densidade do AR'!$S$14*1000000))))))</f>
        <v>-</v>
      </c>
      <c r="CQ106" s="739"/>
      <c r="CR106" s="739"/>
      <c r="CS106" s="745"/>
      <c r="CT106" s="91" t="str">
        <f t="shared" si="32"/>
        <v>-</v>
      </c>
      <c r="CU106" s="792"/>
      <c r="CV106" s="793"/>
      <c r="CW106" s="738" t="str">
        <f>IF(CU106="","-",(IF(INDEX($A$5:$BP$257,MATCH(CU106,$BN$5:$BN$257,0),50)="Aço Inoxidável",('Densidade do AR'!$S$8*1000000),IF(INDEX($A$5:$BP$257,MATCH(CU106,$BN$5:$BN$257,0),50)="Ferro Fundido",('Densidade do AR'!$S$12*1000000),IF(INDEX($A$5:$BP$257,MATCH(CU106,$BN$5:$BN$257,0),50)="Latão",('Densidade do AR'!$S$10*1000000),IF(INDEX($A$5:$BP$257,MATCH(CU106,$BN$5:$BN$257,0),50)="Alumínio",('Densidade do AR'!$S$4*1000000)))))))</f>
        <v>-</v>
      </c>
      <c r="CX106" s="739"/>
      <c r="CY106" s="739"/>
      <c r="CZ106" s="740"/>
      <c r="DA106" s="741" t="str">
        <f t="shared" si="33"/>
        <v>-</v>
      </c>
      <c r="DB106" s="742"/>
      <c r="DC106" s="742"/>
      <c r="DD106" s="743"/>
      <c r="DE106" s="741" t="str">
        <f t="shared" si="24"/>
        <v>-</v>
      </c>
      <c r="DF106" s="742"/>
      <c r="DG106" s="742"/>
      <c r="DH106" s="743"/>
      <c r="DI106" s="744" t="str">
        <f t="shared" si="34"/>
        <v>-</v>
      </c>
      <c r="DJ106" s="739"/>
      <c r="DK106" s="739"/>
      <c r="DL106" s="740"/>
      <c r="DM106" s="744" t="str">
        <f t="shared" si="25"/>
        <v>-</v>
      </c>
      <c r="DN106" s="739"/>
      <c r="DO106" s="739"/>
      <c r="DP106" s="740"/>
      <c r="DQ106" s="744" t="str">
        <f>IF(CU106="","-",INDEX($A$5:$BP$257,MATCH(CU106,$BN$5:$BN$257,0),39)*(IF(CU106="","-",(1+(((-('Densidade do AR'!$M$4))+('Densidade do AR'!$T$15*1000000))/(IF(INDEX($A$5:$BP$257,MATCH(CU106,$BN$5:$BN$257,0),50)="Aço Inoxidável",('Densidade do AR'!$S$8*1000000),IF(INDEX($A$5:$BP$257,MATCH(CU106,$BN$5:$BN$257,0),50)="Ferro Fundido",('Densidade do AR'!$S$12*1000000),IF(INDEX($A$5:$BP$257,MATCH(CU106,$BN$5:$BN$257,0),50)="Latão",('Densidade do AR'!$S$10*1000000),IF(INDEX($A$5:$BP$257,MATCH(CU106,$BN$5:$BN$257,0),50)="Alumínio",('Densidade do AR'!$S$4*1000000)))))))-(((-('Densidade do AR'!$M$4))+('Densidade do AR'!$T$15*1000000))/('Densidade do AR'!$S$14*1000000))))))</f>
        <v>-</v>
      </c>
      <c r="DR106" s="739"/>
      <c r="DS106" s="739"/>
      <c r="DT106" s="745"/>
      <c r="DU106" s="91" t="str">
        <f t="shared" si="35"/>
        <v>-</v>
      </c>
      <c r="DV106" s="792"/>
      <c r="DW106" s="793"/>
      <c r="DX106" s="738" t="str">
        <f>IF(DV106="","-",(IF(INDEX($A$5:$BP$257,MATCH(DV106,$BN$5:$BN$257,0),50)="Aço Inoxidável",('Densidade do AR'!$S$8*1000000),IF(INDEX($A$5:$BP$257,MATCH(DV106,$BN$5:$BN$257,0),50)="Ferro Fundido",('Densidade do AR'!$S$12*1000000),IF(INDEX($A$5:$BP$257,MATCH(DV106,$BN$5:$BN$257,0),50)="Latão",('Densidade do AR'!$S$10*1000000),IF(INDEX($A$5:$BP$257,MATCH(DV106,$BN$5:$BN$257,0),50)="Alumínio",('Densidade do AR'!$S$4*1000000)))))))</f>
        <v>-</v>
      </c>
      <c r="DY106" s="739"/>
      <c r="DZ106" s="739"/>
      <c r="EA106" s="740"/>
      <c r="EB106" s="741" t="str">
        <f t="shared" si="36"/>
        <v>-</v>
      </c>
      <c r="EC106" s="742"/>
      <c r="ED106" s="742"/>
      <c r="EE106" s="743"/>
      <c r="EF106" s="741" t="str">
        <f t="shared" si="26"/>
        <v>-</v>
      </c>
      <c r="EG106" s="742"/>
      <c r="EH106" s="742"/>
      <c r="EI106" s="743"/>
      <c r="EJ106" s="744" t="str">
        <f t="shared" si="37"/>
        <v>-</v>
      </c>
      <c r="EK106" s="739"/>
      <c r="EL106" s="739"/>
      <c r="EM106" s="740"/>
      <c r="EN106" s="744" t="str">
        <f t="shared" si="27"/>
        <v>-</v>
      </c>
      <c r="EO106" s="739"/>
      <c r="EP106" s="739"/>
      <c r="EQ106" s="740"/>
      <c r="ER106" s="744" t="str">
        <f>IF(DV106="","-",INDEX($A$5:$BP$257,MATCH(DV106,$BN$5:$BN$257,0),39)*(IF(DV106="","-",(1+(((-('Densidade do AR'!$M$4))+('Densidade do AR'!$T$15*1000000))/(IF(INDEX($A$5:$BP$257,MATCH(DV106,$BN$5:$BN$257,0),50)="Aço Inoxidável",('Densidade do AR'!$S$8*1000000),IF(INDEX($A$5:$BP$257,MATCH(DV106,$BN$5:$BN$257,0),50)="Ferro Fundido",('Densidade do AR'!$S$12*1000000),IF(INDEX($A$5:$BP$257,MATCH(DV106,$BN$5:$BN$257,0),50)="Latão",('Densidade do AR'!$S$10*1000000),IF(INDEX($A$5:$BP$257,MATCH(DV106,$BN$5:$BN$257,0),50)="Alumínio",('Densidade do AR'!$S$4*1000000)))))))-(((-('Densidade do AR'!$M$4))+('Densidade do AR'!$T$15*1000000))/('Densidade do AR'!$S$14*1000000))))))</f>
        <v>-</v>
      </c>
      <c r="ES106" s="739"/>
      <c r="ET106" s="739"/>
      <c r="EU106" s="745"/>
      <c r="EV106" s="91" t="str">
        <f t="shared" si="38"/>
        <v>-</v>
      </c>
      <c r="EW106" s="792"/>
      <c r="EX106" s="793"/>
      <c r="EY106" s="738" t="str">
        <f>IF(EW106="","-",(IF(INDEX($A$5:$BP$257,MATCH(EW106,$BN$5:$BN$257,0),50)="Aço Inoxidável",('Densidade do AR'!$S$8*1000000),IF(INDEX($A$5:$BP$257,MATCH(EW106,$BN$5:$BN$257,0),50)="Ferro Fundido",('Densidade do AR'!$S$12*1000000),IF(INDEX($A$5:$BP$257,MATCH(EW106,$BN$5:$BN$257,0),50)="Latão",('Densidade do AR'!$S$10*1000000),IF(INDEX($A$5:$BP$257,MATCH(EW106,$BN$5:$BN$257,0),50)="Alumínio",('Densidade do AR'!$S$4*1000000)))))))</f>
        <v>-</v>
      </c>
      <c r="EZ106" s="739"/>
      <c r="FA106" s="739"/>
      <c r="FB106" s="740"/>
      <c r="FC106" s="741" t="str">
        <f t="shared" si="39"/>
        <v>-</v>
      </c>
      <c r="FD106" s="742"/>
      <c r="FE106" s="742"/>
      <c r="FF106" s="743"/>
      <c r="FG106" s="741" t="str">
        <f t="shared" si="28"/>
        <v>-</v>
      </c>
      <c r="FH106" s="742"/>
      <c r="FI106" s="742"/>
      <c r="FJ106" s="743"/>
      <c r="FK106" s="744" t="str">
        <f t="shared" si="40"/>
        <v>-</v>
      </c>
      <c r="FL106" s="739"/>
      <c r="FM106" s="739"/>
      <c r="FN106" s="740"/>
      <c r="FO106" s="744" t="str">
        <f t="shared" si="29"/>
        <v>-</v>
      </c>
      <c r="FP106" s="739"/>
      <c r="FQ106" s="739"/>
      <c r="FR106" s="740"/>
      <c r="FS106" s="744" t="str">
        <f>IF(EW106="","-",INDEX($A$5:$BP$257,MATCH(EW106,$BN$5:$BN$257,0),39)*(IF(EW106="","-",(1+(((-('Densidade do AR'!$M$4))+('Densidade do AR'!$T$15*1000000))/(IF(INDEX($A$5:$BP$257,MATCH(EW106,$BN$5:$BN$257,0),50)="Aço Inoxidável",('Densidade do AR'!$S$8*1000000),IF(INDEX($A$5:$BP$257,MATCH(EW106,$BN$5:$BN$257,0),50)="Ferro Fundido",('Densidade do AR'!$S$12*1000000),IF(INDEX($A$5:$BP$257,MATCH(EW106,$BN$5:$BN$257,0),50)="Latão",('Densidade do AR'!$S$10*1000000),IF(INDEX($A$5:$BP$257,MATCH(EW106,$BN$5:$BN$257,0),50)="Alumínio",('Densidade do AR'!$S$4*1000000)))))))-(((-('Densidade do AR'!$M$4))+('Densidade do AR'!$T$15*1000000))/('Densidade do AR'!$S$14*1000000))))))</f>
        <v>-</v>
      </c>
      <c r="FT106" s="739"/>
      <c r="FU106" s="739"/>
      <c r="FV106" s="745"/>
      <c r="FW106" s="91" t="str">
        <f t="shared" si="41"/>
        <v>-</v>
      </c>
      <c r="FX106" s="135"/>
    </row>
    <row r="107" spans="1:180" ht="12.75" customHeight="1" x14ac:dyDescent="0.2">
      <c r="A107" s="717">
        <v>103</v>
      </c>
      <c r="B107" s="713"/>
      <c r="C107" s="708"/>
      <c r="D107" s="709"/>
      <c r="E107" s="709"/>
      <c r="F107" s="709"/>
      <c r="G107" s="710"/>
      <c r="H107" s="711"/>
      <c r="I107" s="712"/>
      <c r="J107" s="712"/>
      <c r="K107" s="713"/>
      <c r="L107" s="708"/>
      <c r="M107" s="709"/>
      <c r="N107" s="709"/>
      <c r="O107" s="709"/>
      <c r="P107" s="708"/>
      <c r="Q107" s="709"/>
      <c r="R107" s="709"/>
      <c r="S107" s="709"/>
      <c r="T107" s="710"/>
      <c r="U107" s="714"/>
      <c r="V107" s="715"/>
      <c r="W107" s="715"/>
      <c r="X107" s="715"/>
      <c r="Y107" s="715"/>
      <c r="Z107" s="715"/>
      <c r="AA107" s="716"/>
      <c r="AB107" s="850"/>
      <c r="AC107" s="851"/>
      <c r="AD107" s="851"/>
      <c r="AE107" s="851"/>
      <c r="AF107" s="851"/>
      <c r="AG107" s="851"/>
      <c r="AH107" s="851"/>
      <c r="AI107" s="851"/>
      <c r="AJ107" s="851"/>
      <c r="AK107" s="851"/>
      <c r="AL107" s="852"/>
      <c r="AM107" s="917"/>
      <c r="AN107" s="712"/>
      <c r="AO107" s="712"/>
      <c r="AP107" s="712"/>
      <c r="AQ107" s="712"/>
      <c r="AR107" s="712"/>
      <c r="AS107" s="713"/>
      <c r="AT107" s="917"/>
      <c r="AU107" s="712"/>
      <c r="AV107" s="712"/>
      <c r="AW107" s="713"/>
      <c r="AX107" s="917"/>
      <c r="AY107" s="712"/>
      <c r="AZ107" s="712"/>
      <c r="BA107" s="712"/>
      <c r="BB107" s="712"/>
      <c r="BC107" s="713"/>
      <c r="BD107" s="917"/>
      <c r="BE107" s="712"/>
      <c r="BF107" s="712"/>
      <c r="BG107" s="713"/>
      <c r="BH107" s="918"/>
      <c r="BI107" s="712"/>
      <c r="BJ107" s="712"/>
      <c r="BK107" s="712"/>
      <c r="BL107" s="910"/>
      <c r="BN107" s="878"/>
      <c r="BO107" s="879"/>
      <c r="BP107" s="880"/>
      <c r="BT107" s="794"/>
      <c r="BU107" s="795"/>
      <c r="BV107" s="784" t="str">
        <f>IF(BT107="","-",(IF(INDEX($A$5:$BP$257,MATCH(BT107,$BN$5:$BN$257,0),50)="Aço Inoxidável",('Densidade do AR'!$S$8*1000000),IF(INDEX($A$5:$BP$257,MATCH(BT107,$BN$5:$BN$257,0),50)="Ferro Fundido",('Densidade do AR'!$S$12*1000000),IF(INDEX($A$5:$BP$257,MATCH(BT107,$BN$5:$BN$257,0),50)="Latão",('Densidade do AR'!$S$10*1000000),IF(INDEX($A$5:$BP$257,MATCH(BT107,$BN$5:$BN$257,0),50)="Alumínio",('Densidade do AR'!$S$4*1000000)))))))</f>
        <v>-</v>
      </c>
      <c r="BW107" s="785"/>
      <c r="BX107" s="785"/>
      <c r="BY107" s="786"/>
      <c r="BZ107" s="787" t="str">
        <f t="shared" si="30"/>
        <v>-</v>
      </c>
      <c r="CA107" s="788"/>
      <c r="CB107" s="788"/>
      <c r="CC107" s="789"/>
      <c r="CD107" s="787" t="str">
        <f t="shared" si="22"/>
        <v>-</v>
      </c>
      <c r="CE107" s="788"/>
      <c r="CF107" s="788"/>
      <c r="CG107" s="789"/>
      <c r="CH107" s="790" t="str">
        <f t="shared" si="31"/>
        <v>-</v>
      </c>
      <c r="CI107" s="785"/>
      <c r="CJ107" s="785"/>
      <c r="CK107" s="786"/>
      <c r="CL107" s="790" t="str">
        <f t="shared" si="23"/>
        <v>-</v>
      </c>
      <c r="CM107" s="785"/>
      <c r="CN107" s="785"/>
      <c r="CO107" s="786"/>
      <c r="CP107" s="790" t="str">
        <f>IF(BT107="","-",INDEX($A$5:$BP$257,MATCH(BT107,$BN$5:$BN$257,0),39)*(IF(BT107="","-",(1+(((-('Densidade do AR'!$M$4))+('Densidade do AR'!$T$15*1000000))/(IF(INDEX($A$5:$BP$257,MATCH(BT107,$BN$5:$BN$257,0),50)="Aço Inoxidável",('Densidade do AR'!$S$8*1000000),IF(INDEX($A$5:$BP$257,MATCH(BT107,$BN$5:$BN$257,0),50)="Ferro Fundido",('Densidade do AR'!$S$12*1000000),IF(INDEX($A$5:$BP$257,MATCH(BT107,$BN$5:$BN$257,0),50)="Latão",('Densidade do AR'!$S$10*1000000),IF(INDEX($A$5:$BP$257,MATCH(BT107,$BN$5:$BN$257,0),50)="Alumínio",('Densidade do AR'!$S$4*1000000)))))))-(((-('Densidade do AR'!$M$4))+('Densidade do AR'!$T$15*1000000))/('Densidade do AR'!$S$14*1000000))))))</f>
        <v>-</v>
      </c>
      <c r="CQ107" s="785"/>
      <c r="CR107" s="785"/>
      <c r="CS107" s="791"/>
      <c r="CT107" s="91" t="str">
        <f t="shared" si="32"/>
        <v>-</v>
      </c>
      <c r="CU107" s="794"/>
      <c r="CV107" s="795"/>
      <c r="CW107" s="784" t="str">
        <f>IF(CU107="","-",(IF(INDEX($A$5:$BP$257,MATCH(CU107,$BN$5:$BN$257,0),50)="Aço Inoxidável",('Densidade do AR'!$S$8*1000000),IF(INDEX($A$5:$BP$257,MATCH(CU107,$BN$5:$BN$257,0),50)="Ferro Fundido",('Densidade do AR'!$S$12*1000000),IF(INDEX($A$5:$BP$257,MATCH(CU107,$BN$5:$BN$257,0),50)="Latão",('Densidade do AR'!$S$10*1000000),IF(INDEX($A$5:$BP$257,MATCH(CU107,$BN$5:$BN$257,0),50)="Alumínio",('Densidade do AR'!$S$4*1000000)))))))</f>
        <v>-</v>
      </c>
      <c r="CX107" s="785"/>
      <c r="CY107" s="785"/>
      <c r="CZ107" s="786"/>
      <c r="DA107" s="787" t="str">
        <f t="shared" si="33"/>
        <v>-</v>
      </c>
      <c r="DB107" s="788"/>
      <c r="DC107" s="788"/>
      <c r="DD107" s="789"/>
      <c r="DE107" s="787" t="str">
        <f t="shared" si="24"/>
        <v>-</v>
      </c>
      <c r="DF107" s="788"/>
      <c r="DG107" s="788"/>
      <c r="DH107" s="789"/>
      <c r="DI107" s="790" t="str">
        <f t="shared" si="34"/>
        <v>-</v>
      </c>
      <c r="DJ107" s="785"/>
      <c r="DK107" s="785"/>
      <c r="DL107" s="786"/>
      <c r="DM107" s="790" t="str">
        <f t="shared" si="25"/>
        <v>-</v>
      </c>
      <c r="DN107" s="785"/>
      <c r="DO107" s="785"/>
      <c r="DP107" s="786"/>
      <c r="DQ107" s="790" t="str">
        <f>IF(CU107="","-",INDEX($A$5:$BP$257,MATCH(CU107,$BN$5:$BN$257,0),39)*(IF(CU107="","-",(1+(((-('Densidade do AR'!$M$4))+('Densidade do AR'!$T$15*1000000))/(IF(INDEX($A$5:$BP$257,MATCH(CU107,$BN$5:$BN$257,0),50)="Aço Inoxidável",('Densidade do AR'!$S$8*1000000),IF(INDEX($A$5:$BP$257,MATCH(CU107,$BN$5:$BN$257,0),50)="Ferro Fundido",('Densidade do AR'!$S$12*1000000),IF(INDEX($A$5:$BP$257,MATCH(CU107,$BN$5:$BN$257,0),50)="Latão",('Densidade do AR'!$S$10*1000000),IF(INDEX($A$5:$BP$257,MATCH(CU107,$BN$5:$BN$257,0),50)="Alumínio",('Densidade do AR'!$S$4*1000000)))))))-(((-('Densidade do AR'!$M$4))+('Densidade do AR'!$T$15*1000000))/('Densidade do AR'!$S$14*1000000))))))</f>
        <v>-</v>
      </c>
      <c r="DR107" s="785"/>
      <c r="DS107" s="785"/>
      <c r="DT107" s="791"/>
      <c r="DU107" s="91" t="str">
        <f t="shared" si="35"/>
        <v>-</v>
      </c>
      <c r="DV107" s="794"/>
      <c r="DW107" s="795"/>
      <c r="DX107" s="784" t="str">
        <f>IF(DV107="","-",(IF(INDEX($A$5:$BP$257,MATCH(DV107,$BN$5:$BN$257,0),50)="Aço Inoxidável",('Densidade do AR'!$S$8*1000000),IF(INDEX($A$5:$BP$257,MATCH(DV107,$BN$5:$BN$257,0),50)="Ferro Fundido",('Densidade do AR'!$S$12*1000000),IF(INDEX($A$5:$BP$257,MATCH(DV107,$BN$5:$BN$257,0),50)="Latão",('Densidade do AR'!$S$10*1000000),IF(INDEX($A$5:$BP$257,MATCH(DV107,$BN$5:$BN$257,0),50)="Alumínio",('Densidade do AR'!$S$4*1000000)))))))</f>
        <v>-</v>
      </c>
      <c r="DY107" s="785"/>
      <c r="DZ107" s="785"/>
      <c r="EA107" s="786"/>
      <c r="EB107" s="787" t="str">
        <f t="shared" si="36"/>
        <v>-</v>
      </c>
      <c r="EC107" s="788"/>
      <c r="ED107" s="788"/>
      <c r="EE107" s="789"/>
      <c r="EF107" s="787" t="str">
        <f t="shared" si="26"/>
        <v>-</v>
      </c>
      <c r="EG107" s="788"/>
      <c r="EH107" s="788"/>
      <c r="EI107" s="789"/>
      <c r="EJ107" s="790" t="str">
        <f t="shared" si="37"/>
        <v>-</v>
      </c>
      <c r="EK107" s="785"/>
      <c r="EL107" s="785"/>
      <c r="EM107" s="786"/>
      <c r="EN107" s="790" t="str">
        <f t="shared" si="27"/>
        <v>-</v>
      </c>
      <c r="EO107" s="785"/>
      <c r="EP107" s="785"/>
      <c r="EQ107" s="786"/>
      <c r="ER107" s="790" t="str">
        <f>IF(DV107="","-",INDEX($A$5:$BP$257,MATCH(DV107,$BN$5:$BN$257,0),39)*(IF(DV107="","-",(1+(((-('Densidade do AR'!$M$4))+('Densidade do AR'!$T$15*1000000))/(IF(INDEX($A$5:$BP$257,MATCH(DV107,$BN$5:$BN$257,0),50)="Aço Inoxidável",('Densidade do AR'!$S$8*1000000),IF(INDEX($A$5:$BP$257,MATCH(DV107,$BN$5:$BN$257,0),50)="Ferro Fundido",('Densidade do AR'!$S$12*1000000),IF(INDEX($A$5:$BP$257,MATCH(DV107,$BN$5:$BN$257,0),50)="Latão",('Densidade do AR'!$S$10*1000000),IF(INDEX($A$5:$BP$257,MATCH(DV107,$BN$5:$BN$257,0),50)="Alumínio",('Densidade do AR'!$S$4*1000000)))))))-(((-('Densidade do AR'!$M$4))+('Densidade do AR'!$T$15*1000000))/('Densidade do AR'!$S$14*1000000))))))</f>
        <v>-</v>
      </c>
      <c r="ES107" s="785"/>
      <c r="ET107" s="785"/>
      <c r="EU107" s="791"/>
      <c r="EV107" s="91" t="str">
        <f t="shared" si="38"/>
        <v>-</v>
      </c>
      <c r="EW107" s="794"/>
      <c r="EX107" s="795"/>
      <c r="EY107" s="784" t="str">
        <f>IF(EW107="","-",(IF(INDEX($A$5:$BP$257,MATCH(EW107,$BN$5:$BN$257,0),50)="Aço Inoxidável",('Densidade do AR'!$S$8*1000000),IF(INDEX($A$5:$BP$257,MATCH(EW107,$BN$5:$BN$257,0),50)="Ferro Fundido",('Densidade do AR'!$S$12*1000000),IF(INDEX($A$5:$BP$257,MATCH(EW107,$BN$5:$BN$257,0),50)="Latão",('Densidade do AR'!$S$10*1000000),IF(INDEX($A$5:$BP$257,MATCH(EW107,$BN$5:$BN$257,0),50)="Alumínio",('Densidade do AR'!$S$4*1000000)))))))</f>
        <v>-</v>
      </c>
      <c r="EZ107" s="785"/>
      <c r="FA107" s="785"/>
      <c r="FB107" s="786"/>
      <c r="FC107" s="787" t="str">
        <f t="shared" si="39"/>
        <v>-</v>
      </c>
      <c r="FD107" s="788"/>
      <c r="FE107" s="788"/>
      <c r="FF107" s="789"/>
      <c r="FG107" s="787" t="str">
        <f t="shared" si="28"/>
        <v>-</v>
      </c>
      <c r="FH107" s="788"/>
      <c r="FI107" s="788"/>
      <c r="FJ107" s="789"/>
      <c r="FK107" s="790" t="str">
        <f t="shared" si="40"/>
        <v>-</v>
      </c>
      <c r="FL107" s="785"/>
      <c r="FM107" s="785"/>
      <c r="FN107" s="786"/>
      <c r="FO107" s="790" t="str">
        <f t="shared" si="29"/>
        <v>-</v>
      </c>
      <c r="FP107" s="785"/>
      <c r="FQ107" s="785"/>
      <c r="FR107" s="786"/>
      <c r="FS107" s="790" t="str">
        <f>IF(EW107="","-",INDEX($A$5:$BP$257,MATCH(EW107,$BN$5:$BN$257,0),39)*(IF(EW107="","-",(1+(((-('Densidade do AR'!$M$4))+('Densidade do AR'!$T$15*1000000))/(IF(INDEX($A$5:$BP$257,MATCH(EW107,$BN$5:$BN$257,0),50)="Aço Inoxidável",('Densidade do AR'!$S$8*1000000),IF(INDEX($A$5:$BP$257,MATCH(EW107,$BN$5:$BN$257,0),50)="Ferro Fundido",('Densidade do AR'!$S$12*1000000),IF(INDEX($A$5:$BP$257,MATCH(EW107,$BN$5:$BN$257,0),50)="Latão",('Densidade do AR'!$S$10*1000000),IF(INDEX($A$5:$BP$257,MATCH(EW107,$BN$5:$BN$257,0),50)="Alumínio",('Densidade do AR'!$S$4*1000000)))))))-(((-('Densidade do AR'!$M$4))+('Densidade do AR'!$T$15*1000000))/('Densidade do AR'!$S$14*1000000))))))</f>
        <v>-</v>
      </c>
      <c r="FT107" s="785"/>
      <c r="FU107" s="785"/>
      <c r="FV107" s="791"/>
      <c r="FW107" s="91" t="str">
        <f t="shared" si="41"/>
        <v>-</v>
      </c>
      <c r="FX107" s="135"/>
    </row>
    <row r="108" spans="1:180" ht="12.75" customHeight="1" x14ac:dyDescent="0.2">
      <c r="A108" s="718">
        <v>104</v>
      </c>
      <c r="B108" s="713"/>
      <c r="C108" s="719"/>
      <c r="D108" s="709"/>
      <c r="E108" s="709"/>
      <c r="F108" s="709"/>
      <c r="G108" s="710"/>
      <c r="H108" s="720"/>
      <c r="I108" s="712"/>
      <c r="J108" s="712"/>
      <c r="K108" s="713"/>
      <c r="L108" s="719"/>
      <c r="M108" s="709"/>
      <c r="N108" s="709"/>
      <c r="O108" s="709"/>
      <c r="P108" s="719"/>
      <c r="Q108" s="709"/>
      <c r="R108" s="709"/>
      <c r="S108" s="709"/>
      <c r="T108" s="710"/>
      <c r="U108" s="721"/>
      <c r="V108" s="722"/>
      <c r="W108" s="722"/>
      <c r="X108" s="722"/>
      <c r="Y108" s="722"/>
      <c r="Z108" s="722"/>
      <c r="AA108" s="723"/>
      <c r="AB108" s="853"/>
      <c r="AC108" s="854"/>
      <c r="AD108" s="854"/>
      <c r="AE108" s="854"/>
      <c r="AF108" s="854"/>
      <c r="AG108" s="854"/>
      <c r="AH108" s="854"/>
      <c r="AI108" s="854"/>
      <c r="AJ108" s="854"/>
      <c r="AK108" s="854"/>
      <c r="AL108" s="855"/>
      <c r="AM108" s="909"/>
      <c r="AN108" s="712"/>
      <c r="AO108" s="712"/>
      <c r="AP108" s="712"/>
      <c r="AQ108" s="712"/>
      <c r="AR108" s="712"/>
      <c r="AS108" s="713"/>
      <c r="AT108" s="909"/>
      <c r="AU108" s="712"/>
      <c r="AV108" s="712"/>
      <c r="AW108" s="713"/>
      <c r="AX108" s="908"/>
      <c r="AY108" s="712"/>
      <c r="AZ108" s="712"/>
      <c r="BA108" s="712"/>
      <c r="BB108" s="712"/>
      <c r="BC108" s="713"/>
      <c r="BD108" s="909"/>
      <c r="BE108" s="712"/>
      <c r="BF108" s="712"/>
      <c r="BG108" s="713"/>
      <c r="BH108" s="908"/>
      <c r="BI108" s="712"/>
      <c r="BJ108" s="712"/>
      <c r="BK108" s="712"/>
      <c r="BL108" s="910"/>
      <c r="BN108" s="881"/>
      <c r="BO108" s="882"/>
      <c r="BP108" s="883"/>
      <c r="BT108" s="792"/>
      <c r="BU108" s="793"/>
      <c r="BV108" s="738" t="str">
        <f>IF(BT108="","-",(IF(INDEX($A$5:$BP$257,MATCH(BT108,$BN$5:$BN$257,0),50)="Aço Inoxidável",('Densidade do AR'!$S$8*1000000),IF(INDEX($A$5:$BP$257,MATCH(BT108,$BN$5:$BN$257,0),50)="Ferro Fundido",('Densidade do AR'!$S$12*1000000),IF(INDEX($A$5:$BP$257,MATCH(BT108,$BN$5:$BN$257,0),50)="Latão",('Densidade do AR'!$S$10*1000000),IF(INDEX($A$5:$BP$257,MATCH(BT108,$BN$5:$BN$257,0),50)="Alumínio",('Densidade do AR'!$S$4*1000000)))))))</f>
        <v>-</v>
      </c>
      <c r="BW108" s="739"/>
      <c r="BX108" s="739"/>
      <c r="BY108" s="740"/>
      <c r="BZ108" s="741" t="str">
        <f t="shared" si="30"/>
        <v>-</v>
      </c>
      <c r="CA108" s="742"/>
      <c r="CB108" s="742"/>
      <c r="CC108" s="743"/>
      <c r="CD108" s="741" t="str">
        <f t="shared" si="22"/>
        <v>-</v>
      </c>
      <c r="CE108" s="742"/>
      <c r="CF108" s="742"/>
      <c r="CG108" s="743"/>
      <c r="CH108" s="744" t="str">
        <f t="shared" si="31"/>
        <v>-</v>
      </c>
      <c r="CI108" s="739"/>
      <c r="CJ108" s="739"/>
      <c r="CK108" s="740"/>
      <c r="CL108" s="744" t="str">
        <f t="shared" si="23"/>
        <v>-</v>
      </c>
      <c r="CM108" s="739"/>
      <c r="CN108" s="739"/>
      <c r="CO108" s="740"/>
      <c r="CP108" s="744" t="str">
        <f>IF(BT108="","-",INDEX($A$5:$BP$257,MATCH(BT108,$BN$5:$BN$257,0),39)*(IF(BT108="","-",(1+(((-('Densidade do AR'!$M$4))+('Densidade do AR'!$T$15*1000000))/(IF(INDEX($A$5:$BP$257,MATCH(BT108,$BN$5:$BN$257,0),50)="Aço Inoxidável",('Densidade do AR'!$S$8*1000000),IF(INDEX($A$5:$BP$257,MATCH(BT108,$BN$5:$BN$257,0),50)="Ferro Fundido",('Densidade do AR'!$S$12*1000000),IF(INDEX($A$5:$BP$257,MATCH(BT108,$BN$5:$BN$257,0),50)="Latão",('Densidade do AR'!$S$10*1000000),IF(INDEX($A$5:$BP$257,MATCH(BT108,$BN$5:$BN$257,0),50)="Alumínio",('Densidade do AR'!$S$4*1000000)))))))-(((-('Densidade do AR'!$M$4))+('Densidade do AR'!$T$15*1000000))/('Densidade do AR'!$S$14*1000000))))))</f>
        <v>-</v>
      </c>
      <c r="CQ108" s="739"/>
      <c r="CR108" s="739"/>
      <c r="CS108" s="745"/>
      <c r="CT108" s="91" t="str">
        <f t="shared" si="32"/>
        <v>-</v>
      </c>
      <c r="CU108" s="792"/>
      <c r="CV108" s="793"/>
      <c r="CW108" s="738" t="str">
        <f>IF(CU108="","-",(IF(INDEX($A$5:$BP$257,MATCH(CU108,$BN$5:$BN$257,0),50)="Aço Inoxidável",('Densidade do AR'!$S$8*1000000),IF(INDEX($A$5:$BP$257,MATCH(CU108,$BN$5:$BN$257,0),50)="Ferro Fundido",('Densidade do AR'!$S$12*1000000),IF(INDEX($A$5:$BP$257,MATCH(CU108,$BN$5:$BN$257,0),50)="Latão",('Densidade do AR'!$S$10*1000000),IF(INDEX($A$5:$BP$257,MATCH(CU108,$BN$5:$BN$257,0),50)="Alumínio",('Densidade do AR'!$S$4*1000000)))))))</f>
        <v>-</v>
      </c>
      <c r="CX108" s="739"/>
      <c r="CY108" s="739"/>
      <c r="CZ108" s="740"/>
      <c r="DA108" s="741" t="str">
        <f t="shared" si="33"/>
        <v>-</v>
      </c>
      <c r="DB108" s="742"/>
      <c r="DC108" s="742"/>
      <c r="DD108" s="743"/>
      <c r="DE108" s="741" t="str">
        <f t="shared" si="24"/>
        <v>-</v>
      </c>
      <c r="DF108" s="742"/>
      <c r="DG108" s="742"/>
      <c r="DH108" s="743"/>
      <c r="DI108" s="744" t="str">
        <f t="shared" si="34"/>
        <v>-</v>
      </c>
      <c r="DJ108" s="739"/>
      <c r="DK108" s="739"/>
      <c r="DL108" s="740"/>
      <c r="DM108" s="744" t="str">
        <f t="shared" si="25"/>
        <v>-</v>
      </c>
      <c r="DN108" s="739"/>
      <c r="DO108" s="739"/>
      <c r="DP108" s="740"/>
      <c r="DQ108" s="744" t="str">
        <f>IF(CU108="","-",INDEX($A$5:$BP$257,MATCH(CU108,$BN$5:$BN$257,0),39)*(IF(CU108="","-",(1+(((-('Densidade do AR'!$M$4))+('Densidade do AR'!$T$15*1000000))/(IF(INDEX($A$5:$BP$257,MATCH(CU108,$BN$5:$BN$257,0),50)="Aço Inoxidável",('Densidade do AR'!$S$8*1000000),IF(INDEX($A$5:$BP$257,MATCH(CU108,$BN$5:$BN$257,0),50)="Ferro Fundido",('Densidade do AR'!$S$12*1000000),IF(INDEX($A$5:$BP$257,MATCH(CU108,$BN$5:$BN$257,0),50)="Latão",('Densidade do AR'!$S$10*1000000),IF(INDEX($A$5:$BP$257,MATCH(CU108,$BN$5:$BN$257,0),50)="Alumínio",('Densidade do AR'!$S$4*1000000)))))))-(((-('Densidade do AR'!$M$4))+('Densidade do AR'!$T$15*1000000))/('Densidade do AR'!$S$14*1000000))))))</f>
        <v>-</v>
      </c>
      <c r="DR108" s="739"/>
      <c r="DS108" s="739"/>
      <c r="DT108" s="745"/>
      <c r="DU108" s="91" t="str">
        <f t="shared" si="35"/>
        <v>-</v>
      </c>
      <c r="DV108" s="792"/>
      <c r="DW108" s="793"/>
      <c r="DX108" s="738" t="str">
        <f>IF(DV108="","-",(IF(INDEX($A$5:$BP$257,MATCH(DV108,$BN$5:$BN$257,0),50)="Aço Inoxidável",('Densidade do AR'!$S$8*1000000),IF(INDEX($A$5:$BP$257,MATCH(DV108,$BN$5:$BN$257,0),50)="Ferro Fundido",('Densidade do AR'!$S$12*1000000),IF(INDEX($A$5:$BP$257,MATCH(DV108,$BN$5:$BN$257,0),50)="Latão",('Densidade do AR'!$S$10*1000000),IF(INDEX($A$5:$BP$257,MATCH(DV108,$BN$5:$BN$257,0),50)="Alumínio",('Densidade do AR'!$S$4*1000000)))))))</f>
        <v>-</v>
      </c>
      <c r="DY108" s="739"/>
      <c r="DZ108" s="739"/>
      <c r="EA108" s="740"/>
      <c r="EB108" s="741" t="str">
        <f t="shared" si="36"/>
        <v>-</v>
      </c>
      <c r="EC108" s="742"/>
      <c r="ED108" s="742"/>
      <c r="EE108" s="743"/>
      <c r="EF108" s="741" t="str">
        <f t="shared" si="26"/>
        <v>-</v>
      </c>
      <c r="EG108" s="742"/>
      <c r="EH108" s="742"/>
      <c r="EI108" s="743"/>
      <c r="EJ108" s="744" t="str">
        <f t="shared" si="37"/>
        <v>-</v>
      </c>
      <c r="EK108" s="739"/>
      <c r="EL108" s="739"/>
      <c r="EM108" s="740"/>
      <c r="EN108" s="744" t="str">
        <f t="shared" si="27"/>
        <v>-</v>
      </c>
      <c r="EO108" s="739"/>
      <c r="EP108" s="739"/>
      <c r="EQ108" s="740"/>
      <c r="ER108" s="744" t="str">
        <f>IF(DV108="","-",INDEX($A$5:$BP$257,MATCH(DV108,$BN$5:$BN$257,0),39)*(IF(DV108="","-",(1+(((-('Densidade do AR'!$M$4))+('Densidade do AR'!$T$15*1000000))/(IF(INDEX($A$5:$BP$257,MATCH(DV108,$BN$5:$BN$257,0),50)="Aço Inoxidável",('Densidade do AR'!$S$8*1000000),IF(INDEX($A$5:$BP$257,MATCH(DV108,$BN$5:$BN$257,0),50)="Ferro Fundido",('Densidade do AR'!$S$12*1000000),IF(INDEX($A$5:$BP$257,MATCH(DV108,$BN$5:$BN$257,0),50)="Latão",('Densidade do AR'!$S$10*1000000),IF(INDEX($A$5:$BP$257,MATCH(DV108,$BN$5:$BN$257,0),50)="Alumínio",('Densidade do AR'!$S$4*1000000)))))))-(((-('Densidade do AR'!$M$4))+('Densidade do AR'!$T$15*1000000))/('Densidade do AR'!$S$14*1000000))))))</f>
        <v>-</v>
      </c>
      <c r="ES108" s="739"/>
      <c r="ET108" s="739"/>
      <c r="EU108" s="745"/>
      <c r="EV108" s="91" t="str">
        <f t="shared" si="38"/>
        <v>-</v>
      </c>
      <c r="EW108" s="792"/>
      <c r="EX108" s="793"/>
      <c r="EY108" s="738" t="str">
        <f>IF(EW108="","-",(IF(INDEX($A$5:$BP$257,MATCH(EW108,$BN$5:$BN$257,0),50)="Aço Inoxidável",('Densidade do AR'!$S$8*1000000),IF(INDEX($A$5:$BP$257,MATCH(EW108,$BN$5:$BN$257,0),50)="Ferro Fundido",('Densidade do AR'!$S$12*1000000),IF(INDEX($A$5:$BP$257,MATCH(EW108,$BN$5:$BN$257,0),50)="Latão",('Densidade do AR'!$S$10*1000000),IF(INDEX($A$5:$BP$257,MATCH(EW108,$BN$5:$BN$257,0),50)="Alumínio",('Densidade do AR'!$S$4*1000000)))))))</f>
        <v>-</v>
      </c>
      <c r="EZ108" s="739"/>
      <c r="FA108" s="739"/>
      <c r="FB108" s="740"/>
      <c r="FC108" s="741" t="str">
        <f t="shared" si="39"/>
        <v>-</v>
      </c>
      <c r="FD108" s="742"/>
      <c r="FE108" s="742"/>
      <c r="FF108" s="743"/>
      <c r="FG108" s="741" t="str">
        <f t="shared" si="28"/>
        <v>-</v>
      </c>
      <c r="FH108" s="742"/>
      <c r="FI108" s="742"/>
      <c r="FJ108" s="743"/>
      <c r="FK108" s="744" t="str">
        <f t="shared" si="40"/>
        <v>-</v>
      </c>
      <c r="FL108" s="739"/>
      <c r="FM108" s="739"/>
      <c r="FN108" s="740"/>
      <c r="FO108" s="744" t="str">
        <f t="shared" si="29"/>
        <v>-</v>
      </c>
      <c r="FP108" s="739"/>
      <c r="FQ108" s="739"/>
      <c r="FR108" s="740"/>
      <c r="FS108" s="744" t="str">
        <f>IF(EW108="","-",INDEX($A$5:$BP$257,MATCH(EW108,$BN$5:$BN$257,0),39)*(IF(EW108="","-",(1+(((-('Densidade do AR'!$M$4))+('Densidade do AR'!$T$15*1000000))/(IF(INDEX($A$5:$BP$257,MATCH(EW108,$BN$5:$BN$257,0),50)="Aço Inoxidável",('Densidade do AR'!$S$8*1000000),IF(INDEX($A$5:$BP$257,MATCH(EW108,$BN$5:$BN$257,0),50)="Ferro Fundido",('Densidade do AR'!$S$12*1000000),IF(INDEX($A$5:$BP$257,MATCH(EW108,$BN$5:$BN$257,0),50)="Latão",('Densidade do AR'!$S$10*1000000),IF(INDEX($A$5:$BP$257,MATCH(EW108,$BN$5:$BN$257,0),50)="Alumínio",('Densidade do AR'!$S$4*1000000)))))))-(((-('Densidade do AR'!$M$4))+('Densidade do AR'!$T$15*1000000))/('Densidade do AR'!$S$14*1000000))))))</f>
        <v>-</v>
      </c>
      <c r="FT108" s="739"/>
      <c r="FU108" s="739"/>
      <c r="FV108" s="745"/>
      <c r="FW108" s="91" t="str">
        <f t="shared" si="41"/>
        <v>-</v>
      </c>
      <c r="FX108" s="135"/>
    </row>
    <row r="109" spans="1:180" ht="12.75" customHeight="1" x14ac:dyDescent="0.2">
      <c r="A109" s="717">
        <v>105</v>
      </c>
      <c r="B109" s="713"/>
      <c r="C109" s="708"/>
      <c r="D109" s="709"/>
      <c r="E109" s="709"/>
      <c r="F109" s="709"/>
      <c r="G109" s="710"/>
      <c r="H109" s="711"/>
      <c r="I109" s="712"/>
      <c r="J109" s="712"/>
      <c r="K109" s="713"/>
      <c r="L109" s="708"/>
      <c r="M109" s="709"/>
      <c r="N109" s="709"/>
      <c r="O109" s="709"/>
      <c r="P109" s="708"/>
      <c r="Q109" s="709"/>
      <c r="R109" s="709"/>
      <c r="S109" s="709"/>
      <c r="T109" s="710"/>
      <c r="U109" s="714"/>
      <c r="V109" s="715"/>
      <c r="W109" s="715"/>
      <c r="X109" s="715"/>
      <c r="Y109" s="715"/>
      <c r="Z109" s="715"/>
      <c r="AA109" s="716"/>
      <c r="AB109" s="850"/>
      <c r="AC109" s="851"/>
      <c r="AD109" s="851"/>
      <c r="AE109" s="851"/>
      <c r="AF109" s="851"/>
      <c r="AG109" s="851"/>
      <c r="AH109" s="851"/>
      <c r="AI109" s="851"/>
      <c r="AJ109" s="851"/>
      <c r="AK109" s="851"/>
      <c r="AL109" s="852"/>
      <c r="AM109" s="917"/>
      <c r="AN109" s="712"/>
      <c r="AO109" s="712"/>
      <c r="AP109" s="712"/>
      <c r="AQ109" s="712"/>
      <c r="AR109" s="712"/>
      <c r="AS109" s="713"/>
      <c r="AT109" s="917"/>
      <c r="AU109" s="712"/>
      <c r="AV109" s="712"/>
      <c r="AW109" s="713"/>
      <c r="AX109" s="917"/>
      <c r="AY109" s="712"/>
      <c r="AZ109" s="712"/>
      <c r="BA109" s="712"/>
      <c r="BB109" s="712"/>
      <c r="BC109" s="713"/>
      <c r="BD109" s="917"/>
      <c r="BE109" s="712"/>
      <c r="BF109" s="712"/>
      <c r="BG109" s="713"/>
      <c r="BH109" s="918"/>
      <c r="BI109" s="712"/>
      <c r="BJ109" s="712"/>
      <c r="BK109" s="712"/>
      <c r="BL109" s="910"/>
      <c r="BN109" s="878"/>
      <c r="BO109" s="879"/>
      <c r="BP109" s="880"/>
      <c r="BT109" s="794"/>
      <c r="BU109" s="795"/>
      <c r="BV109" s="784" t="str">
        <f>IF(BT109="","-",(IF(INDEX($A$5:$BP$257,MATCH(BT109,$BN$5:$BN$257,0),50)="Aço Inoxidável",('Densidade do AR'!$S$8*1000000),IF(INDEX($A$5:$BP$257,MATCH(BT109,$BN$5:$BN$257,0),50)="Ferro Fundido",('Densidade do AR'!$S$12*1000000),IF(INDEX($A$5:$BP$257,MATCH(BT109,$BN$5:$BN$257,0),50)="Latão",('Densidade do AR'!$S$10*1000000),IF(INDEX($A$5:$BP$257,MATCH(BT109,$BN$5:$BN$257,0),50)="Alumínio",('Densidade do AR'!$S$4*1000000)))))))</f>
        <v>-</v>
      </c>
      <c r="BW109" s="785"/>
      <c r="BX109" s="785"/>
      <c r="BY109" s="786"/>
      <c r="BZ109" s="787" t="str">
        <f t="shared" si="30"/>
        <v>-</v>
      </c>
      <c r="CA109" s="788"/>
      <c r="CB109" s="788"/>
      <c r="CC109" s="789"/>
      <c r="CD109" s="787" t="str">
        <f t="shared" si="22"/>
        <v>-</v>
      </c>
      <c r="CE109" s="788"/>
      <c r="CF109" s="788"/>
      <c r="CG109" s="789"/>
      <c r="CH109" s="790" t="str">
        <f t="shared" si="31"/>
        <v>-</v>
      </c>
      <c r="CI109" s="785"/>
      <c r="CJ109" s="785"/>
      <c r="CK109" s="786"/>
      <c r="CL109" s="790" t="str">
        <f t="shared" si="23"/>
        <v>-</v>
      </c>
      <c r="CM109" s="785"/>
      <c r="CN109" s="785"/>
      <c r="CO109" s="786"/>
      <c r="CP109" s="790" t="str">
        <f>IF(BT109="","-",INDEX($A$5:$BP$257,MATCH(BT109,$BN$5:$BN$257,0),39)*(IF(BT109="","-",(1+(((-('Densidade do AR'!$M$4))+('Densidade do AR'!$T$15*1000000))/(IF(INDEX($A$5:$BP$257,MATCH(BT109,$BN$5:$BN$257,0),50)="Aço Inoxidável",('Densidade do AR'!$S$8*1000000),IF(INDEX($A$5:$BP$257,MATCH(BT109,$BN$5:$BN$257,0),50)="Ferro Fundido",('Densidade do AR'!$S$12*1000000),IF(INDEX($A$5:$BP$257,MATCH(BT109,$BN$5:$BN$257,0),50)="Latão",('Densidade do AR'!$S$10*1000000),IF(INDEX($A$5:$BP$257,MATCH(BT109,$BN$5:$BN$257,0),50)="Alumínio",('Densidade do AR'!$S$4*1000000)))))))-(((-('Densidade do AR'!$M$4))+('Densidade do AR'!$T$15*1000000))/('Densidade do AR'!$S$14*1000000))))))</f>
        <v>-</v>
      </c>
      <c r="CQ109" s="785"/>
      <c r="CR109" s="785"/>
      <c r="CS109" s="791"/>
      <c r="CT109" s="91" t="str">
        <f t="shared" si="32"/>
        <v>-</v>
      </c>
      <c r="CU109" s="794"/>
      <c r="CV109" s="795"/>
      <c r="CW109" s="784" t="str">
        <f>IF(CU109="","-",(IF(INDEX($A$5:$BP$257,MATCH(CU109,$BN$5:$BN$257,0),50)="Aço Inoxidável",('Densidade do AR'!$S$8*1000000),IF(INDEX($A$5:$BP$257,MATCH(CU109,$BN$5:$BN$257,0),50)="Ferro Fundido",('Densidade do AR'!$S$12*1000000),IF(INDEX($A$5:$BP$257,MATCH(CU109,$BN$5:$BN$257,0),50)="Latão",('Densidade do AR'!$S$10*1000000),IF(INDEX($A$5:$BP$257,MATCH(CU109,$BN$5:$BN$257,0),50)="Alumínio",('Densidade do AR'!$S$4*1000000)))))))</f>
        <v>-</v>
      </c>
      <c r="CX109" s="785"/>
      <c r="CY109" s="785"/>
      <c r="CZ109" s="786"/>
      <c r="DA109" s="787" t="str">
        <f t="shared" si="33"/>
        <v>-</v>
      </c>
      <c r="DB109" s="788"/>
      <c r="DC109" s="788"/>
      <c r="DD109" s="789"/>
      <c r="DE109" s="787" t="str">
        <f t="shared" si="24"/>
        <v>-</v>
      </c>
      <c r="DF109" s="788"/>
      <c r="DG109" s="788"/>
      <c r="DH109" s="789"/>
      <c r="DI109" s="790" t="str">
        <f t="shared" si="34"/>
        <v>-</v>
      </c>
      <c r="DJ109" s="785"/>
      <c r="DK109" s="785"/>
      <c r="DL109" s="786"/>
      <c r="DM109" s="790" t="str">
        <f t="shared" si="25"/>
        <v>-</v>
      </c>
      <c r="DN109" s="785"/>
      <c r="DO109" s="785"/>
      <c r="DP109" s="786"/>
      <c r="DQ109" s="790" t="str">
        <f>IF(CU109="","-",INDEX($A$5:$BP$257,MATCH(CU109,$BN$5:$BN$257,0),39)*(IF(CU109="","-",(1+(((-('Densidade do AR'!$M$4))+('Densidade do AR'!$T$15*1000000))/(IF(INDEX($A$5:$BP$257,MATCH(CU109,$BN$5:$BN$257,0),50)="Aço Inoxidável",('Densidade do AR'!$S$8*1000000),IF(INDEX($A$5:$BP$257,MATCH(CU109,$BN$5:$BN$257,0),50)="Ferro Fundido",('Densidade do AR'!$S$12*1000000),IF(INDEX($A$5:$BP$257,MATCH(CU109,$BN$5:$BN$257,0),50)="Latão",('Densidade do AR'!$S$10*1000000),IF(INDEX($A$5:$BP$257,MATCH(CU109,$BN$5:$BN$257,0),50)="Alumínio",('Densidade do AR'!$S$4*1000000)))))))-(((-('Densidade do AR'!$M$4))+('Densidade do AR'!$T$15*1000000))/('Densidade do AR'!$S$14*1000000))))))</f>
        <v>-</v>
      </c>
      <c r="DR109" s="785"/>
      <c r="DS109" s="785"/>
      <c r="DT109" s="791"/>
      <c r="DU109" s="91" t="str">
        <f t="shared" si="35"/>
        <v>-</v>
      </c>
      <c r="DV109" s="794"/>
      <c r="DW109" s="795"/>
      <c r="DX109" s="784" t="str">
        <f>IF(DV109="","-",(IF(INDEX($A$5:$BP$257,MATCH(DV109,$BN$5:$BN$257,0),50)="Aço Inoxidável",('Densidade do AR'!$S$8*1000000),IF(INDEX($A$5:$BP$257,MATCH(DV109,$BN$5:$BN$257,0),50)="Ferro Fundido",('Densidade do AR'!$S$12*1000000),IF(INDEX($A$5:$BP$257,MATCH(DV109,$BN$5:$BN$257,0),50)="Latão",('Densidade do AR'!$S$10*1000000),IF(INDEX($A$5:$BP$257,MATCH(DV109,$BN$5:$BN$257,0),50)="Alumínio",('Densidade do AR'!$S$4*1000000)))))))</f>
        <v>-</v>
      </c>
      <c r="DY109" s="785"/>
      <c r="DZ109" s="785"/>
      <c r="EA109" s="786"/>
      <c r="EB109" s="787" t="str">
        <f t="shared" si="36"/>
        <v>-</v>
      </c>
      <c r="EC109" s="788"/>
      <c r="ED109" s="788"/>
      <c r="EE109" s="789"/>
      <c r="EF109" s="787" t="str">
        <f t="shared" si="26"/>
        <v>-</v>
      </c>
      <c r="EG109" s="788"/>
      <c r="EH109" s="788"/>
      <c r="EI109" s="789"/>
      <c r="EJ109" s="790" t="str">
        <f t="shared" si="37"/>
        <v>-</v>
      </c>
      <c r="EK109" s="785"/>
      <c r="EL109" s="785"/>
      <c r="EM109" s="786"/>
      <c r="EN109" s="790" t="str">
        <f t="shared" si="27"/>
        <v>-</v>
      </c>
      <c r="EO109" s="785"/>
      <c r="EP109" s="785"/>
      <c r="EQ109" s="786"/>
      <c r="ER109" s="790" t="str">
        <f>IF(DV109="","-",INDEX($A$5:$BP$257,MATCH(DV109,$BN$5:$BN$257,0),39)*(IF(DV109="","-",(1+(((-('Densidade do AR'!$M$4))+('Densidade do AR'!$T$15*1000000))/(IF(INDEX($A$5:$BP$257,MATCH(DV109,$BN$5:$BN$257,0),50)="Aço Inoxidável",('Densidade do AR'!$S$8*1000000),IF(INDEX($A$5:$BP$257,MATCH(DV109,$BN$5:$BN$257,0),50)="Ferro Fundido",('Densidade do AR'!$S$12*1000000),IF(INDEX($A$5:$BP$257,MATCH(DV109,$BN$5:$BN$257,0),50)="Latão",('Densidade do AR'!$S$10*1000000),IF(INDEX($A$5:$BP$257,MATCH(DV109,$BN$5:$BN$257,0),50)="Alumínio",('Densidade do AR'!$S$4*1000000)))))))-(((-('Densidade do AR'!$M$4))+('Densidade do AR'!$T$15*1000000))/('Densidade do AR'!$S$14*1000000))))))</f>
        <v>-</v>
      </c>
      <c r="ES109" s="785"/>
      <c r="ET109" s="785"/>
      <c r="EU109" s="791"/>
      <c r="EV109" s="91" t="str">
        <f t="shared" si="38"/>
        <v>-</v>
      </c>
      <c r="EW109" s="794"/>
      <c r="EX109" s="795"/>
      <c r="EY109" s="784" t="str">
        <f>IF(EW109="","-",(IF(INDEX($A$5:$BP$257,MATCH(EW109,$BN$5:$BN$257,0),50)="Aço Inoxidável",('Densidade do AR'!$S$8*1000000),IF(INDEX($A$5:$BP$257,MATCH(EW109,$BN$5:$BN$257,0),50)="Ferro Fundido",('Densidade do AR'!$S$12*1000000),IF(INDEX($A$5:$BP$257,MATCH(EW109,$BN$5:$BN$257,0),50)="Latão",('Densidade do AR'!$S$10*1000000),IF(INDEX($A$5:$BP$257,MATCH(EW109,$BN$5:$BN$257,0),50)="Alumínio",('Densidade do AR'!$S$4*1000000)))))))</f>
        <v>-</v>
      </c>
      <c r="EZ109" s="785"/>
      <c r="FA109" s="785"/>
      <c r="FB109" s="786"/>
      <c r="FC109" s="787" t="str">
        <f t="shared" si="39"/>
        <v>-</v>
      </c>
      <c r="FD109" s="788"/>
      <c r="FE109" s="788"/>
      <c r="FF109" s="789"/>
      <c r="FG109" s="787" t="str">
        <f t="shared" si="28"/>
        <v>-</v>
      </c>
      <c r="FH109" s="788"/>
      <c r="FI109" s="788"/>
      <c r="FJ109" s="789"/>
      <c r="FK109" s="790" t="str">
        <f t="shared" si="40"/>
        <v>-</v>
      </c>
      <c r="FL109" s="785"/>
      <c r="FM109" s="785"/>
      <c r="FN109" s="786"/>
      <c r="FO109" s="790" t="str">
        <f t="shared" si="29"/>
        <v>-</v>
      </c>
      <c r="FP109" s="785"/>
      <c r="FQ109" s="785"/>
      <c r="FR109" s="786"/>
      <c r="FS109" s="790" t="str">
        <f>IF(EW109="","-",INDEX($A$5:$BP$257,MATCH(EW109,$BN$5:$BN$257,0),39)*(IF(EW109="","-",(1+(((-('Densidade do AR'!$M$4))+('Densidade do AR'!$T$15*1000000))/(IF(INDEX($A$5:$BP$257,MATCH(EW109,$BN$5:$BN$257,0),50)="Aço Inoxidável",('Densidade do AR'!$S$8*1000000),IF(INDEX($A$5:$BP$257,MATCH(EW109,$BN$5:$BN$257,0),50)="Ferro Fundido",('Densidade do AR'!$S$12*1000000),IF(INDEX($A$5:$BP$257,MATCH(EW109,$BN$5:$BN$257,0),50)="Latão",('Densidade do AR'!$S$10*1000000),IF(INDEX($A$5:$BP$257,MATCH(EW109,$BN$5:$BN$257,0),50)="Alumínio",('Densidade do AR'!$S$4*1000000)))))))-(((-('Densidade do AR'!$M$4))+('Densidade do AR'!$T$15*1000000))/('Densidade do AR'!$S$14*1000000))))))</f>
        <v>-</v>
      </c>
      <c r="FT109" s="785"/>
      <c r="FU109" s="785"/>
      <c r="FV109" s="791"/>
      <c r="FW109" s="91" t="str">
        <f t="shared" si="41"/>
        <v>-</v>
      </c>
      <c r="FX109" s="135"/>
    </row>
    <row r="110" spans="1:180" ht="12.75" customHeight="1" x14ac:dyDescent="0.2">
      <c r="A110" s="718">
        <v>106</v>
      </c>
      <c r="B110" s="713"/>
      <c r="C110" s="719"/>
      <c r="D110" s="709"/>
      <c r="E110" s="709"/>
      <c r="F110" s="709"/>
      <c r="G110" s="710"/>
      <c r="H110" s="720"/>
      <c r="I110" s="712"/>
      <c r="J110" s="712"/>
      <c r="K110" s="713"/>
      <c r="L110" s="719"/>
      <c r="M110" s="709"/>
      <c r="N110" s="709"/>
      <c r="O110" s="709"/>
      <c r="P110" s="719"/>
      <c r="Q110" s="709"/>
      <c r="R110" s="709"/>
      <c r="S110" s="709"/>
      <c r="T110" s="710"/>
      <c r="U110" s="721"/>
      <c r="V110" s="722"/>
      <c r="W110" s="722"/>
      <c r="X110" s="722"/>
      <c r="Y110" s="722"/>
      <c r="Z110" s="722"/>
      <c r="AA110" s="723"/>
      <c r="AB110" s="853"/>
      <c r="AC110" s="854"/>
      <c r="AD110" s="854"/>
      <c r="AE110" s="854"/>
      <c r="AF110" s="854"/>
      <c r="AG110" s="854"/>
      <c r="AH110" s="854"/>
      <c r="AI110" s="854"/>
      <c r="AJ110" s="854"/>
      <c r="AK110" s="854"/>
      <c r="AL110" s="855"/>
      <c r="AM110" s="909"/>
      <c r="AN110" s="712"/>
      <c r="AO110" s="712"/>
      <c r="AP110" s="712"/>
      <c r="AQ110" s="712"/>
      <c r="AR110" s="712"/>
      <c r="AS110" s="713"/>
      <c r="AT110" s="909"/>
      <c r="AU110" s="712"/>
      <c r="AV110" s="712"/>
      <c r="AW110" s="713"/>
      <c r="AX110" s="908"/>
      <c r="AY110" s="712"/>
      <c r="AZ110" s="712"/>
      <c r="BA110" s="712"/>
      <c r="BB110" s="712"/>
      <c r="BC110" s="713"/>
      <c r="BD110" s="909"/>
      <c r="BE110" s="712"/>
      <c r="BF110" s="712"/>
      <c r="BG110" s="713"/>
      <c r="BH110" s="908"/>
      <c r="BI110" s="712"/>
      <c r="BJ110" s="712"/>
      <c r="BK110" s="712"/>
      <c r="BL110" s="910"/>
      <c r="BN110" s="881"/>
      <c r="BO110" s="882"/>
      <c r="BP110" s="883"/>
      <c r="BT110" s="792"/>
      <c r="BU110" s="793"/>
      <c r="BV110" s="738" t="str">
        <f>IF(BT110="","-",(IF(INDEX($A$5:$BP$257,MATCH(BT110,$BN$5:$BN$257,0),50)="Aço Inoxidável",('Densidade do AR'!$S$8*1000000),IF(INDEX($A$5:$BP$257,MATCH(BT110,$BN$5:$BN$257,0),50)="Ferro Fundido",('Densidade do AR'!$S$12*1000000),IF(INDEX($A$5:$BP$257,MATCH(BT110,$BN$5:$BN$257,0),50)="Latão",('Densidade do AR'!$S$10*1000000),IF(INDEX($A$5:$BP$257,MATCH(BT110,$BN$5:$BN$257,0),50)="Alumínio",('Densidade do AR'!$S$4*1000000)))))))</f>
        <v>-</v>
      </c>
      <c r="BW110" s="739"/>
      <c r="BX110" s="739"/>
      <c r="BY110" s="740"/>
      <c r="BZ110" s="741" t="str">
        <f t="shared" si="30"/>
        <v>-</v>
      </c>
      <c r="CA110" s="742"/>
      <c r="CB110" s="742"/>
      <c r="CC110" s="743"/>
      <c r="CD110" s="741" t="str">
        <f t="shared" si="22"/>
        <v>-</v>
      </c>
      <c r="CE110" s="742"/>
      <c r="CF110" s="742"/>
      <c r="CG110" s="743"/>
      <c r="CH110" s="744" t="str">
        <f t="shared" si="31"/>
        <v>-</v>
      </c>
      <c r="CI110" s="739"/>
      <c r="CJ110" s="739"/>
      <c r="CK110" s="740"/>
      <c r="CL110" s="744" t="str">
        <f t="shared" si="23"/>
        <v>-</v>
      </c>
      <c r="CM110" s="739"/>
      <c r="CN110" s="739"/>
      <c r="CO110" s="740"/>
      <c r="CP110" s="744" t="str">
        <f>IF(BT110="","-",INDEX($A$5:$BP$257,MATCH(BT110,$BN$5:$BN$257,0),39)*(IF(BT110="","-",(1+(((-('Densidade do AR'!$M$4))+('Densidade do AR'!$T$15*1000000))/(IF(INDEX($A$5:$BP$257,MATCH(BT110,$BN$5:$BN$257,0),50)="Aço Inoxidável",('Densidade do AR'!$S$8*1000000),IF(INDEX($A$5:$BP$257,MATCH(BT110,$BN$5:$BN$257,0),50)="Ferro Fundido",('Densidade do AR'!$S$12*1000000),IF(INDEX($A$5:$BP$257,MATCH(BT110,$BN$5:$BN$257,0),50)="Latão",('Densidade do AR'!$S$10*1000000),IF(INDEX($A$5:$BP$257,MATCH(BT110,$BN$5:$BN$257,0),50)="Alumínio",('Densidade do AR'!$S$4*1000000)))))))-(((-('Densidade do AR'!$M$4))+('Densidade do AR'!$T$15*1000000))/('Densidade do AR'!$S$14*1000000))))))</f>
        <v>-</v>
      </c>
      <c r="CQ110" s="739"/>
      <c r="CR110" s="739"/>
      <c r="CS110" s="745"/>
      <c r="CT110" s="91" t="str">
        <f t="shared" si="32"/>
        <v>-</v>
      </c>
      <c r="CU110" s="792"/>
      <c r="CV110" s="793"/>
      <c r="CW110" s="738" t="str">
        <f>IF(CU110="","-",(IF(INDEX($A$5:$BP$257,MATCH(CU110,$BN$5:$BN$257,0),50)="Aço Inoxidável",('Densidade do AR'!$S$8*1000000),IF(INDEX($A$5:$BP$257,MATCH(CU110,$BN$5:$BN$257,0),50)="Ferro Fundido",('Densidade do AR'!$S$12*1000000),IF(INDEX($A$5:$BP$257,MATCH(CU110,$BN$5:$BN$257,0),50)="Latão",('Densidade do AR'!$S$10*1000000),IF(INDEX($A$5:$BP$257,MATCH(CU110,$BN$5:$BN$257,0),50)="Alumínio",('Densidade do AR'!$S$4*1000000)))))))</f>
        <v>-</v>
      </c>
      <c r="CX110" s="739"/>
      <c r="CY110" s="739"/>
      <c r="CZ110" s="740"/>
      <c r="DA110" s="741" t="str">
        <f t="shared" si="33"/>
        <v>-</v>
      </c>
      <c r="DB110" s="742"/>
      <c r="DC110" s="742"/>
      <c r="DD110" s="743"/>
      <c r="DE110" s="741" t="str">
        <f t="shared" si="24"/>
        <v>-</v>
      </c>
      <c r="DF110" s="742"/>
      <c r="DG110" s="742"/>
      <c r="DH110" s="743"/>
      <c r="DI110" s="744" t="str">
        <f t="shared" si="34"/>
        <v>-</v>
      </c>
      <c r="DJ110" s="739"/>
      <c r="DK110" s="739"/>
      <c r="DL110" s="740"/>
      <c r="DM110" s="744" t="str">
        <f t="shared" si="25"/>
        <v>-</v>
      </c>
      <c r="DN110" s="739"/>
      <c r="DO110" s="739"/>
      <c r="DP110" s="740"/>
      <c r="DQ110" s="744" t="str">
        <f>IF(CU110="","-",INDEX($A$5:$BP$257,MATCH(CU110,$BN$5:$BN$257,0),39)*(IF(CU110="","-",(1+(((-('Densidade do AR'!$M$4))+('Densidade do AR'!$T$15*1000000))/(IF(INDEX($A$5:$BP$257,MATCH(CU110,$BN$5:$BN$257,0),50)="Aço Inoxidável",('Densidade do AR'!$S$8*1000000),IF(INDEX($A$5:$BP$257,MATCH(CU110,$BN$5:$BN$257,0),50)="Ferro Fundido",('Densidade do AR'!$S$12*1000000),IF(INDEX($A$5:$BP$257,MATCH(CU110,$BN$5:$BN$257,0),50)="Latão",('Densidade do AR'!$S$10*1000000),IF(INDEX($A$5:$BP$257,MATCH(CU110,$BN$5:$BN$257,0),50)="Alumínio",('Densidade do AR'!$S$4*1000000)))))))-(((-('Densidade do AR'!$M$4))+('Densidade do AR'!$T$15*1000000))/('Densidade do AR'!$S$14*1000000))))))</f>
        <v>-</v>
      </c>
      <c r="DR110" s="739"/>
      <c r="DS110" s="739"/>
      <c r="DT110" s="745"/>
      <c r="DU110" s="91" t="str">
        <f t="shared" si="35"/>
        <v>-</v>
      </c>
      <c r="DV110" s="792"/>
      <c r="DW110" s="793"/>
      <c r="DX110" s="738" t="str">
        <f>IF(DV110="","-",(IF(INDEX($A$5:$BP$257,MATCH(DV110,$BN$5:$BN$257,0),50)="Aço Inoxidável",('Densidade do AR'!$S$8*1000000),IF(INDEX($A$5:$BP$257,MATCH(DV110,$BN$5:$BN$257,0),50)="Ferro Fundido",('Densidade do AR'!$S$12*1000000),IF(INDEX($A$5:$BP$257,MATCH(DV110,$BN$5:$BN$257,0),50)="Latão",('Densidade do AR'!$S$10*1000000),IF(INDEX($A$5:$BP$257,MATCH(DV110,$BN$5:$BN$257,0),50)="Alumínio",('Densidade do AR'!$S$4*1000000)))))))</f>
        <v>-</v>
      </c>
      <c r="DY110" s="739"/>
      <c r="DZ110" s="739"/>
      <c r="EA110" s="740"/>
      <c r="EB110" s="741" t="str">
        <f t="shared" si="36"/>
        <v>-</v>
      </c>
      <c r="EC110" s="742"/>
      <c r="ED110" s="742"/>
      <c r="EE110" s="743"/>
      <c r="EF110" s="741" t="str">
        <f t="shared" si="26"/>
        <v>-</v>
      </c>
      <c r="EG110" s="742"/>
      <c r="EH110" s="742"/>
      <c r="EI110" s="743"/>
      <c r="EJ110" s="744" t="str">
        <f t="shared" si="37"/>
        <v>-</v>
      </c>
      <c r="EK110" s="739"/>
      <c r="EL110" s="739"/>
      <c r="EM110" s="740"/>
      <c r="EN110" s="744" t="str">
        <f t="shared" si="27"/>
        <v>-</v>
      </c>
      <c r="EO110" s="739"/>
      <c r="EP110" s="739"/>
      <c r="EQ110" s="740"/>
      <c r="ER110" s="744" t="str">
        <f>IF(DV110="","-",INDEX($A$5:$BP$257,MATCH(DV110,$BN$5:$BN$257,0),39)*(IF(DV110="","-",(1+(((-('Densidade do AR'!$M$4))+('Densidade do AR'!$T$15*1000000))/(IF(INDEX($A$5:$BP$257,MATCH(DV110,$BN$5:$BN$257,0),50)="Aço Inoxidável",('Densidade do AR'!$S$8*1000000),IF(INDEX($A$5:$BP$257,MATCH(DV110,$BN$5:$BN$257,0),50)="Ferro Fundido",('Densidade do AR'!$S$12*1000000),IF(INDEX($A$5:$BP$257,MATCH(DV110,$BN$5:$BN$257,0),50)="Latão",('Densidade do AR'!$S$10*1000000),IF(INDEX($A$5:$BP$257,MATCH(DV110,$BN$5:$BN$257,0),50)="Alumínio",('Densidade do AR'!$S$4*1000000)))))))-(((-('Densidade do AR'!$M$4))+('Densidade do AR'!$T$15*1000000))/('Densidade do AR'!$S$14*1000000))))))</f>
        <v>-</v>
      </c>
      <c r="ES110" s="739"/>
      <c r="ET110" s="739"/>
      <c r="EU110" s="745"/>
      <c r="EV110" s="91" t="str">
        <f t="shared" si="38"/>
        <v>-</v>
      </c>
      <c r="EW110" s="792"/>
      <c r="EX110" s="793"/>
      <c r="EY110" s="738" t="str">
        <f>IF(EW110="","-",(IF(INDEX($A$5:$BP$257,MATCH(EW110,$BN$5:$BN$257,0),50)="Aço Inoxidável",('Densidade do AR'!$S$8*1000000),IF(INDEX($A$5:$BP$257,MATCH(EW110,$BN$5:$BN$257,0),50)="Ferro Fundido",('Densidade do AR'!$S$12*1000000),IF(INDEX($A$5:$BP$257,MATCH(EW110,$BN$5:$BN$257,0),50)="Latão",('Densidade do AR'!$S$10*1000000),IF(INDEX($A$5:$BP$257,MATCH(EW110,$BN$5:$BN$257,0),50)="Alumínio",('Densidade do AR'!$S$4*1000000)))))))</f>
        <v>-</v>
      </c>
      <c r="EZ110" s="739"/>
      <c r="FA110" s="739"/>
      <c r="FB110" s="740"/>
      <c r="FC110" s="741" t="str">
        <f t="shared" si="39"/>
        <v>-</v>
      </c>
      <c r="FD110" s="742"/>
      <c r="FE110" s="742"/>
      <c r="FF110" s="743"/>
      <c r="FG110" s="741" t="str">
        <f t="shared" si="28"/>
        <v>-</v>
      </c>
      <c r="FH110" s="742"/>
      <c r="FI110" s="742"/>
      <c r="FJ110" s="743"/>
      <c r="FK110" s="744" t="str">
        <f t="shared" si="40"/>
        <v>-</v>
      </c>
      <c r="FL110" s="739"/>
      <c r="FM110" s="739"/>
      <c r="FN110" s="740"/>
      <c r="FO110" s="744" t="str">
        <f t="shared" si="29"/>
        <v>-</v>
      </c>
      <c r="FP110" s="739"/>
      <c r="FQ110" s="739"/>
      <c r="FR110" s="740"/>
      <c r="FS110" s="744" t="str">
        <f>IF(EW110="","-",INDEX($A$5:$BP$257,MATCH(EW110,$BN$5:$BN$257,0),39)*(IF(EW110="","-",(1+(((-('Densidade do AR'!$M$4))+('Densidade do AR'!$T$15*1000000))/(IF(INDEX($A$5:$BP$257,MATCH(EW110,$BN$5:$BN$257,0),50)="Aço Inoxidável",('Densidade do AR'!$S$8*1000000),IF(INDEX($A$5:$BP$257,MATCH(EW110,$BN$5:$BN$257,0),50)="Ferro Fundido",('Densidade do AR'!$S$12*1000000),IF(INDEX($A$5:$BP$257,MATCH(EW110,$BN$5:$BN$257,0),50)="Latão",('Densidade do AR'!$S$10*1000000),IF(INDEX($A$5:$BP$257,MATCH(EW110,$BN$5:$BN$257,0),50)="Alumínio",('Densidade do AR'!$S$4*1000000)))))))-(((-('Densidade do AR'!$M$4))+('Densidade do AR'!$T$15*1000000))/('Densidade do AR'!$S$14*1000000))))))</f>
        <v>-</v>
      </c>
      <c r="FT110" s="739"/>
      <c r="FU110" s="739"/>
      <c r="FV110" s="745"/>
      <c r="FW110" s="91" t="str">
        <f t="shared" si="41"/>
        <v>-</v>
      </c>
      <c r="FX110" s="135"/>
    </row>
    <row r="111" spans="1:180" ht="12.75" customHeight="1" x14ac:dyDescent="0.2">
      <c r="A111" s="717">
        <v>107</v>
      </c>
      <c r="B111" s="713"/>
      <c r="C111" s="708"/>
      <c r="D111" s="709"/>
      <c r="E111" s="709"/>
      <c r="F111" s="709"/>
      <c r="G111" s="710"/>
      <c r="H111" s="711"/>
      <c r="I111" s="712"/>
      <c r="J111" s="712"/>
      <c r="K111" s="713"/>
      <c r="L111" s="708"/>
      <c r="M111" s="709"/>
      <c r="N111" s="709"/>
      <c r="O111" s="709"/>
      <c r="P111" s="708"/>
      <c r="Q111" s="709"/>
      <c r="R111" s="709"/>
      <c r="S111" s="709"/>
      <c r="T111" s="710"/>
      <c r="U111" s="714"/>
      <c r="V111" s="715"/>
      <c r="W111" s="715"/>
      <c r="X111" s="715"/>
      <c r="Y111" s="715"/>
      <c r="Z111" s="715"/>
      <c r="AA111" s="716"/>
      <c r="AB111" s="850"/>
      <c r="AC111" s="851"/>
      <c r="AD111" s="851"/>
      <c r="AE111" s="851"/>
      <c r="AF111" s="851"/>
      <c r="AG111" s="851"/>
      <c r="AH111" s="851"/>
      <c r="AI111" s="851"/>
      <c r="AJ111" s="851"/>
      <c r="AK111" s="851"/>
      <c r="AL111" s="852"/>
      <c r="AM111" s="917"/>
      <c r="AN111" s="712"/>
      <c r="AO111" s="712"/>
      <c r="AP111" s="712"/>
      <c r="AQ111" s="712"/>
      <c r="AR111" s="712"/>
      <c r="AS111" s="713"/>
      <c r="AT111" s="917"/>
      <c r="AU111" s="712"/>
      <c r="AV111" s="712"/>
      <c r="AW111" s="713"/>
      <c r="AX111" s="917"/>
      <c r="AY111" s="712"/>
      <c r="AZ111" s="712"/>
      <c r="BA111" s="712"/>
      <c r="BB111" s="712"/>
      <c r="BC111" s="713"/>
      <c r="BD111" s="917"/>
      <c r="BE111" s="712"/>
      <c r="BF111" s="712"/>
      <c r="BG111" s="713"/>
      <c r="BH111" s="918"/>
      <c r="BI111" s="712"/>
      <c r="BJ111" s="712"/>
      <c r="BK111" s="712"/>
      <c r="BL111" s="910"/>
      <c r="BN111" s="878"/>
      <c r="BO111" s="879"/>
      <c r="BP111" s="880"/>
      <c r="BT111" s="794"/>
      <c r="BU111" s="795"/>
      <c r="BV111" s="784" t="str">
        <f>IF(BT111="","-",(IF(INDEX($A$5:$BP$257,MATCH(BT111,$BN$5:$BN$257,0),50)="Aço Inoxidável",('Densidade do AR'!$S$8*1000000),IF(INDEX($A$5:$BP$257,MATCH(BT111,$BN$5:$BN$257,0),50)="Ferro Fundido",('Densidade do AR'!$S$12*1000000),IF(INDEX($A$5:$BP$257,MATCH(BT111,$BN$5:$BN$257,0),50)="Latão",('Densidade do AR'!$S$10*1000000),IF(INDEX($A$5:$BP$257,MATCH(BT111,$BN$5:$BN$257,0),50)="Alumínio",('Densidade do AR'!$S$4*1000000)))))))</f>
        <v>-</v>
      </c>
      <c r="BW111" s="785"/>
      <c r="BX111" s="785"/>
      <c r="BY111" s="786"/>
      <c r="BZ111" s="787" t="str">
        <f t="shared" si="30"/>
        <v>-</v>
      </c>
      <c r="CA111" s="788"/>
      <c r="CB111" s="788"/>
      <c r="CC111" s="789"/>
      <c r="CD111" s="787" t="str">
        <f t="shared" si="22"/>
        <v>-</v>
      </c>
      <c r="CE111" s="788"/>
      <c r="CF111" s="788"/>
      <c r="CG111" s="789"/>
      <c r="CH111" s="790" t="str">
        <f t="shared" si="31"/>
        <v>-</v>
      </c>
      <c r="CI111" s="785"/>
      <c r="CJ111" s="785"/>
      <c r="CK111" s="786"/>
      <c r="CL111" s="790" t="str">
        <f t="shared" si="23"/>
        <v>-</v>
      </c>
      <c r="CM111" s="785"/>
      <c r="CN111" s="785"/>
      <c r="CO111" s="786"/>
      <c r="CP111" s="790" t="str">
        <f>IF(BT111="","-",INDEX($A$5:$BP$257,MATCH(BT111,$BN$5:$BN$257,0),39)*(IF(BT111="","-",(1+(((-('Densidade do AR'!$M$4))+('Densidade do AR'!$T$15*1000000))/(IF(INDEX($A$5:$BP$257,MATCH(BT111,$BN$5:$BN$257,0),50)="Aço Inoxidável",('Densidade do AR'!$S$8*1000000),IF(INDEX($A$5:$BP$257,MATCH(BT111,$BN$5:$BN$257,0),50)="Ferro Fundido",('Densidade do AR'!$S$12*1000000),IF(INDEX($A$5:$BP$257,MATCH(BT111,$BN$5:$BN$257,0),50)="Latão",('Densidade do AR'!$S$10*1000000),IF(INDEX($A$5:$BP$257,MATCH(BT111,$BN$5:$BN$257,0),50)="Alumínio",('Densidade do AR'!$S$4*1000000)))))))-(((-('Densidade do AR'!$M$4))+('Densidade do AR'!$T$15*1000000))/('Densidade do AR'!$S$14*1000000))))))</f>
        <v>-</v>
      </c>
      <c r="CQ111" s="785"/>
      <c r="CR111" s="785"/>
      <c r="CS111" s="791"/>
      <c r="CT111" s="91" t="str">
        <f t="shared" si="32"/>
        <v>-</v>
      </c>
      <c r="CU111" s="794"/>
      <c r="CV111" s="795"/>
      <c r="CW111" s="784" t="str">
        <f>IF(CU111="","-",(IF(INDEX($A$5:$BP$257,MATCH(CU111,$BN$5:$BN$257,0),50)="Aço Inoxidável",('Densidade do AR'!$S$8*1000000),IF(INDEX($A$5:$BP$257,MATCH(CU111,$BN$5:$BN$257,0),50)="Ferro Fundido",('Densidade do AR'!$S$12*1000000),IF(INDEX($A$5:$BP$257,MATCH(CU111,$BN$5:$BN$257,0),50)="Latão",('Densidade do AR'!$S$10*1000000),IF(INDEX($A$5:$BP$257,MATCH(CU111,$BN$5:$BN$257,0),50)="Alumínio",('Densidade do AR'!$S$4*1000000)))))))</f>
        <v>-</v>
      </c>
      <c r="CX111" s="785"/>
      <c r="CY111" s="785"/>
      <c r="CZ111" s="786"/>
      <c r="DA111" s="787" t="str">
        <f t="shared" si="33"/>
        <v>-</v>
      </c>
      <c r="DB111" s="788"/>
      <c r="DC111" s="788"/>
      <c r="DD111" s="789"/>
      <c r="DE111" s="787" t="str">
        <f t="shared" si="24"/>
        <v>-</v>
      </c>
      <c r="DF111" s="788"/>
      <c r="DG111" s="788"/>
      <c r="DH111" s="789"/>
      <c r="DI111" s="790" t="str">
        <f t="shared" si="34"/>
        <v>-</v>
      </c>
      <c r="DJ111" s="785"/>
      <c r="DK111" s="785"/>
      <c r="DL111" s="786"/>
      <c r="DM111" s="790" t="str">
        <f t="shared" si="25"/>
        <v>-</v>
      </c>
      <c r="DN111" s="785"/>
      <c r="DO111" s="785"/>
      <c r="DP111" s="786"/>
      <c r="DQ111" s="790" t="str">
        <f>IF(CU111="","-",INDEX($A$5:$BP$257,MATCH(CU111,$BN$5:$BN$257,0),39)*(IF(CU111="","-",(1+(((-('Densidade do AR'!$M$4))+('Densidade do AR'!$T$15*1000000))/(IF(INDEX($A$5:$BP$257,MATCH(CU111,$BN$5:$BN$257,0),50)="Aço Inoxidável",('Densidade do AR'!$S$8*1000000),IF(INDEX($A$5:$BP$257,MATCH(CU111,$BN$5:$BN$257,0),50)="Ferro Fundido",('Densidade do AR'!$S$12*1000000),IF(INDEX($A$5:$BP$257,MATCH(CU111,$BN$5:$BN$257,0),50)="Latão",('Densidade do AR'!$S$10*1000000),IF(INDEX($A$5:$BP$257,MATCH(CU111,$BN$5:$BN$257,0),50)="Alumínio",('Densidade do AR'!$S$4*1000000)))))))-(((-('Densidade do AR'!$M$4))+('Densidade do AR'!$T$15*1000000))/('Densidade do AR'!$S$14*1000000))))))</f>
        <v>-</v>
      </c>
      <c r="DR111" s="785"/>
      <c r="DS111" s="785"/>
      <c r="DT111" s="791"/>
      <c r="DU111" s="91" t="str">
        <f t="shared" si="35"/>
        <v>-</v>
      </c>
      <c r="DV111" s="794"/>
      <c r="DW111" s="795"/>
      <c r="DX111" s="784" t="str">
        <f>IF(DV111="","-",(IF(INDEX($A$5:$BP$257,MATCH(DV111,$BN$5:$BN$257,0),50)="Aço Inoxidável",('Densidade do AR'!$S$8*1000000),IF(INDEX($A$5:$BP$257,MATCH(DV111,$BN$5:$BN$257,0),50)="Ferro Fundido",('Densidade do AR'!$S$12*1000000),IF(INDEX($A$5:$BP$257,MATCH(DV111,$BN$5:$BN$257,0),50)="Latão",('Densidade do AR'!$S$10*1000000),IF(INDEX($A$5:$BP$257,MATCH(DV111,$BN$5:$BN$257,0),50)="Alumínio",('Densidade do AR'!$S$4*1000000)))))))</f>
        <v>-</v>
      </c>
      <c r="DY111" s="785"/>
      <c r="DZ111" s="785"/>
      <c r="EA111" s="786"/>
      <c r="EB111" s="787" t="str">
        <f t="shared" si="36"/>
        <v>-</v>
      </c>
      <c r="EC111" s="788"/>
      <c r="ED111" s="788"/>
      <c r="EE111" s="789"/>
      <c r="EF111" s="787" t="str">
        <f t="shared" si="26"/>
        <v>-</v>
      </c>
      <c r="EG111" s="788"/>
      <c r="EH111" s="788"/>
      <c r="EI111" s="789"/>
      <c r="EJ111" s="790" t="str">
        <f t="shared" si="37"/>
        <v>-</v>
      </c>
      <c r="EK111" s="785"/>
      <c r="EL111" s="785"/>
      <c r="EM111" s="786"/>
      <c r="EN111" s="790" t="str">
        <f t="shared" si="27"/>
        <v>-</v>
      </c>
      <c r="EO111" s="785"/>
      <c r="EP111" s="785"/>
      <c r="EQ111" s="786"/>
      <c r="ER111" s="790" t="str">
        <f>IF(DV111="","-",INDEX($A$5:$BP$257,MATCH(DV111,$BN$5:$BN$257,0),39)*(IF(DV111="","-",(1+(((-('Densidade do AR'!$M$4))+('Densidade do AR'!$T$15*1000000))/(IF(INDEX($A$5:$BP$257,MATCH(DV111,$BN$5:$BN$257,0),50)="Aço Inoxidável",('Densidade do AR'!$S$8*1000000),IF(INDEX($A$5:$BP$257,MATCH(DV111,$BN$5:$BN$257,0),50)="Ferro Fundido",('Densidade do AR'!$S$12*1000000),IF(INDEX($A$5:$BP$257,MATCH(DV111,$BN$5:$BN$257,0),50)="Latão",('Densidade do AR'!$S$10*1000000),IF(INDEX($A$5:$BP$257,MATCH(DV111,$BN$5:$BN$257,0),50)="Alumínio",('Densidade do AR'!$S$4*1000000)))))))-(((-('Densidade do AR'!$M$4))+('Densidade do AR'!$T$15*1000000))/('Densidade do AR'!$S$14*1000000))))))</f>
        <v>-</v>
      </c>
      <c r="ES111" s="785"/>
      <c r="ET111" s="785"/>
      <c r="EU111" s="791"/>
      <c r="EV111" s="91" t="str">
        <f t="shared" si="38"/>
        <v>-</v>
      </c>
      <c r="EW111" s="794"/>
      <c r="EX111" s="795"/>
      <c r="EY111" s="784" t="str">
        <f>IF(EW111="","-",(IF(INDEX($A$5:$BP$257,MATCH(EW111,$BN$5:$BN$257,0),50)="Aço Inoxidável",('Densidade do AR'!$S$8*1000000),IF(INDEX($A$5:$BP$257,MATCH(EW111,$BN$5:$BN$257,0),50)="Ferro Fundido",('Densidade do AR'!$S$12*1000000),IF(INDEX($A$5:$BP$257,MATCH(EW111,$BN$5:$BN$257,0),50)="Latão",('Densidade do AR'!$S$10*1000000),IF(INDEX($A$5:$BP$257,MATCH(EW111,$BN$5:$BN$257,0),50)="Alumínio",('Densidade do AR'!$S$4*1000000)))))))</f>
        <v>-</v>
      </c>
      <c r="EZ111" s="785"/>
      <c r="FA111" s="785"/>
      <c r="FB111" s="786"/>
      <c r="FC111" s="787" t="str">
        <f t="shared" si="39"/>
        <v>-</v>
      </c>
      <c r="FD111" s="788"/>
      <c r="FE111" s="788"/>
      <c r="FF111" s="789"/>
      <c r="FG111" s="787" t="str">
        <f t="shared" si="28"/>
        <v>-</v>
      </c>
      <c r="FH111" s="788"/>
      <c r="FI111" s="788"/>
      <c r="FJ111" s="789"/>
      <c r="FK111" s="790" t="str">
        <f t="shared" si="40"/>
        <v>-</v>
      </c>
      <c r="FL111" s="785"/>
      <c r="FM111" s="785"/>
      <c r="FN111" s="786"/>
      <c r="FO111" s="790" t="str">
        <f t="shared" si="29"/>
        <v>-</v>
      </c>
      <c r="FP111" s="785"/>
      <c r="FQ111" s="785"/>
      <c r="FR111" s="786"/>
      <c r="FS111" s="790" t="str">
        <f>IF(EW111="","-",INDEX($A$5:$BP$257,MATCH(EW111,$BN$5:$BN$257,0),39)*(IF(EW111="","-",(1+(((-('Densidade do AR'!$M$4))+('Densidade do AR'!$T$15*1000000))/(IF(INDEX($A$5:$BP$257,MATCH(EW111,$BN$5:$BN$257,0),50)="Aço Inoxidável",('Densidade do AR'!$S$8*1000000),IF(INDEX($A$5:$BP$257,MATCH(EW111,$BN$5:$BN$257,0),50)="Ferro Fundido",('Densidade do AR'!$S$12*1000000),IF(INDEX($A$5:$BP$257,MATCH(EW111,$BN$5:$BN$257,0),50)="Latão",('Densidade do AR'!$S$10*1000000),IF(INDEX($A$5:$BP$257,MATCH(EW111,$BN$5:$BN$257,0),50)="Alumínio",('Densidade do AR'!$S$4*1000000)))))))-(((-('Densidade do AR'!$M$4))+('Densidade do AR'!$T$15*1000000))/('Densidade do AR'!$S$14*1000000))))))</f>
        <v>-</v>
      </c>
      <c r="FT111" s="785"/>
      <c r="FU111" s="785"/>
      <c r="FV111" s="791"/>
      <c r="FW111" s="91" t="str">
        <f t="shared" si="41"/>
        <v>-</v>
      </c>
      <c r="FX111" s="135"/>
    </row>
    <row r="112" spans="1:180" ht="12.75" customHeight="1" x14ac:dyDescent="0.2">
      <c r="A112" s="718">
        <v>108</v>
      </c>
      <c r="B112" s="713"/>
      <c r="C112" s="719"/>
      <c r="D112" s="709"/>
      <c r="E112" s="709"/>
      <c r="F112" s="709"/>
      <c r="G112" s="710"/>
      <c r="H112" s="720"/>
      <c r="I112" s="712"/>
      <c r="J112" s="712"/>
      <c r="K112" s="713"/>
      <c r="L112" s="719"/>
      <c r="M112" s="709"/>
      <c r="N112" s="709"/>
      <c r="O112" s="709"/>
      <c r="P112" s="719"/>
      <c r="Q112" s="709"/>
      <c r="R112" s="709"/>
      <c r="S112" s="709"/>
      <c r="T112" s="710"/>
      <c r="U112" s="721"/>
      <c r="V112" s="722"/>
      <c r="W112" s="722"/>
      <c r="X112" s="722"/>
      <c r="Y112" s="722"/>
      <c r="Z112" s="722"/>
      <c r="AA112" s="723"/>
      <c r="AB112" s="853"/>
      <c r="AC112" s="854"/>
      <c r="AD112" s="854"/>
      <c r="AE112" s="854"/>
      <c r="AF112" s="854"/>
      <c r="AG112" s="854"/>
      <c r="AH112" s="854"/>
      <c r="AI112" s="854"/>
      <c r="AJ112" s="854"/>
      <c r="AK112" s="854"/>
      <c r="AL112" s="855"/>
      <c r="AM112" s="909"/>
      <c r="AN112" s="712"/>
      <c r="AO112" s="712"/>
      <c r="AP112" s="712"/>
      <c r="AQ112" s="712"/>
      <c r="AR112" s="712"/>
      <c r="AS112" s="713"/>
      <c r="AT112" s="909"/>
      <c r="AU112" s="712"/>
      <c r="AV112" s="712"/>
      <c r="AW112" s="713"/>
      <c r="AX112" s="908"/>
      <c r="AY112" s="712"/>
      <c r="AZ112" s="712"/>
      <c r="BA112" s="712"/>
      <c r="BB112" s="712"/>
      <c r="BC112" s="713"/>
      <c r="BD112" s="909"/>
      <c r="BE112" s="712"/>
      <c r="BF112" s="712"/>
      <c r="BG112" s="713"/>
      <c r="BH112" s="908"/>
      <c r="BI112" s="712"/>
      <c r="BJ112" s="712"/>
      <c r="BK112" s="712"/>
      <c r="BL112" s="910"/>
      <c r="BN112" s="881"/>
      <c r="BO112" s="882"/>
      <c r="BP112" s="883"/>
      <c r="BT112" s="792"/>
      <c r="BU112" s="793"/>
      <c r="BV112" s="738" t="str">
        <f>IF(BT112="","-",(IF(INDEX($A$5:$BP$257,MATCH(BT112,$BN$5:$BN$257,0),50)="Aço Inoxidável",('Densidade do AR'!$S$8*1000000),IF(INDEX($A$5:$BP$257,MATCH(BT112,$BN$5:$BN$257,0),50)="Ferro Fundido",('Densidade do AR'!$S$12*1000000),IF(INDEX($A$5:$BP$257,MATCH(BT112,$BN$5:$BN$257,0),50)="Latão",('Densidade do AR'!$S$10*1000000),IF(INDEX($A$5:$BP$257,MATCH(BT112,$BN$5:$BN$257,0),50)="Alumínio",('Densidade do AR'!$S$4*1000000)))))))</f>
        <v>-</v>
      </c>
      <c r="BW112" s="739"/>
      <c r="BX112" s="739"/>
      <c r="BY112" s="740"/>
      <c r="BZ112" s="741" t="str">
        <f t="shared" si="30"/>
        <v>-</v>
      </c>
      <c r="CA112" s="742"/>
      <c r="CB112" s="742"/>
      <c r="CC112" s="743"/>
      <c r="CD112" s="741" t="str">
        <f t="shared" si="22"/>
        <v>-</v>
      </c>
      <c r="CE112" s="742"/>
      <c r="CF112" s="742"/>
      <c r="CG112" s="743"/>
      <c r="CH112" s="744" t="str">
        <f t="shared" si="31"/>
        <v>-</v>
      </c>
      <c r="CI112" s="739"/>
      <c r="CJ112" s="739"/>
      <c r="CK112" s="740"/>
      <c r="CL112" s="744" t="str">
        <f t="shared" si="23"/>
        <v>-</v>
      </c>
      <c r="CM112" s="739"/>
      <c r="CN112" s="739"/>
      <c r="CO112" s="740"/>
      <c r="CP112" s="744" t="str">
        <f>IF(BT112="","-",INDEX($A$5:$BP$257,MATCH(BT112,$BN$5:$BN$257,0),39)*(IF(BT112="","-",(1+(((-('Densidade do AR'!$M$4))+('Densidade do AR'!$T$15*1000000))/(IF(INDEX($A$5:$BP$257,MATCH(BT112,$BN$5:$BN$257,0),50)="Aço Inoxidável",('Densidade do AR'!$S$8*1000000),IF(INDEX($A$5:$BP$257,MATCH(BT112,$BN$5:$BN$257,0),50)="Ferro Fundido",('Densidade do AR'!$S$12*1000000),IF(INDEX($A$5:$BP$257,MATCH(BT112,$BN$5:$BN$257,0),50)="Latão",('Densidade do AR'!$S$10*1000000),IF(INDEX($A$5:$BP$257,MATCH(BT112,$BN$5:$BN$257,0),50)="Alumínio",('Densidade do AR'!$S$4*1000000)))))))-(((-('Densidade do AR'!$M$4))+('Densidade do AR'!$T$15*1000000))/('Densidade do AR'!$S$14*1000000))))))</f>
        <v>-</v>
      </c>
      <c r="CQ112" s="739"/>
      <c r="CR112" s="739"/>
      <c r="CS112" s="745"/>
      <c r="CT112" s="91" t="str">
        <f t="shared" si="32"/>
        <v>-</v>
      </c>
      <c r="CU112" s="792"/>
      <c r="CV112" s="793"/>
      <c r="CW112" s="738" t="str">
        <f>IF(CU112="","-",(IF(INDEX($A$5:$BP$257,MATCH(CU112,$BN$5:$BN$257,0),50)="Aço Inoxidável",('Densidade do AR'!$S$8*1000000),IF(INDEX($A$5:$BP$257,MATCH(CU112,$BN$5:$BN$257,0),50)="Ferro Fundido",('Densidade do AR'!$S$12*1000000),IF(INDEX($A$5:$BP$257,MATCH(CU112,$BN$5:$BN$257,0),50)="Latão",('Densidade do AR'!$S$10*1000000),IF(INDEX($A$5:$BP$257,MATCH(CU112,$BN$5:$BN$257,0),50)="Alumínio",('Densidade do AR'!$S$4*1000000)))))))</f>
        <v>-</v>
      </c>
      <c r="CX112" s="739"/>
      <c r="CY112" s="739"/>
      <c r="CZ112" s="740"/>
      <c r="DA112" s="741" t="str">
        <f t="shared" si="33"/>
        <v>-</v>
      </c>
      <c r="DB112" s="742"/>
      <c r="DC112" s="742"/>
      <c r="DD112" s="743"/>
      <c r="DE112" s="741" t="str">
        <f t="shared" si="24"/>
        <v>-</v>
      </c>
      <c r="DF112" s="742"/>
      <c r="DG112" s="742"/>
      <c r="DH112" s="743"/>
      <c r="DI112" s="744" t="str">
        <f t="shared" si="34"/>
        <v>-</v>
      </c>
      <c r="DJ112" s="739"/>
      <c r="DK112" s="739"/>
      <c r="DL112" s="740"/>
      <c r="DM112" s="744" t="str">
        <f t="shared" si="25"/>
        <v>-</v>
      </c>
      <c r="DN112" s="739"/>
      <c r="DO112" s="739"/>
      <c r="DP112" s="740"/>
      <c r="DQ112" s="744" t="str">
        <f>IF(CU112="","-",INDEX($A$5:$BP$257,MATCH(CU112,$BN$5:$BN$257,0),39)*(IF(CU112="","-",(1+(((-('Densidade do AR'!$M$4))+('Densidade do AR'!$T$15*1000000))/(IF(INDEX($A$5:$BP$257,MATCH(CU112,$BN$5:$BN$257,0),50)="Aço Inoxidável",('Densidade do AR'!$S$8*1000000),IF(INDEX($A$5:$BP$257,MATCH(CU112,$BN$5:$BN$257,0),50)="Ferro Fundido",('Densidade do AR'!$S$12*1000000),IF(INDEX($A$5:$BP$257,MATCH(CU112,$BN$5:$BN$257,0),50)="Latão",('Densidade do AR'!$S$10*1000000),IF(INDEX($A$5:$BP$257,MATCH(CU112,$BN$5:$BN$257,0),50)="Alumínio",('Densidade do AR'!$S$4*1000000)))))))-(((-('Densidade do AR'!$M$4))+('Densidade do AR'!$T$15*1000000))/('Densidade do AR'!$S$14*1000000))))))</f>
        <v>-</v>
      </c>
      <c r="DR112" s="739"/>
      <c r="DS112" s="739"/>
      <c r="DT112" s="745"/>
      <c r="DU112" s="91" t="str">
        <f t="shared" si="35"/>
        <v>-</v>
      </c>
      <c r="DV112" s="792"/>
      <c r="DW112" s="793"/>
      <c r="DX112" s="738" t="str">
        <f>IF(DV112="","-",(IF(INDEX($A$5:$BP$257,MATCH(DV112,$BN$5:$BN$257,0),50)="Aço Inoxidável",('Densidade do AR'!$S$8*1000000),IF(INDEX($A$5:$BP$257,MATCH(DV112,$BN$5:$BN$257,0),50)="Ferro Fundido",('Densidade do AR'!$S$12*1000000),IF(INDEX($A$5:$BP$257,MATCH(DV112,$BN$5:$BN$257,0),50)="Latão",('Densidade do AR'!$S$10*1000000),IF(INDEX($A$5:$BP$257,MATCH(DV112,$BN$5:$BN$257,0),50)="Alumínio",('Densidade do AR'!$S$4*1000000)))))))</f>
        <v>-</v>
      </c>
      <c r="DY112" s="739"/>
      <c r="DZ112" s="739"/>
      <c r="EA112" s="740"/>
      <c r="EB112" s="741" t="str">
        <f t="shared" si="36"/>
        <v>-</v>
      </c>
      <c r="EC112" s="742"/>
      <c r="ED112" s="742"/>
      <c r="EE112" s="743"/>
      <c r="EF112" s="741" t="str">
        <f t="shared" si="26"/>
        <v>-</v>
      </c>
      <c r="EG112" s="742"/>
      <c r="EH112" s="742"/>
      <c r="EI112" s="743"/>
      <c r="EJ112" s="744" t="str">
        <f t="shared" si="37"/>
        <v>-</v>
      </c>
      <c r="EK112" s="739"/>
      <c r="EL112" s="739"/>
      <c r="EM112" s="740"/>
      <c r="EN112" s="744" t="str">
        <f t="shared" si="27"/>
        <v>-</v>
      </c>
      <c r="EO112" s="739"/>
      <c r="EP112" s="739"/>
      <c r="EQ112" s="740"/>
      <c r="ER112" s="744" t="str">
        <f>IF(DV112="","-",INDEX($A$5:$BP$257,MATCH(DV112,$BN$5:$BN$257,0),39)*(IF(DV112="","-",(1+(((-('Densidade do AR'!$M$4))+('Densidade do AR'!$T$15*1000000))/(IF(INDEX($A$5:$BP$257,MATCH(DV112,$BN$5:$BN$257,0),50)="Aço Inoxidável",('Densidade do AR'!$S$8*1000000),IF(INDEX($A$5:$BP$257,MATCH(DV112,$BN$5:$BN$257,0),50)="Ferro Fundido",('Densidade do AR'!$S$12*1000000),IF(INDEX($A$5:$BP$257,MATCH(DV112,$BN$5:$BN$257,0),50)="Latão",('Densidade do AR'!$S$10*1000000),IF(INDEX($A$5:$BP$257,MATCH(DV112,$BN$5:$BN$257,0),50)="Alumínio",('Densidade do AR'!$S$4*1000000)))))))-(((-('Densidade do AR'!$M$4))+('Densidade do AR'!$T$15*1000000))/('Densidade do AR'!$S$14*1000000))))))</f>
        <v>-</v>
      </c>
      <c r="ES112" s="739"/>
      <c r="ET112" s="739"/>
      <c r="EU112" s="745"/>
      <c r="EV112" s="91" t="str">
        <f t="shared" si="38"/>
        <v>-</v>
      </c>
      <c r="EW112" s="792"/>
      <c r="EX112" s="793"/>
      <c r="EY112" s="738" t="str">
        <f>IF(EW112="","-",(IF(INDEX($A$5:$BP$257,MATCH(EW112,$BN$5:$BN$257,0),50)="Aço Inoxidável",('Densidade do AR'!$S$8*1000000),IF(INDEX($A$5:$BP$257,MATCH(EW112,$BN$5:$BN$257,0),50)="Ferro Fundido",('Densidade do AR'!$S$12*1000000),IF(INDEX($A$5:$BP$257,MATCH(EW112,$BN$5:$BN$257,0),50)="Latão",('Densidade do AR'!$S$10*1000000),IF(INDEX($A$5:$BP$257,MATCH(EW112,$BN$5:$BN$257,0),50)="Alumínio",('Densidade do AR'!$S$4*1000000)))))))</f>
        <v>-</v>
      </c>
      <c r="EZ112" s="739"/>
      <c r="FA112" s="739"/>
      <c r="FB112" s="740"/>
      <c r="FC112" s="741" t="str">
        <f t="shared" si="39"/>
        <v>-</v>
      </c>
      <c r="FD112" s="742"/>
      <c r="FE112" s="742"/>
      <c r="FF112" s="743"/>
      <c r="FG112" s="741" t="str">
        <f t="shared" si="28"/>
        <v>-</v>
      </c>
      <c r="FH112" s="742"/>
      <c r="FI112" s="742"/>
      <c r="FJ112" s="743"/>
      <c r="FK112" s="744" t="str">
        <f t="shared" si="40"/>
        <v>-</v>
      </c>
      <c r="FL112" s="739"/>
      <c r="FM112" s="739"/>
      <c r="FN112" s="740"/>
      <c r="FO112" s="744" t="str">
        <f t="shared" si="29"/>
        <v>-</v>
      </c>
      <c r="FP112" s="739"/>
      <c r="FQ112" s="739"/>
      <c r="FR112" s="740"/>
      <c r="FS112" s="744" t="str">
        <f>IF(EW112="","-",INDEX($A$5:$BP$257,MATCH(EW112,$BN$5:$BN$257,0),39)*(IF(EW112="","-",(1+(((-('Densidade do AR'!$M$4))+('Densidade do AR'!$T$15*1000000))/(IF(INDEX($A$5:$BP$257,MATCH(EW112,$BN$5:$BN$257,0),50)="Aço Inoxidável",('Densidade do AR'!$S$8*1000000),IF(INDEX($A$5:$BP$257,MATCH(EW112,$BN$5:$BN$257,0),50)="Ferro Fundido",('Densidade do AR'!$S$12*1000000),IF(INDEX($A$5:$BP$257,MATCH(EW112,$BN$5:$BN$257,0),50)="Latão",('Densidade do AR'!$S$10*1000000),IF(INDEX($A$5:$BP$257,MATCH(EW112,$BN$5:$BN$257,0),50)="Alumínio",('Densidade do AR'!$S$4*1000000)))))))-(((-('Densidade do AR'!$M$4))+('Densidade do AR'!$T$15*1000000))/('Densidade do AR'!$S$14*1000000))))))</f>
        <v>-</v>
      </c>
      <c r="FT112" s="739"/>
      <c r="FU112" s="739"/>
      <c r="FV112" s="745"/>
      <c r="FW112" s="91" t="str">
        <f t="shared" si="41"/>
        <v>-</v>
      </c>
      <c r="FX112" s="135"/>
    </row>
    <row r="113" spans="1:180" ht="12.75" customHeight="1" x14ac:dyDescent="0.2">
      <c r="A113" s="717">
        <v>109</v>
      </c>
      <c r="B113" s="713"/>
      <c r="C113" s="708"/>
      <c r="D113" s="709"/>
      <c r="E113" s="709"/>
      <c r="F113" s="709"/>
      <c r="G113" s="710"/>
      <c r="H113" s="711"/>
      <c r="I113" s="712"/>
      <c r="J113" s="712"/>
      <c r="K113" s="713"/>
      <c r="L113" s="708"/>
      <c r="M113" s="709"/>
      <c r="N113" s="709"/>
      <c r="O113" s="709"/>
      <c r="P113" s="708"/>
      <c r="Q113" s="709"/>
      <c r="R113" s="709"/>
      <c r="S113" s="709"/>
      <c r="T113" s="710"/>
      <c r="U113" s="714"/>
      <c r="V113" s="715"/>
      <c r="W113" s="715"/>
      <c r="X113" s="715"/>
      <c r="Y113" s="715"/>
      <c r="Z113" s="715"/>
      <c r="AA113" s="716"/>
      <c r="AB113" s="850"/>
      <c r="AC113" s="851"/>
      <c r="AD113" s="851"/>
      <c r="AE113" s="851"/>
      <c r="AF113" s="851"/>
      <c r="AG113" s="851"/>
      <c r="AH113" s="851"/>
      <c r="AI113" s="851"/>
      <c r="AJ113" s="851"/>
      <c r="AK113" s="851"/>
      <c r="AL113" s="852"/>
      <c r="AM113" s="917"/>
      <c r="AN113" s="712"/>
      <c r="AO113" s="712"/>
      <c r="AP113" s="712"/>
      <c r="AQ113" s="712"/>
      <c r="AR113" s="712"/>
      <c r="AS113" s="713"/>
      <c r="AT113" s="917"/>
      <c r="AU113" s="712"/>
      <c r="AV113" s="712"/>
      <c r="AW113" s="713"/>
      <c r="AX113" s="917"/>
      <c r="AY113" s="712"/>
      <c r="AZ113" s="712"/>
      <c r="BA113" s="712"/>
      <c r="BB113" s="712"/>
      <c r="BC113" s="713"/>
      <c r="BD113" s="917"/>
      <c r="BE113" s="712"/>
      <c r="BF113" s="712"/>
      <c r="BG113" s="713"/>
      <c r="BH113" s="918"/>
      <c r="BI113" s="712"/>
      <c r="BJ113" s="712"/>
      <c r="BK113" s="712"/>
      <c r="BL113" s="910"/>
      <c r="BN113" s="878"/>
      <c r="BO113" s="879"/>
      <c r="BP113" s="880"/>
      <c r="BT113" s="794"/>
      <c r="BU113" s="795"/>
      <c r="BV113" s="784" t="str">
        <f>IF(BT113="","-",(IF(INDEX($A$5:$BP$257,MATCH(BT113,$BN$5:$BN$257,0),50)="Aço Inoxidável",('Densidade do AR'!$S$8*1000000),IF(INDEX($A$5:$BP$257,MATCH(BT113,$BN$5:$BN$257,0),50)="Ferro Fundido",('Densidade do AR'!$S$12*1000000),IF(INDEX($A$5:$BP$257,MATCH(BT113,$BN$5:$BN$257,0),50)="Latão",('Densidade do AR'!$S$10*1000000),IF(INDEX($A$5:$BP$257,MATCH(BT113,$BN$5:$BN$257,0),50)="Alumínio",('Densidade do AR'!$S$4*1000000)))))))</f>
        <v>-</v>
      </c>
      <c r="BW113" s="785"/>
      <c r="BX113" s="785"/>
      <c r="BY113" s="786"/>
      <c r="BZ113" s="787" t="str">
        <f t="shared" si="30"/>
        <v>-</v>
      </c>
      <c r="CA113" s="788"/>
      <c r="CB113" s="788"/>
      <c r="CC113" s="789"/>
      <c r="CD113" s="787" t="str">
        <f t="shared" si="22"/>
        <v>-</v>
      </c>
      <c r="CE113" s="788"/>
      <c r="CF113" s="788"/>
      <c r="CG113" s="789"/>
      <c r="CH113" s="790" t="str">
        <f t="shared" si="31"/>
        <v>-</v>
      </c>
      <c r="CI113" s="785"/>
      <c r="CJ113" s="785"/>
      <c r="CK113" s="786"/>
      <c r="CL113" s="790" t="str">
        <f t="shared" si="23"/>
        <v>-</v>
      </c>
      <c r="CM113" s="785"/>
      <c r="CN113" s="785"/>
      <c r="CO113" s="786"/>
      <c r="CP113" s="790" t="str">
        <f>IF(BT113="","-",INDEX($A$5:$BP$257,MATCH(BT113,$BN$5:$BN$257,0),39)*(IF(BT113="","-",(1+(((-('Densidade do AR'!$M$4))+('Densidade do AR'!$T$15*1000000))/(IF(INDEX($A$5:$BP$257,MATCH(BT113,$BN$5:$BN$257,0),50)="Aço Inoxidável",('Densidade do AR'!$S$8*1000000),IF(INDEX($A$5:$BP$257,MATCH(BT113,$BN$5:$BN$257,0),50)="Ferro Fundido",('Densidade do AR'!$S$12*1000000),IF(INDEX($A$5:$BP$257,MATCH(BT113,$BN$5:$BN$257,0),50)="Latão",('Densidade do AR'!$S$10*1000000),IF(INDEX($A$5:$BP$257,MATCH(BT113,$BN$5:$BN$257,0),50)="Alumínio",('Densidade do AR'!$S$4*1000000)))))))-(((-('Densidade do AR'!$M$4))+('Densidade do AR'!$T$15*1000000))/('Densidade do AR'!$S$14*1000000))))))</f>
        <v>-</v>
      </c>
      <c r="CQ113" s="785"/>
      <c r="CR113" s="785"/>
      <c r="CS113" s="791"/>
      <c r="CT113" s="91" t="str">
        <f t="shared" si="32"/>
        <v>-</v>
      </c>
      <c r="CU113" s="794"/>
      <c r="CV113" s="795"/>
      <c r="CW113" s="784" t="str">
        <f>IF(CU113="","-",(IF(INDEX($A$5:$BP$257,MATCH(CU113,$BN$5:$BN$257,0),50)="Aço Inoxidável",('Densidade do AR'!$S$8*1000000),IF(INDEX($A$5:$BP$257,MATCH(CU113,$BN$5:$BN$257,0),50)="Ferro Fundido",('Densidade do AR'!$S$12*1000000),IF(INDEX($A$5:$BP$257,MATCH(CU113,$BN$5:$BN$257,0),50)="Latão",('Densidade do AR'!$S$10*1000000),IF(INDEX($A$5:$BP$257,MATCH(CU113,$BN$5:$BN$257,0),50)="Alumínio",('Densidade do AR'!$S$4*1000000)))))))</f>
        <v>-</v>
      </c>
      <c r="CX113" s="785"/>
      <c r="CY113" s="785"/>
      <c r="CZ113" s="786"/>
      <c r="DA113" s="787" t="str">
        <f t="shared" si="33"/>
        <v>-</v>
      </c>
      <c r="DB113" s="788"/>
      <c r="DC113" s="788"/>
      <c r="DD113" s="789"/>
      <c r="DE113" s="787" t="str">
        <f t="shared" si="24"/>
        <v>-</v>
      </c>
      <c r="DF113" s="788"/>
      <c r="DG113" s="788"/>
      <c r="DH113" s="789"/>
      <c r="DI113" s="790" t="str">
        <f t="shared" si="34"/>
        <v>-</v>
      </c>
      <c r="DJ113" s="785"/>
      <c r="DK113" s="785"/>
      <c r="DL113" s="786"/>
      <c r="DM113" s="790" t="str">
        <f t="shared" si="25"/>
        <v>-</v>
      </c>
      <c r="DN113" s="785"/>
      <c r="DO113" s="785"/>
      <c r="DP113" s="786"/>
      <c r="DQ113" s="790" t="str">
        <f>IF(CU113="","-",INDEX($A$5:$BP$257,MATCH(CU113,$BN$5:$BN$257,0),39)*(IF(CU113="","-",(1+(((-('Densidade do AR'!$M$4))+('Densidade do AR'!$T$15*1000000))/(IF(INDEX($A$5:$BP$257,MATCH(CU113,$BN$5:$BN$257,0),50)="Aço Inoxidável",('Densidade do AR'!$S$8*1000000),IF(INDEX($A$5:$BP$257,MATCH(CU113,$BN$5:$BN$257,0),50)="Ferro Fundido",('Densidade do AR'!$S$12*1000000),IF(INDEX($A$5:$BP$257,MATCH(CU113,$BN$5:$BN$257,0),50)="Latão",('Densidade do AR'!$S$10*1000000),IF(INDEX($A$5:$BP$257,MATCH(CU113,$BN$5:$BN$257,0),50)="Alumínio",('Densidade do AR'!$S$4*1000000)))))))-(((-('Densidade do AR'!$M$4))+('Densidade do AR'!$T$15*1000000))/('Densidade do AR'!$S$14*1000000))))))</f>
        <v>-</v>
      </c>
      <c r="DR113" s="785"/>
      <c r="DS113" s="785"/>
      <c r="DT113" s="791"/>
      <c r="DU113" s="91" t="str">
        <f t="shared" si="35"/>
        <v>-</v>
      </c>
      <c r="DV113" s="794"/>
      <c r="DW113" s="795"/>
      <c r="DX113" s="784" t="str">
        <f>IF(DV113="","-",(IF(INDEX($A$5:$BP$257,MATCH(DV113,$BN$5:$BN$257,0),50)="Aço Inoxidável",('Densidade do AR'!$S$8*1000000),IF(INDEX($A$5:$BP$257,MATCH(DV113,$BN$5:$BN$257,0),50)="Ferro Fundido",('Densidade do AR'!$S$12*1000000),IF(INDEX($A$5:$BP$257,MATCH(DV113,$BN$5:$BN$257,0),50)="Latão",('Densidade do AR'!$S$10*1000000),IF(INDEX($A$5:$BP$257,MATCH(DV113,$BN$5:$BN$257,0),50)="Alumínio",('Densidade do AR'!$S$4*1000000)))))))</f>
        <v>-</v>
      </c>
      <c r="DY113" s="785"/>
      <c r="DZ113" s="785"/>
      <c r="EA113" s="786"/>
      <c r="EB113" s="787" t="str">
        <f t="shared" si="36"/>
        <v>-</v>
      </c>
      <c r="EC113" s="788"/>
      <c r="ED113" s="788"/>
      <c r="EE113" s="789"/>
      <c r="EF113" s="787" t="str">
        <f t="shared" si="26"/>
        <v>-</v>
      </c>
      <c r="EG113" s="788"/>
      <c r="EH113" s="788"/>
      <c r="EI113" s="789"/>
      <c r="EJ113" s="790" t="str">
        <f t="shared" si="37"/>
        <v>-</v>
      </c>
      <c r="EK113" s="785"/>
      <c r="EL113" s="785"/>
      <c r="EM113" s="786"/>
      <c r="EN113" s="790" t="str">
        <f t="shared" si="27"/>
        <v>-</v>
      </c>
      <c r="EO113" s="785"/>
      <c r="EP113" s="785"/>
      <c r="EQ113" s="786"/>
      <c r="ER113" s="790" t="str">
        <f>IF(DV113="","-",INDEX($A$5:$BP$257,MATCH(DV113,$BN$5:$BN$257,0),39)*(IF(DV113="","-",(1+(((-('Densidade do AR'!$M$4))+('Densidade do AR'!$T$15*1000000))/(IF(INDEX($A$5:$BP$257,MATCH(DV113,$BN$5:$BN$257,0),50)="Aço Inoxidável",('Densidade do AR'!$S$8*1000000),IF(INDEX($A$5:$BP$257,MATCH(DV113,$BN$5:$BN$257,0),50)="Ferro Fundido",('Densidade do AR'!$S$12*1000000),IF(INDEX($A$5:$BP$257,MATCH(DV113,$BN$5:$BN$257,0),50)="Latão",('Densidade do AR'!$S$10*1000000),IF(INDEX($A$5:$BP$257,MATCH(DV113,$BN$5:$BN$257,0),50)="Alumínio",('Densidade do AR'!$S$4*1000000)))))))-(((-('Densidade do AR'!$M$4))+('Densidade do AR'!$T$15*1000000))/('Densidade do AR'!$S$14*1000000))))))</f>
        <v>-</v>
      </c>
      <c r="ES113" s="785"/>
      <c r="ET113" s="785"/>
      <c r="EU113" s="791"/>
      <c r="EV113" s="91" t="str">
        <f t="shared" si="38"/>
        <v>-</v>
      </c>
      <c r="EW113" s="794"/>
      <c r="EX113" s="795"/>
      <c r="EY113" s="784" t="str">
        <f>IF(EW113="","-",(IF(INDEX($A$5:$BP$257,MATCH(EW113,$BN$5:$BN$257,0),50)="Aço Inoxidável",('Densidade do AR'!$S$8*1000000),IF(INDEX($A$5:$BP$257,MATCH(EW113,$BN$5:$BN$257,0),50)="Ferro Fundido",('Densidade do AR'!$S$12*1000000),IF(INDEX($A$5:$BP$257,MATCH(EW113,$BN$5:$BN$257,0),50)="Latão",('Densidade do AR'!$S$10*1000000),IF(INDEX($A$5:$BP$257,MATCH(EW113,$BN$5:$BN$257,0),50)="Alumínio",('Densidade do AR'!$S$4*1000000)))))))</f>
        <v>-</v>
      </c>
      <c r="EZ113" s="785"/>
      <c r="FA113" s="785"/>
      <c r="FB113" s="786"/>
      <c r="FC113" s="787" t="str">
        <f t="shared" si="39"/>
        <v>-</v>
      </c>
      <c r="FD113" s="788"/>
      <c r="FE113" s="788"/>
      <c r="FF113" s="789"/>
      <c r="FG113" s="787" t="str">
        <f t="shared" si="28"/>
        <v>-</v>
      </c>
      <c r="FH113" s="788"/>
      <c r="FI113" s="788"/>
      <c r="FJ113" s="789"/>
      <c r="FK113" s="790" t="str">
        <f t="shared" si="40"/>
        <v>-</v>
      </c>
      <c r="FL113" s="785"/>
      <c r="FM113" s="785"/>
      <c r="FN113" s="786"/>
      <c r="FO113" s="790" t="str">
        <f t="shared" si="29"/>
        <v>-</v>
      </c>
      <c r="FP113" s="785"/>
      <c r="FQ113" s="785"/>
      <c r="FR113" s="786"/>
      <c r="FS113" s="790" t="str">
        <f>IF(EW113="","-",INDEX($A$5:$BP$257,MATCH(EW113,$BN$5:$BN$257,0),39)*(IF(EW113="","-",(1+(((-('Densidade do AR'!$M$4))+('Densidade do AR'!$T$15*1000000))/(IF(INDEX($A$5:$BP$257,MATCH(EW113,$BN$5:$BN$257,0),50)="Aço Inoxidável",('Densidade do AR'!$S$8*1000000),IF(INDEX($A$5:$BP$257,MATCH(EW113,$BN$5:$BN$257,0),50)="Ferro Fundido",('Densidade do AR'!$S$12*1000000),IF(INDEX($A$5:$BP$257,MATCH(EW113,$BN$5:$BN$257,0),50)="Latão",('Densidade do AR'!$S$10*1000000),IF(INDEX($A$5:$BP$257,MATCH(EW113,$BN$5:$BN$257,0),50)="Alumínio",('Densidade do AR'!$S$4*1000000)))))))-(((-('Densidade do AR'!$M$4))+('Densidade do AR'!$T$15*1000000))/('Densidade do AR'!$S$14*1000000))))))</f>
        <v>-</v>
      </c>
      <c r="FT113" s="785"/>
      <c r="FU113" s="785"/>
      <c r="FV113" s="791"/>
      <c r="FW113" s="91" t="str">
        <f t="shared" si="41"/>
        <v>-</v>
      </c>
      <c r="FX113" s="135"/>
    </row>
    <row r="114" spans="1:180" ht="12.75" customHeight="1" x14ac:dyDescent="0.2">
      <c r="A114" s="718">
        <v>110</v>
      </c>
      <c r="B114" s="713"/>
      <c r="C114" s="719"/>
      <c r="D114" s="709"/>
      <c r="E114" s="709"/>
      <c r="F114" s="709"/>
      <c r="G114" s="710"/>
      <c r="H114" s="720"/>
      <c r="I114" s="712"/>
      <c r="J114" s="712"/>
      <c r="K114" s="713"/>
      <c r="L114" s="719"/>
      <c r="M114" s="709"/>
      <c r="N114" s="709"/>
      <c r="O114" s="709"/>
      <c r="P114" s="719"/>
      <c r="Q114" s="709"/>
      <c r="R114" s="709"/>
      <c r="S114" s="709"/>
      <c r="T114" s="710"/>
      <c r="U114" s="721"/>
      <c r="V114" s="722"/>
      <c r="W114" s="722"/>
      <c r="X114" s="722"/>
      <c r="Y114" s="722"/>
      <c r="Z114" s="722"/>
      <c r="AA114" s="723"/>
      <c r="AB114" s="853"/>
      <c r="AC114" s="854"/>
      <c r="AD114" s="854"/>
      <c r="AE114" s="854"/>
      <c r="AF114" s="854"/>
      <c r="AG114" s="854"/>
      <c r="AH114" s="854"/>
      <c r="AI114" s="854"/>
      <c r="AJ114" s="854"/>
      <c r="AK114" s="854"/>
      <c r="AL114" s="855"/>
      <c r="AM114" s="909"/>
      <c r="AN114" s="712"/>
      <c r="AO114" s="712"/>
      <c r="AP114" s="712"/>
      <c r="AQ114" s="712"/>
      <c r="AR114" s="712"/>
      <c r="AS114" s="713"/>
      <c r="AT114" s="909"/>
      <c r="AU114" s="712"/>
      <c r="AV114" s="712"/>
      <c r="AW114" s="713"/>
      <c r="AX114" s="908"/>
      <c r="AY114" s="712"/>
      <c r="AZ114" s="712"/>
      <c r="BA114" s="712"/>
      <c r="BB114" s="712"/>
      <c r="BC114" s="713"/>
      <c r="BD114" s="909"/>
      <c r="BE114" s="712"/>
      <c r="BF114" s="712"/>
      <c r="BG114" s="713"/>
      <c r="BH114" s="908"/>
      <c r="BI114" s="712"/>
      <c r="BJ114" s="712"/>
      <c r="BK114" s="712"/>
      <c r="BL114" s="910"/>
      <c r="BN114" s="881"/>
      <c r="BO114" s="882"/>
      <c r="BP114" s="883"/>
      <c r="BT114" s="792"/>
      <c r="BU114" s="793"/>
      <c r="BV114" s="738" t="str">
        <f>IF(BT114="","-",(IF(INDEX($A$5:$BP$257,MATCH(BT114,$BN$5:$BN$257,0),50)="Aço Inoxidável",('Densidade do AR'!$S$8*1000000),IF(INDEX($A$5:$BP$257,MATCH(BT114,$BN$5:$BN$257,0),50)="Ferro Fundido",('Densidade do AR'!$S$12*1000000),IF(INDEX($A$5:$BP$257,MATCH(BT114,$BN$5:$BN$257,0),50)="Latão",('Densidade do AR'!$S$10*1000000),IF(INDEX($A$5:$BP$257,MATCH(BT114,$BN$5:$BN$257,0),50)="Alumínio",('Densidade do AR'!$S$4*1000000)))))))</f>
        <v>-</v>
      </c>
      <c r="BW114" s="739"/>
      <c r="BX114" s="739"/>
      <c r="BY114" s="740"/>
      <c r="BZ114" s="741" t="str">
        <f t="shared" si="30"/>
        <v>-</v>
      </c>
      <c r="CA114" s="742"/>
      <c r="CB114" s="742"/>
      <c r="CC114" s="743"/>
      <c r="CD114" s="741" t="str">
        <f t="shared" si="22"/>
        <v>-</v>
      </c>
      <c r="CE114" s="742"/>
      <c r="CF114" s="742"/>
      <c r="CG114" s="743"/>
      <c r="CH114" s="744" t="str">
        <f t="shared" si="31"/>
        <v>-</v>
      </c>
      <c r="CI114" s="739"/>
      <c r="CJ114" s="739"/>
      <c r="CK114" s="740"/>
      <c r="CL114" s="744" t="str">
        <f t="shared" si="23"/>
        <v>-</v>
      </c>
      <c r="CM114" s="739"/>
      <c r="CN114" s="739"/>
      <c r="CO114" s="740"/>
      <c r="CP114" s="744" t="str">
        <f>IF(BT114="","-",INDEX($A$5:$BP$257,MATCH(BT114,$BN$5:$BN$257,0),39)*(IF(BT114="","-",(1+(((-('Densidade do AR'!$M$4))+('Densidade do AR'!$T$15*1000000))/(IF(INDEX($A$5:$BP$257,MATCH(BT114,$BN$5:$BN$257,0),50)="Aço Inoxidável",('Densidade do AR'!$S$8*1000000),IF(INDEX($A$5:$BP$257,MATCH(BT114,$BN$5:$BN$257,0),50)="Ferro Fundido",('Densidade do AR'!$S$12*1000000),IF(INDEX($A$5:$BP$257,MATCH(BT114,$BN$5:$BN$257,0),50)="Latão",('Densidade do AR'!$S$10*1000000),IF(INDEX($A$5:$BP$257,MATCH(BT114,$BN$5:$BN$257,0),50)="Alumínio",('Densidade do AR'!$S$4*1000000)))))))-(((-('Densidade do AR'!$M$4))+('Densidade do AR'!$T$15*1000000))/('Densidade do AR'!$S$14*1000000))))))</f>
        <v>-</v>
      </c>
      <c r="CQ114" s="739"/>
      <c r="CR114" s="739"/>
      <c r="CS114" s="745"/>
      <c r="CT114" s="91" t="str">
        <f t="shared" si="32"/>
        <v>-</v>
      </c>
      <c r="CU114" s="792"/>
      <c r="CV114" s="793"/>
      <c r="CW114" s="738" t="str">
        <f>IF(CU114="","-",(IF(INDEX($A$5:$BP$257,MATCH(CU114,$BN$5:$BN$257,0),50)="Aço Inoxidável",('Densidade do AR'!$S$8*1000000),IF(INDEX($A$5:$BP$257,MATCH(CU114,$BN$5:$BN$257,0),50)="Ferro Fundido",('Densidade do AR'!$S$12*1000000),IF(INDEX($A$5:$BP$257,MATCH(CU114,$BN$5:$BN$257,0),50)="Latão",('Densidade do AR'!$S$10*1000000),IF(INDEX($A$5:$BP$257,MATCH(CU114,$BN$5:$BN$257,0),50)="Alumínio",('Densidade do AR'!$S$4*1000000)))))))</f>
        <v>-</v>
      </c>
      <c r="CX114" s="739"/>
      <c r="CY114" s="739"/>
      <c r="CZ114" s="740"/>
      <c r="DA114" s="741" t="str">
        <f t="shared" si="33"/>
        <v>-</v>
      </c>
      <c r="DB114" s="742"/>
      <c r="DC114" s="742"/>
      <c r="DD114" s="743"/>
      <c r="DE114" s="741" t="str">
        <f t="shared" si="24"/>
        <v>-</v>
      </c>
      <c r="DF114" s="742"/>
      <c r="DG114" s="742"/>
      <c r="DH114" s="743"/>
      <c r="DI114" s="744" t="str">
        <f t="shared" si="34"/>
        <v>-</v>
      </c>
      <c r="DJ114" s="739"/>
      <c r="DK114" s="739"/>
      <c r="DL114" s="740"/>
      <c r="DM114" s="744" t="str">
        <f t="shared" si="25"/>
        <v>-</v>
      </c>
      <c r="DN114" s="739"/>
      <c r="DO114" s="739"/>
      <c r="DP114" s="740"/>
      <c r="DQ114" s="744" t="str">
        <f>IF(CU114="","-",INDEX($A$5:$BP$257,MATCH(CU114,$BN$5:$BN$257,0),39)*(IF(CU114="","-",(1+(((-('Densidade do AR'!$M$4))+('Densidade do AR'!$T$15*1000000))/(IF(INDEX($A$5:$BP$257,MATCH(CU114,$BN$5:$BN$257,0),50)="Aço Inoxidável",('Densidade do AR'!$S$8*1000000),IF(INDEX($A$5:$BP$257,MATCH(CU114,$BN$5:$BN$257,0),50)="Ferro Fundido",('Densidade do AR'!$S$12*1000000),IF(INDEX($A$5:$BP$257,MATCH(CU114,$BN$5:$BN$257,0),50)="Latão",('Densidade do AR'!$S$10*1000000),IF(INDEX($A$5:$BP$257,MATCH(CU114,$BN$5:$BN$257,0),50)="Alumínio",('Densidade do AR'!$S$4*1000000)))))))-(((-('Densidade do AR'!$M$4))+('Densidade do AR'!$T$15*1000000))/('Densidade do AR'!$S$14*1000000))))))</f>
        <v>-</v>
      </c>
      <c r="DR114" s="739"/>
      <c r="DS114" s="739"/>
      <c r="DT114" s="745"/>
      <c r="DU114" s="91" t="str">
        <f t="shared" si="35"/>
        <v>-</v>
      </c>
      <c r="DV114" s="792"/>
      <c r="DW114" s="793"/>
      <c r="DX114" s="738" t="str">
        <f>IF(DV114="","-",(IF(INDEX($A$5:$BP$257,MATCH(DV114,$BN$5:$BN$257,0),50)="Aço Inoxidável",('Densidade do AR'!$S$8*1000000),IF(INDEX($A$5:$BP$257,MATCH(DV114,$BN$5:$BN$257,0),50)="Ferro Fundido",('Densidade do AR'!$S$12*1000000),IF(INDEX($A$5:$BP$257,MATCH(DV114,$BN$5:$BN$257,0),50)="Latão",('Densidade do AR'!$S$10*1000000),IF(INDEX($A$5:$BP$257,MATCH(DV114,$BN$5:$BN$257,0),50)="Alumínio",('Densidade do AR'!$S$4*1000000)))))))</f>
        <v>-</v>
      </c>
      <c r="DY114" s="739"/>
      <c r="DZ114" s="739"/>
      <c r="EA114" s="740"/>
      <c r="EB114" s="741" t="str">
        <f t="shared" si="36"/>
        <v>-</v>
      </c>
      <c r="EC114" s="742"/>
      <c r="ED114" s="742"/>
      <c r="EE114" s="743"/>
      <c r="EF114" s="741" t="str">
        <f t="shared" si="26"/>
        <v>-</v>
      </c>
      <c r="EG114" s="742"/>
      <c r="EH114" s="742"/>
      <c r="EI114" s="743"/>
      <c r="EJ114" s="744" t="str">
        <f t="shared" si="37"/>
        <v>-</v>
      </c>
      <c r="EK114" s="739"/>
      <c r="EL114" s="739"/>
      <c r="EM114" s="740"/>
      <c r="EN114" s="744" t="str">
        <f t="shared" si="27"/>
        <v>-</v>
      </c>
      <c r="EO114" s="739"/>
      <c r="EP114" s="739"/>
      <c r="EQ114" s="740"/>
      <c r="ER114" s="744" t="str">
        <f>IF(DV114="","-",INDEX($A$5:$BP$257,MATCH(DV114,$BN$5:$BN$257,0),39)*(IF(DV114="","-",(1+(((-('Densidade do AR'!$M$4))+('Densidade do AR'!$T$15*1000000))/(IF(INDEX($A$5:$BP$257,MATCH(DV114,$BN$5:$BN$257,0),50)="Aço Inoxidável",('Densidade do AR'!$S$8*1000000),IF(INDEX($A$5:$BP$257,MATCH(DV114,$BN$5:$BN$257,0),50)="Ferro Fundido",('Densidade do AR'!$S$12*1000000),IF(INDEX($A$5:$BP$257,MATCH(DV114,$BN$5:$BN$257,0),50)="Latão",('Densidade do AR'!$S$10*1000000),IF(INDEX($A$5:$BP$257,MATCH(DV114,$BN$5:$BN$257,0),50)="Alumínio",('Densidade do AR'!$S$4*1000000)))))))-(((-('Densidade do AR'!$M$4))+('Densidade do AR'!$T$15*1000000))/('Densidade do AR'!$S$14*1000000))))))</f>
        <v>-</v>
      </c>
      <c r="ES114" s="739"/>
      <c r="ET114" s="739"/>
      <c r="EU114" s="745"/>
      <c r="EV114" s="91" t="str">
        <f t="shared" si="38"/>
        <v>-</v>
      </c>
      <c r="EW114" s="792"/>
      <c r="EX114" s="793"/>
      <c r="EY114" s="738" t="str">
        <f>IF(EW114="","-",(IF(INDEX($A$5:$BP$257,MATCH(EW114,$BN$5:$BN$257,0),50)="Aço Inoxidável",('Densidade do AR'!$S$8*1000000),IF(INDEX($A$5:$BP$257,MATCH(EW114,$BN$5:$BN$257,0),50)="Ferro Fundido",('Densidade do AR'!$S$12*1000000),IF(INDEX($A$5:$BP$257,MATCH(EW114,$BN$5:$BN$257,0),50)="Latão",('Densidade do AR'!$S$10*1000000),IF(INDEX($A$5:$BP$257,MATCH(EW114,$BN$5:$BN$257,0),50)="Alumínio",('Densidade do AR'!$S$4*1000000)))))))</f>
        <v>-</v>
      </c>
      <c r="EZ114" s="739"/>
      <c r="FA114" s="739"/>
      <c r="FB114" s="740"/>
      <c r="FC114" s="741" t="str">
        <f t="shared" si="39"/>
        <v>-</v>
      </c>
      <c r="FD114" s="742"/>
      <c r="FE114" s="742"/>
      <c r="FF114" s="743"/>
      <c r="FG114" s="741" t="str">
        <f t="shared" si="28"/>
        <v>-</v>
      </c>
      <c r="FH114" s="742"/>
      <c r="FI114" s="742"/>
      <c r="FJ114" s="743"/>
      <c r="FK114" s="744" t="str">
        <f t="shared" si="40"/>
        <v>-</v>
      </c>
      <c r="FL114" s="739"/>
      <c r="FM114" s="739"/>
      <c r="FN114" s="740"/>
      <c r="FO114" s="744" t="str">
        <f t="shared" si="29"/>
        <v>-</v>
      </c>
      <c r="FP114" s="739"/>
      <c r="FQ114" s="739"/>
      <c r="FR114" s="740"/>
      <c r="FS114" s="744" t="str">
        <f>IF(EW114="","-",INDEX($A$5:$BP$257,MATCH(EW114,$BN$5:$BN$257,0),39)*(IF(EW114="","-",(1+(((-('Densidade do AR'!$M$4))+('Densidade do AR'!$T$15*1000000))/(IF(INDEX($A$5:$BP$257,MATCH(EW114,$BN$5:$BN$257,0),50)="Aço Inoxidável",('Densidade do AR'!$S$8*1000000),IF(INDEX($A$5:$BP$257,MATCH(EW114,$BN$5:$BN$257,0),50)="Ferro Fundido",('Densidade do AR'!$S$12*1000000),IF(INDEX($A$5:$BP$257,MATCH(EW114,$BN$5:$BN$257,0),50)="Latão",('Densidade do AR'!$S$10*1000000),IF(INDEX($A$5:$BP$257,MATCH(EW114,$BN$5:$BN$257,0),50)="Alumínio",('Densidade do AR'!$S$4*1000000)))))))-(((-('Densidade do AR'!$M$4))+('Densidade do AR'!$T$15*1000000))/('Densidade do AR'!$S$14*1000000))))))</f>
        <v>-</v>
      </c>
      <c r="FT114" s="739"/>
      <c r="FU114" s="739"/>
      <c r="FV114" s="745"/>
      <c r="FW114" s="91" t="str">
        <f t="shared" si="41"/>
        <v>-</v>
      </c>
      <c r="FX114" s="135"/>
    </row>
    <row r="115" spans="1:180" ht="12.75" customHeight="1" x14ac:dyDescent="0.2">
      <c r="A115" s="717">
        <v>111</v>
      </c>
      <c r="B115" s="713"/>
      <c r="C115" s="708"/>
      <c r="D115" s="709"/>
      <c r="E115" s="709"/>
      <c r="F115" s="709"/>
      <c r="G115" s="710"/>
      <c r="H115" s="711"/>
      <c r="I115" s="712"/>
      <c r="J115" s="712"/>
      <c r="K115" s="713"/>
      <c r="L115" s="708"/>
      <c r="M115" s="709"/>
      <c r="N115" s="709"/>
      <c r="O115" s="709"/>
      <c r="P115" s="708"/>
      <c r="Q115" s="709"/>
      <c r="R115" s="709"/>
      <c r="S115" s="709"/>
      <c r="T115" s="710"/>
      <c r="U115" s="714"/>
      <c r="V115" s="715"/>
      <c r="W115" s="715"/>
      <c r="X115" s="715"/>
      <c r="Y115" s="715"/>
      <c r="Z115" s="715"/>
      <c r="AA115" s="716"/>
      <c r="AB115" s="850"/>
      <c r="AC115" s="851"/>
      <c r="AD115" s="851"/>
      <c r="AE115" s="851"/>
      <c r="AF115" s="851"/>
      <c r="AG115" s="851"/>
      <c r="AH115" s="851"/>
      <c r="AI115" s="851"/>
      <c r="AJ115" s="851"/>
      <c r="AK115" s="851"/>
      <c r="AL115" s="852"/>
      <c r="AM115" s="917"/>
      <c r="AN115" s="712"/>
      <c r="AO115" s="712"/>
      <c r="AP115" s="712"/>
      <c r="AQ115" s="712"/>
      <c r="AR115" s="712"/>
      <c r="AS115" s="713"/>
      <c r="AT115" s="917"/>
      <c r="AU115" s="712"/>
      <c r="AV115" s="712"/>
      <c r="AW115" s="713"/>
      <c r="AX115" s="917"/>
      <c r="AY115" s="712"/>
      <c r="AZ115" s="712"/>
      <c r="BA115" s="712"/>
      <c r="BB115" s="712"/>
      <c r="BC115" s="713"/>
      <c r="BD115" s="917"/>
      <c r="BE115" s="712"/>
      <c r="BF115" s="712"/>
      <c r="BG115" s="713"/>
      <c r="BH115" s="918"/>
      <c r="BI115" s="712"/>
      <c r="BJ115" s="712"/>
      <c r="BK115" s="712"/>
      <c r="BL115" s="910"/>
      <c r="BN115" s="878"/>
      <c r="BO115" s="879"/>
      <c r="BP115" s="880"/>
      <c r="BT115" s="794"/>
      <c r="BU115" s="795"/>
      <c r="BV115" s="784" t="str">
        <f>IF(BT115="","-",(IF(INDEX($A$5:$BP$257,MATCH(BT115,$BN$5:$BN$257,0),50)="Aço Inoxidável",('Densidade do AR'!$S$8*1000000),IF(INDEX($A$5:$BP$257,MATCH(BT115,$BN$5:$BN$257,0),50)="Ferro Fundido",('Densidade do AR'!$S$12*1000000),IF(INDEX($A$5:$BP$257,MATCH(BT115,$BN$5:$BN$257,0),50)="Latão",('Densidade do AR'!$S$10*1000000),IF(INDEX($A$5:$BP$257,MATCH(BT115,$BN$5:$BN$257,0),50)="Alumínio",('Densidade do AR'!$S$4*1000000)))))))</f>
        <v>-</v>
      </c>
      <c r="BW115" s="785"/>
      <c r="BX115" s="785"/>
      <c r="BY115" s="786"/>
      <c r="BZ115" s="787" t="str">
        <f t="shared" si="30"/>
        <v>-</v>
      </c>
      <c r="CA115" s="788"/>
      <c r="CB115" s="788"/>
      <c r="CC115" s="789"/>
      <c r="CD115" s="787" t="str">
        <f t="shared" si="22"/>
        <v>-</v>
      </c>
      <c r="CE115" s="788"/>
      <c r="CF115" s="788"/>
      <c r="CG115" s="789"/>
      <c r="CH115" s="790" t="str">
        <f t="shared" si="31"/>
        <v>-</v>
      </c>
      <c r="CI115" s="785"/>
      <c r="CJ115" s="785"/>
      <c r="CK115" s="786"/>
      <c r="CL115" s="790" t="str">
        <f t="shared" si="23"/>
        <v>-</v>
      </c>
      <c r="CM115" s="785"/>
      <c r="CN115" s="785"/>
      <c r="CO115" s="786"/>
      <c r="CP115" s="790" t="str">
        <f>IF(BT115="","-",INDEX($A$5:$BP$257,MATCH(BT115,$BN$5:$BN$257,0),39)*(IF(BT115="","-",(1+(((-('Densidade do AR'!$M$4))+('Densidade do AR'!$T$15*1000000))/(IF(INDEX($A$5:$BP$257,MATCH(BT115,$BN$5:$BN$257,0),50)="Aço Inoxidável",('Densidade do AR'!$S$8*1000000),IF(INDEX($A$5:$BP$257,MATCH(BT115,$BN$5:$BN$257,0),50)="Ferro Fundido",('Densidade do AR'!$S$12*1000000),IF(INDEX($A$5:$BP$257,MATCH(BT115,$BN$5:$BN$257,0),50)="Latão",('Densidade do AR'!$S$10*1000000),IF(INDEX($A$5:$BP$257,MATCH(BT115,$BN$5:$BN$257,0),50)="Alumínio",('Densidade do AR'!$S$4*1000000)))))))-(((-('Densidade do AR'!$M$4))+('Densidade do AR'!$T$15*1000000))/('Densidade do AR'!$S$14*1000000))))))</f>
        <v>-</v>
      </c>
      <c r="CQ115" s="785"/>
      <c r="CR115" s="785"/>
      <c r="CS115" s="791"/>
      <c r="CT115" s="91" t="str">
        <f t="shared" si="32"/>
        <v>-</v>
      </c>
      <c r="CU115" s="794"/>
      <c r="CV115" s="795"/>
      <c r="CW115" s="784" t="str">
        <f>IF(CU115="","-",(IF(INDEX($A$5:$BP$257,MATCH(CU115,$BN$5:$BN$257,0),50)="Aço Inoxidável",('Densidade do AR'!$S$8*1000000),IF(INDEX($A$5:$BP$257,MATCH(CU115,$BN$5:$BN$257,0),50)="Ferro Fundido",('Densidade do AR'!$S$12*1000000),IF(INDEX($A$5:$BP$257,MATCH(CU115,$BN$5:$BN$257,0),50)="Latão",('Densidade do AR'!$S$10*1000000),IF(INDEX($A$5:$BP$257,MATCH(CU115,$BN$5:$BN$257,0),50)="Alumínio",('Densidade do AR'!$S$4*1000000)))))))</f>
        <v>-</v>
      </c>
      <c r="CX115" s="785"/>
      <c r="CY115" s="785"/>
      <c r="CZ115" s="786"/>
      <c r="DA115" s="787" t="str">
        <f t="shared" si="33"/>
        <v>-</v>
      </c>
      <c r="DB115" s="788"/>
      <c r="DC115" s="788"/>
      <c r="DD115" s="789"/>
      <c r="DE115" s="787" t="str">
        <f t="shared" si="24"/>
        <v>-</v>
      </c>
      <c r="DF115" s="788"/>
      <c r="DG115" s="788"/>
      <c r="DH115" s="789"/>
      <c r="DI115" s="790" t="str">
        <f t="shared" si="34"/>
        <v>-</v>
      </c>
      <c r="DJ115" s="785"/>
      <c r="DK115" s="785"/>
      <c r="DL115" s="786"/>
      <c r="DM115" s="790" t="str">
        <f t="shared" si="25"/>
        <v>-</v>
      </c>
      <c r="DN115" s="785"/>
      <c r="DO115" s="785"/>
      <c r="DP115" s="786"/>
      <c r="DQ115" s="790" t="str">
        <f>IF(CU115="","-",INDEX($A$5:$BP$257,MATCH(CU115,$BN$5:$BN$257,0),39)*(IF(CU115="","-",(1+(((-('Densidade do AR'!$M$4))+('Densidade do AR'!$T$15*1000000))/(IF(INDEX($A$5:$BP$257,MATCH(CU115,$BN$5:$BN$257,0),50)="Aço Inoxidável",('Densidade do AR'!$S$8*1000000),IF(INDEX($A$5:$BP$257,MATCH(CU115,$BN$5:$BN$257,0),50)="Ferro Fundido",('Densidade do AR'!$S$12*1000000),IF(INDEX($A$5:$BP$257,MATCH(CU115,$BN$5:$BN$257,0),50)="Latão",('Densidade do AR'!$S$10*1000000),IF(INDEX($A$5:$BP$257,MATCH(CU115,$BN$5:$BN$257,0),50)="Alumínio",('Densidade do AR'!$S$4*1000000)))))))-(((-('Densidade do AR'!$M$4))+('Densidade do AR'!$T$15*1000000))/('Densidade do AR'!$S$14*1000000))))))</f>
        <v>-</v>
      </c>
      <c r="DR115" s="785"/>
      <c r="DS115" s="785"/>
      <c r="DT115" s="791"/>
      <c r="DU115" s="91" t="str">
        <f t="shared" si="35"/>
        <v>-</v>
      </c>
      <c r="DV115" s="794"/>
      <c r="DW115" s="795"/>
      <c r="DX115" s="784" t="str">
        <f>IF(DV115="","-",(IF(INDEX($A$5:$BP$257,MATCH(DV115,$BN$5:$BN$257,0),50)="Aço Inoxidável",('Densidade do AR'!$S$8*1000000),IF(INDEX($A$5:$BP$257,MATCH(DV115,$BN$5:$BN$257,0),50)="Ferro Fundido",('Densidade do AR'!$S$12*1000000),IF(INDEX($A$5:$BP$257,MATCH(DV115,$BN$5:$BN$257,0),50)="Latão",('Densidade do AR'!$S$10*1000000),IF(INDEX($A$5:$BP$257,MATCH(DV115,$BN$5:$BN$257,0),50)="Alumínio",('Densidade do AR'!$S$4*1000000)))))))</f>
        <v>-</v>
      </c>
      <c r="DY115" s="785"/>
      <c r="DZ115" s="785"/>
      <c r="EA115" s="786"/>
      <c r="EB115" s="787" t="str">
        <f t="shared" si="36"/>
        <v>-</v>
      </c>
      <c r="EC115" s="788"/>
      <c r="ED115" s="788"/>
      <c r="EE115" s="789"/>
      <c r="EF115" s="787" t="str">
        <f t="shared" si="26"/>
        <v>-</v>
      </c>
      <c r="EG115" s="788"/>
      <c r="EH115" s="788"/>
      <c r="EI115" s="789"/>
      <c r="EJ115" s="790" t="str">
        <f t="shared" si="37"/>
        <v>-</v>
      </c>
      <c r="EK115" s="785"/>
      <c r="EL115" s="785"/>
      <c r="EM115" s="786"/>
      <c r="EN115" s="790" t="str">
        <f t="shared" si="27"/>
        <v>-</v>
      </c>
      <c r="EO115" s="785"/>
      <c r="EP115" s="785"/>
      <c r="EQ115" s="786"/>
      <c r="ER115" s="790" t="str">
        <f>IF(DV115="","-",INDEX($A$5:$BP$257,MATCH(DV115,$BN$5:$BN$257,0),39)*(IF(DV115="","-",(1+(((-('Densidade do AR'!$M$4))+('Densidade do AR'!$T$15*1000000))/(IF(INDEX($A$5:$BP$257,MATCH(DV115,$BN$5:$BN$257,0),50)="Aço Inoxidável",('Densidade do AR'!$S$8*1000000),IF(INDEX($A$5:$BP$257,MATCH(DV115,$BN$5:$BN$257,0),50)="Ferro Fundido",('Densidade do AR'!$S$12*1000000),IF(INDEX($A$5:$BP$257,MATCH(DV115,$BN$5:$BN$257,0),50)="Latão",('Densidade do AR'!$S$10*1000000),IF(INDEX($A$5:$BP$257,MATCH(DV115,$BN$5:$BN$257,0),50)="Alumínio",('Densidade do AR'!$S$4*1000000)))))))-(((-('Densidade do AR'!$M$4))+('Densidade do AR'!$T$15*1000000))/('Densidade do AR'!$S$14*1000000))))))</f>
        <v>-</v>
      </c>
      <c r="ES115" s="785"/>
      <c r="ET115" s="785"/>
      <c r="EU115" s="791"/>
      <c r="EV115" s="91" t="str">
        <f t="shared" si="38"/>
        <v>-</v>
      </c>
      <c r="EW115" s="794"/>
      <c r="EX115" s="795"/>
      <c r="EY115" s="784" t="str">
        <f>IF(EW115="","-",(IF(INDEX($A$5:$BP$257,MATCH(EW115,$BN$5:$BN$257,0),50)="Aço Inoxidável",('Densidade do AR'!$S$8*1000000),IF(INDEX($A$5:$BP$257,MATCH(EW115,$BN$5:$BN$257,0),50)="Ferro Fundido",('Densidade do AR'!$S$12*1000000),IF(INDEX($A$5:$BP$257,MATCH(EW115,$BN$5:$BN$257,0),50)="Latão",('Densidade do AR'!$S$10*1000000),IF(INDEX($A$5:$BP$257,MATCH(EW115,$BN$5:$BN$257,0),50)="Alumínio",('Densidade do AR'!$S$4*1000000)))))))</f>
        <v>-</v>
      </c>
      <c r="EZ115" s="785"/>
      <c r="FA115" s="785"/>
      <c r="FB115" s="786"/>
      <c r="FC115" s="787" t="str">
        <f t="shared" si="39"/>
        <v>-</v>
      </c>
      <c r="FD115" s="788"/>
      <c r="FE115" s="788"/>
      <c r="FF115" s="789"/>
      <c r="FG115" s="787" t="str">
        <f t="shared" si="28"/>
        <v>-</v>
      </c>
      <c r="FH115" s="788"/>
      <c r="FI115" s="788"/>
      <c r="FJ115" s="789"/>
      <c r="FK115" s="790" t="str">
        <f t="shared" si="40"/>
        <v>-</v>
      </c>
      <c r="FL115" s="785"/>
      <c r="FM115" s="785"/>
      <c r="FN115" s="786"/>
      <c r="FO115" s="790" t="str">
        <f t="shared" si="29"/>
        <v>-</v>
      </c>
      <c r="FP115" s="785"/>
      <c r="FQ115" s="785"/>
      <c r="FR115" s="786"/>
      <c r="FS115" s="790" t="str">
        <f>IF(EW115="","-",INDEX($A$5:$BP$257,MATCH(EW115,$BN$5:$BN$257,0),39)*(IF(EW115="","-",(1+(((-('Densidade do AR'!$M$4))+('Densidade do AR'!$T$15*1000000))/(IF(INDEX($A$5:$BP$257,MATCH(EW115,$BN$5:$BN$257,0),50)="Aço Inoxidável",('Densidade do AR'!$S$8*1000000),IF(INDEX($A$5:$BP$257,MATCH(EW115,$BN$5:$BN$257,0),50)="Ferro Fundido",('Densidade do AR'!$S$12*1000000),IF(INDEX($A$5:$BP$257,MATCH(EW115,$BN$5:$BN$257,0),50)="Latão",('Densidade do AR'!$S$10*1000000),IF(INDEX($A$5:$BP$257,MATCH(EW115,$BN$5:$BN$257,0),50)="Alumínio",('Densidade do AR'!$S$4*1000000)))))))-(((-('Densidade do AR'!$M$4))+('Densidade do AR'!$T$15*1000000))/('Densidade do AR'!$S$14*1000000))))))</f>
        <v>-</v>
      </c>
      <c r="FT115" s="785"/>
      <c r="FU115" s="785"/>
      <c r="FV115" s="791"/>
      <c r="FW115" s="91" t="str">
        <f t="shared" si="41"/>
        <v>-</v>
      </c>
      <c r="FX115" s="135"/>
    </row>
    <row r="116" spans="1:180" ht="12.75" customHeight="1" x14ac:dyDescent="0.2">
      <c r="A116" s="718">
        <v>112</v>
      </c>
      <c r="B116" s="713"/>
      <c r="C116" s="719"/>
      <c r="D116" s="709"/>
      <c r="E116" s="709"/>
      <c r="F116" s="709"/>
      <c r="G116" s="710"/>
      <c r="H116" s="720"/>
      <c r="I116" s="712"/>
      <c r="J116" s="712"/>
      <c r="K116" s="713"/>
      <c r="L116" s="719"/>
      <c r="M116" s="709"/>
      <c r="N116" s="709"/>
      <c r="O116" s="709"/>
      <c r="P116" s="719"/>
      <c r="Q116" s="709"/>
      <c r="R116" s="709"/>
      <c r="S116" s="709"/>
      <c r="T116" s="710"/>
      <c r="U116" s="721"/>
      <c r="V116" s="722"/>
      <c r="W116" s="722"/>
      <c r="X116" s="722"/>
      <c r="Y116" s="722"/>
      <c r="Z116" s="722"/>
      <c r="AA116" s="723"/>
      <c r="AB116" s="853"/>
      <c r="AC116" s="854"/>
      <c r="AD116" s="854"/>
      <c r="AE116" s="854"/>
      <c r="AF116" s="854"/>
      <c r="AG116" s="854"/>
      <c r="AH116" s="854"/>
      <c r="AI116" s="854"/>
      <c r="AJ116" s="854"/>
      <c r="AK116" s="854"/>
      <c r="AL116" s="855"/>
      <c r="AM116" s="909"/>
      <c r="AN116" s="712"/>
      <c r="AO116" s="712"/>
      <c r="AP116" s="712"/>
      <c r="AQ116" s="712"/>
      <c r="AR116" s="712"/>
      <c r="AS116" s="713"/>
      <c r="AT116" s="909"/>
      <c r="AU116" s="712"/>
      <c r="AV116" s="712"/>
      <c r="AW116" s="713"/>
      <c r="AX116" s="908"/>
      <c r="AY116" s="712"/>
      <c r="AZ116" s="712"/>
      <c r="BA116" s="712"/>
      <c r="BB116" s="712"/>
      <c r="BC116" s="713"/>
      <c r="BD116" s="909"/>
      <c r="BE116" s="712"/>
      <c r="BF116" s="712"/>
      <c r="BG116" s="713"/>
      <c r="BH116" s="908"/>
      <c r="BI116" s="712"/>
      <c r="BJ116" s="712"/>
      <c r="BK116" s="712"/>
      <c r="BL116" s="910"/>
      <c r="BN116" s="881"/>
      <c r="BO116" s="882"/>
      <c r="BP116" s="883"/>
      <c r="BT116" s="792"/>
      <c r="BU116" s="793"/>
      <c r="BV116" s="738" t="str">
        <f>IF(BT116="","-",(IF(INDEX($A$5:$BP$257,MATCH(BT116,$BN$5:$BN$257,0),50)="Aço Inoxidável",('Densidade do AR'!$S$8*1000000),IF(INDEX($A$5:$BP$257,MATCH(BT116,$BN$5:$BN$257,0),50)="Ferro Fundido",('Densidade do AR'!$S$12*1000000),IF(INDEX($A$5:$BP$257,MATCH(BT116,$BN$5:$BN$257,0),50)="Latão",('Densidade do AR'!$S$10*1000000),IF(INDEX($A$5:$BP$257,MATCH(BT116,$BN$5:$BN$257,0),50)="Alumínio",('Densidade do AR'!$S$4*1000000)))))))</f>
        <v>-</v>
      </c>
      <c r="BW116" s="739"/>
      <c r="BX116" s="739"/>
      <c r="BY116" s="740"/>
      <c r="BZ116" s="741" t="str">
        <f t="shared" si="30"/>
        <v>-</v>
      </c>
      <c r="CA116" s="742"/>
      <c r="CB116" s="742"/>
      <c r="CC116" s="743"/>
      <c r="CD116" s="741" t="str">
        <f t="shared" si="22"/>
        <v>-</v>
      </c>
      <c r="CE116" s="742"/>
      <c r="CF116" s="742"/>
      <c r="CG116" s="743"/>
      <c r="CH116" s="744" t="str">
        <f t="shared" si="31"/>
        <v>-</v>
      </c>
      <c r="CI116" s="739"/>
      <c r="CJ116" s="739"/>
      <c r="CK116" s="740"/>
      <c r="CL116" s="744" t="str">
        <f t="shared" si="23"/>
        <v>-</v>
      </c>
      <c r="CM116" s="739"/>
      <c r="CN116" s="739"/>
      <c r="CO116" s="740"/>
      <c r="CP116" s="744" t="str">
        <f>IF(BT116="","-",INDEX($A$5:$BP$257,MATCH(BT116,$BN$5:$BN$257,0),39)*(IF(BT116="","-",(1+(((-('Densidade do AR'!$M$4))+('Densidade do AR'!$T$15*1000000))/(IF(INDEX($A$5:$BP$257,MATCH(BT116,$BN$5:$BN$257,0),50)="Aço Inoxidável",('Densidade do AR'!$S$8*1000000),IF(INDEX($A$5:$BP$257,MATCH(BT116,$BN$5:$BN$257,0),50)="Ferro Fundido",('Densidade do AR'!$S$12*1000000),IF(INDEX($A$5:$BP$257,MATCH(BT116,$BN$5:$BN$257,0),50)="Latão",('Densidade do AR'!$S$10*1000000),IF(INDEX($A$5:$BP$257,MATCH(BT116,$BN$5:$BN$257,0),50)="Alumínio",('Densidade do AR'!$S$4*1000000)))))))-(((-('Densidade do AR'!$M$4))+('Densidade do AR'!$T$15*1000000))/('Densidade do AR'!$S$14*1000000))))))</f>
        <v>-</v>
      </c>
      <c r="CQ116" s="739"/>
      <c r="CR116" s="739"/>
      <c r="CS116" s="745"/>
      <c r="CT116" s="91" t="str">
        <f t="shared" si="32"/>
        <v>-</v>
      </c>
      <c r="CU116" s="792"/>
      <c r="CV116" s="793"/>
      <c r="CW116" s="738" t="str">
        <f>IF(CU116="","-",(IF(INDEX($A$5:$BP$257,MATCH(CU116,$BN$5:$BN$257,0),50)="Aço Inoxidável",('Densidade do AR'!$S$8*1000000),IF(INDEX($A$5:$BP$257,MATCH(CU116,$BN$5:$BN$257,0),50)="Ferro Fundido",('Densidade do AR'!$S$12*1000000),IF(INDEX($A$5:$BP$257,MATCH(CU116,$BN$5:$BN$257,0),50)="Latão",('Densidade do AR'!$S$10*1000000),IF(INDEX($A$5:$BP$257,MATCH(CU116,$BN$5:$BN$257,0),50)="Alumínio",('Densidade do AR'!$S$4*1000000)))))))</f>
        <v>-</v>
      </c>
      <c r="CX116" s="739"/>
      <c r="CY116" s="739"/>
      <c r="CZ116" s="740"/>
      <c r="DA116" s="741" t="str">
        <f t="shared" si="33"/>
        <v>-</v>
      </c>
      <c r="DB116" s="742"/>
      <c r="DC116" s="742"/>
      <c r="DD116" s="743"/>
      <c r="DE116" s="741" t="str">
        <f t="shared" si="24"/>
        <v>-</v>
      </c>
      <c r="DF116" s="742"/>
      <c r="DG116" s="742"/>
      <c r="DH116" s="743"/>
      <c r="DI116" s="744" t="str">
        <f t="shared" si="34"/>
        <v>-</v>
      </c>
      <c r="DJ116" s="739"/>
      <c r="DK116" s="739"/>
      <c r="DL116" s="740"/>
      <c r="DM116" s="744" t="str">
        <f t="shared" si="25"/>
        <v>-</v>
      </c>
      <c r="DN116" s="739"/>
      <c r="DO116" s="739"/>
      <c r="DP116" s="740"/>
      <c r="DQ116" s="744" t="str">
        <f>IF(CU116="","-",INDEX($A$5:$BP$257,MATCH(CU116,$BN$5:$BN$257,0),39)*(IF(CU116="","-",(1+(((-('Densidade do AR'!$M$4))+('Densidade do AR'!$T$15*1000000))/(IF(INDEX($A$5:$BP$257,MATCH(CU116,$BN$5:$BN$257,0),50)="Aço Inoxidável",('Densidade do AR'!$S$8*1000000),IF(INDEX($A$5:$BP$257,MATCH(CU116,$BN$5:$BN$257,0),50)="Ferro Fundido",('Densidade do AR'!$S$12*1000000),IF(INDEX($A$5:$BP$257,MATCH(CU116,$BN$5:$BN$257,0),50)="Latão",('Densidade do AR'!$S$10*1000000),IF(INDEX($A$5:$BP$257,MATCH(CU116,$BN$5:$BN$257,0),50)="Alumínio",('Densidade do AR'!$S$4*1000000)))))))-(((-('Densidade do AR'!$M$4))+('Densidade do AR'!$T$15*1000000))/('Densidade do AR'!$S$14*1000000))))))</f>
        <v>-</v>
      </c>
      <c r="DR116" s="739"/>
      <c r="DS116" s="739"/>
      <c r="DT116" s="745"/>
      <c r="DU116" s="91" t="str">
        <f t="shared" si="35"/>
        <v>-</v>
      </c>
      <c r="DV116" s="792"/>
      <c r="DW116" s="793"/>
      <c r="DX116" s="738" t="str">
        <f>IF(DV116="","-",(IF(INDEX($A$5:$BP$257,MATCH(DV116,$BN$5:$BN$257,0),50)="Aço Inoxidável",('Densidade do AR'!$S$8*1000000),IF(INDEX($A$5:$BP$257,MATCH(DV116,$BN$5:$BN$257,0),50)="Ferro Fundido",('Densidade do AR'!$S$12*1000000),IF(INDEX($A$5:$BP$257,MATCH(DV116,$BN$5:$BN$257,0),50)="Latão",('Densidade do AR'!$S$10*1000000),IF(INDEX($A$5:$BP$257,MATCH(DV116,$BN$5:$BN$257,0),50)="Alumínio",('Densidade do AR'!$S$4*1000000)))))))</f>
        <v>-</v>
      </c>
      <c r="DY116" s="739"/>
      <c r="DZ116" s="739"/>
      <c r="EA116" s="740"/>
      <c r="EB116" s="741" t="str">
        <f t="shared" si="36"/>
        <v>-</v>
      </c>
      <c r="EC116" s="742"/>
      <c r="ED116" s="742"/>
      <c r="EE116" s="743"/>
      <c r="EF116" s="741" t="str">
        <f t="shared" si="26"/>
        <v>-</v>
      </c>
      <c r="EG116" s="742"/>
      <c r="EH116" s="742"/>
      <c r="EI116" s="743"/>
      <c r="EJ116" s="744" t="str">
        <f t="shared" si="37"/>
        <v>-</v>
      </c>
      <c r="EK116" s="739"/>
      <c r="EL116" s="739"/>
      <c r="EM116" s="740"/>
      <c r="EN116" s="744" t="str">
        <f t="shared" si="27"/>
        <v>-</v>
      </c>
      <c r="EO116" s="739"/>
      <c r="EP116" s="739"/>
      <c r="EQ116" s="740"/>
      <c r="ER116" s="744" t="str">
        <f>IF(DV116="","-",INDEX($A$5:$BP$257,MATCH(DV116,$BN$5:$BN$257,0),39)*(IF(DV116="","-",(1+(((-('Densidade do AR'!$M$4))+('Densidade do AR'!$T$15*1000000))/(IF(INDEX($A$5:$BP$257,MATCH(DV116,$BN$5:$BN$257,0),50)="Aço Inoxidável",('Densidade do AR'!$S$8*1000000),IF(INDEX($A$5:$BP$257,MATCH(DV116,$BN$5:$BN$257,0),50)="Ferro Fundido",('Densidade do AR'!$S$12*1000000),IF(INDEX($A$5:$BP$257,MATCH(DV116,$BN$5:$BN$257,0),50)="Latão",('Densidade do AR'!$S$10*1000000),IF(INDEX($A$5:$BP$257,MATCH(DV116,$BN$5:$BN$257,0),50)="Alumínio",('Densidade do AR'!$S$4*1000000)))))))-(((-('Densidade do AR'!$M$4))+('Densidade do AR'!$T$15*1000000))/('Densidade do AR'!$S$14*1000000))))))</f>
        <v>-</v>
      </c>
      <c r="ES116" s="739"/>
      <c r="ET116" s="739"/>
      <c r="EU116" s="745"/>
      <c r="EV116" s="91" t="str">
        <f t="shared" si="38"/>
        <v>-</v>
      </c>
      <c r="EW116" s="792"/>
      <c r="EX116" s="793"/>
      <c r="EY116" s="738" t="str">
        <f>IF(EW116="","-",(IF(INDEX($A$5:$BP$257,MATCH(EW116,$BN$5:$BN$257,0),50)="Aço Inoxidável",('Densidade do AR'!$S$8*1000000),IF(INDEX($A$5:$BP$257,MATCH(EW116,$BN$5:$BN$257,0),50)="Ferro Fundido",('Densidade do AR'!$S$12*1000000),IF(INDEX($A$5:$BP$257,MATCH(EW116,$BN$5:$BN$257,0),50)="Latão",('Densidade do AR'!$S$10*1000000),IF(INDEX($A$5:$BP$257,MATCH(EW116,$BN$5:$BN$257,0),50)="Alumínio",('Densidade do AR'!$S$4*1000000)))))))</f>
        <v>-</v>
      </c>
      <c r="EZ116" s="739"/>
      <c r="FA116" s="739"/>
      <c r="FB116" s="740"/>
      <c r="FC116" s="741" t="str">
        <f t="shared" si="39"/>
        <v>-</v>
      </c>
      <c r="FD116" s="742"/>
      <c r="FE116" s="742"/>
      <c r="FF116" s="743"/>
      <c r="FG116" s="741" t="str">
        <f t="shared" si="28"/>
        <v>-</v>
      </c>
      <c r="FH116" s="742"/>
      <c r="FI116" s="742"/>
      <c r="FJ116" s="743"/>
      <c r="FK116" s="744" t="str">
        <f t="shared" si="40"/>
        <v>-</v>
      </c>
      <c r="FL116" s="739"/>
      <c r="FM116" s="739"/>
      <c r="FN116" s="740"/>
      <c r="FO116" s="744" t="str">
        <f t="shared" si="29"/>
        <v>-</v>
      </c>
      <c r="FP116" s="739"/>
      <c r="FQ116" s="739"/>
      <c r="FR116" s="740"/>
      <c r="FS116" s="744" t="str">
        <f>IF(EW116="","-",INDEX($A$5:$BP$257,MATCH(EW116,$BN$5:$BN$257,0),39)*(IF(EW116="","-",(1+(((-('Densidade do AR'!$M$4))+('Densidade do AR'!$T$15*1000000))/(IF(INDEX($A$5:$BP$257,MATCH(EW116,$BN$5:$BN$257,0),50)="Aço Inoxidável",('Densidade do AR'!$S$8*1000000),IF(INDEX($A$5:$BP$257,MATCH(EW116,$BN$5:$BN$257,0),50)="Ferro Fundido",('Densidade do AR'!$S$12*1000000),IF(INDEX($A$5:$BP$257,MATCH(EW116,$BN$5:$BN$257,0),50)="Latão",('Densidade do AR'!$S$10*1000000),IF(INDEX($A$5:$BP$257,MATCH(EW116,$BN$5:$BN$257,0),50)="Alumínio",('Densidade do AR'!$S$4*1000000)))))))-(((-('Densidade do AR'!$M$4))+('Densidade do AR'!$T$15*1000000))/('Densidade do AR'!$S$14*1000000))))))</f>
        <v>-</v>
      </c>
      <c r="FT116" s="739"/>
      <c r="FU116" s="739"/>
      <c r="FV116" s="745"/>
      <c r="FW116" s="91" t="str">
        <f t="shared" si="41"/>
        <v>-</v>
      </c>
      <c r="FX116" s="135"/>
    </row>
    <row r="117" spans="1:180" ht="12.75" customHeight="1" x14ac:dyDescent="0.2">
      <c r="A117" s="717">
        <v>113</v>
      </c>
      <c r="B117" s="713"/>
      <c r="C117" s="708"/>
      <c r="D117" s="709"/>
      <c r="E117" s="709"/>
      <c r="F117" s="709"/>
      <c r="G117" s="710"/>
      <c r="H117" s="711"/>
      <c r="I117" s="712"/>
      <c r="J117" s="712"/>
      <c r="K117" s="713"/>
      <c r="L117" s="708"/>
      <c r="M117" s="709"/>
      <c r="N117" s="709"/>
      <c r="O117" s="709"/>
      <c r="P117" s="708"/>
      <c r="Q117" s="709"/>
      <c r="R117" s="709"/>
      <c r="S117" s="709"/>
      <c r="T117" s="710"/>
      <c r="U117" s="714"/>
      <c r="V117" s="715"/>
      <c r="W117" s="715"/>
      <c r="X117" s="715"/>
      <c r="Y117" s="715"/>
      <c r="Z117" s="715"/>
      <c r="AA117" s="716"/>
      <c r="AB117" s="850"/>
      <c r="AC117" s="851"/>
      <c r="AD117" s="851"/>
      <c r="AE117" s="851"/>
      <c r="AF117" s="851"/>
      <c r="AG117" s="851"/>
      <c r="AH117" s="851"/>
      <c r="AI117" s="851"/>
      <c r="AJ117" s="851"/>
      <c r="AK117" s="851"/>
      <c r="AL117" s="852"/>
      <c r="AM117" s="917"/>
      <c r="AN117" s="712"/>
      <c r="AO117" s="712"/>
      <c r="AP117" s="712"/>
      <c r="AQ117" s="712"/>
      <c r="AR117" s="712"/>
      <c r="AS117" s="713"/>
      <c r="AT117" s="917"/>
      <c r="AU117" s="712"/>
      <c r="AV117" s="712"/>
      <c r="AW117" s="713"/>
      <c r="AX117" s="917"/>
      <c r="AY117" s="712"/>
      <c r="AZ117" s="712"/>
      <c r="BA117" s="712"/>
      <c r="BB117" s="712"/>
      <c r="BC117" s="713"/>
      <c r="BD117" s="917"/>
      <c r="BE117" s="712"/>
      <c r="BF117" s="712"/>
      <c r="BG117" s="713"/>
      <c r="BH117" s="918"/>
      <c r="BI117" s="712"/>
      <c r="BJ117" s="712"/>
      <c r="BK117" s="712"/>
      <c r="BL117" s="910"/>
      <c r="BN117" s="878"/>
      <c r="BO117" s="879"/>
      <c r="BP117" s="880"/>
      <c r="BT117" s="794"/>
      <c r="BU117" s="795"/>
      <c r="BV117" s="784" t="str">
        <f>IF(BT117="","-",(IF(INDEX($A$5:$BP$257,MATCH(BT117,$BN$5:$BN$257,0),50)="Aço Inoxidável",('Densidade do AR'!$S$8*1000000),IF(INDEX($A$5:$BP$257,MATCH(BT117,$BN$5:$BN$257,0),50)="Ferro Fundido",('Densidade do AR'!$S$12*1000000),IF(INDEX($A$5:$BP$257,MATCH(BT117,$BN$5:$BN$257,0),50)="Latão",('Densidade do AR'!$S$10*1000000),IF(INDEX($A$5:$BP$257,MATCH(BT117,$BN$5:$BN$257,0),50)="Alumínio",('Densidade do AR'!$S$4*1000000)))))))</f>
        <v>-</v>
      </c>
      <c r="BW117" s="785"/>
      <c r="BX117" s="785"/>
      <c r="BY117" s="786"/>
      <c r="BZ117" s="787" t="str">
        <f t="shared" si="30"/>
        <v>-</v>
      </c>
      <c r="CA117" s="788"/>
      <c r="CB117" s="788"/>
      <c r="CC117" s="789"/>
      <c r="CD117" s="787" t="str">
        <f t="shared" si="22"/>
        <v>-</v>
      </c>
      <c r="CE117" s="788"/>
      <c r="CF117" s="788"/>
      <c r="CG117" s="789"/>
      <c r="CH117" s="790" t="str">
        <f t="shared" si="31"/>
        <v>-</v>
      </c>
      <c r="CI117" s="785"/>
      <c r="CJ117" s="785"/>
      <c r="CK117" s="786"/>
      <c r="CL117" s="790" t="str">
        <f t="shared" si="23"/>
        <v>-</v>
      </c>
      <c r="CM117" s="785"/>
      <c r="CN117" s="785"/>
      <c r="CO117" s="786"/>
      <c r="CP117" s="790" t="str">
        <f>IF(BT117="","-",INDEX($A$5:$BP$257,MATCH(BT117,$BN$5:$BN$257,0),39)*(IF(BT117="","-",(1+(((-('Densidade do AR'!$M$4))+('Densidade do AR'!$T$15*1000000))/(IF(INDEX($A$5:$BP$257,MATCH(BT117,$BN$5:$BN$257,0),50)="Aço Inoxidável",('Densidade do AR'!$S$8*1000000),IF(INDEX($A$5:$BP$257,MATCH(BT117,$BN$5:$BN$257,0),50)="Ferro Fundido",('Densidade do AR'!$S$12*1000000),IF(INDEX($A$5:$BP$257,MATCH(BT117,$BN$5:$BN$257,0),50)="Latão",('Densidade do AR'!$S$10*1000000),IF(INDEX($A$5:$BP$257,MATCH(BT117,$BN$5:$BN$257,0),50)="Alumínio",('Densidade do AR'!$S$4*1000000)))))))-(((-('Densidade do AR'!$M$4))+('Densidade do AR'!$T$15*1000000))/('Densidade do AR'!$S$14*1000000))))))</f>
        <v>-</v>
      </c>
      <c r="CQ117" s="785"/>
      <c r="CR117" s="785"/>
      <c r="CS117" s="791"/>
      <c r="CT117" s="91" t="str">
        <f t="shared" si="32"/>
        <v>-</v>
      </c>
      <c r="CU117" s="794"/>
      <c r="CV117" s="795"/>
      <c r="CW117" s="784" t="str">
        <f>IF(CU117="","-",(IF(INDEX($A$5:$BP$257,MATCH(CU117,$BN$5:$BN$257,0),50)="Aço Inoxidável",('Densidade do AR'!$S$8*1000000),IF(INDEX($A$5:$BP$257,MATCH(CU117,$BN$5:$BN$257,0),50)="Ferro Fundido",('Densidade do AR'!$S$12*1000000),IF(INDEX($A$5:$BP$257,MATCH(CU117,$BN$5:$BN$257,0),50)="Latão",('Densidade do AR'!$S$10*1000000),IF(INDEX($A$5:$BP$257,MATCH(CU117,$BN$5:$BN$257,0),50)="Alumínio",('Densidade do AR'!$S$4*1000000)))))))</f>
        <v>-</v>
      </c>
      <c r="CX117" s="785"/>
      <c r="CY117" s="785"/>
      <c r="CZ117" s="786"/>
      <c r="DA117" s="787" t="str">
        <f t="shared" si="33"/>
        <v>-</v>
      </c>
      <c r="DB117" s="788"/>
      <c r="DC117" s="788"/>
      <c r="DD117" s="789"/>
      <c r="DE117" s="787" t="str">
        <f t="shared" si="24"/>
        <v>-</v>
      </c>
      <c r="DF117" s="788"/>
      <c r="DG117" s="788"/>
      <c r="DH117" s="789"/>
      <c r="DI117" s="790" t="str">
        <f t="shared" si="34"/>
        <v>-</v>
      </c>
      <c r="DJ117" s="785"/>
      <c r="DK117" s="785"/>
      <c r="DL117" s="786"/>
      <c r="DM117" s="790" t="str">
        <f t="shared" si="25"/>
        <v>-</v>
      </c>
      <c r="DN117" s="785"/>
      <c r="DO117" s="785"/>
      <c r="DP117" s="786"/>
      <c r="DQ117" s="790" t="str">
        <f>IF(CU117="","-",INDEX($A$5:$BP$257,MATCH(CU117,$BN$5:$BN$257,0),39)*(IF(CU117="","-",(1+(((-('Densidade do AR'!$M$4))+('Densidade do AR'!$T$15*1000000))/(IF(INDEX($A$5:$BP$257,MATCH(CU117,$BN$5:$BN$257,0),50)="Aço Inoxidável",('Densidade do AR'!$S$8*1000000),IF(INDEX($A$5:$BP$257,MATCH(CU117,$BN$5:$BN$257,0),50)="Ferro Fundido",('Densidade do AR'!$S$12*1000000),IF(INDEX($A$5:$BP$257,MATCH(CU117,$BN$5:$BN$257,0),50)="Latão",('Densidade do AR'!$S$10*1000000),IF(INDEX($A$5:$BP$257,MATCH(CU117,$BN$5:$BN$257,0),50)="Alumínio",('Densidade do AR'!$S$4*1000000)))))))-(((-('Densidade do AR'!$M$4))+('Densidade do AR'!$T$15*1000000))/('Densidade do AR'!$S$14*1000000))))))</f>
        <v>-</v>
      </c>
      <c r="DR117" s="785"/>
      <c r="DS117" s="785"/>
      <c r="DT117" s="791"/>
      <c r="DU117" s="91" t="str">
        <f t="shared" si="35"/>
        <v>-</v>
      </c>
      <c r="DV117" s="794"/>
      <c r="DW117" s="795"/>
      <c r="DX117" s="784" t="str">
        <f>IF(DV117="","-",(IF(INDEX($A$5:$BP$257,MATCH(DV117,$BN$5:$BN$257,0),50)="Aço Inoxidável",('Densidade do AR'!$S$8*1000000),IF(INDEX($A$5:$BP$257,MATCH(DV117,$BN$5:$BN$257,0),50)="Ferro Fundido",('Densidade do AR'!$S$12*1000000),IF(INDEX($A$5:$BP$257,MATCH(DV117,$BN$5:$BN$257,0),50)="Latão",('Densidade do AR'!$S$10*1000000),IF(INDEX($A$5:$BP$257,MATCH(DV117,$BN$5:$BN$257,0),50)="Alumínio",('Densidade do AR'!$S$4*1000000)))))))</f>
        <v>-</v>
      </c>
      <c r="DY117" s="785"/>
      <c r="DZ117" s="785"/>
      <c r="EA117" s="786"/>
      <c r="EB117" s="787" t="str">
        <f t="shared" si="36"/>
        <v>-</v>
      </c>
      <c r="EC117" s="788"/>
      <c r="ED117" s="788"/>
      <c r="EE117" s="789"/>
      <c r="EF117" s="787" t="str">
        <f t="shared" si="26"/>
        <v>-</v>
      </c>
      <c r="EG117" s="788"/>
      <c r="EH117" s="788"/>
      <c r="EI117" s="789"/>
      <c r="EJ117" s="790" t="str">
        <f t="shared" si="37"/>
        <v>-</v>
      </c>
      <c r="EK117" s="785"/>
      <c r="EL117" s="785"/>
      <c r="EM117" s="786"/>
      <c r="EN117" s="790" t="str">
        <f t="shared" si="27"/>
        <v>-</v>
      </c>
      <c r="EO117" s="785"/>
      <c r="EP117" s="785"/>
      <c r="EQ117" s="786"/>
      <c r="ER117" s="790" t="str">
        <f>IF(DV117="","-",INDEX($A$5:$BP$257,MATCH(DV117,$BN$5:$BN$257,0),39)*(IF(DV117="","-",(1+(((-('Densidade do AR'!$M$4))+('Densidade do AR'!$T$15*1000000))/(IF(INDEX($A$5:$BP$257,MATCH(DV117,$BN$5:$BN$257,0),50)="Aço Inoxidável",('Densidade do AR'!$S$8*1000000),IF(INDEX($A$5:$BP$257,MATCH(DV117,$BN$5:$BN$257,0),50)="Ferro Fundido",('Densidade do AR'!$S$12*1000000),IF(INDEX($A$5:$BP$257,MATCH(DV117,$BN$5:$BN$257,0),50)="Latão",('Densidade do AR'!$S$10*1000000),IF(INDEX($A$5:$BP$257,MATCH(DV117,$BN$5:$BN$257,0),50)="Alumínio",('Densidade do AR'!$S$4*1000000)))))))-(((-('Densidade do AR'!$M$4))+('Densidade do AR'!$T$15*1000000))/('Densidade do AR'!$S$14*1000000))))))</f>
        <v>-</v>
      </c>
      <c r="ES117" s="785"/>
      <c r="ET117" s="785"/>
      <c r="EU117" s="791"/>
      <c r="EV117" s="91" t="str">
        <f t="shared" si="38"/>
        <v>-</v>
      </c>
      <c r="EW117" s="794"/>
      <c r="EX117" s="795"/>
      <c r="EY117" s="784" t="str">
        <f>IF(EW117="","-",(IF(INDEX($A$5:$BP$257,MATCH(EW117,$BN$5:$BN$257,0),50)="Aço Inoxidável",('Densidade do AR'!$S$8*1000000),IF(INDEX($A$5:$BP$257,MATCH(EW117,$BN$5:$BN$257,0),50)="Ferro Fundido",('Densidade do AR'!$S$12*1000000),IF(INDEX($A$5:$BP$257,MATCH(EW117,$BN$5:$BN$257,0),50)="Latão",('Densidade do AR'!$S$10*1000000),IF(INDEX($A$5:$BP$257,MATCH(EW117,$BN$5:$BN$257,0),50)="Alumínio",('Densidade do AR'!$S$4*1000000)))))))</f>
        <v>-</v>
      </c>
      <c r="EZ117" s="785"/>
      <c r="FA117" s="785"/>
      <c r="FB117" s="786"/>
      <c r="FC117" s="787" t="str">
        <f t="shared" si="39"/>
        <v>-</v>
      </c>
      <c r="FD117" s="788"/>
      <c r="FE117" s="788"/>
      <c r="FF117" s="789"/>
      <c r="FG117" s="787" t="str">
        <f t="shared" si="28"/>
        <v>-</v>
      </c>
      <c r="FH117" s="788"/>
      <c r="FI117" s="788"/>
      <c r="FJ117" s="789"/>
      <c r="FK117" s="790" t="str">
        <f t="shared" si="40"/>
        <v>-</v>
      </c>
      <c r="FL117" s="785"/>
      <c r="FM117" s="785"/>
      <c r="FN117" s="786"/>
      <c r="FO117" s="790" t="str">
        <f t="shared" si="29"/>
        <v>-</v>
      </c>
      <c r="FP117" s="785"/>
      <c r="FQ117" s="785"/>
      <c r="FR117" s="786"/>
      <c r="FS117" s="790" t="str">
        <f>IF(EW117="","-",INDEX($A$5:$BP$257,MATCH(EW117,$BN$5:$BN$257,0),39)*(IF(EW117="","-",(1+(((-('Densidade do AR'!$M$4))+('Densidade do AR'!$T$15*1000000))/(IF(INDEX($A$5:$BP$257,MATCH(EW117,$BN$5:$BN$257,0),50)="Aço Inoxidável",('Densidade do AR'!$S$8*1000000),IF(INDEX($A$5:$BP$257,MATCH(EW117,$BN$5:$BN$257,0),50)="Ferro Fundido",('Densidade do AR'!$S$12*1000000),IF(INDEX($A$5:$BP$257,MATCH(EW117,$BN$5:$BN$257,0),50)="Latão",('Densidade do AR'!$S$10*1000000),IF(INDEX($A$5:$BP$257,MATCH(EW117,$BN$5:$BN$257,0),50)="Alumínio",('Densidade do AR'!$S$4*1000000)))))))-(((-('Densidade do AR'!$M$4))+('Densidade do AR'!$T$15*1000000))/('Densidade do AR'!$S$14*1000000))))))</f>
        <v>-</v>
      </c>
      <c r="FT117" s="785"/>
      <c r="FU117" s="785"/>
      <c r="FV117" s="791"/>
      <c r="FW117" s="91" t="str">
        <f t="shared" si="41"/>
        <v>-</v>
      </c>
      <c r="FX117" s="135"/>
    </row>
    <row r="118" spans="1:180" ht="12.75" customHeight="1" x14ac:dyDescent="0.2">
      <c r="A118" s="718">
        <v>114</v>
      </c>
      <c r="B118" s="713"/>
      <c r="C118" s="719"/>
      <c r="D118" s="709"/>
      <c r="E118" s="709"/>
      <c r="F118" s="709"/>
      <c r="G118" s="710"/>
      <c r="H118" s="720"/>
      <c r="I118" s="712"/>
      <c r="J118" s="712"/>
      <c r="K118" s="713"/>
      <c r="L118" s="719"/>
      <c r="M118" s="709"/>
      <c r="N118" s="709"/>
      <c r="O118" s="709"/>
      <c r="P118" s="719"/>
      <c r="Q118" s="709"/>
      <c r="R118" s="709"/>
      <c r="S118" s="709"/>
      <c r="T118" s="710"/>
      <c r="U118" s="721"/>
      <c r="V118" s="722"/>
      <c r="W118" s="722"/>
      <c r="X118" s="722"/>
      <c r="Y118" s="722"/>
      <c r="Z118" s="722"/>
      <c r="AA118" s="723"/>
      <c r="AB118" s="853"/>
      <c r="AC118" s="854"/>
      <c r="AD118" s="854"/>
      <c r="AE118" s="854"/>
      <c r="AF118" s="854"/>
      <c r="AG118" s="854"/>
      <c r="AH118" s="854"/>
      <c r="AI118" s="854"/>
      <c r="AJ118" s="854"/>
      <c r="AK118" s="854"/>
      <c r="AL118" s="855"/>
      <c r="AM118" s="909"/>
      <c r="AN118" s="712"/>
      <c r="AO118" s="712"/>
      <c r="AP118" s="712"/>
      <c r="AQ118" s="712"/>
      <c r="AR118" s="712"/>
      <c r="AS118" s="713"/>
      <c r="AT118" s="909"/>
      <c r="AU118" s="712"/>
      <c r="AV118" s="712"/>
      <c r="AW118" s="713"/>
      <c r="AX118" s="908"/>
      <c r="AY118" s="712"/>
      <c r="AZ118" s="712"/>
      <c r="BA118" s="712"/>
      <c r="BB118" s="712"/>
      <c r="BC118" s="713"/>
      <c r="BD118" s="909"/>
      <c r="BE118" s="712"/>
      <c r="BF118" s="712"/>
      <c r="BG118" s="713"/>
      <c r="BH118" s="908"/>
      <c r="BI118" s="712"/>
      <c r="BJ118" s="712"/>
      <c r="BK118" s="712"/>
      <c r="BL118" s="910"/>
      <c r="BN118" s="881"/>
      <c r="BO118" s="882"/>
      <c r="BP118" s="883"/>
      <c r="BT118" s="792"/>
      <c r="BU118" s="793"/>
      <c r="BV118" s="738" t="str">
        <f>IF(BT118="","-",(IF(INDEX($A$5:$BP$257,MATCH(BT118,$BN$5:$BN$257,0),50)="Aço Inoxidável",('Densidade do AR'!$S$8*1000000),IF(INDEX($A$5:$BP$257,MATCH(BT118,$BN$5:$BN$257,0),50)="Ferro Fundido",('Densidade do AR'!$S$12*1000000),IF(INDEX($A$5:$BP$257,MATCH(BT118,$BN$5:$BN$257,0),50)="Latão",('Densidade do AR'!$S$10*1000000),IF(INDEX($A$5:$BP$257,MATCH(BT118,$BN$5:$BN$257,0),50)="Alumínio",('Densidade do AR'!$S$4*1000000)))))))</f>
        <v>-</v>
      </c>
      <c r="BW118" s="739"/>
      <c r="BX118" s="739"/>
      <c r="BY118" s="740"/>
      <c r="BZ118" s="741" t="str">
        <f t="shared" si="30"/>
        <v>-</v>
      </c>
      <c r="CA118" s="742"/>
      <c r="CB118" s="742"/>
      <c r="CC118" s="743"/>
      <c r="CD118" s="741" t="str">
        <f t="shared" si="22"/>
        <v>-</v>
      </c>
      <c r="CE118" s="742"/>
      <c r="CF118" s="742"/>
      <c r="CG118" s="743"/>
      <c r="CH118" s="744" t="str">
        <f t="shared" si="31"/>
        <v>-</v>
      </c>
      <c r="CI118" s="739"/>
      <c r="CJ118" s="739"/>
      <c r="CK118" s="740"/>
      <c r="CL118" s="744" t="str">
        <f t="shared" si="23"/>
        <v>-</v>
      </c>
      <c r="CM118" s="739"/>
      <c r="CN118" s="739"/>
      <c r="CO118" s="740"/>
      <c r="CP118" s="744" t="str">
        <f>IF(BT118="","-",INDEX($A$5:$BP$257,MATCH(BT118,$BN$5:$BN$257,0),39)*(IF(BT118="","-",(1+(((-('Densidade do AR'!$M$4))+('Densidade do AR'!$T$15*1000000))/(IF(INDEX($A$5:$BP$257,MATCH(BT118,$BN$5:$BN$257,0),50)="Aço Inoxidável",('Densidade do AR'!$S$8*1000000),IF(INDEX($A$5:$BP$257,MATCH(BT118,$BN$5:$BN$257,0),50)="Ferro Fundido",('Densidade do AR'!$S$12*1000000),IF(INDEX($A$5:$BP$257,MATCH(BT118,$BN$5:$BN$257,0),50)="Latão",('Densidade do AR'!$S$10*1000000),IF(INDEX($A$5:$BP$257,MATCH(BT118,$BN$5:$BN$257,0),50)="Alumínio",('Densidade do AR'!$S$4*1000000)))))))-(((-('Densidade do AR'!$M$4))+('Densidade do AR'!$T$15*1000000))/('Densidade do AR'!$S$14*1000000))))))</f>
        <v>-</v>
      </c>
      <c r="CQ118" s="739"/>
      <c r="CR118" s="739"/>
      <c r="CS118" s="745"/>
      <c r="CT118" s="91" t="str">
        <f t="shared" si="32"/>
        <v>-</v>
      </c>
      <c r="CU118" s="792"/>
      <c r="CV118" s="793"/>
      <c r="CW118" s="738" t="str">
        <f>IF(CU118="","-",(IF(INDEX($A$5:$BP$257,MATCH(CU118,$BN$5:$BN$257,0),50)="Aço Inoxidável",('Densidade do AR'!$S$8*1000000),IF(INDEX($A$5:$BP$257,MATCH(CU118,$BN$5:$BN$257,0),50)="Ferro Fundido",('Densidade do AR'!$S$12*1000000),IF(INDEX($A$5:$BP$257,MATCH(CU118,$BN$5:$BN$257,0),50)="Latão",('Densidade do AR'!$S$10*1000000),IF(INDEX($A$5:$BP$257,MATCH(CU118,$BN$5:$BN$257,0),50)="Alumínio",('Densidade do AR'!$S$4*1000000)))))))</f>
        <v>-</v>
      </c>
      <c r="CX118" s="739"/>
      <c r="CY118" s="739"/>
      <c r="CZ118" s="740"/>
      <c r="DA118" s="741" t="str">
        <f t="shared" si="33"/>
        <v>-</v>
      </c>
      <c r="DB118" s="742"/>
      <c r="DC118" s="742"/>
      <c r="DD118" s="743"/>
      <c r="DE118" s="741" t="str">
        <f t="shared" si="24"/>
        <v>-</v>
      </c>
      <c r="DF118" s="742"/>
      <c r="DG118" s="742"/>
      <c r="DH118" s="743"/>
      <c r="DI118" s="744" t="str">
        <f t="shared" si="34"/>
        <v>-</v>
      </c>
      <c r="DJ118" s="739"/>
      <c r="DK118" s="739"/>
      <c r="DL118" s="740"/>
      <c r="DM118" s="744" t="str">
        <f t="shared" si="25"/>
        <v>-</v>
      </c>
      <c r="DN118" s="739"/>
      <c r="DO118" s="739"/>
      <c r="DP118" s="740"/>
      <c r="DQ118" s="744" t="str">
        <f>IF(CU118="","-",INDEX($A$5:$BP$257,MATCH(CU118,$BN$5:$BN$257,0),39)*(IF(CU118="","-",(1+(((-('Densidade do AR'!$M$4))+('Densidade do AR'!$T$15*1000000))/(IF(INDEX($A$5:$BP$257,MATCH(CU118,$BN$5:$BN$257,0),50)="Aço Inoxidável",('Densidade do AR'!$S$8*1000000),IF(INDEX($A$5:$BP$257,MATCH(CU118,$BN$5:$BN$257,0),50)="Ferro Fundido",('Densidade do AR'!$S$12*1000000),IF(INDEX($A$5:$BP$257,MATCH(CU118,$BN$5:$BN$257,0),50)="Latão",('Densidade do AR'!$S$10*1000000),IF(INDEX($A$5:$BP$257,MATCH(CU118,$BN$5:$BN$257,0),50)="Alumínio",('Densidade do AR'!$S$4*1000000)))))))-(((-('Densidade do AR'!$M$4))+('Densidade do AR'!$T$15*1000000))/('Densidade do AR'!$S$14*1000000))))))</f>
        <v>-</v>
      </c>
      <c r="DR118" s="739"/>
      <c r="DS118" s="739"/>
      <c r="DT118" s="745"/>
      <c r="DU118" s="91" t="str">
        <f t="shared" si="35"/>
        <v>-</v>
      </c>
      <c r="DV118" s="792"/>
      <c r="DW118" s="793"/>
      <c r="DX118" s="738" t="str">
        <f>IF(DV118="","-",(IF(INDEX($A$5:$BP$257,MATCH(DV118,$BN$5:$BN$257,0),50)="Aço Inoxidável",('Densidade do AR'!$S$8*1000000),IF(INDEX($A$5:$BP$257,MATCH(DV118,$BN$5:$BN$257,0),50)="Ferro Fundido",('Densidade do AR'!$S$12*1000000),IF(INDEX($A$5:$BP$257,MATCH(DV118,$BN$5:$BN$257,0),50)="Latão",('Densidade do AR'!$S$10*1000000),IF(INDEX($A$5:$BP$257,MATCH(DV118,$BN$5:$BN$257,0),50)="Alumínio",('Densidade do AR'!$S$4*1000000)))))))</f>
        <v>-</v>
      </c>
      <c r="DY118" s="739"/>
      <c r="DZ118" s="739"/>
      <c r="EA118" s="740"/>
      <c r="EB118" s="741" t="str">
        <f t="shared" si="36"/>
        <v>-</v>
      </c>
      <c r="EC118" s="742"/>
      <c r="ED118" s="742"/>
      <c r="EE118" s="743"/>
      <c r="EF118" s="741" t="str">
        <f t="shared" si="26"/>
        <v>-</v>
      </c>
      <c r="EG118" s="742"/>
      <c r="EH118" s="742"/>
      <c r="EI118" s="743"/>
      <c r="EJ118" s="744" t="str">
        <f t="shared" si="37"/>
        <v>-</v>
      </c>
      <c r="EK118" s="739"/>
      <c r="EL118" s="739"/>
      <c r="EM118" s="740"/>
      <c r="EN118" s="744" t="str">
        <f t="shared" si="27"/>
        <v>-</v>
      </c>
      <c r="EO118" s="739"/>
      <c r="EP118" s="739"/>
      <c r="EQ118" s="740"/>
      <c r="ER118" s="744" t="str">
        <f>IF(DV118="","-",INDEX($A$5:$BP$257,MATCH(DV118,$BN$5:$BN$257,0),39)*(IF(DV118="","-",(1+(((-('Densidade do AR'!$M$4))+('Densidade do AR'!$T$15*1000000))/(IF(INDEX($A$5:$BP$257,MATCH(DV118,$BN$5:$BN$257,0),50)="Aço Inoxidável",('Densidade do AR'!$S$8*1000000),IF(INDEX($A$5:$BP$257,MATCH(DV118,$BN$5:$BN$257,0),50)="Ferro Fundido",('Densidade do AR'!$S$12*1000000),IF(INDEX($A$5:$BP$257,MATCH(DV118,$BN$5:$BN$257,0),50)="Latão",('Densidade do AR'!$S$10*1000000),IF(INDEX($A$5:$BP$257,MATCH(DV118,$BN$5:$BN$257,0),50)="Alumínio",('Densidade do AR'!$S$4*1000000)))))))-(((-('Densidade do AR'!$M$4))+('Densidade do AR'!$T$15*1000000))/('Densidade do AR'!$S$14*1000000))))))</f>
        <v>-</v>
      </c>
      <c r="ES118" s="739"/>
      <c r="ET118" s="739"/>
      <c r="EU118" s="745"/>
      <c r="EV118" s="91" t="str">
        <f t="shared" si="38"/>
        <v>-</v>
      </c>
      <c r="EW118" s="792"/>
      <c r="EX118" s="793"/>
      <c r="EY118" s="738" t="str">
        <f>IF(EW118="","-",(IF(INDEX($A$5:$BP$257,MATCH(EW118,$BN$5:$BN$257,0),50)="Aço Inoxidável",('Densidade do AR'!$S$8*1000000),IF(INDEX($A$5:$BP$257,MATCH(EW118,$BN$5:$BN$257,0),50)="Ferro Fundido",('Densidade do AR'!$S$12*1000000),IF(INDEX($A$5:$BP$257,MATCH(EW118,$BN$5:$BN$257,0),50)="Latão",('Densidade do AR'!$S$10*1000000),IF(INDEX($A$5:$BP$257,MATCH(EW118,$BN$5:$BN$257,0),50)="Alumínio",('Densidade do AR'!$S$4*1000000)))))))</f>
        <v>-</v>
      </c>
      <c r="EZ118" s="739"/>
      <c r="FA118" s="739"/>
      <c r="FB118" s="740"/>
      <c r="FC118" s="741" t="str">
        <f t="shared" si="39"/>
        <v>-</v>
      </c>
      <c r="FD118" s="742"/>
      <c r="FE118" s="742"/>
      <c r="FF118" s="743"/>
      <c r="FG118" s="741" t="str">
        <f t="shared" si="28"/>
        <v>-</v>
      </c>
      <c r="FH118" s="742"/>
      <c r="FI118" s="742"/>
      <c r="FJ118" s="743"/>
      <c r="FK118" s="744" t="str">
        <f t="shared" si="40"/>
        <v>-</v>
      </c>
      <c r="FL118" s="739"/>
      <c r="FM118" s="739"/>
      <c r="FN118" s="740"/>
      <c r="FO118" s="744" t="str">
        <f t="shared" si="29"/>
        <v>-</v>
      </c>
      <c r="FP118" s="739"/>
      <c r="FQ118" s="739"/>
      <c r="FR118" s="740"/>
      <c r="FS118" s="744" t="str">
        <f>IF(EW118="","-",INDEX($A$5:$BP$257,MATCH(EW118,$BN$5:$BN$257,0),39)*(IF(EW118="","-",(1+(((-('Densidade do AR'!$M$4))+('Densidade do AR'!$T$15*1000000))/(IF(INDEX($A$5:$BP$257,MATCH(EW118,$BN$5:$BN$257,0),50)="Aço Inoxidável",('Densidade do AR'!$S$8*1000000),IF(INDEX($A$5:$BP$257,MATCH(EW118,$BN$5:$BN$257,0),50)="Ferro Fundido",('Densidade do AR'!$S$12*1000000),IF(INDEX($A$5:$BP$257,MATCH(EW118,$BN$5:$BN$257,0),50)="Latão",('Densidade do AR'!$S$10*1000000),IF(INDEX($A$5:$BP$257,MATCH(EW118,$BN$5:$BN$257,0),50)="Alumínio",('Densidade do AR'!$S$4*1000000)))))))-(((-('Densidade do AR'!$M$4))+('Densidade do AR'!$T$15*1000000))/('Densidade do AR'!$S$14*1000000))))))</f>
        <v>-</v>
      </c>
      <c r="FT118" s="739"/>
      <c r="FU118" s="739"/>
      <c r="FV118" s="745"/>
      <c r="FW118" s="91" t="str">
        <f t="shared" si="41"/>
        <v>-</v>
      </c>
      <c r="FX118" s="135"/>
    </row>
    <row r="119" spans="1:180" ht="12.75" customHeight="1" x14ac:dyDescent="0.2">
      <c r="A119" s="717">
        <v>115</v>
      </c>
      <c r="B119" s="713"/>
      <c r="C119" s="708"/>
      <c r="D119" s="709"/>
      <c r="E119" s="709"/>
      <c r="F119" s="709"/>
      <c r="G119" s="710"/>
      <c r="H119" s="711"/>
      <c r="I119" s="712"/>
      <c r="J119" s="712"/>
      <c r="K119" s="713"/>
      <c r="L119" s="708"/>
      <c r="M119" s="709"/>
      <c r="N119" s="709"/>
      <c r="O119" s="709"/>
      <c r="P119" s="708"/>
      <c r="Q119" s="709"/>
      <c r="R119" s="709"/>
      <c r="S119" s="709"/>
      <c r="T119" s="710"/>
      <c r="U119" s="714"/>
      <c r="V119" s="715"/>
      <c r="W119" s="715"/>
      <c r="X119" s="715"/>
      <c r="Y119" s="715"/>
      <c r="Z119" s="715"/>
      <c r="AA119" s="716"/>
      <c r="AB119" s="850"/>
      <c r="AC119" s="851"/>
      <c r="AD119" s="851"/>
      <c r="AE119" s="851"/>
      <c r="AF119" s="851"/>
      <c r="AG119" s="851"/>
      <c r="AH119" s="851"/>
      <c r="AI119" s="851"/>
      <c r="AJ119" s="851"/>
      <c r="AK119" s="851"/>
      <c r="AL119" s="852"/>
      <c r="AM119" s="917"/>
      <c r="AN119" s="712"/>
      <c r="AO119" s="712"/>
      <c r="AP119" s="712"/>
      <c r="AQ119" s="712"/>
      <c r="AR119" s="712"/>
      <c r="AS119" s="713"/>
      <c r="AT119" s="917"/>
      <c r="AU119" s="712"/>
      <c r="AV119" s="712"/>
      <c r="AW119" s="713"/>
      <c r="AX119" s="917"/>
      <c r="AY119" s="712"/>
      <c r="AZ119" s="712"/>
      <c r="BA119" s="712"/>
      <c r="BB119" s="712"/>
      <c r="BC119" s="713"/>
      <c r="BD119" s="917"/>
      <c r="BE119" s="712"/>
      <c r="BF119" s="712"/>
      <c r="BG119" s="713"/>
      <c r="BH119" s="918"/>
      <c r="BI119" s="712"/>
      <c r="BJ119" s="712"/>
      <c r="BK119" s="712"/>
      <c r="BL119" s="910"/>
      <c r="BN119" s="878"/>
      <c r="BO119" s="879"/>
      <c r="BP119" s="880"/>
      <c r="BT119" s="794"/>
      <c r="BU119" s="795"/>
      <c r="BV119" s="784" t="str">
        <f>IF(BT119="","-",(IF(INDEX($A$5:$BP$257,MATCH(BT119,$BN$5:$BN$257,0),50)="Aço Inoxidável",('Densidade do AR'!$S$8*1000000),IF(INDEX($A$5:$BP$257,MATCH(BT119,$BN$5:$BN$257,0),50)="Ferro Fundido",('Densidade do AR'!$S$12*1000000),IF(INDEX($A$5:$BP$257,MATCH(BT119,$BN$5:$BN$257,0),50)="Latão",('Densidade do AR'!$S$10*1000000),IF(INDEX($A$5:$BP$257,MATCH(BT119,$BN$5:$BN$257,0),50)="Alumínio",('Densidade do AR'!$S$4*1000000)))))))</f>
        <v>-</v>
      </c>
      <c r="BW119" s="785"/>
      <c r="BX119" s="785"/>
      <c r="BY119" s="786"/>
      <c r="BZ119" s="787" t="str">
        <f t="shared" si="30"/>
        <v>-</v>
      </c>
      <c r="CA119" s="788"/>
      <c r="CB119" s="788"/>
      <c r="CC119" s="789"/>
      <c r="CD119" s="787" t="str">
        <f t="shared" si="22"/>
        <v>-</v>
      </c>
      <c r="CE119" s="788"/>
      <c r="CF119" s="788"/>
      <c r="CG119" s="789"/>
      <c r="CH119" s="790" t="str">
        <f t="shared" si="31"/>
        <v>-</v>
      </c>
      <c r="CI119" s="785"/>
      <c r="CJ119" s="785"/>
      <c r="CK119" s="786"/>
      <c r="CL119" s="790" t="str">
        <f t="shared" si="23"/>
        <v>-</v>
      </c>
      <c r="CM119" s="785"/>
      <c r="CN119" s="785"/>
      <c r="CO119" s="786"/>
      <c r="CP119" s="790" t="str">
        <f>IF(BT119="","-",INDEX($A$5:$BP$257,MATCH(BT119,$BN$5:$BN$257,0),39)*(IF(BT119="","-",(1+(((-('Densidade do AR'!$M$4))+('Densidade do AR'!$T$15*1000000))/(IF(INDEX($A$5:$BP$257,MATCH(BT119,$BN$5:$BN$257,0),50)="Aço Inoxidável",('Densidade do AR'!$S$8*1000000),IF(INDEX($A$5:$BP$257,MATCH(BT119,$BN$5:$BN$257,0),50)="Ferro Fundido",('Densidade do AR'!$S$12*1000000),IF(INDEX($A$5:$BP$257,MATCH(BT119,$BN$5:$BN$257,0),50)="Latão",('Densidade do AR'!$S$10*1000000),IF(INDEX($A$5:$BP$257,MATCH(BT119,$BN$5:$BN$257,0),50)="Alumínio",('Densidade do AR'!$S$4*1000000)))))))-(((-('Densidade do AR'!$M$4))+('Densidade do AR'!$T$15*1000000))/('Densidade do AR'!$S$14*1000000))))))</f>
        <v>-</v>
      </c>
      <c r="CQ119" s="785"/>
      <c r="CR119" s="785"/>
      <c r="CS119" s="791"/>
      <c r="CT119" s="91" t="str">
        <f t="shared" si="32"/>
        <v>-</v>
      </c>
      <c r="CU119" s="794"/>
      <c r="CV119" s="795"/>
      <c r="CW119" s="784" t="str">
        <f>IF(CU119="","-",(IF(INDEX($A$5:$BP$257,MATCH(CU119,$BN$5:$BN$257,0),50)="Aço Inoxidável",('Densidade do AR'!$S$8*1000000),IF(INDEX($A$5:$BP$257,MATCH(CU119,$BN$5:$BN$257,0),50)="Ferro Fundido",('Densidade do AR'!$S$12*1000000),IF(INDEX($A$5:$BP$257,MATCH(CU119,$BN$5:$BN$257,0),50)="Latão",('Densidade do AR'!$S$10*1000000),IF(INDEX($A$5:$BP$257,MATCH(CU119,$BN$5:$BN$257,0),50)="Alumínio",('Densidade do AR'!$S$4*1000000)))))))</f>
        <v>-</v>
      </c>
      <c r="CX119" s="785"/>
      <c r="CY119" s="785"/>
      <c r="CZ119" s="786"/>
      <c r="DA119" s="787" t="str">
        <f t="shared" si="33"/>
        <v>-</v>
      </c>
      <c r="DB119" s="788"/>
      <c r="DC119" s="788"/>
      <c r="DD119" s="789"/>
      <c r="DE119" s="787" t="str">
        <f t="shared" si="24"/>
        <v>-</v>
      </c>
      <c r="DF119" s="788"/>
      <c r="DG119" s="788"/>
      <c r="DH119" s="789"/>
      <c r="DI119" s="790" t="str">
        <f t="shared" si="34"/>
        <v>-</v>
      </c>
      <c r="DJ119" s="785"/>
      <c r="DK119" s="785"/>
      <c r="DL119" s="786"/>
      <c r="DM119" s="790" t="str">
        <f t="shared" si="25"/>
        <v>-</v>
      </c>
      <c r="DN119" s="785"/>
      <c r="DO119" s="785"/>
      <c r="DP119" s="786"/>
      <c r="DQ119" s="790" t="str">
        <f>IF(CU119="","-",INDEX($A$5:$BP$257,MATCH(CU119,$BN$5:$BN$257,0),39)*(IF(CU119="","-",(1+(((-('Densidade do AR'!$M$4))+('Densidade do AR'!$T$15*1000000))/(IF(INDEX($A$5:$BP$257,MATCH(CU119,$BN$5:$BN$257,0),50)="Aço Inoxidável",('Densidade do AR'!$S$8*1000000),IF(INDEX($A$5:$BP$257,MATCH(CU119,$BN$5:$BN$257,0),50)="Ferro Fundido",('Densidade do AR'!$S$12*1000000),IF(INDEX($A$5:$BP$257,MATCH(CU119,$BN$5:$BN$257,0),50)="Latão",('Densidade do AR'!$S$10*1000000),IF(INDEX($A$5:$BP$257,MATCH(CU119,$BN$5:$BN$257,0),50)="Alumínio",('Densidade do AR'!$S$4*1000000)))))))-(((-('Densidade do AR'!$M$4))+('Densidade do AR'!$T$15*1000000))/('Densidade do AR'!$S$14*1000000))))))</f>
        <v>-</v>
      </c>
      <c r="DR119" s="785"/>
      <c r="DS119" s="785"/>
      <c r="DT119" s="791"/>
      <c r="DU119" s="91" t="str">
        <f t="shared" si="35"/>
        <v>-</v>
      </c>
      <c r="DV119" s="794"/>
      <c r="DW119" s="795"/>
      <c r="DX119" s="784" t="str">
        <f>IF(DV119="","-",(IF(INDEX($A$5:$BP$257,MATCH(DV119,$BN$5:$BN$257,0),50)="Aço Inoxidável",('Densidade do AR'!$S$8*1000000),IF(INDEX($A$5:$BP$257,MATCH(DV119,$BN$5:$BN$257,0),50)="Ferro Fundido",('Densidade do AR'!$S$12*1000000),IF(INDEX($A$5:$BP$257,MATCH(DV119,$BN$5:$BN$257,0),50)="Latão",('Densidade do AR'!$S$10*1000000),IF(INDEX($A$5:$BP$257,MATCH(DV119,$BN$5:$BN$257,0),50)="Alumínio",('Densidade do AR'!$S$4*1000000)))))))</f>
        <v>-</v>
      </c>
      <c r="DY119" s="785"/>
      <c r="DZ119" s="785"/>
      <c r="EA119" s="786"/>
      <c r="EB119" s="787" t="str">
        <f t="shared" si="36"/>
        <v>-</v>
      </c>
      <c r="EC119" s="788"/>
      <c r="ED119" s="788"/>
      <c r="EE119" s="789"/>
      <c r="EF119" s="787" t="str">
        <f t="shared" si="26"/>
        <v>-</v>
      </c>
      <c r="EG119" s="788"/>
      <c r="EH119" s="788"/>
      <c r="EI119" s="789"/>
      <c r="EJ119" s="790" t="str">
        <f t="shared" si="37"/>
        <v>-</v>
      </c>
      <c r="EK119" s="785"/>
      <c r="EL119" s="785"/>
      <c r="EM119" s="786"/>
      <c r="EN119" s="790" t="str">
        <f t="shared" si="27"/>
        <v>-</v>
      </c>
      <c r="EO119" s="785"/>
      <c r="EP119" s="785"/>
      <c r="EQ119" s="786"/>
      <c r="ER119" s="790" t="str">
        <f>IF(DV119="","-",INDEX($A$5:$BP$257,MATCH(DV119,$BN$5:$BN$257,0),39)*(IF(DV119="","-",(1+(((-('Densidade do AR'!$M$4))+('Densidade do AR'!$T$15*1000000))/(IF(INDEX($A$5:$BP$257,MATCH(DV119,$BN$5:$BN$257,0),50)="Aço Inoxidável",('Densidade do AR'!$S$8*1000000),IF(INDEX($A$5:$BP$257,MATCH(DV119,$BN$5:$BN$257,0),50)="Ferro Fundido",('Densidade do AR'!$S$12*1000000),IF(INDEX($A$5:$BP$257,MATCH(DV119,$BN$5:$BN$257,0),50)="Latão",('Densidade do AR'!$S$10*1000000),IF(INDEX($A$5:$BP$257,MATCH(DV119,$BN$5:$BN$257,0),50)="Alumínio",('Densidade do AR'!$S$4*1000000)))))))-(((-('Densidade do AR'!$M$4))+('Densidade do AR'!$T$15*1000000))/('Densidade do AR'!$S$14*1000000))))))</f>
        <v>-</v>
      </c>
      <c r="ES119" s="785"/>
      <c r="ET119" s="785"/>
      <c r="EU119" s="791"/>
      <c r="EV119" s="91" t="str">
        <f t="shared" si="38"/>
        <v>-</v>
      </c>
      <c r="EW119" s="794"/>
      <c r="EX119" s="795"/>
      <c r="EY119" s="784" t="str">
        <f>IF(EW119="","-",(IF(INDEX($A$5:$BP$257,MATCH(EW119,$BN$5:$BN$257,0),50)="Aço Inoxidável",('Densidade do AR'!$S$8*1000000),IF(INDEX($A$5:$BP$257,MATCH(EW119,$BN$5:$BN$257,0),50)="Ferro Fundido",('Densidade do AR'!$S$12*1000000),IF(INDEX($A$5:$BP$257,MATCH(EW119,$BN$5:$BN$257,0),50)="Latão",('Densidade do AR'!$S$10*1000000),IF(INDEX($A$5:$BP$257,MATCH(EW119,$BN$5:$BN$257,0),50)="Alumínio",('Densidade do AR'!$S$4*1000000)))))))</f>
        <v>-</v>
      </c>
      <c r="EZ119" s="785"/>
      <c r="FA119" s="785"/>
      <c r="FB119" s="786"/>
      <c r="FC119" s="787" t="str">
        <f t="shared" si="39"/>
        <v>-</v>
      </c>
      <c r="FD119" s="788"/>
      <c r="FE119" s="788"/>
      <c r="FF119" s="789"/>
      <c r="FG119" s="787" t="str">
        <f t="shared" si="28"/>
        <v>-</v>
      </c>
      <c r="FH119" s="788"/>
      <c r="FI119" s="788"/>
      <c r="FJ119" s="789"/>
      <c r="FK119" s="790" t="str">
        <f t="shared" si="40"/>
        <v>-</v>
      </c>
      <c r="FL119" s="785"/>
      <c r="FM119" s="785"/>
      <c r="FN119" s="786"/>
      <c r="FO119" s="790" t="str">
        <f t="shared" si="29"/>
        <v>-</v>
      </c>
      <c r="FP119" s="785"/>
      <c r="FQ119" s="785"/>
      <c r="FR119" s="786"/>
      <c r="FS119" s="790" t="str">
        <f>IF(EW119="","-",INDEX($A$5:$BP$257,MATCH(EW119,$BN$5:$BN$257,0),39)*(IF(EW119="","-",(1+(((-('Densidade do AR'!$M$4))+('Densidade do AR'!$T$15*1000000))/(IF(INDEX($A$5:$BP$257,MATCH(EW119,$BN$5:$BN$257,0),50)="Aço Inoxidável",('Densidade do AR'!$S$8*1000000),IF(INDEX($A$5:$BP$257,MATCH(EW119,$BN$5:$BN$257,0),50)="Ferro Fundido",('Densidade do AR'!$S$12*1000000),IF(INDEX($A$5:$BP$257,MATCH(EW119,$BN$5:$BN$257,0),50)="Latão",('Densidade do AR'!$S$10*1000000),IF(INDEX($A$5:$BP$257,MATCH(EW119,$BN$5:$BN$257,0),50)="Alumínio",('Densidade do AR'!$S$4*1000000)))))))-(((-('Densidade do AR'!$M$4))+('Densidade do AR'!$T$15*1000000))/('Densidade do AR'!$S$14*1000000))))))</f>
        <v>-</v>
      </c>
      <c r="FT119" s="785"/>
      <c r="FU119" s="785"/>
      <c r="FV119" s="791"/>
      <c r="FW119" s="91" t="str">
        <f t="shared" si="41"/>
        <v>-</v>
      </c>
      <c r="FX119" s="135"/>
    </row>
    <row r="120" spans="1:180" ht="12.75" customHeight="1" x14ac:dyDescent="0.2">
      <c r="A120" s="718">
        <v>116</v>
      </c>
      <c r="B120" s="713"/>
      <c r="C120" s="719"/>
      <c r="D120" s="709"/>
      <c r="E120" s="709"/>
      <c r="F120" s="709"/>
      <c r="G120" s="710"/>
      <c r="H120" s="720"/>
      <c r="I120" s="712"/>
      <c r="J120" s="712"/>
      <c r="K120" s="713"/>
      <c r="L120" s="719"/>
      <c r="M120" s="709"/>
      <c r="N120" s="709"/>
      <c r="O120" s="709"/>
      <c r="P120" s="719"/>
      <c r="Q120" s="709"/>
      <c r="R120" s="709"/>
      <c r="S120" s="709"/>
      <c r="T120" s="710"/>
      <c r="U120" s="721"/>
      <c r="V120" s="722"/>
      <c r="W120" s="722"/>
      <c r="X120" s="722"/>
      <c r="Y120" s="722"/>
      <c r="Z120" s="722"/>
      <c r="AA120" s="723"/>
      <c r="AB120" s="853"/>
      <c r="AC120" s="854"/>
      <c r="AD120" s="854"/>
      <c r="AE120" s="854"/>
      <c r="AF120" s="854"/>
      <c r="AG120" s="854"/>
      <c r="AH120" s="854"/>
      <c r="AI120" s="854"/>
      <c r="AJ120" s="854"/>
      <c r="AK120" s="854"/>
      <c r="AL120" s="855"/>
      <c r="AM120" s="909"/>
      <c r="AN120" s="712"/>
      <c r="AO120" s="712"/>
      <c r="AP120" s="712"/>
      <c r="AQ120" s="712"/>
      <c r="AR120" s="712"/>
      <c r="AS120" s="713"/>
      <c r="AT120" s="909"/>
      <c r="AU120" s="712"/>
      <c r="AV120" s="712"/>
      <c r="AW120" s="713"/>
      <c r="AX120" s="908"/>
      <c r="AY120" s="712"/>
      <c r="AZ120" s="712"/>
      <c r="BA120" s="712"/>
      <c r="BB120" s="712"/>
      <c r="BC120" s="713"/>
      <c r="BD120" s="909"/>
      <c r="BE120" s="712"/>
      <c r="BF120" s="712"/>
      <c r="BG120" s="713"/>
      <c r="BH120" s="908"/>
      <c r="BI120" s="712"/>
      <c r="BJ120" s="712"/>
      <c r="BK120" s="712"/>
      <c r="BL120" s="910"/>
      <c r="BN120" s="881"/>
      <c r="BO120" s="882"/>
      <c r="BP120" s="883"/>
      <c r="BT120" s="792"/>
      <c r="BU120" s="793"/>
      <c r="BV120" s="738" t="str">
        <f>IF(BT120="","-",(IF(INDEX($A$5:$BP$257,MATCH(BT120,$BN$5:$BN$257,0),50)="Aço Inoxidável",('Densidade do AR'!$S$8*1000000),IF(INDEX($A$5:$BP$257,MATCH(BT120,$BN$5:$BN$257,0),50)="Ferro Fundido",('Densidade do AR'!$S$12*1000000),IF(INDEX($A$5:$BP$257,MATCH(BT120,$BN$5:$BN$257,0),50)="Latão",('Densidade do AR'!$S$10*1000000),IF(INDEX($A$5:$BP$257,MATCH(BT120,$BN$5:$BN$257,0),50)="Alumínio",('Densidade do AR'!$S$4*1000000)))))))</f>
        <v>-</v>
      </c>
      <c r="BW120" s="739"/>
      <c r="BX120" s="739"/>
      <c r="BY120" s="740"/>
      <c r="BZ120" s="741" t="str">
        <f t="shared" si="30"/>
        <v>-</v>
      </c>
      <c r="CA120" s="742"/>
      <c r="CB120" s="742"/>
      <c r="CC120" s="743"/>
      <c r="CD120" s="741" t="str">
        <f t="shared" si="22"/>
        <v>-</v>
      </c>
      <c r="CE120" s="742"/>
      <c r="CF120" s="742"/>
      <c r="CG120" s="743"/>
      <c r="CH120" s="744" t="str">
        <f t="shared" si="31"/>
        <v>-</v>
      </c>
      <c r="CI120" s="739"/>
      <c r="CJ120" s="739"/>
      <c r="CK120" s="740"/>
      <c r="CL120" s="744" t="str">
        <f t="shared" si="23"/>
        <v>-</v>
      </c>
      <c r="CM120" s="739"/>
      <c r="CN120" s="739"/>
      <c r="CO120" s="740"/>
      <c r="CP120" s="744" t="str">
        <f>IF(BT120="","-",INDEX($A$5:$BP$257,MATCH(BT120,$BN$5:$BN$257,0),39)*(IF(BT120="","-",(1+(((-('Densidade do AR'!$M$4))+('Densidade do AR'!$T$15*1000000))/(IF(INDEX($A$5:$BP$257,MATCH(BT120,$BN$5:$BN$257,0),50)="Aço Inoxidável",('Densidade do AR'!$S$8*1000000),IF(INDEX($A$5:$BP$257,MATCH(BT120,$BN$5:$BN$257,0),50)="Ferro Fundido",('Densidade do AR'!$S$12*1000000),IF(INDEX($A$5:$BP$257,MATCH(BT120,$BN$5:$BN$257,0),50)="Latão",('Densidade do AR'!$S$10*1000000),IF(INDEX($A$5:$BP$257,MATCH(BT120,$BN$5:$BN$257,0),50)="Alumínio",('Densidade do AR'!$S$4*1000000)))))))-(((-('Densidade do AR'!$M$4))+('Densidade do AR'!$T$15*1000000))/('Densidade do AR'!$S$14*1000000))))))</f>
        <v>-</v>
      </c>
      <c r="CQ120" s="739"/>
      <c r="CR120" s="739"/>
      <c r="CS120" s="745"/>
      <c r="CT120" s="91" t="str">
        <f t="shared" si="32"/>
        <v>-</v>
      </c>
      <c r="CU120" s="792"/>
      <c r="CV120" s="793"/>
      <c r="CW120" s="738" t="str">
        <f>IF(CU120="","-",(IF(INDEX($A$5:$BP$257,MATCH(CU120,$BN$5:$BN$257,0),50)="Aço Inoxidável",('Densidade do AR'!$S$8*1000000),IF(INDEX($A$5:$BP$257,MATCH(CU120,$BN$5:$BN$257,0),50)="Ferro Fundido",('Densidade do AR'!$S$12*1000000),IF(INDEX($A$5:$BP$257,MATCH(CU120,$BN$5:$BN$257,0),50)="Latão",('Densidade do AR'!$S$10*1000000),IF(INDEX($A$5:$BP$257,MATCH(CU120,$BN$5:$BN$257,0),50)="Alumínio",('Densidade do AR'!$S$4*1000000)))))))</f>
        <v>-</v>
      </c>
      <c r="CX120" s="739"/>
      <c r="CY120" s="739"/>
      <c r="CZ120" s="740"/>
      <c r="DA120" s="741" t="str">
        <f t="shared" si="33"/>
        <v>-</v>
      </c>
      <c r="DB120" s="742"/>
      <c r="DC120" s="742"/>
      <c r="DD120" s="743"/>
      <c r="DE120" s="741" t="str">
        <f t="shared" si="24"/>
        <v>-</v>
      </c>
      <c r="DF120" s="742"/>
      <c r="DG120" s="742"/>
      <c r="DH120" s="743"/>
      <c r="DI120" s="744" t="str">
        <f t="shared" si="34"/>
        <v>-</v>
      </c>
      <c r="DJ120" s="739"/>
      <c r="DK120" s="739"/>
      <c r="DL120" s="740"/>
      <c r="DM120" s="744" t="str">
        <f t="shared" si="25"/>
        <v>-</v>
      </c>
      <c r="DN120" s="739"/>
      <c r="DO120" s="739"/>
      <c r="DP120" s="740"/>
      <c r="DQ120" s="744" t="str">
        <f>IF(CU120="","-",INDEX($A$5:$BP$257,MATCH(CU120,$BN$5:$BN$257,0),39)*(IF(CU120="","-",(1+(((-('Densidade do AR'!$M$4))+('Densidade do AR'!$T$15*1000000))/(IF(INDEX($A$5:$BP$257,MATCH(CU120,$BN$5:$BN$257,0),50)="Aço Inoxidável",('Densidade do AR'!$S$8*1000000),IF(INDEX($A$5:$BP$257,MATCH(CU120,$BN$5:$BN$257,0),50)="Ferro Fundido",('Densidade do AR'!$S$12*1000000),IF(INDEX($A$5:$BP$257,MATCH(CU120,$BN$5:$BN$257,0),50)="Latão",('Densidade do AR'!$S$10*1000000),IF(INDEX($A$5:$BP$257,MATCH(CU120,$BN$5:$BN$257,0),50)="Alumínio",('Densidade do AR'!$S$4*1000000)))))))-(((-('Densidade do AR'!$M$4))+('Densidade do AR'!$T$15*1000000))/('Densidade do AR'!$S$14*1000000))))))</f>
        <v>-</v>
      </c>
      <c r="DR120" s="739"/>
      <c r="DS120" s="739"/>
      <c r="DT120" s="745"/>
      <c r="DU120" s="91" t="str">
        <f t="shared" si="35"/>
        <v>-</v>
      </c>
      <c r="DV120" s="792"/>
      <c r="DW120" s="793"/>
      <c r="DX120" s="738" t="str">
        <f>IF(DV120="","-",(IF(INDEX($A$5:$BP$257,MATCH(DV120,$BN$5:$BN$257,0),50)="Aço Inoxidável",('Densidade do AR'!$S$8*1000000),IF(INDEX($A$5:$BP$257,MATCH(DV120,$BN$5:$BN$257,0),50)="Ferro Fundido",('Densidade do AR'!$S$12*1000000),IF(INDEX($A$5:$BP$257,MATCH(DV120,$BN$5:$BN$257,0),50)="Latão",('Densidade do AR'!$S$10*1000000),IF(INDEX($A$5:$BP$257,MATCH(DV120,$BN$5:$BN$257,0),50)="Alumínio",('Densidade do AR'!$S$4*1000000)))))))</f>
        <v>-</v>
      </c>
      <c r="DY120" s="739"/>
      <c r="DZ120" s="739"/>
      <c r="EA120" s="740"/>
      <c r="EB120" s="741" t="str">
        <f t="shared" si="36"/>
        <v>-</v>
      </c>
      <c r="EC120" s="742"/>
      <c r="ED120" s="742"/>
      <c r="EE120" s="743"/>
      <c r="EF120" s="741" t="str">
        <f t="shared" si="26"/>
        <v>-</v>
      </c>
      <c r="EG120" s="742"/>
      <c r="EH120" s="742"/>
      <c r="EI120" s="743"/>
      <c r="EJ120" s="744" t="str">
        <f t="shared" si="37"/>
        <v>-</v>
      </c>
      <c r="EK120" s="739"/>
      <c r="EL120" s="739"/>
      <c r="EM120" s="740"/>
      <c r="EN120" s="744" t="str">
        <f t="shared" si="27"/>
        <v>-</v>
      </c>
      <c r="EO120" s="739"/>
      <c r="EP120" s="739"/>
      <c r="EQ120" s="740"/>
      <c r="ER120" s="744" t="str">
        <f>IF(DV120="","-",INDEX($A$5:$BP$257,MATCH(DV120,$BN$5:$BN$257,0),39)*(IF(DV120="","-",(1+(((-('Densidade do AR'!$M$4))+('Densidade do AR'!$T$15*1000000))/(IF(INDEX($A$5:$BP$257,MATCH(DV120,$BN$5:$BN$257,0),50)="Aço Inoxidável",('Densidade do AR'!$S$8*1000000),IF(INDEX($A$5:$BP$257,MATCH(DV120,$BN$5:$BN$257,0),50)="Ferro Fundido",('Densidade do AR'!$S$12*1000000),IF(INDEX($A$5:$BP$257,MATCH(DV120,$BN$5:$BN$257,0),50)="Latão",('Densidade do AR'!$S$10*1000000),IF(INDEX($A$5:$BP$257,MATCH(DV120,$BN$5:$BN$257,0),50)="Alumínio",('Densidade do AR'!$S$4*1000000)))))))-(((-('Densidade do AR'!$M$4))+('Densidade do AR'!$T$15*1000000))/('Densidade do AR'!$S$14*1000000))))))</f>
        <v>-</v>
      </c>
      <c r="ES120" s="739"/>
      <c r="ET120" s="739"/>
      <c r="EU120" s="745"/>
      <c r="EV120" s="91" t="str">
        <f t="shared" si="38"/>
        <v>-</v>
      </c>
      <c r="EW120" s="792"/>
      <c r="EX120" s="793"/>
      <c r="EY120" s="738" t="str">
        <f>IF(EW120="","-",(IF(INDEX($A$5:$BP$257,MATCH(EW120,$BN$5:$BN$257,0),50)="Aço Inoxidável",('Densidade do AR'!$S$8*1000000),IF(INDEX($A$5:$BP$257,MATCH(EW120,$BN$5:$BN$257,0),50)="Ferro Fundido",('Densidade do AR'!$S$12*1000000),IF(INDEX($A$5:$BP$257,MATCH(EW120,$BN$5:$BN$257,0),50)="Latão",('Densidade do AR'!$S$10*1000000),IF(INDEX($A$5:$BP$257,MATCH(EW120,$BN$5:$BN$257,0),50)="Alumínio",('Densidade do AR'!$S$4*1000000)))))))</f>
        <v>-</v>
      </c>
      <c r="EZ120" s="739"/>
      <c r="FA120" s="739"/>
      <c r="FB120" s="740"/>
      <c r="FC120" s="741" t="str">
        <f t="shared" si="39"/>
        <v>-</v>
      </c>
      <c r="FD120" s="742"/>
      <c r="FE120" s="742"/>
      <c r="FF120" s="743"/>
      <c r="FG120" s="741" t="str">
        <f t="shared" si="28"/>
        <v>-</v>
      </c>
      <c r="FH120" s="742"/>
      <c r="FI120" s="742"/>
      <c r="FJ120" s="743"/>
      <c r="FK120" s="744" t="str">
        <f t="shared" si="40"/>
        <v>-</v>
      </c>
      <c r="FL120" s="739"/>
      <c r="FM120" s="739"/>
      <c r="FN120" s="740"/>
      <c r="FO120" s="744" t="str">
        <f t="shared" si="29"/>
        <v>-</v>
      </c>
      <c r="FP120" s="739"/>
      <c r="FQ120" s="739"/>
      <c r="FR120" s="740"/>
      <c r="FS120" s="744" t="str">
        <f>IF(EW120="","-",INDEX($A$5:$BP$257,MATCH(EW120,$BN$5:$BN$257,0),39)*(IF(EW120="","-",(1+(((-('Densidade do AR'!$M$4))+('Densidade do AR'!$T$15*1000000))/(IF(INDEX($A$5:$BP$257,MATCH(EW120,$BN$5:$BN$257,0),50)="Aço Inoxidável",('Densidade do AR'!$S$8*1000000),IF(INDEX($A$5:$BP$257,MATCH(EW120,$BN$5:$BN$257,0),50)="Ferro Fundido",('Densidade do AR'!$S$12*1000000),IF(INDEX($A$5:$BP$257,MATCH(EW120,$BN$5:$BN$257,0),50)="Latão",('Densidade do AR'!$S$10*1000000),IF(INDEX($A$5:$BP$257,MATCH(EW120,$BN$5:$BN$257,0),50)="Alumínio",('Densidade do AR'!$S$4*1000000)))))))-(((-('Densidade do AR'!$M$4))+('Densidade do AR'!$T$15*1000000))/('Densidade do AR'!$S$14*1000000))))))</f>
        <v>-</v>
      </c>
      <c r="FT120" s="739"/>
      <c r="FU120" s="739"/>
      <c r="FV120" s="745"/>
      <c r="FW120" s="91" t="str">
        <f t="shared" si="41"/>
        <v>-</v>
      </c>
      <c r="FX120" s="135"/>
    </row>
    <row r="121" spans="1:180" ht="12.75" customHeight="1" x14ac:dyDescent="0.2">
      <c r="A121" s="717">
        <v>117</v>
      </c>
      <c r="B121" s="713"/>
      <c r="C121" s="708"/>
      <c r="D121" s="709"/>
      <c r="E121" s="709"/>
      <c r="F121" s="709"/>
      <c r="G121" s="710"/>
      <c r="H121" s="711"/>
      <c r="I121" s="712"/>
      <c r="J121" s="712"/>
      <c r="K121" s="713"/>
      <c r="L121" s="708"/>
      <c r="M121" s="709"/>
      <c r="N121" s="709"/>
      <c r="O121" s="709"/>
      <c r="P121" s="708"/>
      <c r="Q121" s="709"/>
      <c r="R121" s="709"/>
      <c r="S121" s="709"/>
      <c r="T121" s="710"/>
      <c r="U121" s="714"/>
      <c r="V121" s="715"/>
      <c r="W121" s="715"/>
      <c r="X121" s="715"/>
      <c r="Y121" s="715"/>
      <c r="Z121" s="715"/>
      <c r="AA121" s="716"/>
      <c r="AB121" s="850"/>
      <c r="AC121" s="851"/>
      <c r="AD121" s="851"/>
      <c r="AE121" s="851"/>
      <c r="AF121" s="851"/>
      <c r="AG121" s="851"/>
      <c r="AH121" s="851"/>
      <c r="AI121" s="851"/>
      <c r="AJ121" s="851"/>
      <c r="AK121" s="851"/>
      <c r="AL121" s="852"/>
      <c r="AM121" s="917"/>
      <c r="AN121" s="712"/>
      <c r="AO121" s="712"/>
      <c r="AP121" s="712"/>
      <c r="AQ121" s="712"/>
      <c r="AR121" s="712"/>
      <c r="AS121" s="713"/>
      <c r="AT121" s="917"/>
      <c r="AU121" s="712"/>
      <c r="AV121" s="712"/>
      <c r="AW121" s="713"/>
      <c r="AX121" s="917"/>
      <c r="AY121" s="712"/>
      <c r="AZ121" s="712"/>
      <c r="BA121" s="712"/>
      <c r="BB121" s="712"/>
      <c r="BC121" s="713"/>
      <c r="BD121" s="917"/>
      <c r="BE121" s="712"/>
      <c r="BF121" s="712"/>
      <c r="BG121" s="713"/>
      <c r="BH121" s="918"/>
      <c r="BI121" s="712"/>
      <c r="BJ121" s="712"/>
      <c r="BK121" s="712"/>
      <c r="BL121" s="910"/>
      <c r="BN121" s="878"/>
      <c r="BO121" s="879"/>
      <c r="BP121" s="880"/>
      <c r="BT121" s="794"/>
      <c r="BU121" s="795"/>
      <c r="BV121" s="784" t="str">
        <f>IF(BT121="","-",(IF(INDEX($A$5:$BP$257,MATCH(BT121,$BN$5:$BN$257,0),50)="Aço Inoxidável",('Densidade do AR'!$S$8*1000000),IF(INDEX($A$5:$BP$257,MATCH(BT121,$BN$5:$BN$257,0),50)="Ferro Fundido",('Densidade do AR'!$S$12*1000000),IF(INDEX($A$5:$BP$257,MATCH(BT121,$BN$5:$BN$257,0),50)="Latão",('Densidade do AR'!$S$10*1000000),IF(INDEX($A$5:$BP$257,MATCH(BT121,$BN$5:$BN$257,0),50)="Alumínio",('Densidade do AR'!$S$4*1000000)))))))</f>
        <v>-</v>
      </c>
      <c r="BW121" s="785"/>
      <c r="BX121" s="785"/>
      <c r="BY121" s="786"/>
      <c r="BZ121" s="787" t="str">
        <f t="shared" si="30"/>
        <v>-</v>
      </c>
      <c r="CA121" s="788"/>
      <c r="CB121" s="788"/>
      <c r="CC121" s="789"/>
      <c r="CD121" s="787" t="str">
        <f t="shared" si="22"/>
        <v>-</v>
      </c>
      <c r="CE121" s="788"/>
      <c r="CF121" s="788"/>
      <c r="CG121" s="789"/>
      <c r="CH121" s="790" t="str">
        <f t="shared" si="31"/>
        <v>-</v>
      </c>
      <c r="CI121" s="785"/>
      <c r="CJ121" s="785"/>
      <c r="CK121" s="786"/>
      <c r="CL121" s="790" t="str">
        <f t="shared" si="23"/>
        <v>-</v>
      </c>
      <c r="CM121" s="785"/>
      <c r="CN121" s="785"/>
      <c r="CO121" s="786"/>
      <c r="CP121" s="790" t="str">
        <f>IF(BT121="","-",INDEX($A$5:$BP$257,MATCH(BT121,$BN$5:$BN$257,0),39)*(IF(BT121="","-",(1+(((-('Densidade do AR'!$M$4))+('Densidade do AR'!$T$15*1000000))/(IF(INDEX($A$5:$BP$257,MATCH(BT121,$BN$5:$BN$257,0),50)="Aço Inoxidável",('Densidade do AR'!$S$8*1000000),IF(INDEX($A$5:$BP$257,MATCH(BT121,$BN$5:$BN$257,0),50)="Ferro Fundido",('Densidade do AR'!$S$12*1000000),IF(INDEX($A$5:$BP$257,MATCH(BT121,$BN$5:$BN$257,0),50)="Latão",('Densidade do AR'!$S$10*1000000),IF(INDEX($A$5:$BP$257,MATCH(BT121,$BN$5:$BN$257,0),50)="Alumínio",('Densidade do AR'!$S$4*1000000)))))))-(((-('Densidade do AR'!$M$4))+('Densidade do AR'!$T$15*1000000))/('Densidade do AR'!$S$14*1000000))))))</f>
        <v>-</v>
      </c>
      <c r="CQ121" s="785"/>
      <c r="CR121" s="785"/>
      <c r="CS121" s="791"/>
      <c r="CT121" s="91" t="str">
        <f t="shared" si="32"/>
        <v>-</v>
      </c>
      <c r="CU121" s="794"/>
      <c r="CV121" s="795"/>
      <c r="CW121" s="784" t="str">
        <f>IF(CU121="","-",(IF(INDEX($A$5:$BP$257,MATCH(CU121,$BN$5:$BN$257,0),50)="Aço Inoxidável",('Densidade do AR'!$S$8*1000000),IF(INDEX($A$5:$BP$257,MATCH(CU121,$BN$5:$BN$257,0),50)="Ferro Fundido",('Densidade do AR'!$S$12*1000000),IF(INDEX($A$5:$BP$257,MATCH(CU121,$BN$5:$BN$257,0),50)="Latão",('Densidade do AR'!$S$10*1000000),IF(INDEX($A$5:$BP$257,MATCH(CU121,$BN$5:$BN$257,0),50)="Alumínio",('Densidade do AR'!$S$4*1000000)))))))</f>
        <v>-</v>
      </c>
      <c r="CX121" s="785"/>
      <c r="CY121" s="785"/>
      <c r="CZ121" s="786"/>
      <c r="DA121" s="787" t="str">
        <f t="shared" si="33"/>
        <v>-</v>
      </c>
      <c r="DB121" s="788"/>
      <c r="DC121" s="788"/>
      <c r="DD121" s="789"/>
      <c r="DE121" s="787" t="str">
        <f t="shared" si="24"/>
        <v>-</v>
      </c>
      <c r="DF121" s="788"/>
      <c r="DG121" s="788"/>
      <c r="DH121" s="789"/>
      <c r="DI121" s="790" t="str">
        <f t="shared" si="34"/>
        <v>-</v>
      </c>
      <c r="DJ121" s="785"/>
      <c r="DK121" s="785"/>
      <c r="DL121" s="786"/>
      <c r="DM121" s="790" t="str">
        <f t="shared" si="25"/>
        <v>-</v>
      </c>
      <c r="DN121" s="785"/>
      <c r="DO121" s="785"/>
      <c r="DP121" s="786"/>
      <c r="DQ121" s="790" t="str">
        <f>IF(CU121="","-",INDEX($A$5:$BP$257,MATCH(CU121,$BN$5:$BN$257,0),39)*(IF(CU121="","-",(1+(((-('Densidade do AR'!$M$4))+('Densidade do AR'!$T$15*1000000))/(IF(INDEX($A$5:$BP$257,MATCH(CU121,$BN$5:$BN$257,0),50)="Aço Inoxidável",('Densidade do AR'!$S$8*1000000),IF(INDEX($A$5:$BP$257,MATCH(CU121,$BN$5:$BN$257,0),50)="Ferro Fundido",('Densidade do AR'!$S$12*1000000),IF(INDEX($A$5:$BP$257,MATCH(CU121,$BN$5:$BN$257,0),50)="Latão",('Densidade do AR'!$S$10*1000000),IF(INDEX($A$5:$BP$257,MATCH(CU121,$BN$5:$BN$257,0),50)="Alumínio",('Densidade do AR'!$S$4*1000000)))))))-(((-('Densidade do AR'!$M$4))+('Densidade do AR'!$T$15*1000000))/('Densidade do AR'!$S$14*1000000))))))</f>
        <v>-</v>
      </c>
      <c r="DR121" s="785"/>
      <c r="DS121" s="785"/>
      <c r="DT121" s="791"/>
      <c r="DU121" s="91" t="str">
        <f t="shared" si="35"/>
        <v>-</v>
      </c>
      <c r="DV121" s="794"/>
      <c r="DW121" s="795"/>
      <c r="DX121" s="784" t="str">
        <f>IF(DV121="","-",(IF(INDEX($A$5:$BP$257,MATCH(DV121,$BN$5:$BN$257,0),50)="Aço Inoxidável",('Densidade do AR'!$S$8*1000000),IF(INDEX($A$5:$BP$257,MATCH(DV121,$BN$5:$BN$257,0),50)="Ferro Fundido",('Densidade do AR'!$S$12*1000000),IF(INDEX($A$5:$BP$257,MATCH(DV121,$BN$5:$BN$257,0),50)="Latão",('Densidade do AR'!$S$10*1000000),IF(INDEX($A$5:$BP$257,MATCH(DV121,$BN$5:$BN$257,0),50)="Alumínio",('Densidade do AR'!$S$4*1000000)))))))</f>
        <v>-</v>
      </c>
      <c r="DY121" s="785"/>
      <c r="DZ121" s="785"/>
      <c r="EA121" s="786"/>
      <c r="EB121" s="787" t="str">
        <f t="shared" si="36"/>
        <v>-</v>
      </c>
      <c r="EC121" s="788"/>
      <c r="ED121" s="788"/>
      <c r="EE121" s="789"/>
      <c r="EF121" s="787" t="str">
        <f t="shared" si="26"/>
        <v>-</v>
      </c>
      <c r="EG121" s="788"/>
      <c r="EH121" s="788"/>
      <c r="EI121" s="789"/>
      <c r="EJ121" s="790" t="str">
        <f t="shared" si="37"/>
        <v>-</v>
      </c>
      <c r="EK121" s="785"/>
      <c r="EL121" s="785"/>
      <c r="EM121" s="786"/>
      <c r="EN121" s="790" t="str">
        <f t="shared" si="27"/>
        <v>-</v>
      </c>
      <c r="EO121" s="785"/>
      <c r="EP121" s="785"/>
      <c r="EQ121" s="786"/>
      <c r="ER121" s="790" t="str">
        <f>IF(DV121="","-",INDEX($A$5:$BP$257,MATCH(DV121,$BN$5:$BN$257,0),39)*(IF(DV121="","-",(1+(((-('Densidade do AR'!$M$4))+('Densidade do AR'!$T$15*1000000))/(IF(INDEX($A$5:$BP$257,MATCH(DV121,$BN$5:$BN$257,0),50)="Aço Inoxidável",('Densidade do AR'!$S$8*1000000),IF(INDEX($A$5:$BP$257,MATCH(DV121,$BN$5:$BN$257,0),50)="Ferro Fundido",('Densidade do AR'!$S$12*1000000),IF(INDEX($A$5:$BP$257,MATCH(DV121,$BN$5:$BN$257,0),50)="Latão",('Densidade do AR'!$S$10*1000000),IF(INDEX($A$5:$BP$257,MATCH(DV121,$BN$5:$BN$257,0),50)="Alumínio",('Densidade do AR'!$S$4*1000000)))))))-(((-('Densidade do AR'!$M$4))+('Densidade do AR'!$T$15*1000000))/('Densidade do AR'!$S$14*1000000))))))</f>
        <v>-</v>
      </c>
      <c r="ES121" s="785"/>
      <c r="ET121" s="785"/>
      <c r="EU121" s="791"/>
      <c r="EV121" s="91" t="str">
        <f t="shared" si="38"/>
        <v>-</v>
      </c>
      <c r="EW121" s="794"/>
      <c r="EX121" s="795"/>
      <c r="EY121" s="784" t="str">
        <f>IF(EW121="","-",(IF(INDEX($A$5:$BP$257,MATCH(EW121,$BN$5:$BN$257,0),50)="Aço Inoxidável",('Densidade do AR'!$S$8*1000000),IF(INDEX($A$5:$BP$257,MATCH(EW121,$BN$5:$BN$257,0),50)="Ferro Fundido",('Densidade do AR'!$S$12*1000000),IF(INDEX($A$5:$BP$257,MATCH(EW121,$BN$5:$BN$257,0),50)="Latão",('Densidade do AR'!$S$10*1000000),IF(INDEX($A$5:$BP$257,MATCH(EW121,$BN$5:$BN$257,0),50)="Alumínio",('Densidade do AR'!$S$4*1000000)))))))</f>
        <v>-</v>
      </c>
      <c r="EZ121" s="785"/>
      <c r="FA121" s="785"/>
      <c r="FB121" s="786"/>
      <c r="FC121" s="787" t="str">
        <f t="shared" si="39"/>
        <v>-</v>
      </c>
      <c r="FD121" s="788"/>
      <c r="FE121" s="788"/>
      <c r="FF121" s="789"/>
      <c r="FG121" s="787" t="str">
        <f t="shared" si="28"/>
        <v>-</v>
      </c>
      <c r="FH121" s="788"/>
      <c r="FI121" s="788"/>
      <c r="FJ121" s="789"/>
      <c r="FK121" s="790" t="str">
        <f t="shared" si="40"/>
        <v>-</v>
      </c>
      <c r="FL121" s="785"/>
      <c r="FM121" s="785"/>
      <c r="FN121" s="786"/>
      <c r="FO121" s="790" t="str">
        <f t="shared" si="29"/>
        <v>-</v>
      </c>
      <c r="FP121" s="785"/>
      <c r="FQ121" s="785"/>
      <c r="FR121" s="786"/>
      <c r="FS121" s="790" t="str">
        <f>IF(EW121="","-",INDEX($A$5:$BP$257,MATCH(EW121,$BN$5:$BN$257,0),39)*(IF(EW121="","-",(1+(((-('Densidade do AR'!$M$4))+('Densidade do AR'!$T$15*1000000))/(IF(INDEX($A$5:$BP$257,MATCH(EW121,$BN$5:$BN$257,0),50)="Aço Inoxidável",('Densidade do AR'!$S$8*1000000),IF(INDEX($A$5:$BP$257,MATCH(EW121,$BN$5:$BN$257,0),50)="Ferro Fundido",('Densidade do AR'!$S$12*1000000),IF(INDEX($A$5:$BP$257,MATCH(EW121,$BN$5:$BN$257,0),50)="Latão",('Densidade do AR'!$S$10*1000000),IF(INDEX($A$5:$BP$257,MATCH(EW121,$BN$5:$BN$257,0),50)="Alumínio",('Densidade do AR'!$S$4*1000000)))))))-(((-('Densidade do AR'!$M$4))+('Densidade do AR'!$T$15*1000000))/('Densidade do AR'!$S$14*1000000))))))</f>
        <v>-</v>
      </c>
      <c r="FT121" s="785"/>
      <c r="FU121" s="785"/>
      <c r="FV121" s="791"/>
      <c r="FW121" s="91" t="str">
        <f t="shared" si="41"/>
        <v>-</v>
      </c>
      <c r="FX121" s="135"/>
    </row>
    <row r="122" spans="1:180" ht="12.75" customHeight="1" x14ac:dyDescent="0.2">
      <c r="A122" s="718">
        <v>118</v>
      </c>
      <c r="B122" s="713"/>
      <c r="C122" s="719"/>
      <c r="D122" s="709"/>
      <c r="E122" s="709"/>
      <c r="F122" s="709"/>
      <c r="G122" s="710"/>
      <c r="H122" s="720"/>
      <c r="I122" s="712"/>
      <c r="J122" s="712"/>
      <c r="K122" s="713"/>
      <c r="L122" s="719"/>
      <c r="M122" s="709"/>
      <c r="N122" s="709"/>
      <c r="O122" s="709"/>
      <c r="P122" s="719"/>
      <c r="Q122" s="709"/>
      <c r="R122" s="709"/>
      <c r="S122" s="709"/>
      <c r="T122" s="710"/>
      <c r="U122" s="721"/>
      <c r="V122" s="722"/>
      <c r="W122" s="722"/>
      <c r="X122" s="722"/>
      <c r="Y122" s="722"/>
      <c r="Z122" s="722"/>
      <c r="AA122" s="723"/>
      <c r="AB122" s="853"/>
      <c r="AC122" s="854"/>
      <c r="AD122" s="854"/>
      <c r="AE122" s="854"/>
      <c r="AF122" s="854"/>
      <c r="AG122" s="854"/>
      <c r="AH122" s="854"/>
      <c r="AI122" s="854"/>
      <c r="AJ122" s="854"/>
      <c r="AK122" s="854"/>
      <c r="AL122" s="855"/>
      <c r="AM122" s="909"/>
      <c r="AN122" s="712"/>
      <c r="AO122" s="712"/>
      <c r="AP122" s="712"/>
      <c r="AQ122" s="712"/>
      <c r="AR122" s="712"/>
      <c r="AS122" s="713"/>
      <c r="AT122" s="909"/>
      <c r="AU122" s="712"/>
      <c r="AV122" s="712"/>
      <c r="AW122" s="713"/>
      <c r="AX122" s="908"/>
      <c r="AY122" s="712"/>
      <c r="AZ122" s="712"/>
      <c r="BA122" s="712"/>
      <c r="BB122" s="712"/>
      <c r="BC122" s="713"/>
      <c r="BD122" s="909"/>
      <c r="BE122" s="712"/>
      <c r="BF122" s="712"/>
      <c r="BG122" s="713"/>
      <c r="BH122" s="908"/>
      <c r="BI122" s="712"/>
      <c r="BJ122" s="712"/>
      <c r="BK122" s="712"/>
      <c r="BL122" s="910"/>
      <c r="BN122" s="881"/>
      <c r="BO122" s="882"/>
      <c r="BP122" s="883"/>
      <c r="BT122" s="792"/>
      <c r="BU122" s="793"/>
      <c r="BV122" s="738" t="str">
        <f>IF(BT122="","-",(IF(INDEX($A$5:$BP$257,MATCH(BT122,$BN$5:$BN$257,0),50)="Aço Inoxidável",('Densidade do AR'!$S$8*1000000),IF(INDEX($A$5:$BP$257,MATCH(BT122,$BN$5:$BN$257,0),50)="Ferro Fundido",('Densidade do AR'!$S$12*1000000),IF(INDEX($A$5:$BP$257,MATCH(BT122,$BN$5:$BN$257,0),50)="Latão",('Densidade do AR'!$S$10*1000000),IF(INDEX($A$5:$BP$257,MATCH(BT122,$BN$5:$BN$257,0),50)="Alumínio",('Densidade do AR'!$S$4*1000000)))))))</f>
        <v>-</v>
      </c>
      <c r="BW122" s="739"/>
      <c r="BX122" s="739"/>
      <c r="BY122" s="740"/>
      <c r="BZ122" s="741" t="str">
        <f t="shared" si="30"/>
        <v>-</v>
      </c>
      <c r="CA122" s="742"/>
      <c r="CB122" s="742"/>
      <c r="CC122" s="743"/>
      <c r="CD122" s="741" t="str">
        <f t="shared" si="22"/>
        <v>-</v>
      </c>
      <c r="CE122" s="742"/>
      <c r="CF122" s="742"/>
      <c r="CG122" s="743"/>
      <c r="CH122" s="744" t="str">
        <f t="shared" si="31"/>
        <v>-</v>
      </c>
      <c r="CI122" s="739"/>
      <c r="CJ122" s="739"/>
      <c r="CK122" s="740"/>
      <c r="CL122" s="744" t="str">
        <f t="shared" si="23"/>
        <v>-</v>
      </c>
      <c r="CM122" s="739"/>
      <c r="CN122" s="739"/>
      <c r="CO122" s="740"/>
      <c r="CP122" s="744" t="str">
        <f>IF(BT122="","-",INDEX($A$5:$BP$257,MATCH(BT122,$BN$5:$BN$257,0),39)*(IF(BT122="","-",(1+(((-('Densidade do AR'!$M$4))+('Densidade do AR'!$T$15*1000000))/(IF(INDEX($A$5:$BP$257,MATCH(BT122,$BN$5:$BN$257,0),50)="Aço Inoxidável",('Densidade do AR'!$S$8*1000000),IF(INDEX($A$5:$BP$257,MATCH(BT122,$BN$5:$BN$257,0),50)="Ferro Fundido",('Densidade do AR'!$S$12*1000000),IF(INDEX($A$5:$BP$257,MATCH(BT122,$BN$5:$BN$257,0),50)="Latão",('Densidade do AR'!$S$10*1000000),IF(INDEX($A$5:$BP$257,MATCH(BT122,$BN$5:$BN$257,0),50)="Alumínio",('Densidade do AR'!$S$4*1000000)))))))-(((-('Densidade do AR'!$M$4))+('Densidade do AR'!$T$15*1000000))/('Densidade do AR'!$S$14*1000000))))))</f>
        <v>-</v>
      </c>
      <c r="CQ122" s="739"/>
      <c r="CR122" s="739"/>
      <c r="CS122" s="745"/>
      <c r="CT122" s="91" t="str">
        <f t="shared" si="32"/>
        <v>-</v>
      </c>
      <c r="CU122" s="792"/>
      <c r="CV122" s="793"/>
      <c r="CW122" s="738" t="str">
        <f>IF(CU122="","-",(IF(INDEX($A$5:$BP$257,MATCH(CU122,$BN$5:$BN$257,0),50)="Aço Inoxidável",('Densidade do AR'!$S$8*1000000),IF(INDEX($A$5:$BP$257,MATCH(CU122,$BN$5:$BN$257,0),50)="Ferro Fundido",('Densidade do AR'!$S$12*1000000),IF(INDEX($A$5:$BP$257,MATCH(CU122,$BN$5:$BN$257,0),50)="Latão",('Densidade do AR'!$S$10*1000000),IF(INDEX($A$5:$BP$257,MATCH(CU122,$BN$5:$BN$257,0),50)="Alumínio",('Densidade do AR'!$S$4*1000000)))))))</f>
        <v>-</v>
      </c>
      <c r="CX122" s="739"/>
      <c r="CY122" s="739"/>
      <c r="CZ122" s="740"/>
      <c r="DA122" s="741" t="str">
        <f t="shared" si="33"/>
        <v>-</v>
      </c>
      <c r="DB122" s="742"/>
      <c r="DC122" s="742"/>
      <c r="DD122" s="743"/>
      <c r="DE122" s="741" t="str">
        <f t="shared" si="24"/>
        <v>-</v>
      </c>
      <c r="DF122" s="742"/>
      <c r="DG122" s="742"/>
      <c r="DH122" s="743"/>
      <c r="DI122" s="744" t="str">
        <f t="shared" si="34"/>
        <v>-</v>
      </c>
      <c r="DJ122" s="739"/>
      <c r="DK122" s="739"/>
      <c r="DL122" s="740"/>
      <c r="DM122" s="744" t="str">
        <f t="shared" si="25"/>
        <v>-</v>
      </c>
      <c r="DN122" s="739"/>
      <c r="DO122" s="739"/>
      <c r="DP122" s="740"/>
      <c r="DQ122" s="744" t="str">
        <f>IF(CU122="","-",INDEX($A$5:$BP$257,MATCH(CU122,$BN$5:$BN$257,0),39)*(IF(CU122="","-",(1+(((-('Densidade do AR'!$M$4))+('Densidade do AR'!$T$15*1000000))/(IF(INDEX($A$5:$BP$257,MATCH(CU122,$BN$5:$BN$257,0),50)="Aço Inoxidável",('Densidade do AR'!$S$8*1000000),IF(INDEX($A$5:$BP$257,MATCH(CU122,$BN$5:$BN$257,0),50)="Ferro Fundido",('Densidade do AR'!$S$12*1000000),IF(INDEX($A$5:$BP$257,MATCH(CU122,$BN$5:$BN$257,0),50)="Latão",('Densidade do AR'!$S$10*1000000),IF(INDEX($A$5:$BP$257,MATCH(CU122,$BN$5:$BN$257,0),50)="Alumínio",('Densidade do AR'!$S$4*1000000)))))))-(((-('Densidade do AR'!$M$4))+('Densidade do AR'!$T$15*1000000))/('Densidade do AR'!$S$14*1000000))))))</f>
        <v>-</v>
      </c>
      <c r="DR122" s="739"/>
      <c r="DS122" s="739"/>
      <c r="DT122" s="745"/>
      <c r="DU122" s="91" t="str">
        <f t="shared" si="35"/>
        <v>-</v>
      </c>
      <c r="DV122" s="792"/>
      <c r="DW122" s="793"/>
      <c r="DX122" s="738" t="str">
        <f>IF(DV122="","-",(IF(INDEX($A$5:$BP$257,MATCH(DV122,$BN$5:$BN$257,0),50)="Aço Inoxidável",('Densidade do AR'!$S$8*1000000),IF(INDEX($A$5:$BP$257,MATCH(DV122,$BN$5:$BN$257,0),50)="Ferro Fundido",('Densidade do AR'!$S$12*1000000),IF(INDEX($A$5:$BP$257,MATCH(DV122,$BN$5:$BN$257,0),50)="Latão",('Densidade do AR'!$S$10*1000000),IF(INDEX($A$5:$BP$257,MATCH(DV122,$BN$5:$BN$257,0),50)="Alumínio",('Densidade do AR'!$S$4*1000000)))))))</f>
        <v>-</v>
      </c>
      <c r="DY122" s="739"/>
      <c r="DZ122" s="739"/>
      <c r="EA122" s="740"/>
      <c r="EB122" s="741" t="str">
        <f t="shared" si="36"/>
        <v>-</v>
      </c>
      <c r="EC122" s="742"/>
      <c r="ED122" s="742"/>
      <c r="EE122" s="743"/>
      <c r="EF122" s="741" t="str">
        <f t="shared" si="26"/>
        <v>-</v>
      </c>
      <c r="EG122" s="742"/>
      <c r="EH122" s="742"/>
      <c r="EI122" s="743"/>
      <c r="EJ122" s="744" t="str">
        <f t="shared" si="37"/>
        <v>-</v>
      </c>
      <c r="EK122" s="739"/>
      <c r="EL122" s="739"/>
      <c r="EM122" s="740"/>
      <c r="EN122" s="744" t="str">
        <f t="shared" si="27"/>
        <v>-</v>
      </c>
      <c r="EO122" s="739"/>
      <c r="EP122" s="739"/>
      <c r="EQ122" s="740"/>
      <c r="ER122" s="744" t="str">
        <f>IF(DV122="","-",INDEX($A$5:$BP$257,MATCH(DV122,$BN$5:$BN$257,0),39)*(IF(DV122="","-",(1+(((-('Densidade do AR'!$M$4))+('Densidade do AR'!$T$15*1000000))/(IF(INDEX($A$5:$BP$257,MATCH(DV122,$BN$5:$BN$257,0),50)="Aço Inoxidável",('Densidade do AR'!$S$8*1000000),IF(INDEX($A$5:$BP$257,MATCH(DV122,$BN$5:$BN$257,0),50)="Ferro Fundido",('Densidade do AR'!$S$12*1000000),IF(INDEX($A$5:$BP$257,MATCH(DV122,$BN$5:$BN$257,0),50)="Latão",('Densidade do AR'!$S$10*1000000),IF(INDEX($A$5:$BP$257,MATCH(DV122,$BN$5:$BN$257,0),50)="Alumínio",('Densidade do AR'!$S$4*1000000)))))))-(((-('Densidade do AR'!$M$4))+('Densidade do AR'!$T$15*1000000))/('Densidade do AR'!$S$14*1000000))))))</f>
        <v>-</v>
      </c>
      <c r="ES122" s="739"/>
      <c r="ET122" s="739"/>
      <c r="EU122" s="745"/>
      <c r="EV122" s="91" t="str">
        <f t="shared" si="38"/>
        <v>-</v>
      </c>
      <c r="EW122" s="792"/>
      <c r="EX122" s="793"/>
      <c r="EY122" s="738" t="str">
        <f>IF(EW122="","-",(IF(INDEX($A$5:$BP$257,MATCH(EW122,$BN$5:$BN$257,0),50)="Aço Inoxidável",('Densidade do AR'!$S$8*1000000),IF(INDEX($A$5:$BP$257,MATCH(EW122,$BN$5:$BN$257,0),50)="Ferro Fundido",('Densidade do AR'!$S$12*1000000),IF(INDEX($A$5:$BP$257,MATCH(EW122,$BN$5:$BN$257,0),50)="Latão",('Densidade do AR'!$S$10*1000000),IF(INDEX($A$5:$BP$257,MATCH(EW122,$BN$5:$BN$257,0),50)="Alumínio",('Densidade do AR'!$S$4*1000000)))))))</f>
        <v>-</v>
      </c>
      <c r="EZ122" s="739"/>
      <c r="FA122" s="739"/>
      <c r="FB122" s="740"/>
      <c r="FC122" s="741" t="str">
        <f t="shared" si="39"/>
        <v>-</v>
      </c>
      <c r="FD122" s="742"/>
      <c r="FE122" s="742"/>
      <c r="FF122" s="743"/>
      <c r="FG122" s="741" t="str">
        <f t="shared" si="28"/>
        <v>-</v>
      </c>
      <c r="FH122" s="742"/>
      <c r="FI122" s="742"/>
      <c r="FJ122" s="743"/>
      <c r="FK122" s="744" t="str">
        <f t="shared" si="40"/>
        <v>-</v>
      </c>
      <c r="FL122" s="739"/>
      <c r="FM122" s="739"/>
      <c r="FN122" s="740"/>
      <c r="FO122" s="744" t="str">
        <f t="shared" si="29"/>
        <v>-</v>
      </c>
      <c r="FP122" s="739"/>
      <c r="FQ122" s="739"/>
      <c r="FR122" s="740"/>
      <c r="FS122" s="744" t="str">
        <f>IF(EW122="","-",INDEX($A$5:$BP$257,MATCH(EW122,$BN$5:$BN$257,0),39)*(IF(EW122="","-",(1+(((-('Densidade do AR'!$M$4))+('Densidade do AR'!$T$15*1000000))/(IF(INDEX($A$5:$BP$257,MATCH(EW122,$BN$5:$BN$257,0),50)="Aço Inoxidável",('Densidade do AR'!$S$8*1000000),IF(INDEX($A$5:$BP$257,MATCH(EW122,$BN$5:$BN$257,0),50)="Ferro Fundido",('Densidade do AR'!$S$12*1000000),IF(INDEX($A$5:$BP$257,MATCH(EW122,$BN$5:$BN$257,0),50)="Latão",('Densidade do AR'!$S$10*1000000),IF(INDEX($A$5:$BP$257,MATCH(EW122,$BN$5:$BN$257,0),50)="Alumínio",('Densidade do AR'!$S$4*1000000)))))))-(((-('Densidade do AR'!$M$4))+('Densidade do AR'!$T$15*1000000))/('Densidade do AR'!$S$14*1000000))))))</f>
        <v>-</v>
      </c>
      <c r="FT122" s="739"/>
      <c r="FU122" s="739"/>
      <c r="FV122" s="745"/>
      <c r="FW122" s="91" t="str">
        <f t="shared" si="41"/>
        <v>-</v>
      </c>
      <c r="FX122" s="135"/>
    </row>
    <row r="123" spans="1:180" ht="12.75" customHeight="1" x14ac:dyDescent="0.2">
      <c r="A123" s="717">
        <v>119</v>
      </c>
      <c r="B123" s="713"/>
      <c r="C123" s="708"/>
      <c r="D123" s="709"/>
      <c r="E123" s="709"/>
      <c r="F123" s="709"/>
      <c r="G123" s="710"/>
      <c r="H123" s="711"/>
      <c r="I123" s="712"/>
      <c r="J123" s="712"/>
      <c r="K123" s="713"/>
      <c r="L123" s="708"/>
      <c r="M123" s="709"/>
      <c r="N123" s="709"/>
      <c r="O123" s="709"/>
      <c r="P123" s="708"/>
      <c r="Q123" s="709"/>
      <c r="R123" s="709"/>
      <c r="S123" s="709"/>
      <c r="T123" s="710"/>
      <c r="U123" s="714"/>
      <c r="V123" s="715"/>
      <c r="W123" s="715"/>
      <c r="X123" s="715"/>
      <c r="Y123" s="715"/>
      <c r="Z123" s="715"/>
      <c r="AA123" s="716"/>
      <c r="AB123" s="850"/>
      <c r="AC123" s="851"/>
      <c r="AD123" s="851"/>
      <c r="AE123" s="851"/>
      <c r="AF123" s="851"/>
      <c r="AG123" s="851"/>
      <c r="AH123" s="851"/>
      <c r="AI123" s="851"/>
      <c r="AJ123" s="851"/>
      <c r="AK123" s="851"/>
      <c r="AL123" s="852"/>
      <c r="AM123" s="917"/>
      <c r="AN123" s="712"/>
      <c r="AO123" s="712"/>
      <c r="AP123" s="712"/>
      <c r="AQ123" s="712"/>
      <c r="AR123" s="712"/>
      <c r="AS123" s="713"/>
      <c r="AT123" s="917"/>
      <c r="AU123" s="712"/>
      <c r="AV123" s="712"/>
      <c r="AW123" s="713"/>
      <c r="AX123" s="917"/>
      <c r="AY123" s="712"/>
      <c r="AZ123" s="712"/>
      <c r="BA123" s="712"/>
      <c r="BB123" s="712"/>
      <c r="BC123" s="713"/>
      <c r="BD123" s="917"/>
      <c r="BE123" s="712"/>
      <c r="BF123" s="712"/>
      <c r="BG123" s="713"/>
      <c r="BH123" s="918"/>
      <c r="BI123" s="712"/>
      <c r="BJ123" s="712"/>
      <c r="BK123" s="712"/>
      <c r="BL123" s="910"/>
      <c r="BN123" s="878"/>
      <c r="BO123" s="879"/>
      <c r="BP123" s="880"/>
      <c r="BT123" s="794"/>
      <c r="BU123" s="795"/>
      <c r="BV123" s="784" t="str">
        <f>IF(BT123="","-",(IF(INDEX($A$5:$BP$257,MATCH(BT123,$BN$5:$BN$257,0),50)="Aço Inoxidável",('Densidade do AR'!$S$8*1000000),IF(INDEX($A$5:$BP$257,MATCH(BT123,$BN$5:$BN$257,0),50)="Ferro Fundido",('Densidade do AR'!$S$12*1000000),IF(INDEX($A$5:$BP$257,MATCH(BT123,$BN$5:$BN$257,0),50)="Latão",('Densidade do AR'!$S$10*1000000),IF(INDEX($A$5:$BP$257,MATCH(BT123,$BN$5:$BN$257,0),50)="Alumínio",('Densidade do AR'!$S$4*1000000)))))))</f>
        <v>-</v>
      </c>
      <c r="BW123" s="785"/>
      <c r="BX123" s="785"/>
      <c r="BY123" s="786"/>
      <c r="BZ123" s="787" t="str">
        <f t="shared" si="30"/>
        <v>-</v>
      </c>
      <c r="CA123" s="788"/>
      <c r="CB123" s="788"/>
      <c r="CC123" s="789"/>
      <c r="CD123" s="787" t="str">
        <f t="shared" si="22"/>
        <v>-</v>
      </c>
      <c r="CE123" s="788"/>
      <c r="CF123" s="788"/>
      <c r="CG123" s="789"/>
      <c r="CH123" s="790" t="str">
        <f t="shared" si="31"/>
        <v>-</v>
      </c>
      <c r="CI123" s="785"/>
      <c r="CJ123" s="785"/>
      <c r="CK123" s="786"/>
      <c r="CL123" s="790" t="str">
        <f t="shared" si="23"/>
        <v>-</v>
      </c>
      <c r="CM123" s="785"/>
      <c r="CN123" s="785"/>
      <c r="CO123" s="786"/>
      <c r="CP123" s="790" t="str">
        <f>IF(BT123="","-",INDEX($A$5:$BP$257,MATCH(BT123,$BN$5:$BN$257,0),39)*(IF(BT123="","-",(1+(((-('Densidade do AR'!$M$4))+('Densidade do AR'!$T$15*1000000))/(IF(INDEX($A$5:$BP$257,MATCH(BT123,$BN$5:$BN$257,0),50)="Aço Inoxidável",('Densidade do AR'!$S$8*1000000),IF(INDEX($A$5:$BP$257,MATCH(BT123,$BN$5:$BN$257,0),50)="Ferro Fundido",('Densidade do AR'!$S$12*1000000),IF(INDEX($A$5:$BP$257,MATCH(BT123,$BN$5:$BN$257,0),50)="Latão",('Densidade do AR'!$S$10*1000000),IF(INDEX($A$5:$BP$257,MATCH(BT123,$BN$5:$BN$257,0),50)="Alumínio",('Densidade do AR'!$S$4*1000000)))))))-(((-('Densidade do AR'!$M$4))+('Densidade do AR'!$T$15*1000000))/('Densidade do AR'!$S$14*1000000))))))</f>
        <v>-</v>
      </c>
      <c r="CQ123" s="785"/>
      <c r="CR123" s="785"/>
      <c r="CS123" s="791"/>
      <c r="CT123" s="91" t="str">
        <f t="shared" si="32"/>
        <v>-</v>
      </c>
      <c r="CU123" s="794"/>
      <c r="CV123" s="795"/>
      <c r="CW123" s="784" t="str">
        <f>IF(CU123="","-",(IF(INDEX($A$5:$BP$257,MATCH(CU123,$BN$5:$BN$257,0),50)="Aço Inoxidável",('Densidade do AR'!$S$8*1000000),IF(INDEX($A$5:$BP$257,MATCH(CU123,$BN$5:$BN$257,0),50)="Ferro Fundido",('Densidade do AR'!$S$12*1000000),IF(INDEX($A$5:$BP$257,MATCH(CU123,$BN$5:$BN$257,0),50)="Latão",('Densidade do AR'!$S$10*1000000),IF(INDEX($A$5:$BP$257,MATCH(CU123,$BN$5:$BN$257,0),50)="Alumínio",('Densidade do AR'!$S$4*1000000)))))))</f>
        <v>-</v>
      </c>
      <c r="CX123" s="785"/>
      <c r="CY123" s="785"/>
      <c r="CZ123" s="786"/>
      <c r="DA123" s="787" t="str">
        <f t="shared" si="33"/>
        <v>-</v>
      </c>
      <c r="DB123" s="788"/>
      <c r="DC123" s="788"/>
      <c r="DD123" s="789"/>
      <c r="DE123" s="787" t="str">
        <f t="shared" si="24"/>
        <v>-</v>
      </c>
      <c r="DF123" s="788"/>
      <c r="DG123" s="788"/>
      <c r="DH123" s="789"/>
      <c r="DI123" s="790" t="str">
        <f t="shared" si="34"/>
        <v>-</v>
      </c>
      <c r="DJ123" s="785"/>
      <c r="DK123" s="785"/>
      <c r="DL123" s="786"/>
      <c r="DM123" s="790" t="str">
        <f t="shared" si="25"/>
        <v>-</v>
      </c>
      <c r="DN123" s="785"/>
      <c r="DO123" s="785"/>
      <c r="DP123" s="786"/>
      <c r="DQ123" s="790" t="str">
        <f>IF(CU123="","-",INDEX($A$5:$BP$257,MATCH(CU123,$BN$5:$BN$257,0),39)*(IF(CU123="","-",(1+(((-('Densidade do AR'!$M$4))+('Densidade do AR'!$T$15*1000000))/(IF(INDEX($A$5:$BP$257,MATCH(CU123,$BN$5:$BN$257,0),50)="Aço Inoxidável",('Densidade do AR'!$S$8*1000000),IF(INDEX($A$5:$BP$257,MATCH(CU123,$BN$5:$BN$257,0),50)="Ferro Fundido",('Densidade do AR'!$S$12*1000000),IF(INDEX($A$5:$BP$257,MATCH(CU123,$BN$5:$BN$257,0),50)="Latão",('Densidade do AR'!$S$10*1000000),IF(INDEX($A$5:$BP$257,MATCH(CU123,$BN$5:$BN$257,0),50)="Alumínio",('Densidade do AR'!$S$4*1000000)))))))-(((-('Densidade do AR'!$M$4))+('Densidade do AR'!$T$15*1000000))/('Densidade do AR'!$S$14*1000000))))))</f>
        <v>-</v>
      </c>
      <c r="DR123" s="785"/>
      <c r="DS123" s="785"/>
      <c r="DT123" s="791"/>
      <c r="DU123" s="91" t="str">
        <f t="shared" si="35"/>
        <v>-</v>
      </c>
      <c r="DV123" s="794"/>
      <c r="DW123" s="795"/>
      <c r="DX123" s="784" t="str">
        <f>IF(DV123="","-",(IF(INDEX($A$5:$BP$257,MATCH(DV123,$BN$5:$BN$257,0),50)="Aço Inoxidável",('Densidade do AR'!$S$8*1000000),IF(INDEX($A$5:$BP$257,MATCH(DV123,$BN$5:$BN$257,0),50)="Ferro Fundido",('Densidade do AR'!$S$12*1000000),IF(INDEX($A$5:$BP$257,MATCH(DV123,$BN$5:$BN$257,0),50)="Latão",('Densidade do AR'!$S$10*1000000),IF(INDEX($A$5:$BP$257,MATCH(DV123,$BN$5:$BN$257,0),50)="Alumínio",('Densidade do AR'!$S$4*1000000)))))))</f>
        <v>-</v>
      </c>
      <c r="DY123" s="785"/>
      <c r="DZ123" s="785"/>
      <c r="EA123" s="786"/>
      <c r="EB123" s="787" t="str">
        <f t="shared" si="36"/>
        <v>-</v>
      </c>
      <c r="EC123" s="788"/>
      <c r="ED123" s="788"/>
      <c r="EE123" s="789"/>
      <c r="EF123" s="787" t="str">
        <f t="shared" si="26"/>
        <v>-</v>
      </c>
      <c r="EG123" s="788"/>
      <c r="EH123" s="788"/>
      <c r="EI123" s="789"/>
      <c r="EJ123" s="790" t="str">
        <f t="shared" si="37"/>
        <v>-</v>
      </c>
      <c r="EK123" s="785"/>
      <c r="EL123" s="785"/>
      <c r="EM123" s="786"/>
      <c r="EN123" s="790" t="str">
        <f t="shared" si="27"/>
        <v>-</v>
      </c>
      <c r="EO123" s="785"/>
      <c r="EP123" s="785"/>
      <c r="EQ123" s="786"/>
      <c r="ER123" s="790" t="str">
        <f>IF(DV123="","-",INDEX($A$5:$BP$257,MATCH(DV123,$BN$5:$BN$257,0),39)*(IF(DV123="","-",(1+(((-('Densidade do AR'!$M$4))+('Densidade do AR'!$T$15*1000000))/(IF(INDEX($A$5:$BP$257,MATCH(DV123,$BN$5:$BN$257,0),50)="Aço Inoxidável",('Densidade do AR'!$S$8*1000000),IF(INDEX($A$5:$BP$257,MATCH(DV123,$BN$5:$BN$257,0),50)="Ferro Fundido",('Densidade do AR'!$S$12*1000000),IF(INDEX($A$5:$BP$257,MATCH(DV123,$BN$5:$BN$257,0),50)="Latão",('Densidade do AR'!$S$10*1000000),IF(INDEX($A$5:$BP$257,MATCH(DV123,$BN$5:$BN$257,0),50)="Alumínio",('Densidade do AR'!$S$4*1000000)))))))-(((-('Densidade do AR'!$M$4))+('Densidade do AR'!$T$15*1000000))/('Densidade do AR'!$S$14*1000000))))))</f>
        <v>-</v>
      </c>
      <c r="ES123" s="785"/>
      <c r="ET123" s="785"/>
      <c r="EU123" s="791"/>
      <c r="EV123" s="91" t="str">
        <f t="shared" si="38"/>
        <v>-</v>
      </c>
      <c r="EW123" s="794"/>
      <c r="EX123" s="795"/>
      <c r="EY123" s="784" t="str">
        <f>IF(EW123="","-",(IF(INDEX($A$5:$BP$257,MATCH(EW123,$BN$5:$BN$257,0),50)="Aço Inoxidável",('Densidade do AR'!$S$8*1000000),IF(INDEX($A$5:$BP$257,MATCH(EW123,$BN$5:$BN$257,0),50)="Ferro Fundido",('Densidade do AR'!$S$12*1000000),IF(INDEX($A$5:$BP$257,MATCH(EW123,$BN$5:$BN$257,0),50)="Latão",('Densidade do AR'!$S$10*1000000),IF(INDEX($A$5:$BP$257,MATCH(EW123,$BN$5:$BN$257,0),50)="Alumínio",('Densidade do AR'!$S$4*1000000)))))))</f>
        <v>-</v>
      </c>
      <c r="EZ123" s="785"/>
      <c r="FA123" s="785"/>
      <c r="FB123" s="786"/>
      <c r="FC123" s="787" t="str">
        <f t="shared" si="39"/>
        <v>-</v>
      </c>
      <c r="FD123" s="788"/>
      <c r="FE123" s="788"/>
      <c r="FF123" s="789"/>
      <c r="FG123" s="787" t="str">
        <f t="shared" si="28"/>
        <v>-</v>
      </c>
      <c r="FH123" s="788"/>
      <c r="FI123" s="788"/>
      <c r="FJ123" s="789"/>
      <c r="FK123" s="790" t="str">
        <f t="shared" si="40"/>
        <v>-</v>
      </c>
      <c r="FL123" s="785"/>
      <c r="FM123" s="785"/>
      <c r="FN123" s="786"/>
      <c r="FO123" s="790" t="str">
        <f t="shared" si="29"/>
        <v>-</v>
      </c>
      <c r="FP123" s="785"/>
      <c r="FQ123" s="785"/>
      <c r="FR123" s="786"/>
      <c r="FS123" s="790" t="str">
        <f>IF(EW123="","-",INDEX($A$5:$BP$257,MATCH(EW123,$BN$5:$BN$257,0),39)*(IF(EW123="","-",(1+(((-('Densidade do AR'!$M$4))+('Densidade do AR'!$T$15*1000000))/(IF(INDEX($A$5:$BP$257,MATCH(EW123,$BN$5:$BN$257,0),50)="Aço Inoxidável",('Densidade do AR'!$S$8*1000000),IF(INDEX($A$5:$BP$257,MATCH(EW123,$BN$5:$BN$257,0),50)="Ferro Fundido",('Densidade do AR'!$S$12*1000000),IF(INDEX($A$5:$BP$257,MATCH(EW123,$BN$5:$BN$257,0),50)="Latão",('Densidade do AR'!$S$10*1000000),IF(INDEX($A$5:$BP$257,MATCH(EW123,$BN$5:$BN$257,0),50)="Alumínio",('Densidade do AR'!$S$4*1000000)))))))-(((-('Densidade do AR'!$M$4))+('Densidade do AR'!$T$15*1000000))/('Densidade do AR'!$S$14*1000000))))))</f>
        <v>-</v>
      </c>
      <c r="FT123" s="785"/>
      <c r="FU123" s="785"/>
      <c r="FV123" s="791"/>
      <c r="FW123" s="91" t="str">
        <f t="shared" si="41"/>
        <v>-</v>
      </c>
      <c r="FX123" s="135"/>
    </row>
    <row r="124" spans="1:180" ht="12.75" customHeight="1" x14ac:dyDescent="0.2">
      <c r="A124" s="718">
        <v>120</v>
      </c>
      <c r="B124" s="713"/>
      <c r="C124" s="719"/>
      <c r="D124" s="709"/>
      <c r="E124" s="709"/>
      <c r="F124" s="709"/>
      <c r="G124" s="710"/>
      <c r="H124" s="720"/>
      <c r="I124" s="712"/>
      <c r="J124" s="712"/>
      <c r="K124" s="713"/>
      <c r="L124" s="719"/>
      <c r="M124" s="709"/>
      <c r="N124" s="709"/>
      <c r="O124" s="709"/>
      <c r="P124" s="719"/>
      <c r="Q124" s="709"/>
      <c r="R124" s="709"/>
      <c r="S124" s="709"/>
      <c r="T124" s="710"/>
      <c r="U124" s="721"/>
      <c r="V124" s="722"/>
      <c r="W124" s="722"/>
      <c r="X124" s="722"/>
      <c r="Y124" s="722"/>
      <c r="Z124" s="722"/>
      <c r="AA124" s="723"/>
      <c r="AB124" s="853"/>
      <c r="AC124" s="854"/>
      <c r="AD124" s="854"/>
      <c r="AE124" s="854"/>
      <c r="AF124" s="854"/>
      <c r="AG124" s="854"/>
      <c r="AH124" s="854"/>
      <c r="AI124" s="854"/>
      <c r="AJ124" s="854"/>
      <c r="AK124" s="854"/>
      <c r="AL124" s="855"/>
      <c r="AM124" s="909"/>
      <c r="AN124" s="712"/>
      <c r="AO124" s="712"/>
      <c r="AP124" s="712"/>
      <c r="AQ124" s="712"/>
      <c r="AR124" s="712"/>
      <c r="AS124" s="713"/>
      <c r="AT124" s="909"/>
      <c r="AU124" s="712"/>
      <c r="AV124" s="712"/>
      <c r="AW124" s="713"/>
      <c r="AX124" s="908"/>
      <c r="AY124" s="712"/>
      <c r="AZ124" s="712"/>
      <c r="BA124" s="712"/>
      <c r="BB124" s="712"/>
      <c r="BC124" s="713"/>
      <c r="BD124" s="909"/>
      <c r="BE124" s="712"/>
      <c r="BF124" s="712"/>
      <c r="BG124" s="713"/>
      <c r="BH124" s="908"/>
      <c r="BI124" s="712"/>
      <c r="BJ124" s="712"/>
      <c r="BK124" s="712"/>
      <c r="BL124" s="910"/>
      <c r="BN124" s="881"/>
      <c r="BO124" s="882"/>
      <c r="BP124" s="883"/>
      <c r="BT124" s="736"/>
      <c r="BU124" s="737"/>
      <c r="BV124" s="738" t="str">
        <f>IF(BT124="","-",(IF(INDEX($A$5:$BP$257,MATCH(BT124,$BN$5:$BN$257,0),50)="Aço Inoxidável",('Densidade do AR'!$S$8*1000000),IF(INDEX($A$5:$BP$257,MATCH(BT124,$BN$5:$BN$257,0),50)="Ferro Fundido",('Densidade do AR'!$S$12*1000000),IF(INDEX($A$5:$BP$257,MATCH(BT124,$BN$5:$BN$257,0),50)="Latão",('Densidade do AR'!$S$10*1000000),IF(INDEX($A$5:$BP$257,MATCH(BT124,$BN$5:$BN$257,0),50)="Alumínio",('Densidade do AR'!$S$4*1000000)))))))</f>
        <v>-</v>
      </c>
      <c r="BW124" s="739"/>
      <c r="BX124" s="739"/>
      <c r="BY124" s="740"/>
      <c r="BZ124" s="741" t="str">
        <f t="shared" si="30"/>
        <v>-</v>
      </c>
      <c r="CA124" s="742"/>
      <c r="CB124" s="742"/>
      <c r="CC124" s="743"/>
      <c r="CD124" s="741" t="str">
        <f t="shared" si="22"/>
        <v>-</v>
      </c>
      <c r="CE124" s="742"/>
      <c r="CF124" s="742"/>
      <c r="CG124" s="743"/>
      <c r="CH124" s="744" t="str">
        <f t="shared" si="31"/>
        <v>-</v>
      </c>
      <c r="CI124" s="739"/>
      <c r="CJ124" s="739"/>
      <c r="CK124" s="740"/>
      <c r="CL124" s="744" t="str">
        <f t="shared" si="23"/>
        <v>-</v>
      </c>
      <c r="CM124" s="739"/>
      <c r="CN124" s="739"/>
      <c r="CO124" s="740"/>
      <c r="CP124" s="744" t="str">
        <f>IF(BT124="","-",INDEX($A$5:$BP$257,MATCH(BT124,$BN$5:$BN$257,0),39)*(IF(BT124="","-",(1+(((-('Densidade do AR'!$M$4))+('Densidade do AR'!$T$15*1000000))/(IF(INDEX($A$5:$BP$257,MATCH(BT124,$BN$5:$BN$257,0),50)="Aço Inoxidável",('Densidade do AR'!$S$8*1000000),IF(INDEX($A$5:$BP$257,MATCH(BT124,$BN$5:$BN$257,0),50)="Ferro Fundido",('Densidade do AR'!$S$12*1000000),IF(INDEX($A$5:$BP$257,MATCH(BT124,$BN$5:$BN$257,0),50)="Latão",('Densidade do AR'!$S$10*1000000),IF(INDEX($A$5:$BP$257,MATCH(BT124,$BN$5:$BN$257,0),50)="Alumínio",('Densidade do AR'!$S$4*1000000)))))))-(((-('Densidade do AR'!$M$4))+('Densidade do AR'!$T$15*1000000))/('Densidade do AR'!$S$14*1000000))))))</f>
        <v>-</v>
      </c>
      <c r="CQ124" s="739"/>
      <c r="CR124" s="739"/>
      <c r="CS124" s="745"/>
      <c r="CT124" s="91" t="str">
        <f t="shared" si="32"/>
        <v>-</v>
      </c>
      <c r="CU124" s="736"/>
      <c r="CV124" s="737"/>
      <c r="CW124" s="738" t="str">
        <f>IF(CU124="","-",(IF(INDEX($A$5:$BP$257,MATCH(CU124,$BN$5:$BN$257,0),50)="Aço Inoxidável",('Densidade do AR'!$S$8*1000000),IF(INDEX($A$5:$BP$257,MATCH(CU124,$BN$5:$BN$257,0),50)="Ferro Fundido",('Densidade do AR'!$S$12*1000000),IF(INDEX($A$5:$BP$257,MATCH(CU124,$BN$5:$BN$257,0),50)="Latão",('Densidade do AR'!$S$10*1000000),IF(INDEX($A$5:$BP$257,MATCH(CU124,$BN$5:$BN$257,0),50)="Alumínio",('Densidade do AR'!$S$4*1000000)))))))</f>
        <v>-</v>
      </c>
      <c r="CX124" s="739"/>
      <c r="CY124" s="739"/>
      <c r="CZ124" s="740"/>
      <c r="DA124" s="741" t="str">
        <f t="shared" si="33"/>
        <v>-</v>
      </c>
      <c r="DB124" s="742"/>
      <c r="DC124" s="742"/>
      <c r="DD124" s="743"/>
      <c r="DE124" s="741" t="str">
        <f t="shared" si="24"/>
        <v>-</v>
      </c>
      <c r="DF124" s="742"/>
      <c r="DG124" s="742"/>
      <c r="DH124" s="743"/>
      <c r="DI124" s="744" t="str">
        <f t="shared" si="34"/>
        <v>-</v>
      </c>
      <c r="DJ124" s="739"/>
      <c r="DK124" s="739"/>
      <c r="DL124" s="740"/>
      <c r="DM124" s="744" t="str">
        <f t="shared" si="25"/>
        <v>-</v>
      </c>
      <c r="DN124" s="739"/>
      <c r="DO124" s="739"/>
      <c r="DP124" s="740"/>
      <c r="DQ124" s="744" t="str">
        <f>IF(CU124="","-",INDEX($A$5:$BP$257,MATCH(CU124,$BN$5:$BN$257,0),39)*(IF(CU124="","-",(1+(((-('Densidade do AR'!$M$4))+('Densidade do AR'!$T$15*1000000))/(IF(INDEX($A$5:$BP$257,MATCH(CU124,$BN$5:$BN$257,0),50)="Aço Inoxidável",('Densidade do AR'!$S$8*1000000),IF(INDEX($A$5:$BP$257,MATCH(CU124,$BN$5:$BN$257,0),50)="Ferro Fundido",('Densidade do AR'!$S$12*1000000),IF(INDEX($A$5:$BP$257,MATCH(CU124,$BN$5:$BN$257,0),50)="Latão",('Densidade do AR'!$S$10*1000000),IF(INDEX($A$5:$BP$257,MATCH(CU124,$BN$5:$BN$257,0),50)="Alumínio",('Densidade do AR'!$S$4*1000000)))))))-(((-('Densidade do AR'!$M$4))+('Densidade do AR'!$T$15*1000000))/('Densidade do AR'!$S$14*1000000))))))</f>
        <v>-</v>
      </c>
      <c r="DR124" s="739"/>
      <c r="DS124" s="739"/>
      <c r="DT124" s="745"/>
      <c r="DU124" s="91" t="str">
        <f t="shared" si="35"/>
        <v>-</v>
      </c>
      <c r="DV124" s="736"/>
      <c r="DW124" s="737"/>
      <c r="DX124" s="738" t="str">
        <f>IF(DV124="","-",(IF(INDEX($A$5:$BP$257,MATCH(DV124,$BN$5:$BN$257,0),50)="Aço Inoxidável",('Densidade do AR'!$S$8*1000000),IF(INDEX($A$5:$BP$257,MATCH(DV124,$BN$5:$BN$257,0),50)="Ferro Fundido",('Densidade do AR'!$S$12*1000000),IF(INDEX($A$5:$BP$257,MATCH(DV124,$BN$5:$BN$257,0),50)="Latão",('Densidade do AR'!$S$10*1000000),IF(INDEX($A$5:$BP$257,MATCH(DV124,$BN$5:$BN$257,0),50)="Alumínio",('Densidade do AR'!$S$4*1000000)))))))</f>
        <v>-</v>
      </c>
      <c r="DY124" s="739"/>
      <c r="DZ124" s="739"/>
      <c r="EA124" s="740"/>
      <c r="EB124" s="741" t="str">
        <f t="shared" si="36"/>
        <v>-</v>
      </c>
      <c r="EC124" s="742"/>
      <c r="ED124" s="742"/>
      <c r="EE124" s="743"/>
      <c r="EF124" s="741" t="str">
        <f t="shared" si="26"/>
        <v>-</v>
      </c>
      <c r="EG124" s="742"/>
      <c r="EH124" s="742"/>
      <c r="EI124" s="743"/>
      <c r="EJ124" s="744" t="str">
        <f t="shared" si="37"/>
        <v>-</v>
      </c>
      <c r="EK124" s="739"/>
      <c r="EL124" s="739"/>
      <c r="EM124" s="740"/>
      <c r="EN124" s="744" t="str">
        <f t="shared" si="27"/>
        <v>-</v>
      </c>
      <c r="EO124" s="739"/>
      <c r="EP124" s="739"/>
      <c r="EQ124" s="740"/>
      <c r="ER124" s="744" t="str">
        <f>IF(DV124="","-",INDEX($A$5:$BP$257,MATCH(DV124,$BN$5:$BN$257,0),39)*(IF(DV124="","-",(1+(((-('Densidade do AR'!$M$4))+('Densidade do AR'!$T$15*1000000))/(IF(INDEX($A$5:$BP$257,MATCH(DV124,$BN$5:$BN$257,0),50)="Aço Inoxidável",('Densidade do AR'!$S$8*1000000),IF(INDEX($A$5:$BP$257,MATCH(DV124,$BN$5:$BN$257,0),50)="Ferro Fundido",('Densidade do AR'!$S$12*1000000),IF(INDEX($A$5:$BP$257,MATCH(DV124,$BN$5:$BN$257,0),50)="Latão",('Densidade do AR'!$S$10*1000000),IF(INDEX($A$5:$BP$257,MATCH(DV124,$BN$5:$BN$257,0),50)="Alumínio",('Densidade do AR'!$S$4*1000000)))))))-(((-('Densidade do AR'!$M$4))+('Densidade do AR'!$T$15*1000000))/('Densidade do AR'!$S$14*1000000))))))</f>
        <v>-</v>
      </c>
      <c r="ES124" s="739"/>
      <c r="ET124" s="739"/>
      <c r="EU124" s="745"/>
      <c r="EV124" s="91" t="str">
        <f t="shared" si="38"/>
        <v>-</v>
      </c>
      <c r="EW124" s="736"/>
      <c r="EX124" s="737"/>
      <c r="EY124" s="738" t="str">
        <f>IF(EW124="","-",(IF(INDEX($A$5:$BP$257,MATCH(EW124,$BN$5:$BN$257,0),50)="Aço Inoxidável",('Densidade do AR'!$S$8*1000000),IF(INDEX($A$5:$BP$257,MATCH(EW124,$BN$5:$BN$257,0),50)="Ferro Fundido",('Densidade do AR'!$S$12*1000000),IF(INDEX($A$5:$BP$257,MATCH(EW124,$BN$5:$BN$257,0),50)="Latão",('Densidade do AR'!$S$10*1000000),IF(INDEX($A$5:$BP$257,MATCH(EW124,$BN$5:$BN$257,0),50)="Alumínio",('Densidade do AR'!$S$4*1000000)))))))</f>
        <v>-</v>
      </c>
      <c r="EZ124" s="739"/>
      <c r="FA124" s="739"/>
      <c r="FB124" s="740"/>
      <c r="FC124" s="741" t="str">
        <f t="shared" si="39"/>
        <v>-</v>
      </c>
      <c r="FD124" s="742"/>
      <c r="FE124" s="742"/>
      <c r="FF124" s="743"/>
      <c r="FG124" s="741" t="str">
        <f t="shared" si="28"/>
        <v>-</v>
      </c>
      <c r="FH124" s="742"/>
      <c r="FI124" s="742"/>
      <c r="FJ124" s="743"/>
      <c r="FK124" s="744" t="str">
        <f t="shared" si="40"/>
        <v>-</v>
      </c>
      <c r="FL124" s="739"/>
      <c r="FM124" s="739"/>
      <c r="FN124" s="740"/>
      <c r="FO124" s="744" t="str">
        <f t="shared" si="29"/>
        <v>-</v>
      </c>
      <c r="FP124" s="739"/>
      <c r="FQ124" s="739"/>
      <c r="FR124" s="740"/>
      <c r="FS124" s="744" t="str">
        <f>IF(EW124="","-",INDEX($A$5:$BP$257,MATCH(EW124,$BN$5:$BN$257,0),39)*(IF(EW124="","-",(1+(((-('Densidade do AR'!$M$4))+('Densidade do AR'!$T$15*1000000))/(IF(INDEX($A$5:$BP$257,MATCH(EW124,$BN$5:$BN$257,0),50)="Aço Inoxidável",('Densidade do AR'!$S$8*1000000),IF(INDEX($A$5:$BP$257,MATCH(EW124,$BN$5:$BN$257,0),50)="Ferro Fundido",('Densidade do AR'!$S$12*1000000),IF(INDEX($A$5:$BP$257,MATCH(EW124,$BN$5:$BN$257,0),50)="Latão",('Densidade do AR'!$S$10*1000000),IF(INDEX($A$5:$BP$257,MATCH(EW124,$BN$5:$BN$257,0),50)="Alumínio",('Densidade do AR'!$S$4*1000000)))))))-(((-('Densidade do AR'!$M$4))+('Densidade do AR'!$T$15*1000000))/('Densidade do AR'!$S$14*1000000))))))</f>
        <v>-</v>
      </c>
      <c r="FT124" s="739"/>
      <c r="FU124" s="739"/>
      <c r="FV124" s="745"/>
      <c r="FW124" s="91" t="str">
        <f t="shared" si="41"/>
        <v>-</v>
      </c>
      <c r="FX124" s="135"/>
    </row>
    <row r="125" spans="1:180" ht="12.75" customHeight="1" x14ac:dyDescent="0.2">
      <c r="A125" s="717">
        <v>121</v>
      </c>
      <c r="B125" s="713"/>
      <c r="C125" s="708"/>
      <c r="D125" s="709"/>
      <c r="E125" s="709"/>
      <c r="F125" s="709"/>
      <c r="G125" s="710"/>
      <c r="H125" s="711"/>
      <c r="I125" s="712"/>
      <c r="J125" s="712"/>
      <c r="K125" s="713"/>
      <c r="L125" s="708"/>
      <c r="M125" s="709"/>
      <c r="N125" s="709"/>
      <c r="O125" s="709"/>
      <c r="P125" s="708"/>
      <c r="Q125" s="709"/>
      <c r="R125" s="709"/>
      <c r="S125" s="709"/>
      <c r="T125" s="710"/>
      <c r="U125" s="714"/>
      <c r="V125" s="715"/>
      <c r="W125" s="715"/>
      <c r="X125" s="715"/>
      <c r="Y125" s="715"/>
      <c r="Z125" s="715"/>
      <c r="AA125" s="716"/>
      <c r="AB125" s="850"/>
      <c r="AC125" s="851"/>
      <c r="AD125" s="851"/>
      <c r="AE125" s="851"/>
      <c r="AF125" s="851"/>
      <c r="AG125" s="851"/>
      <c r="AH125" s="851"/>
      <c r="AI125" s="851"/>
      <c r="AJ125" s="851"/>
      <c r="AK125" s="851"/>
      <c r="AL125" s="852"/>
      <c r="AM125" s="917"/>
      <c r="AN125" s="712"/>
      <c r="AO125" s="712"/>
      <c r="AP125" s="712"/>
      <c r="AQ125" s="712"/>
      <c r="AR125" s="712"/>
      <c r="AS125" s="713"/>
      <c r="AT125" s="917"/>
      <c r="AU125" s="712"/>
      <c r="AV125" s="712"/>
      <c r="AW125" s="713"/>
      <c r="AX125" s="917"/>
      <c r="AY125" s="712"/>
      <c r="AZ125" s="712"/>
      <c r="BA125" s="712"/>
      <c r="BB125" s="712"/>
      <c r="BC125" s="713"/>
      <c r="BD125" s="917"/>
      <c r="BE125" s="712"/>
      <c r="BF125" s="712"/>
      <c r="BG125" s="713"/>
      <c r="BH125" s="918"/>
      <c r="BI125" s="712"/>
      <c r="BJ125" s="712"/>
      <c r="BK125" s="712"/>
      <c r="BL125" s="910"/>
      <c r="BN125" s="878"/>
      <c r="BO125" s="879"/>
      <c r="BP125" s="880"/>
      <c r="BT125" s="746"/>
      <c r="BU125" s="747"/>
      <c r="BV125" s="784" t="str">
        <f>IF(BT125="","-",(IF(INDEX($A$5:$BP$257,MATCH(BT125,$BN$5:$BN$257,0),50)="Aço Inoxidável",('Densidade do AR'!$S$8*1000000),IF(INDEX($A$5:$BP$257,MATCH(BT125,$BN$5:$BN$257,0),50)="Ferro Fundido",('Densidade do AR'!$S$12*1000000),IF(INDEX($A$5:$BP$257,MATCH(BT125,$BN$5:$BN$257,0),50)="Latão",('Densidade do AR'!$S$10*1000000),IF(INDEX($A$5:$BP$257,MATCH(BT125,$BN$5:$BN$257,0),50)="Alumínio",('Densidade do AR'!$S$4*1000000)))))))</f>
        <v>-</v>
      </c>
      <c r="BW125" s="785"/>
      <c r="BX125" s="785"/>
      <c r="BY125" s="786"/>
      <c r="BZ125" s="787" t="str">
        <f t="shared" si="30"/>
        <v>-</v>
      </c>
      <c r="CA125" s="788"/>
      <c r="CB125" s="788"/>
      <c r="CC125" s="789"/>
      <c r="CD125" s="787" t="str">
        <f t="shared" si="22"/>
        <v>-</v>
      </c>
      <c r="CE125" s="788"/>
      <c r="CF125" s="788"/>
      <c r="CG125" s="789"/>
      <c r="CH125" s="790" t="str">
        <f t="shared" si="31"/>
        <v>-</v>
      </c>
      <c r="CI125" s="785"/>
      <c r="CJ125" s="785"/>
      <c r="CK125" s="786"/>
      <c r="CL125" s="790" t="str">
        <f t="shared" si="23"/>
        <v>-</v>
      </c>
      <c r="CM125" s="785"/>
      <c r="CN125" s="785"/>
      <c r="CO125" s="786"/>
      <c r="CP125" s="790" t="str">
        <f>IF(BT125="","-",INDEX($A$5:$BP$257,MATCH(BT125,$BN$5:$BN$257,0),39)*(IF(BT125="","-",(1+(((-('Densidade do AR'!$M$4))+('Densidade do AR'!$T$15*1000000))/(IF(INDEX($A$5:$BP$257,MATCH(BT125,$BN$5:$BN$257,0),50)="Aço Inoxidável",('Densidade do AR'!$S$8*1000000),IF(INDEX($A$5:$BP$257,MATCH(BT125,$BN$5:$BN$257,0),50)="Ferro Fundido",('Densidade do AR'!$S$12*1000000),IF(INDEX($A$5:$BP$257,MATCH(BT125,$BN$5:$BN$257,0),50)="Latão",('Densidade do AR'!$S$10*1000000),IF(INDEX($A$5:$BP$257,MATCH(BT125,$BN$5:$BN$257,0),50)="Alumínio",('Densidade do AR'!$S$4*1000000)))))))-(((-('Densidade do AR'!$M$4))+('Densidade do AR'!$T$15*1000000))/('Densidade do AR'!$S$14*1000000))))))</f>
        <v>-</v>
      </c>
      <c r="CQ125" s="785"/>
      <c r="CR125" s="785"/>
      <c r="CS125" s="791"/>
      <c r="CT125" s="91" t="str">
        <f t="shared" si="32"/>
        <v>-</v>
      </c>
      <c r="CU125" s="746"/>
      <c r="CV125" s="747"/>
      <c r="CW125" s="784" t="str">
        <f>IF(CU125="","-",(IF(INDEX($A$5:$BP$257,MATCH(CU125,$BN$5:$BN$257,0),50)="Aço Inoxidável",('Densidade do AR'!$S$8*1000000),IF(INDEX($A$5:$BP$257,MATCH(CU125,$BN$5:$BN$257,0),50)="Ferro Fundido",('Densidade do AR'!$S$12*1000000),IF(INDEX($A$5:$BP$257,MATCH(CU125,$BN$5:$BN$257,0),50)="Latão",('Densidade do AR'!$S$10*1000000),IF(INDEX($A$5:$BP$257,MATCH(CU125,$BN$5:$BN$257,0),50)="Alumínio",('Densidade do AR'!$S$4*1000000)))))))</f>
        <v>-</v>
      </c>
      <c r="CX125" s="785"/>
      <c r="CY125" s="785"/>
      <c r="CZ125" s="786"/>
      <c r="DA125" s="787" t="str">
        <f t="shared" si="33"/>
        <v>-</v>
      </c>
      <c r="DB125" s="788"/>
      <c r="DC125" s="788"/>
      <c r="DD125" s="789"/>
      <c r="DE125" s="787" t="str">
        <f t="shared" si="24"/>
        <v>-</v>
      </c>
      <c r="DF125" s="788"/>
      <c r="DG125" s="788"/>
      <c r="DH125" s="789"/>
      <c r="DI125" s="790" t="str">
        <f t="shared" si="34"/>
        <v>-</v>
      </c>
      <c r="DJ125" s="785"/>
      <c r="DK125" s="785"/>
      <c r="DL125" s="786"/>
      <c r="DM125" s="790" t="str">
        <f t="shared" si="25"/>
        <v>-</v>
      </c>
      <c r="DN125" s="785"/>
      <c r="DO125" s="785"/>
      <c r="DP125" s="786"/>
      <c r="DQ125" s="790" t="str">
        <f>IF(CU125="","-",INDEX($A$5:$BP$257,MATCH(CU125,$BN$5:$BN$257,0),39)*(IF(CU125="","-",(1+(((-('Densidade do AR'!$M$4))+('Densidade do AR'!$T$15*1000000))/(IF(INDEX($A$5:$BP$257,MATCH(CU125,$BN$5:$BN$257,0),50)="Aço Inoxidável",('Densidade do AR'!$S$8*1000000),IF(INDEX($A$5:$BP$257,MATCH(CU125,$BN$5:$BN$257,0),50)="Ferro Fundido",('Densidade do AR'!$S$12*1000000),IF(INDEX($A$5:$BP$257,MATCH(CU125,$BN$5:$BN$257,0),50)="Latão",('Densidade do AR'!$S$10*1000000),IF(INDEX($A$5:$BP$257,MATCH(CU125,$BN$5:$BN$257,0),50)="Alumínio",('Densidade do AR'!$S$4*1000000)))))))-(((-('Densidade do AR'!$M$4))+('Densidade do AR'!$T$15*1000000))/('Densidade do AR'!$S$14*1000000))))))</f>
        <v>-</v>
      </c>
      <c r="DR125" s="785"/>
      <c r="DS125" s="785"/>
      <c r="DT125" s="791"/>
      <c r="DU125" s="91" t="str">
        <f t="shared" si="35"/>
        <v>-</v>
      </c>
      <c r="DV125" s="746"/>
      <c r="DW125" s="747"/>
      <c r="DX125" s="784" t="str">
        <f>IF(DV125="","-",(IF(INDEX($A$5:$BP$257,MATCH(DV125,$BN$5:$BN$257,0),50)="Aço Inoxidável",('Densidade do AR'!$S$8*1000000),IF(INDEX($A$5:$BP$257,MATCH(DV125,$BN$5:$BN$257,0),50)="Ferro Fundido",('Densidade do AR'!$S$12*1000000),IF(INDEX($A$5:$BP$257,MATCH(DV125,$BN$5:$BN$257,0),50)="Latão",('Densidade do AR'!$S$10*1000000),IF(INDEX($A$5:$BP$257,MATCH(DV125,$BN$5:$BN$257,0),50)="Alumínio",('Densidade do AR'!$S$4*1000000)))))))</f>
        <v>-</v>
      </c>
      <c r="DY125" s="785"/>
      <c r="DZ125" s="785"/>
      <c r="EA125" s="786"/>
      <c r="EB125" s="787" t="str">
        <f t="shared" si="36"/>
        <v>-</v>
      </c>
      <c r="EC125" s="788"/>
      <c r="ED125" s="788"/>
      <c r="EE125" s="789"/>
      <c r="EF125" s="787" t="str">
        <f t="shared" si="26"/>
        <v>-</v>
      </c>
      <c r="EG125" s="788"/>
      <c r="EH125" s="788"/>
      <c r="EI125" s="789"/>
      <c r="EJ125" s="790" t="str">
        <f t="shared" si="37"/>
        <v>-</v>
      </c>
      <c r="EK125" s="785"/>
      <c r="EL125" s="785"/>
      <c r="EM125" s="786"/>
      <c r="EN125" s="790" t="str">
        <f t="shared" si="27"/>
        <v>-</v>
      </c>
      <c r="EO125" s="785"/>
      <c r="EP125" s="785"/>
      <c r="EQ125" s="786"/>
      <c r="ER125" s="790" t="str">
        <f>IF(DV125="","-",INDEX($A$5:$BP$257,MATCH(DV125,$BN$5:$BN$257,0),39)*(IF(DV125="","-",(1+(((-('Densidade do AR'!$M$4))+('Densidade do AR'!$T$15*1000000))/(IF(INDEX($A$5:$BP$257,MATCH(DV125,$BN$5:$BN$257,0),50)="Aço Inoxidável",('Densidade do AR'!$S$8*1000000),IF(INDEX($A$5:$BP$257,MATCH(DV125,$BN$5:$BN$257,0),50)="Ferro Fundido",('Densidade do AR'!$S$12*1000000),IF(INDEX($A$5:$BP$257,MATCH(DV125,$BN$5:$BN$257,0),50)="Latão",('Densidade do AR'!$S$10*1000000),IF(INDEX($A$5:$BP$257,MATCH(DV125,$BN$5:$BN$257,0),50)="Alumínio",('Densidade do AR'!$S$4*1000000)))))))-(((-('Densidade do AR'!$M$4))+('Densidade do AR'!$T$15*1000000))/('Densidade do AR'!$S$14*1000000))))))</f>
        <v>-</v>
      </c>
      <c r="ES125" s="785"/>
      <c r="ET125" s="785"/>
      <c r="EU125" s="791"/>
      <c r="EV125" s="91" t="str">
        <f t="shared" si="38"/>
        <v>-</v>
      </c>
      <c r="EW125" s="746"/>
      <c r="EX125" s="747"/>
      <c r="EY125" s="784" t="str">
        <f>IF(EW125="","-",(IF(INDEX($A$5:$BP$257,MATCH(EW125,$BN$5:$BN$257,0),50)="Aço Inoxidável",('Densidade do AR'!$S$8*1000000),IF(INDEX($A$5:$BP$257,MATCH(EW125,$BN$5:$BN$257,0),50)="Ferro Fundido",('Densidade do AR'!$S$12*1000000),IF(INDEX($A$5:$BP$257,MATCH(EW125,$BN$5:$BN$257,0),50)="Latão",('Densidade do AR'!$S$10*1000000),IF(INDEX($A$5:$BP$257,MATCH(EW125,$BN$5:$BN$257,0),50)="Alumínio",('Densidade do AR'!$S$4*1000000)))))))</f>
        <v>-</v>
      </c>
      <c r="EZ125" s="785"/>
      <c r="FA125" s="785"/>
      <c r="FB125" s="786"/>
      <c r="FC125" s="787" t="str">
        <f t="shared" si="39"/>
        <v>-</v>
      </c>
      <c r="FD125" s="788"/>
      <c r="FE125" s="788"/>
      <c r="FF125" s="789"/>
      <c r="FG125" s="787" t="str">
        <f t="shared" si="28"/>
        <v>-</v>
      </c>
      <c r="FH125" s="788"/>
      <c r="FI125" s="788"/>
      <c r="FJ125" s="789"/>
      <c r="FK125" s="790" t="str">
        <f t="shared" si="40"/>
        <v>-</v>
      </c>
      <c r="FL125" s="785"/>
      <c r="FM125" s="785"/>
      <c r="FN125" s="786"/>
      <c r="FO125" s="790" t="str">
        <f t="shared" si="29"/>
        <v>-</v>
      </c>
      <c r="FP125" s="785"/>
      <c r="FQ125" s="785"/>
      <c r="FR125" s="786"/>
      <c r="FS125" s="790" t="str">
        <f>IF(EW125="","-",INDEX($A$5:$BP$257,MATCH(EW125,$BN$5:$BN$257,0),39)*(IF(EW125="","-",(1+(((-('Densidade do AR'!$M$4))+('Densidade do AR'!$T$15*1000000))/(IF(INDEX($A$5:$BP$257,MATCH(EW125,$BN$5:$BN$257,0),50)="Aço Inoxidável",('Densidade do AR'!$S$8*1000000),IF(INDEX($A$5:$BP$257,MATCH(EW125,$BN$5:$BN$257,0),50)="Ferro Fundido",('Densidade do AR'!$S$12*1000000),IF(INDEX($A$5:$BP$257,MATCH(EW125,$BN$5:$BN$257,0),50)="Latão",('Densidade do AR'!$S$10*1000000),IF(INDEX($A$5:$BP$257,MATCH(EW125,$BN$5:$BN$257,0),50)="Alumínio",('Densidade do AR'!$S$4*1000000)))))))-(((-('Densidade do AR'!$M$4))+('Densidade do AR'!$T$15*1000000))/('Densidade do AR'!$S$14*1000000))))))</f>
        <v>-</v>
      </c>
      <c r="FT125" s="785"/>
      <c r="FU125" s="785"/>
      <c r="FV125" s="791"/>
      <c r="FW125" s="91" t="str">
        <f t="shared" si="41"/>
        <v>-</v>
      </c>
      <c r="FX125" s="135"/>
    </row>
    <row r="126" spans="1:180" ht="12.75" customHeight="1" x14ac:dyDescent="0.2">
      <c r="A126" s="718">
        <v>122</v>
      </c>
      <c r="B126" s="713"/>
      <c r="C126" s="719"/>
      <c r="D126" s="709"/>
      <c r="E126" s="709"/>
      <c r="F126" s="709"/>
      <c r="G126" s="710"/>
      <c r="H126" s="720"/>
      <c r="I126" s="712"/>
      <c r="J126" s="712"/>
      <c r="K126" s="713"/>
      <c r="L126" s="719"/>
      <c r="M126" s="709"/>
      <c r="N126" s="709"/>
      <c r="O126" s="709"/>
      <c r="P126" s="719"/>
      <c r="Q126" s="709"/>
      <c r="R126" s="709"/>
      <c r="S126" s="709"/>
      <c r="T126" s="710"/>
      <c r="U126" s="721"/>
      <c r="V126" s="722"/>
      <c r="W126" s="722"/>
      <c r="X126" s="722"/>
      <c r="Y126" s="722"/>
      <c r="Z126" s="722"/>
      <c r="AA126" s="723"/>
      <c r="AB126" s="853"/>
      <c r="AC126" s="854"/>
      <c r="AD126" s="854"/>
      <c r="AE126" s="854"/>
      <c r="AF126" s="854"/>
      <c r="AG126" s="854"/>
      <c r="AH126" s="854"/>
      <c r="AI126" s="854"/>
      <c r="AJ126" s="854"/>
      <c r="AK126" s="854"/>
      <c r="AL126" s="855"/>
      <c r="AM126" s="909"/>
      <c r="AN126" s="712"/>
      <c r="AO126" s="712"/>
      <c r="AP126" s="712"/>
      <c r="AQ126" s="712"/>
      <c r="AR126" s="712"/>
      <c r="AS126" s="713"/>
      <c r="AT126" s="909"/>
      <c r="AU126" s="712"/>
      <c r="AV126" s="712"/>
      <c r="AW126" s="713"/>
      <c r="AX126" s="908"/>
      <c r="AY126" s="712"/>
      <c r="AZ126" s="712"/>
      <c r="BA126" s="712"/>
      <c r="BB126" s="712"/>
      <c r="BC126" s="713"/>
      <c r="BD126" s="909"/>
      <c r="BE126" s="712"/>
      <c r="BF126" s="712"/>
      <c r="BG126" s="713"/>
      <c r="BH126" s="908"/>
      <c r="BI126" s="712"/>
      <c r="BJ126" s="712"/>
      <c r="BK126" s="712"/>
      <c r="BL126" s="910"/>
      <c r="BN126" s="881"/>
      <c r="BO126" s="882"/>
      <c r="BP126" s="883"/>
      <c r="BT126" s="736"/>
      <c r="BU126" s="737"/>
      <c r="BV126" s="738" t="str">
        <f>IF(BT126="","-",(IF(INDEX($A$5:$BP$257,MATCH(BT126,$BN$5:$BN$257,0),50)="Aço Inoxidável",('Densidade do AR'!$S$8*1000000),IF(INDEX($A$5:$BP$257,MATCH(BT126,$BN$5:$BN$257,0),50)="Ferro Fundido",('Densidade do AR'!$S$12*1000000),IF(INDEX($A$5:$BP$257,MATCH(BT126,$BN$5:$BN$257,0),50)="Latão",('Densidade do AR'!$S$10*1000000),IF(INDEX($A$5:$BP$257,MATCH(BT126,$BN$5:$BN$257,0),50)="Alumínio",('Densidade do AR'!$S$4*1000000)))))))</f>
        <v>-</v>
      </c>
      <c r="BW126" s="739"/>
      <c r="BX126" s="739"/>
      <c r="BY126" s="740"/>
      <c r="BZ126" s="741" t="str">
        <f t="shared" si="30"/>
        <v>-</v>
      </c>
      <c r="CA126" s="742"/>
      <c r="CB126" s="742"/>
      <c r="CC126" s="743"/>
      <c r="CD126" s="741" t="str">
        <f t="shared" si="22"/>
        <v>-</v>
      </c>
      <c r="CE126" s="742"/>
      <c r="CF126" s="742"/>
      <c r="CG126" s="743"/>
      <c r="CH126" s="744" t="str">
        <f t="shared" si="31"/>
        <v>-</v>
      </c>
      <c r="CI126" s="739"/>
      <c r="CJ126" s="739"/>
      <c r="CK126" s="740"/>
      <c r="CL126" s="744" t="str">
        <f t="shared" si="23"/>
        <v>-</v>
      </c>
      <c r="CM126" s="739"/>
      <c r="CN126" s="739"/>
      <c r="CO126" s="740"/>
      <c r="CP126" s="744" t="str">
        <f>IF(BT126="","-",INDEX($A$5:$BP$257,MATCH(BT126,$BN$5:$BN$257,0),39)*(IF(BT126="","-",(1+(((-('Densidade do AR'!$M$4))+('Densidade do AR'!$T$15*1000000))/(IF(INDEX($A$5:$BP$257,MATCH(BT126,$BN$5:$BN$257,0),50)="Aço Inoxidável",('Densidade do AR'!$S$8*1000000),IF(INDEX($A$5:$BP$257,MATCH(BT126,$BN$5:$BN$257,0),50)="Ferro Fundido",('Densidade do AR'!$S$12*1000000),IF(INDEX($A$5:$BP$257,MATCH(BT126,$BN$5:$BN$257,0),50)="Latão",('Densidade do AR'!$S$10*1000000),IF(INDEX($A$5:$BP$257,MATCH(BT126,$BN$5:$BN$257,0),50)="Alumínio",('Densidade do AR'!$S$4*1000000)))))))-(((-('Densidade do AR'!$M$4))+('Densidade do AR'!$T$15*1000000))/('Densidade do AR'!$S$14*1000000))))))</f>
        <v>-</v>
      </c>
      <c r="CQ126" s="739"/>
      <c r="CR126" s="739"/>
      <c r="CS126" s="745"/>
      <c r="CT126" s="91" t="str">
        <f t="shared" si="32"/>
        <v>-</v>
      </c>
      <c r="CU126" s="736"/>
      <c r="CV126" s="737"/>
      <c r="CW126" s="738" t="str">
        <f>IF(CU126="","-",(IF(INDEX($A$5:$BP$257,MATCH(CU126,$BN$5:$BN$257,0),50)="Aço Inoxidável",('Densidade do AR'!$S$8*1000000),IF(INDEX($A$5:$BP$257,MATCH(CU126,$BN$5:$BN$257,0),50)="Ferro Fundido",('Densidade do AR'!$S$12*1000000),IF(INDEX($A$5:$BP$257,MATCH(CU126,$BN$5:$BN$257,0),50)="Latão",('Densidade do AR'!$S$10*1000000),IF(INDEX($A$5:$BP$257,MATCH(CU126,$BN$5:$BN$257,0),50)="Alumínio",('Densidade do AR'!$S$4*1000000)))))))</f>
        <v>-</v>
      </c>
      <c r="CX126" s="739"/>
      <c r="CY126" s="739"/>
      <c r="CZ126" s="740"/>
      <c r="DA126" s="741" t="str">
        <f t="shared" si="33"/>
        <v>-</v>
      </c>
      <c r="DB126" s="742"/>
      <c r="DC126" s="742"/>
      <c r="DD126" s="743"/>
      <c r="DE126" s="741" t="str">
        <f t="shared" si="24"/>
        <v>-</v>
      </c>
      <c r="DF126" s="742"/>
      <c r="DG126" s="742"/>
      <c r="DH126" s="743"/>
      <c r="DI126" s="744" t="str">
        <f t="shared" si="34"/>
        <v>-</v>
      </c>
      <c r="DJ126" s="739"/>
      <c r="DK126" s="739"/>
      <c r="DL126" s="740"/>
      <c r="DM126" s="744" t="str">
        <f t="shared" si="25"/>
        <v>-</v>
      </c>
      <c r="DN126" s="739"/>
      <c r="DO126" s="739"/>
      <c r="DP126" s="740"/>
      <c r="DQ126" s="744" t="str">
        <f>IF(CU126="","-",INDEX($A$5:$BP$257,MATCH(CU126,$BN$5:$BN$257,0),39)*(IF(CU126="","-",(1+(((-('Densidade do AR'!$M$4))+('Densidade do AR'!$T$15*1000000))/(IF(INDEX($A$5:$BP$257,MATCH(CU126,$BN$5:$BN$257,0),50)="Aço Inoxidável",('Densidade do AR'!$S$8*1000000),IF(INDEX($A$5:$BP$257,MATCH(CU126,$BN$5:$BN$257,0),50)="Ferro Fundido",('Densidade do AR'!$S$12*1000000),IF(INDEX($A$5:$BP$257,MATCH(CU126,$BN$5:$BN$257,0),50)="Latão",('Densidade do AR'!$S$10*1000000),IF(INDEX($A$5:$BP$257,MATCH(CU126,$BN$5:$BN$257,0),50)="Alumínio",('Densidade do AR'!$S$4*1000000)))))))-(((-('Densidade do AR'!$M$4))+('Densidade do AR'!$T$15*1000000))/('Densidade do AR'!$S$14*1000000))))))</f>
        <v>-</v>
      </c>
      <c r="DR126" s="739"/>
      <c r="DS126" s="739"/>
      <c r="DT126" s="745"/>
      <c r="DU126" s="91" t="str">
        <f t="shared" si="35"/>
        <v>-</v>
      </c>
      <c r="DV126" s="736"/>
      <c r="DW126" s="737"/>
      <c r="DX126" s="738" t="str">
        <f>IF(DV126="","-",(IF(INDEX($A$5:$BP$257,MATCH(DV126,$BN$5:$BN$257,0),50)="Aço Inoxidável",('Densidade do AR'!$S$8*1000000),IF(INDEX($A$5:$BP$257,MATCH(DV126,$BN$5:$BN$257,0),50)="Ferro Fundido",('Densidade do AR'!$S$12*1000000),IF(INDEX($A$5:$BP$257,MATCH(DV126,$BN$5:$BN$257,0),50)="Latão",('Densidade do AR'!$S$10*1000000),IF(INDEX($A$5:$BP$257,MATCH(DV126,$BN$5:$BN$257,0),50)="Alumínio",('Densidade do AR'!$S$4*1000000)))))))</f>
        <v>-</v>
      </c>
      <c r="DY126" s="739"/>
      <c r="DZ126" s="739"/>
      <c r="EA126" s="740"/>
      <c r="EB126" s="741" t="str">
        <f t="shared" si="36"/>
        <v>-</v>
      </c>
      <c r="EC126" s="742"/>
      <c r="ED126" s="742"/>
      <c r="EE126" s="743"/>
      <c r="EF126" s="741" t="str">
        <f t="shared" si="26"/>
        <v>-</v>
      </c>
      <c r="EG126" s="742"/>
      <c r="EH126" s="742"/>
      <c r="EI126" s="743"/>
      <c r="EJ126" s="744" t="str">
        <f t="shared" si="37"/>
        <v>-</v>
      </c>
      <c r="EK126" s="739"/>
      <c r="EL126" s="739"/>
      <c r="EM126" s="740"/>
      <c r="EN126" s="744" t="str">
        <f t="shared" si="27"/>
        <v>-</v>
      </c>
      <c r="EO126" s="739"/>
      <c r="EP126" s="739"/>
      <c r="EQ126" s="740"/>
      <c r="ER126" s="744" t="str">
        <f>IF(DV126="","-",INDEX($A$5:$BP$257,MATCH(DV126,$BN$5:$BN$257,0),39)*(IF(DV126="","-",(1+(((-('Densidade do AR'!$M$4))+('Densidade do AR'!$T$15*1000000))/(IF(INDEX($A$5:$BP$257,MATCH(DV126,$BN$5:$BN$257,0),50)="Aço Inoxidável",('Densidade do AR'!$S$8*1000000),IF(INDEX($A$5:$BP$257,MATCH(DV126,$BN$5:$BN$257,0),50)="Ferro Fundido",('Densidade do AR'!$S$12*1000000),IF(INDEX($A$5:$BP$257,MATCH(DV126,$BN$5:$BN$257,0),50)="Latão",('Densidade do AR'!$S$10*1000000),IF(INDEX($A$5:$BP$257,MATCH(DV126,$BN$5:$BN$257,0),50)="Alumínio",('Densidade do AR'!$S$4*1000000)))))))-(((-('Densidade do AR'!$M$4))+('Densidade do AR'!$T$15*1000000))/('Densidade do AR'!$S$14*1000000))))))</f>
        <v>-</v>
      </c>
      <c r="ES126" s="739"/>
      <c r="ET126" s="739"/>
      <c r="EU126" s="745"/>
      <c r="EV126" s="91" t="str">
        <f t="shared" si="38"/>
        <v>-</v>
      </c>
      <c r="EW126" s="736"/>
      <c r="EX126" s="737"/>
      <c r="EY126" s="738" t="str">
        <f>IF(EW126="","-",(IF(INDEX($A$5:$BP$257,MATCH(EW126,$BN$5:$BN$257,0),50)="Aço Inoxidável",('Densidade do AR'!$S$8*1000000),IF(INDEX($A$5:$BP$257,MATCH(EW126,$BN$5:$BN$257,0),50)="Ferro Fundido",('Densidade do AR'!$S$12*1000000),IF(INDEX($A$5:$BP$257,MATCH(EW126,$BN$5:$BN$257,0),50)="Latão",('Densidade do AR'!$S$10*1000000),IF(INDEX($A$5:$BP$257,MATCH(EW126,$BN$5:$BN$257,0),50)="Alumínio",('Densidade do AR'!$S$4*1000000)))))))</f>
        <v>-</v>
      </c>
      <c r="EZ126" s="739"/>
      <c r="FA126" s="739"/>
      <c r="FB126" s="740"/>
      <c r="FC126" s="741" t="str">
        <f t="shared" si="39"/>
        <v>-</v>
      </c>
      <c r="FD126" s="742"/>
      <c r="FE126" s="742"/>
      <c r="FF126" s="743"/>
      <c r="FG126" s="741" t="str">
        <f t="shared" si="28"/>
        <v>-</v>
      </c>
      <c r="FH126" s="742"/>
      <c r="FI126" s="742"/>
      <c r="FJ126" s="743"/>
      <c r="FK126" s="744" t="str">
        <f t="shared" si="40"/>
        <v>-</v>
      </c>
      <c r="FL126" s="739"/>
      <c r="FM126" s="739"/>
      <c r="FN126" s="740"/>
      <c r="FO126" s="744" t="str">
        <f t="shared" si="29"/>
        <v>-</v>
      </c>
      <c r="FP126" s="739"/>
      <c r="FQ126" s="739"/>
      <c r="FR126" s="740"/>
      <c r="FS126" s="744" t="str">
        <f>IF(EW126="","-",INDEX($A$5:$BP$257,MATCH(EW126,$BN$5:$BN$257,0),39)*(IF(EW126="","-",(1+(((-('Densidade do AR'!$M$4))+('Densidade do AR'!$T$15*1000000))/(IF(INDEX($A$5:$BP$257,MATCH(EW126,$BN$5:$BN$257,0),50)="Aço Inoxidável",('Densidade do AR'!$S$8*1000000),IF(INDEX($A$5:$BP$257,MATCH(EW126,$BN$5:$BN$257,0),50)="Ferro Fundido",('Densidade do AR'!$S$12*1000000),IF(INDEX($A$5:$BP$257,MATCH(EW126,$BN$5:$BN$257,0),50)="Latão",('Densidade do AR'!$S$10*1000000),IF(INDEX($A$5:$BP$257,MATCH(EW126,$BN$5:$BN$257,0),50)="Alumínio",('Densidade do AR'!$S$4*1000000)))))))-(((-('Densidade do AR'!$M$4))+('Densidade do AR'!$T$15*1000000))/('Densidade do AR'!$S$14*1000000))))))</f>
        <v>-</v>
      </c>
      <c r="FT126" s="739"/>
      <c r="FU126" s="739"/>
      <c r="FV126" s="745"/>
      <c r="FW126" s="91" t="str">
        <f t="shared" si="41"/>
        <v>-</v>
      </c>
      <c r="FX126" s="135"/>
    </row>
    <row r="127" spans="1:180" ht="12.75" customHeight="1" x14ac:dyDescent="0.2">
      <c r="A127" s="717">
        <v>123</v>
      </c>
      <c r="B127" s="713"/>
      <c r="C127" s="708"/>
      <c r="D127" s="709"/>
      <c r="E127" s="709"/>
      <c r="F127" s="709"/>
      <c r="G127" s="710"/>
      <c r="H127" s="711"/>
      <c r="I127" s="712"/>
      <c r="J127" s="712"/>
      <c r="K127" s="713"/>
      <c r="L127" s="708"/>
      <c r="M127" s="709"/>
      <c r="N127" s="709"/>
      <c r="O127" s="709"/>
      <c r="P127" s="708"/>
      <c r="Q127" s="709"/>
      <c r="R127" s="709"/>
      <c r="S127" s="709"/>
      <c r="T127" s="710"/>
      <c r="U127" s="714"/>
      <c r="V127" s="715"/>
      <c r="W127" s="715"/>
      <c r="X127" s="715"/>
      <c r="Y127" s="715"/>
      <c r="Z127" s="715"/>
      <c r="AA127" s="716"/>
      <c r="AB127" s="850"/>
      <c r="AC127" s="851"/>
      <c r="AD127" s="851"/>
      <c r="AE127" s="851"/>
      <c r="AF127" s="851"/>
      <c r="AG127" s="851"/>
      <c r="AH127" s="851"/>
      <c r="AI127" s="851"/>
      <c r="AJ127" s="851"/>
      <c r="AK127" s="851"/>
      <c r="AL127" s="852"/>
      <c r="AM127" s="917"/>
      <c r="AN127" s="712"/>
      <c r="AO127" s="712"/>
      <c r="AP127" s="712"/>
      <c r="AQ127" s="712"/>
      <c r="AR127" s="712"/>
      <c r="AS127" s="713"/>
      <c r="AT127" s="917"/>
      <c r="AU127" s="712"/>
      <c r="AV127" s="712"/>
      <c r="AW127" s="713"/>
      <c r="AX127" s="917"/>
      <c r="AY127" s="712"/>
      <c r="AZ127" s="712"/>
      <c r="BA127" s="712"/>
      <c r="BB127" s="712"/>
      <c r="BC127" s="713"/>
      <c r="BD127" s="917"/>
      <c r="BE127" s="712"/>
      <c r="BF127" s="712"/>
      <c r="BG127" s="713"/>
      <c r="BH127" s="918"/>
      <c r="BI127" s="712"/>
      <c r="BJ127" s="712"/>
      <c r="BK127" s="712"/>
      <c r="BL127" s="910"/>
      <c r="BN127" s="878"/>
      <c r="BO127" s="879"/>
      <c r="BP127" s="880"/>
      <c r="BT127" s="746"/>
      <c r="BU127" s="747"/>
      <c r="BV127" s="784" t="str">
        <f>IF(BT127="","-",(IF(INDEX($A$5:$BP$257,MATCH(BT127,$BN$5:$BN$257,0),50)="Aço Inoxidável",('Densidade do AR'!$S$8*1000000),IF(INDEX($A$5:$BP$257,MATCH(BT127,$BN$5:$BN$257,0),50)="Ferro Fundido",('Densidade do AR'!$S$12*1000000),IF(INDEX($A$5:$BP$257,MATCH(BT127,$BN$5:$BN$257,0),50)="Latão",('Densidade do AR'!$S$10*1000000),IF(INDEX($A$5:$BP$257,MATCH(BT127,$BN$5:$BN$257,0),50)="Alumínio",('Densidade do AR'!$S$4*1000000)))))))</f>
        <v>-</v>
      </c>
      <c r="BW127" s="785"/>
      <c r="BX127" s="785"/>
      <c r="BY127" s="786"/>
      <c r="BZ127" s="787" t="str">
        <f t="shared" si="30"/>
        <v>-</v>
      </c>
      <c r="CA127" s="788"/>
      <c r="CB127" s="788"/>
      <c r="CC127" s="789"/>
      <c r="CD127" s="787" t="str">
        <f t="shared" si="22"/>
        <v>-</v>
      </c>
      <c r="CE127" s="788"/>
      <c r="CF127" s="788"/>
      <c r="CG127" s="789"/>
      <c r="CH127" s="790" t="str">
        <f t="shared" si="31"/>
        <v>-</v>
      </c>
      <c r="CI127" s="785"/>
      <c r="CJ127" s="785"/>
      <c r="CK127" s="786"/>
      <c r="CL127" s="790" t="str">
        <f t="shared" si="23"/>
        <v>-</v>
      </c>
      <c r="CM127" s="785"/>
      <c r="CN127" s="785"/>
      <c r="CO127" s="786"/>
      <c r="CP127" s="790" t="str">
        <f>IF(BT127="","-",INDEX($A$5:$BP$257,MATCH(BT127,$BN$5:$BN$257,0),39)*(IF(BT127="","-",(1+(((-('Densidade do AR'!$M$4))+('Densidade do AR'!$T$15*1000000))/(IF(INDEX($A$5:$BP$257,MATCH(BT127,$BN$5:$BN$257,0),50)="Aço Inoxidável",('Densidade do AR'!$S$8*1000000),IF(INDEX($A$5:$BP$257,MATCH(BT127,$BN$5:$BN$257,0),50)="Ferro Fundido",('Densidade do AR'!$S$12*1000000),IF(INDEX($A$5:$BP$257,MATCH(BT127,$BN$5:$BN$257,0),50)="Latão",('Densidade do AR'!$S$10*1000000),IF(INDEX($A$5:$BP$257,MATCH(BT127,$BN$5:$BN$257,0),50)="Alumínio",('Densidade do AR'!$S$4*1000000)))))))-(((-('Densidade do AR'!$M$4))+('Densidade do AR'!$T$15*1000000))/('Densidade do AR'!$S$14*1000000))))))</f>
        <v>-</v>
      </c>
      <c r="CQ127" s="785"/>
      <c r="CR127" s="785"/>
      <c r="CS127" s="791"/>
      <c r="CT127" s="91" t="str">
        <f t="shared" si="32"/>
        <v>-</v>
      </c>
      <c r="CU127" s="746"/>
      <c r="CV127" s="747"/>
      <c r="CW127" s="784" t="str">
        <f>IF(CU127="","-",(IF(INDEX($A$5:$BP$257,MATCH(CU127,$BN$5:$BN$257,0),50)="Aço Inoxidável",('Densidade do AR'!$S$8*1000000),IF(INDEX($A$5:$BP$257,MATCH(CU127,$BN$5:$BN$257,0),50)="Ferro Fundido",('Densidade do AR'!$S$12*1000000),IF(INDEX($A$5:$BP$257,MATCH(CU127,$BN$5:$BN$257,0),50)="Latão",('Densidade do AR'!$S$10*1000000),IF(INDEX($A$5:$BP$257,MATCH(CU127,$BN$5:$BN$257,0),50)="Alumínio",('Densidade do AR'!$S$4*1000000)))))))</f>
        <v>-</v>
      </c>
      <c r="CX127" s="785"/>
      <c r="CY127" s="785"/>
      <c r="CZ127" s="786"/>
      <c r="DA127" s="787" t="str">
        <f t="shared" si="33"/>
        <v>-</v>
      </c>
      <c r="DB127" s="788"/>
      <c r="DC127" s="788"/>
      <c r="DD127" s="789"/>
      <c r="DE127" s="787" t="str">
        <f t="shared" si="24"/>
        <v>-</v>
      </c>
      <c r="DF127" s="788"/>
      <c r="DG127" s="788"/>
      <c r="DH127" s="789"/>
      <c r="DI127" s="790" t="str">
        <f t="shared" si="34"/>
        <v>-</v>
      </c>
      <c r="DJ127" s="785"/>
      <c r="DK127" s="785"/>
      <c r="DL127" s="786"/>
      <c r="DM127" s="790" t="str">
        <f t="shared" si="25"/>
        <v>-</v>
      </c>
      <c r="DN127" s="785"/>
      <c r="DO127" s="785"/>
      <c r="DP127" s="786"/>
      <c r="DQ127" s="790" t="str">
        <f>IF(CU127="","-",INDEX($A$5:$BP$257,MATCH(CU127,$BN$5:$BN$257,0),39)*(IF(CU127="","-",(1+(((-('Densidade do AR'!$M$4))+('Densidade do AR'!$T$15*1000000))/(IF(INDEX($A$5:$BP$257,MATCH(CU127,$BN$5:$BN$257,0),50)="Aço Inoxidável",('Densidade do AR'!$S$8*1000000),IF(INDEX($A$5:$BP$257,MATCH(CU127,$BN$5:$BN$257,0),50)="Ferro Fundido",('Densidade do AR'!$S$12*1000000),IF(INDEX($A$5:$BP$257,MATCH(CU127,$BN$5:$BN$257,0),50)="Latão",('Densidade do AR'!$S$10*1000000),IF(INDEX($A$5:$BP$257,MATCH(CU127,$BN$5:$BN$257,0),50)="Alumínio",('Densidade do AR'!$S$4*1000000)))))))-(((-('Densidade do AR'!$M$4))+('Densidade do AR'!$T$15*1000000))/('Densidade do AR'!$S$14*1000000))))))</f>
        <v>-</v>
      </c>
      <c r="DR127" s="785"/>
      <c r="DS127" s="785"/>
      <c r="DT127" s="791"/>
      <c r="DU127" s="91" t="str">
        <f t="shared" si="35"/>
        <v>-</v>
      </c>
      <c r="DV127" s="746"/>
      <c r="DW127" s="747"/>
      <c r="DX127" s="784" t="str">
        <f>IF(DV127="","-",(IF(INDEX($A$5:$BP$257,MATCH(DV127,$BN$5:$BN$257,0),50)="Aço Inoxidável",('Densidade do AR'!$S$8*1000000),IF(INDEX($A$5:$BP$257,MATCH(DV127,$BN$5:$BN$257,0),50)="Ferro Fundido",('Densidade do AR'!$S$12*1000000),IF(INDEX($A$5:$BP$257,MATCH(DV127,$BN$5:$BN$257,0),50)="Latão",('Densidade do AR'!$S$10*1000000),IF(INDEX($A$5:$BP$257,MATCH(DV127,$BN$5:$BN$257,0),50)="Alumínio",('Densidade do AR'!$S$4*1000000)))))))</f>
        <v>-</v>
      </c>
      <c r="DY127" s="785"/>
      <c r="DZ127" s="785"/>
      <c r="EA127" s="786"/>
      <c r="EB127" s="787" t="str">
        <f t="shared" si="36"/>
        <v>-</v>
      </c>
      <c r="EC127" s="788"/>
      <c r="ED127" s="788"/>
      <c r="EE127" s="789"/>
      <c r="EF127" s="787" t="str">
        <f t="shared" si="26"/>
        <v>-</v>
      </c>
      <c r="EG127" s="788"/>
      <c r="EH127" s="788"/>
      <c r="EI127" s="789"/>
      <c r="EJ127" s="790" t="str">
        <f t="shared" si="37"/>
        <v>-</v>
      </c>
      <c r="EK127" s="785"/>
      <c r="EL127" s="785"/>
      <c r="EM127" s="786"/>
      <c r="EN127" s="790" t="str">
        <f t="shared" si="27"/>
        <v>-</v>
      </c>
      <c r="EO127" s="785"/>
      <c r="EP127" s="785"/>
      <c r="EQ127" s="786"/>
      <c r="ER127" s="790" t="str">
        <f>IF(DV127="","-",INDEX($A$5:$BP$257,MATCH(DV127,$BN$5:$BN$257,0),39)*(IF(DV127="","-",(1+(((-('Densidade do AR'!$M$4))+('Densidade do AR'!$T$15*1000000))/(IF(INDEX($A$5:$BP$257,MATCH(DV127,$BN$5:$BN$257,0),50)="Aço Inoxidável",('Densidade do AR'!$S$8*1000000),IF(INDEX($A$5:$BP$257,MATCH(DV127,$BN$5:$BN$257,0),50)="Ferro Fundido",('Densidade do AR'!$S$12*1000000),IF(INDEX($A$5:$BP$257,MATCH(DV127,$BN$5:$BN$257,0),50)="Latão",('Densidade do AR'!$S$10*1000000),IF(INDEX($A$5:$BP$257,MATCH(DV127,$BN$5:$BN$257,0),50)="Alumínio",('Densidade do AR'!$S$4*1000000)))))))-(((-('Densidade do AR'!$M$4))+('Densidade do AR'!$T$15*1000000))/('Densidade do AR'!$S$14*1000000))))))</f>
        <v>-</v>
      </c>
      <c r="ES127" s="785"/>
      <c r="ET127" s="785"/>
      <c r="EU127" s="791"/>
      <c r="EV127" s="91" t="str">
        <f t="shared" si="38"/>
        <v>-</v>
      </c>
      <c r="EW127" s="746"/>
      <c r="EX127" s="747"/>
      <c r="EY127" s="784" t="str">
        <f>IF(EW127="","-",(IF(INDEX($A$5:$BP$257,MATCH(EW127,$BN$5:$BN$257,0),50)="Aço Inoxidável",('Densidade do AR'!$S$8*1000000),IF(INDEX($A$5:$BP$257,MATCH(EW127,$BN$5:$BN$257,0),50)="Ferro Fundido",('Densidade do AR'!$S$12*1000000),IF(INDEX($A$5:$BP$257,MATCH(EW127,$BN$5:$BN$257,0),50)="Latão",('Densidade do AR'!$S$10*1000000),IF(INDEX($A$5:$BP$257,MATCH(EW127,$BN$5:$BN$257,0),50)="Alumínio",('Densidade do AR'!$S$4*1000000)))))))</f>
        <v>-</v>
      </c>
      <c r="EZ127" s="785"/>
      <c r="FA127" s="785"/>
      <c r="FB127" s="786"/>
      <c r="FC127" s="787" t="str">
        <f t="shared" si="39"/>
        <v>-</v>
      </c>
      <c r="FD127" s="788"/>
      <c r="FE127" s="788"/>
      <c r="FF127" s="789"/>
      <c r="FG127" s="787" t="str">
        <f t="shared" si="28"/>
        <v>-</v>
      </c>
      <c r="FH127" s="788"/>
      <c r="FI127" s="788"/>
      <c r="FJ127" s="789"/>
      <c r="FK127" s="790" t="str">
        <f t="shared" si="40"/>
        <v>-</v>
      </c>
      <c r="FL127" s="785"/>
      <c r="FM127" s="785"/>
      <c r="FN127" s="786"/>
      <c r="FO127" s="790" t="str">
        <f t="shared" si="29"/>
        <v>-</v>
      </c>
      <c r="FP127" s="785"/>
      <c r="FQ127" s="785"/>
      <c r="FR127" s="786"/>
      <c r="FS127" s="790" t="str">
        <f>IF(EW127="","-",INDEX($A$5:$BP$257,MATCH(EW127,$BN$5:$BN$257,0),39)*(IF(EW127="","-",(1+(((-('Densidade do AR'!$M$4))+('Densidade do AR'!$T$15*1000000))/(IF(INDEX($A$5:$BP$257,MATCH(EW127,$BN$5:$BN$257,0),50)="Aço Inoxidável",('Densidade do AR'!$S$8*1000000),IF(INDEX($A$5:$BP$257,MATCH(EW127,$BN$5:$BN$257,0),50)="Ferro Fundido",('Densidade do AR'!$S$12*1000000),IF(INDEX($A$5:$BP$257,MATCH(EW127,$BN$5:$BN$257,0),50)="Latão",('Densidade do AR'!$S$10*1000000),IF(INDEX($A$5:$BP$257,MATCH(EW127,$BN$5:$BN$257,0),50)="Alumínio",('Densidade do AR'!$S$4*1000000)))))))-(((-('Densidade do AR'!$M$4))+('Densidade do AR'!$T$15*1000000))/('Densidade do AR'!$S$14*1000000))))))</f>
        <v>-</v>
      </c>
      <c r="FT127" s="785"/>
      <c r="FU127" s="785"/>
      <c r="FV127" s="791"/>
      <c r="FW127" s="91" t="str">
        <f t="shared" si="41"/>
        <v>-</v>
      </c>
      <c r="FX127" s="135"/>
    </row>
    <row r="128" spans="1:180" ht="12.75" customHeight="1" x14ac:dyDescent="0.2">
      <c r="A128" s="718">
        <v>124</v>
      </c>
      <c r="B128" s="713"/>
      <c r="C128" s="719"/>
      <c r="D128" s="709"/>
      <c r="E128" s="709"/>
      <c r="F128" s="709"/>
      <c r="G128" s="710"/>
      <c r="H128" s="720"/>
      <c r="I128" s="712"/>
      <c r="J128" s="712"/>
      <c r="K128" s="713"/>
      <c r="L128" s="719"/>
      <c r="M128" s="709"/>
      <c r="N128" s="709"/>
      <c r="O128" s="709"/>
      <c r="P128" s="719"/>
      <c r="Q128" s="709"/>
      <c r="R128" s="709"/>
      <c r="S128" s="709"/>
      <c r="T128" s="710"/>
      <c r="U128" s="721"/>
      <c r="V128" s="722"/>
      <c r="W128" s="722"/>
      <c r="X128" s="722"/>
      <c r="Y128" s="722"/>
      <c r="Z128" s="722"/>
      <c r="AA128" s="723"/>
      <c r="AB128" s="853"/>
      <c r="AC128" s="854"/>
      <c r="AD128" s="854"/>
      <c r="AE128" s="854"/>
      <c r="AF128" s="854"/>
      <c r="AG128" s="854"/>
      <c r="AH128" s="854"/>
      <c r="AI128" s="854"/>
      <c r="AJ128" s="854"/>
      <c r="AK128" s="854"/>
      <c r="AL128" s="855"/>
      <c r="AM128" s="909"/>
      <c r="AN128" s="712"/>
      <c r="AO128" s="712"/>
      <c r="AP128" s="712"/>
      <c r="AQ128" s="712"/>
      <c r="AR128" s="712"/>
      <c r="AS128" s="713"/>
      <c r="AT128" s="909"/>
      <c r="AU128" s="712"/>
      <c r="AV128" s="712"/>
      <c r="AW128" s="713"/>
      <c r="AX128" s="908"/>
      <c r="AY128" s="712"/>
      <c r="AZ128" s="712"/>
      <c r="BA128" s="712"/>
      <c r="BB128" s="712"/>
      <c r="BC128" s="713"/>
      <c r="BD128" s="909"/>
      <c r="BE128" s="712"/>
      <c r="BF128" s="712"/>
      <c r="BG128" s="713"/>
      <c r="BH128" s="908"/>
      <c r="BI128" s="712"/>
      <c r="BJ128" s="712"/>
      <c r="BK128" s="712"/>
      <c r="BL128" s="910"/>
      <c r="BN128" s="881"/>
      <c r="BO128" s="882"/>
      <c r="BP128" s="883"/>
      <c r="BT128" s="736"/>
      <c r="BU128" s="737"/>
      <c r="BV128" s="738" t="str">
        <f>IF(BT128="","-",(IF(INDEX($A$5:$BP$257,MATCH(BT128,$BN$5:$BN$257,0),50)="Aço Inoxidável",('Densidade do AR'!$S$8*1000000),IF(INDEX($A$5:$BP$257,MATCH(BT128,$BN$5:$BN$257,0),50)="Ferro Fundido",('Densidade do AR'!$S$12*1000000),IF(INDEX($A$5:$BP$257,MATCH(BT128,$BN$5:$BN$257,0),50)="Latão",('Densidade do AR'!$S$10*1000000),IF(INDEX($A$5:$BP$257,MATCH(BT128,$BN$5:$BN$257,0),50)="Alumínio",('Densidade do AR'!$S$4*1000000)))))))</f>
        <v>-</v>
      </c>
      <c r="BW128" s="739"/>
      <c r="BX128" s="739"/>
      <c r="BY128" s="740"/>
      <c r="BZ128" s="741" t="str">
        <f t="shared" si="30"/>
        <v>-</v>
      </c>
      <c r="CA128" s="742"/>
      <c r="CB128" s="742"/>
      <c r="CC128" s="743"/>
      <c r="CD128" s="741" t="str">
        <f t="shared" si="22"/>
        <v>-</v>
      </c>
      <c r="CE128" s="742"/>
      <c r="CF128" s="742"/>
      <c r="CG128" s="743"/>
      <c r="CH128" s="744" t="str">
        <f t="shared" si="31"/>
        <v>-</v>
      </c>
      <c r="CI128" s="739"/>
      <c r="CJ128" s="739"/>
      <c r="CK128" s="740"/>
      <c r="CL128" s="744" t="str">
        <f t="shared" si="23"/>
        <v>-</v>
      </c>
      <c r="CM128" s="739"/>
      <c r="CN128" s="739"/>
      <c r="CO128" s="740"/>
      <c r="CP128" s="744" t="str">
        <f>IF(BT128="","-",INDEX($A$5:$BP$257,MATCH(BT128,$BN$5:$BN$257,0),39)*(IF(BT128="","-",(1+(((-('Densidade do AR'!$M$4))+('Densidade do AR'!$T$15*1000000))/(IF(INDEX($A$5:$BP$257,MATCH(BT128,$BN$5:$BN$257,0),50)="Aço Inoxidável",('Densidade do AR'!$S$8*1000000),IF(INDEX($A$5:$BP$257,MATCH(BT128,$BN$5:$BN$257,0),50)="Ferro Fundido",('Densidade do AR'!$S$12*1000000),IF(INDEX($A$5:$BP$257,MATCH(BT128,$BN$5:$BN$257,0),50)="Latão",('Densidade do AR'!$S$10*1000000),IF(INDEX($A$5:$BP$257,MATCH(BT128,$BN$5:$BN$257,0),50)="Alumínio",('Densidade do AR'!$S$4*1000000)))))))-(((-('Densidade do AR'!$M$4))+('Densidade do AR'!$T$15*1000000))/('Densidade do AR'!$S$14*1000000))))))</f>
        <v>-</v>
      </c>
      <c r="CQ128" s="739"/>
      <c r="CR128" s="739"/>
      <c r="CS128" s="745"/>
      <c r="CT128" s="91" t="str">
        <f t="shared" si="32"/>
        <v>-</v>
      </c>
      <c r="CU128" s="736"/>
      <c r="CV128" s="737"/>
      <c r="CW128" s="738" t="str">
        <f>IF(CU128="","-",(IF(INDEX($A$5:$BP$257,MATCH(CU128,$BN$5:$BN$257,0),50)="Aço Inoxidável",('Densidade do AR'!$S$8*1000000),IF(INDEX($A$5:$BP$257,MATCH(CU128,$BN$5:$BN$257,0),50)="Ferro Fundido",('Densidade do AR'!$S$12*1000000),IF(INDEX($A$5:$BP$257,MATCH(CU128,$BN$5:$BN$257,0),50)="Latão",('Densidade do AR'!$S$10*1000000),IF(INDEX($A$5:$BP$257,MATCH(CU128,$BN$5:$BN$257,0),50)="Alumínio",('Densidade do AR'!$S$4*1000000)))))))</f>
        <v>-</v>
      </c>
      <c r="CX128" s="739"/>
      <c r="CY128" s="739"/>
      <c r="CZ128" s="740"/>
      <c r="DA128" s="741" t="str">
        <f t="shared" si="33"/>
        <v>-</v>
      </c>
      <c r="DB128" s="742"/>
      <c r="DC128" s="742"/>
      <c r="DD128" s="743"/>
      <c r="DE128" s="741" t="str">
        <f t="shared" si="24"/>
        <v>-</v>
      </c>
      <c r="DF128" s="742"/>
      <c r="DG128" s="742"/>
      <c r="DH128" s="743"/>
      <c r="DI128" s="744" t="str">
        <f t="shared" si="34"/>
        <v>-</v>
      </c>
      <c r="DJ128" s="739"/>
      <c r="DK128" s="739"/>
      <c r="DL128" s="740"/>
      <c r="DM128" s="744" t="str">
        <f t="shared" si="25"/>
        <v>-</v>
      </c>
      <c r="DN128" s="739"/>
      <c r="DO128" s="739"/>
      <c r="DP128" s="740"/>
      <c r="DQ128" s="744" t="str">
        <f>IF(CU128="","-",INDEX($A$5:$BP$257,MATCH(CU128,$BN$5:$BN$257,0),39)*(IF(CU128="","-",(1+(((-('Densidade do AR'!$M$4))+('Densidade do AR'!$T$15*1000000))/(IF(INDEX($A$5:$BP$257,MATCH(CU128,$BN$5:$BN$257,0),50)="Aço Inoxidável",('Densidade do AR'!$S$8*1000000),IF(INDEX($A$5:$BP$257,MATCH(CU128,$BN$5:$BN$257,0),50)="Ferro Fundido",('Densidade do AR'!$S$12*1000000),IF(INDEX($A$5:$BP$257,MATCH(CU128,$BN$5:$BN$257,0),50)="Latão",('Densidade do AR'!$S$10*1000000),IF(INDEX($A$5:$BP$257,MATCH(CU128,$BN$5:$BN$257,0),50)="Alumínio",('Densidade do AR'!$S$4*1000000)))))))-(((-('Densidade do AR'!$M$4))+('Densidade do AR'!$T$15*1000000))/('Densidade do AR'!$S$14*1000000))))))</f>
        <v>-</v>
      </c>
      <c r="DR128" s="739"/>
      <c r="DS128" s="739"/>
      <c r="DT128" s="745"/>
      <c r="DU128" s="91" t="str">
        <f t="shared" si="35"/>
        <v>-</v>
      </c>
      <c r="DV128" s="736"/>
      <c r="DW128" s="737"/>
      <c r="DX128" s="738" t="str">
        <f>IF(DV128="","-",(IF(INDEX($A$5:$BP$257,MATCH(DV128,$BN$5:$BN$257,0),50)="Aço Inoxidável",('Densidade do AR'!$S$8*1000000),IF(INDEX($A$5:$BP$257,MATCH(DV128,$BN$5:$BN$257,0),50)="Ferro Fundido",('Densidade do AR'!$S$12*1000000),IF(INDEX($A$5:$BP$257,MATCH(DV128,$BN$5:$BN$257,0),50)="Latão",('Densidade do AR'!$S$10*1000000),IF(INDEX($A$5:$BP$257,MATCH(DV128,$BN$5:$BN$257,0),50)="Alumínio",('Densidade do AR'!$S$4*1000000)))))))</f>
        <v>-</v>
      </c>
      <c r="DY128" s="739"/>
      <c r="DZ128" s="739"/>
      <c r="EA128" s="740"/>
      <c r="EB128" s="741" t="str">
        <f t="shared" si="36"/>
        <v>-</v>
      </c>
      <c r="EC128" s="742"/>
      <c r="ED128" s="742"/>
      <c r="EE128" s="743"/>
      <c r="EF128" s="741" t="str">
        <f t="shared" si="26"/>
        <v>-</v>
      </c>
      <c r="EG128" s="742"/>
      <c r="EH128" s="742"/>
      <c r="EI128" s="743"/>
      <c r="EJ128" s="744" t="str">
        <f t="shared" si="37"/>
        <v>-</v>
      </c>
      <c r="EK128" s="739"/>
      <c r="EL128" s="739"/>
      <c r="EM128" s="740"/>
      <c r="EN128" s="744" t="str">
        <f t="shared" si="27"/>
        <v>-</v>
      </c>
      <c r="EO128" s="739"/>
      <c r="EP128" s="739"/>
      <c r="EQ128" s="740"/>
      <c r="ER128" s="744" t="str">
        <f>IF(DV128="","-",INDEX($A$5:$BP$257,MATCH(DV128,$BN$5:$BN$257,0),39)*(IF(DV128="","-",(1+(((-('Densidade do AR'!$M$4))+('Densidade do AR'!$T$15*1000000))/(IF(INDEX($A$5:$BP$257,MATCH(DV128,$BN$5:$BN$257,0),50)="Aço Inoxidável",('Densidade do AR'!$S$8*1000000),IF(INDEX($A$5:$BP$257,MATCH(DV128,$BN$5:$BN$257,0),50)="Ferro Fundido",('Densidade do AR'!$S$12*1000000),IF(INDEX($A$5:$BP$257,MATCH(DV128,$BN$5:$BN$257,0),50)="Latão",('Densidade do AR'!$S$10*1000000),IF(INDEX($A$5:$BP$257,MATCH(DV128,$BN$5:$BN$257,0),50)="Alumínio",('Densidade do AR'!$S$4*1000000)))))))-(((-('Densidade do AR'!$M$4))+('Densidade do AR'!$T$15*1000000))/('Densidade do AR'!$S$14*1000000))))))</f>
        <v>-</v>
      </c>
      <c r="ES128" s="739"/>
      <c r="ET128" s="739"/>
      <c r="EU128" s="745"/>
      <c r="EV128" s="91" t="str">
        <f t="shared" si="38"/>
        <v>-</v>
      </c>
      <c r="EW128" s="736"/>
      <c r="EX128" s="737"/>
      <c r="EY128" s="738" t="str">
        <f>IF(EW128="","-",(IF(INDEX($A$5:$BP$257,MATCH(EW128,$BN$5:$BN$257,0),50)="Aço Inoxidável",('Densidade do AR'!$S$8*1000000),IF(INDEX($A$5:$BP$257,MATCH(EW128,$BN$5:$BN$257,0),50)="Ferro Fundido",('Densidade do AR'!$S$12*1000000),IF(INDEX($A$5:$BP$257,MATCH(EW128,$BN$5:$BN$257,0),50)="Latão",('Densidade do AR'!$S$10*1000000),IF(INDEX($A$5:$BP$257,MATCH(EW128,$BN$5:$BN$257,0),50)="Alumínio",('Densidade do AR'!$S$4*1000000)))))))</f>
        <v>-</v>
      </c>
      <c r="EZ128" s="739"/>
      <c r="FA128" s="739"/>
      <c r="FB128" s="740"/>
      <c r="FC128" s="741" t="str">
        <f t="shared" si="39"/>
        <v>-</v>
      </c>
      <c r="FD128" s="742"/>
      <c r="FE128" s="742"/>
      <c r="FF128" s="743"/>
      <c r="FG128" s="741" t="str">
        <f t="shared" si="28"/>
        <v>-</v>
      </c>
      <c r="FH128" s="742"/>
      <c r="FI128" s="742"/>
      <c r="FJ128" s="743"/>
      <c r="FK128" s="744" t="str">
        <f t="shared" si="40"/>
        <v>-</v>
      </c>
      <c r="FL128" s="739"/>
      <c r="FM128" s="739"/>
      <c r="FN128" s="740"/>
      <c r="FO128" s="744" t="str">
        <f t="shared" si="29"/>
        <v>-</v>
      </c>
      <c r="FP128" s="739"/>
      <c r="FQ128" s="739"/>
      <c r="FR128" s="740"/>
      <c r="FS128" s="744" t="str">
        <f>IF(EW128="","-",INDEX($A$5:$BP$257,MATCH(EW128,$BN$5:$BN$257,0),39)*(IF(EW128="","-",(1+(((-('Densidade do AR'!$M$4))+('Densidade do AR'!$T$15*1000000))/(IF(INDEX($A$5:$BP$257,MATCH(EW128,$BN$5:$BN$257,0),50)="Aço Inoxidável",('Densidade do AR'!$S$8*1000000),IF(INDEX($A$5:$BP$257,MATCH(EW128,$BN$5:$BN$257,0),50)="Ferro Fundido",('Densidade do AR'!$S$12*1000000),IF(INDEX($A$5:$BP$257,MATCH(EW128,$BN$5:$BN$257,0),50)="Latão",('Densidade do AR'!$S$10*1000000),IF(INDEX($A$5:$BP$257,MATCH(EW128,$BN$5:$BN$257,0),50)="Alumínio",('Densidade do AR'!$S$4*1000000)))))))-(((-('Densidade do AR'!$M$4))+('Densidade do AR'!$T$15*1000000))/('Densidade do AR'!$S$14*1000000))))))</f>
        <v>-</v>
      </c>
      <c r="FT128" s="739"/>
      <c r="FU128" s="739"/>
      <c r="FV128" s="745"/>
      <c r="FW128" s="91" t="str">
        <f t="shared" si="41"/>
        <v>-</v>
      </c>
      <c r="FX128" s="135"/>
    </row>
    <row r="129" spans="1:180" ht="12.75" customHeight="1" x14ac:dyDescent="0.2">
      <c r="A129" s="717">
        <v>125</v>
      </c>
      <c r="B129" s="713"/>
      <c r="C129" s="708"/>
      <c r="D129" s="709"/>
      <c r="E129" s="709"/>
      <c r="F129" s="709"/>
      <c r="G129" s="710"/>
      <c r="H129" s="711"/>
      <c r="I129" s="712"/>
      <c r="J129" s="712"/>
      <c r="K129" s="713"/>
      <c r="L129" s="708"/>
      <c r="M129" s="709"/>
      <c r="N129" s="709"/>
      <c r="O129" s="709"/>
      <c r="P129" s="708"/>
      <c r="Q129" s="709"/>
      <c r="R129" s="709"/>
      <c r="S129" s="709"/>
      <c r="T129" s="710"/>
      <c r="U129" s="714"/>
      <c r="V129" s="715"/>
      <c r="W129" s="715"/>
      <c r="X129" s="715"/>
      <c r="Y129" s="715"/>
      <c r="Z129" s="715"/>
      <c r="AA129" s="716"/>
      <c r="AB129" s="850"/>
      <c r="AC129" s="851"/>
      <c r="AD129" s="851"/>
      <c r="AE129" s="851"/>
      <c r="AF129" s="851"/>
      <c r="AG129" s="851"/>
      <c r="AH129" s="851"/>
      <c r="AI129" s="851"/>
      <c r="AJ129" s="851"/>
      <c r="AK129" s="851"/>
      <c r="AL129" s="852"/>
      <c r="AM129" s="917"/>
      <c r="AN129" s="712"/>
      <c r="AO129" s="712"/>
      <c r="AP129" s="712"/>
      <c r="AQ129" s="712"/>
      <c r="AR129" s="712"/>
      <c r="AS129" s="713"/>
      <c r="AT129" s="917"/>
      <c r="AU129" s="712"/>
      <c r="AV129" s="712"/>
      <c r="AW129" s="713"/>
      <c r="AX129" s="917"/>
      <c r="AY129" s="712"/>
      <c r="AZ129" s="712"/>
      <c r="BA129" s="712"/>
      <c r="BB129" s="712"/>
      <c r="BC129" s="713"/>
      <c r="BD129" s="917"/>
      <c r="BE129" s="712"/>
      <c r="BF129" s="712"/>
      <c r="BG129" s="713"/>
      <c r="BH129" s="918"/>
      <c r="BI129" s="712"/>
      <c r="BJ129" s="712"/>
      <c r="BK129" s="712"/>
      <c r="BL129" s="910"/>
      <c r="BN129" s="878"/>
      <c r="BO129" s="879"/>
      <c r="BP129" s="880"/>
      <c r="BT129" s="746"/>
      <c r="BU129" s="747"/>
      <c r="BV129" s="784" t="str">
        <f>IF(BT129="","-",(IF(INDEX($A$5:$BP$257,MATCH(BT129,$BN$5:$BN$257,0),50)="Aço Inoxidável",('Densidade do AR'!$S$8*1000000),IF(INDEX($A$5:$BP$257,MATCH(BT129,$BN$5:$BN$257,0),50)="Ferro Fundido",('Densidade do AR'!$S$12*1000000),IF(INDEX($A$5:$BP$257,MATCH(BT129,$BN$5:$BN$257,0),50)="Latão",('Densidade do AR'!$S$10*1000000),IF(INDEX($A$5:$BP$257,MATCH(BT129,$BN$5:$BN$257,0),50)="Alumínio",('Densidade do AR'!$S$4*1000000)))))))</f>
        <v>-</v>
      </c>
      <c r="BW129" s="785"/>
      <c r="BX129" s="785"/>
      <c r="BY129" s="786"/>
      <c r="BZ129" s="787" t="str">
        <f t="shared" si="30"/>
        <v>-</v>
      </c>
      <c r="CA129" s="788"/>
      <c r="CB129" s="788"/>
      <c r="CC129" s="789"/>
      <c r="CD129" s="787" t="str">
        <f t="shared" si="22"/>
        <v>-</v>
      </c>
      <c r="CE129" s="788"/>
      <c r="CF129" s="788"/>
      <c r="CG129" s="789"/>
      <c r="CH129" s="790" t="str">
        <f t="shared" si="31"/>
        <v>-</v>
      </c>
      <c r="CI129" s="785"/>
      <c r="CJ129" s="785"/>
      <c r="CK129" s="786"/>
      <c r="CL129" s="790" t="str">
        <f t="shared" si="23"/>
        <v>-</v>
      </c>
      <c r="CM129" s="785"/>
      <c r="CN129" s="785"/>
      <c r="CO129" s="786"/>
      <c r="CP129" s="790" t="str">
        <f>IF(BT129="","-",INDEX($A$5:$BP$257,MATCH(BT129,$BN$5:$BN$257,0),39)*(IF(BT129="","-",(1+(((-('Densidade do AR'!$M$4))+('Densidade do AR'!$T$15*1000000))/(IF(INDEX($A$5:$BP$257,MATCH(BT129,$BN$5:$BN$257,0),50)="Aço Inoxidável",('Densidade do AR'!$S$8*1000000),IF(INDEX($A$5:$BP$257,MATCH(BT129,$BN$5:$BN$257,0),50)="Ferro Fundido",('Densidade do AR'!$S$12*1000000),IF(INDEX($A$5:$BP$257,MATCH(BT129,$BN$5:$BN$257,0),50)="Latão",('Densidade do AR'!$S$10*1000000),IF(INDEX($A$5:$BP$257,MATCH(BT129,$BN$5:$BN$257,0),50)="Alumínio",('Densidade do AR'!$S$4*1000000)))))))-(((-('Densidade do AR'!$M$4))+('Densidade do AR'!$T$15*1000000))/('Densidade do AR'!$S$14*1000000))))))</f>
        <v>-</v>
      </c>
      <c r="CQ129" s="785"/>
      <c r="CR129" s="785"/>
      <c r="CS129" s="791"/>
      <c r="CT129" s="91" t="str">
        <f t="shared" si="32"/>
        <v>-</v>
      </c>
      <c r="CU129" s="746"/>
      <c r="CV129" s="747"/>
      <c r="CW129" s="784" t="str">
        <f>IF(CU129="","-",(IF(INDEX($A$5:$BP$257,MATCH(CU129,$BN$5:$BN$257,0),50)="Aço Inoxidável",('Densidade do AR'!$S$8*1000000),IF(INDEX($A$5:$BP$257,MATCH(CU129,$BN$5:$BN$257,0),50)="Ferro Fundido",('Densidade do AR'!$S$12*1000000),IF(INDEX($A$5:$BP$257,MATCH(CU129,$BN$5:$BN$257,0),50)="Latão",('Densidade do AR'!$S$10*1000000),IF(INDEX($A$5:$BP$257,MATCH(CU129,$BN$5:$BN$257,0),50)="Alumínio",('Densidade do AR'!$S$4*1000000)))))))</f>
        <v>-</v>
      </c>
      <c r="CX129" s="785"/>
      <c r="CY129" s="785"/>
      <c r="CZ129" s="786"/>
      <c r="DA129" s="787" t="str">
        <f t="shared" si="33"/>
        <v>-</v>
      </c>
      <c r="DB129" s="788"/>
      <c r="DC129" s="788"/>
      <c r="DD129" s="789"/>
      <c r="DE129" s="787" t="str">
        <f t="shared" si="24"/>
        <v>-</v>
      </c>
      <c r="DF129" s="788"/>
      <c r="DG129" s="788"/>
      <c r="DH129" s="789"/>
      <c r="DI129" s="790" t="str">
        <f t="shared" si="34"/>
        <v>-</v>
      </c>
      <c r="DJ129" s="785"/>
      <c r="DK129" s="785"/>
      <c r="DL129" s="786"/>
      <c r="DM129" s="790" t="str">
        <f t="shared" si="25"/>
        <v>-</v>
      </c>
      <c r="DN129" s="785"/>
      <c r="DO129" s="785"/>
      <c r="DP129" s="786"/>
      <c r="DQ129" s="790" t="str">
        <f>IF(CU129="","-",INDEX($A$5:$BP$257,MATCH(CU129,$BN$5:$BN$257,0),39)*(IF(CU129="","-",(1+(((-('Densidade do AR'!$M$4))+('Densidade do AR'!$T$15*1000000))/(IF(INDEX($A$5:$BP$257,MATCH(CU129,$BN$5:$BN$257,0),50)="Aço Inoxidável",('Densidade do AR'!$S$8*1000000),IF(INDEX($A$5:$BP$257,MATCH(CU129,$BN$5:$BN$257,0),50)="Ferro Fundido",('Densidade do AR'!$S$12*1000000),IF(INDEX($A$5:$BP$257,MATCH(CU129,$BN$5:$BN$257,0),50)="Latão",('Densidade do AR'!$S$10*1000000),IF(INDEX($A$5:$BP$257,MATCH(CU129,$BN$5:$BN$257,0),50)="Alumínio",('Densidade do AR'!$S$4*1000000)))))))-(((-('Densidade do AR'!$M$4))+('Densidade do AR'!$T$15*1000000))/('Densidade do AR'!$S$14*1000000))))))</f>
        <v>-</v>
      </c>
      <c r="DR129" s="785"/>
      <c r="DS129" s="785"/>
      <c r="DT129" s="791"/>
      <c r="DU129" s="91" t="str">
        <f t="shared" si="35"/>
        <v>-</v>
      </c>
      <c r="DV129" s="746"/>
      <c r="DW129" s="747"/>
      <c r="DX129" s="784" t="str">
        <f>IF(DV129="","-",(IF(INDEX($A$5:$BP$257,MATCH(DV129,$BN$5:$BN$257,0),50)="Aço Inoxidável",('Densidade do AR'!$S$8*1000000),IF(INDEX($A$5:$BP$257,MATCH(DV129,$BN$5:$BN$257,0),50)="Ferro Fundido",('Densidade do AR'!$S$12*1000000),IF(INDEX($A$5:$BP$257,MATCH(DV129,$BN$5:$BN$257,0),50)="Latão",('Densidade do AR'!$S$10*1000000),IF(INDEX($A$5:$BP$257,MATCH(DV129,$BN$5:$BN$257,0),50)="Alumínio",('Densidade do AR'!$S$4*1000000)))))))</f>
        <v>-</v>
      </c>
      <c r="DY129" s="785"/>
      <c r="DZ129" s="785"/>
      <c r="EA129" s="786"/>
      <c r="EB129" s="787" t="str">
        <f t="shared" si="36"/>
        <v>-</v>
      </c>
      <c r="EC129" s="788"/>
      <c r="ED129" s="788"/>
      <c r="EE129" s="789"/>
      <c r="EF129" s="787" t="str">
        <f t="shared" si="26"/>
        <v>-</v>
      </c>
      <c r="EG129" s="788"/>
      <c r="EH129" s="788"/>
      <c r="EI129" s="789"/>
      <c r="EJ129" s="790" t="str">
        <f t="shared" si="37"/>
        <v>-</v>
      </c>
      <c r="EK129" s="785"/>
      <c r="EL129" s="785"/>
      <c r="EM129" s="786"/>
      <c r="EN129" s="790" t="str">
        <f t="shared" si="27"/>
        <v>-</v>
      </c>
      <c r="EO129" s="785"/>
      <c r="EP129" s="785"/>
      <c r="EQ129" s="786"/>
      <c r="ER129" s="790" t="str">
        <f>IF(DV129="","-",INDEX($A$5:$BP$257,MATCH(DV129,$BN$5:$BN$257,0),39)*(IF(DV129="","-",(1+(((-('Densidade do AR'!$M$4))+('Densidade do AR'!$T$15*1000000))/(IF(INDEX($A$5:$BP$257,MATCH(DV129,$BN$5:$BN$257,0),50)="Aço Inoxidável",('Densidade do AR'!$S$8*1000000),IF(INDEX($A$5:$BP$257,MATCH(DV129,$BN$5:$BN$257,0),50)="Ferro Fundido",('Densidade do AR'!$S$12*1000000),IF(INDEX($A$5:$BP$257,MATCH(DV129,$BN$5:$BN$257,0),50)="Latão",('Densidade do AR'!$S$10*1000000),IF(INDEX($A$5:$BP$257,MATCH(DV129,$BN$5:$BN$257,0),50)="Alumínio",('Densidade do AR'!$S$4*1000000)))))))-(((-('Densidade do AR'!$M$4))+('Densidade do AR'!$T$15*1000000))/('Densidade do AR'!$S$14*1000000))))))</f>
        <v>-</v>
      </c>
      <c r="ES129" s="785"/>
      <c r="ET129" s="785"/>
      <c r="EU129" s="791"/>
      <c r="EV129" s="91" t="str">
        <f t="shared" si="38"/>
        <v>-</v>
      </c>
      <c r="EW129" s="746"/>
      <c r="EX129" s="747"/>
      <c r="EY129" s="784" t="str">
        <f>IF(EW129="","-",(IF(INDEX($A$5:$BP$257,MATCH(EW129,$BN$5:$BN$257,0),50)="Aço Inoxidável",('Densidade do AR'!$S$8*1000000),IF(INDEX($A$5:$BP$257,MATCH(EW129,$BN$5:$BN$257,0),50)="Ferro Fundido",('Densidade do AR'!$S$12*1000000),IF(INDEX($A$5:$BP$257,MATCH(EW129,$BN$5:$BN$257,0),50)="Latão",('Densidade do AR'!$S$10*1000000),IF(INDEX($A$5:$BP$257,MATCH(EW129,$BN$5:$BN$257,0),50)="Alumínio",('Densidade do AR'!$S$4*1000000)))))))</f>
        <v>-</v>
      </c>
      <c r="EZ129" s="785"/>
      <c r="FA129" s="785"/>
      <c r="FB129" s="786"/>
      <c r="FC129" s="787" t="str">
        <f t="shared" si="39"/>
        <v>-</v>
      </c>
      <c r="FD129" s="788"/>
      <c r="FE129" s="788"/>
      <c r="FF129" s="789"/>
      <c r="FG129" s="787" t="str">
        <f t="shared" si="28"/>
        <v>-</v>
      </c>
      <c r="FH129" s="788"/>
      <c r="FI129" s="788"/>
      <c r="FJ129" s="789"/>
      <c r="FK129" s="790" t="str">
        <f t="shared" si="40"/>
        <v>-</v>
      </c>
      <c r="FL129" s="785"/>
      <c r="FM129" s="785"/>
      <c r="FN129" s="786"/>
      <c r="FO129" s="790" t="str">
        <f t="shared" si="29"/>
        <v>-</v>
      </c>
      <c r="FP129" s="785"/>
      <c r="FQ129" s="785"/>
      <c r="FR129" s="786"/>
      <c r="FS129" s="790" t="str">
        <f>IF(EW129="","-",INDEX($A$5:$BP$257,MATCH(EW129,$BN$5:$BN$257,0),39)*(IF(EW129="","-",(1+(((-('Densidade do AR'!$M$4))+('Densidade do AR'!$T$15*1000000))/(IF(INDEX($A$5:$BP$257,MATCH(EW129,$BN$5:$BN$257,0),50)="Aço Inoxidável",('Densidade do AR'!$S$8*1000000),IF(INDEX($A$5:$BP$257,MATCH(EW129,$BN$5:$BN$257,0),50)="Ferro Fundido",('Densidade do AR'!$S$12*1000000),IF(INDEX($A$5:$BP$257,MATCH(EW129,$BN$5:$BN$257,0),50)="Latão",('Densidade do AR'!$S$10*1000000),IF(INDEX($A$5:$BP$257,MATCH(EW129,$BN$5:$BN$257,0),50)="Alumínio",('Densidade do AR'!$S$4*1000000)))))))-(((-('Densidade do AR'!$M$4))+('Densidade do AR'!$T$15*1000000))/('Densidade do AR'!$S$14*1000000))))))</f>
        <v>-</v>
      </c>
      <c r="FT129" s="785"/>
      <c r="FU129" s="785"/>
      <c r="FV129" s="791"/>
      <c r="FW129" s="91" t="str">
        <f t="shared" si="41"/>
        <v>-</v>
      </c>
      <c r="FX129" s="135"/>
    </row>
    <row r="130" spans="1:180" ht="12.75" customHeight="1" x14ac:dyDescent="0.2">
      <c r="A130" s="718">
        <v>126</v>
      </c>
      <c r="B130" s="713"/>
      <c r="C130" s="719"/>
      <c r="D130" s="709"/>
      <c r="E130" s="709"/>
      <c r="F130" s="709"/>
      <c r="G130" s="710"/>
      <c r="H130" s="720"/>
      <c r="I130" s="712"/>
      <c r="J130" s="712"/>
      <c r="K130" s="713"/>
      <c r="L130" s="719"/>
      <c r="M130" s="709"/>
      <c r="N130" s="709"/>
      <c r="O130" s="709"/>
      <c r="P130" s="719"/>
      <c r="Q130" s="709"/>
      <c r="R130" s="709"/>
      <c r="S130" s="709"/>
      <c r="T130" s="710"/>
      <c r="U130" s="721"/>
      <c r="V130" s="722"/>
      <c r="W130" s="722"/>
      <c r="X130" s="722"/>
      <c r="Y130" s="722"/>
      <c r="Z130" s="722"/>
      <c r="AA130" s="723"/>
      <c r="AB130" s="853"/>
      <c r="AC130" s="854"/>
      <c r="AD130" s="854"/>
      <c r="AE130" s="854"/>
      <c r="AF130" s="854"/>
      <c r="AG130" s="854"/>
      <c r="AH130" s="854"/>
      <c r="AI130" s="854"/>
      <c r="AJ130" s="854"/>
      <c r="AK130" s="854"/>
      <c r="AL130" s="855"/>
      <c r="AM130" s="909"/>
      <c r="AN130" s="712"/>
      <c r="AO130" s="712"/>
      <c r="AP130" s="712"/>
      <c r="AQ130" s="712"/>
      <c r="AR130" s="712"/>
      <c r="AS130" s="713"/>
      <c r="AT130" s="909"/>
      <c r="AU130" s="712"/>
      <c r="AV130" s="712"/>
      <c r="AW130" s="713"/>
      <c r="AX130" s="908"/>
      <c r="AY130" s="712"/>
      <c r="AZ130" s="712"/>
      <c r="BA130" s="712"/>
      <c r="BB130" s="712"/>
      <c r="BC130" s="713"/>
      <c r="BD130" s="909"/>
      <c r="BE130" s="712"/>
      <c r="BF130" s="712"/>
      <c r="BG130" s="713"/>
      <c r="BH130" s="908"/>
      <c r="BI130" s="712"/>
      <c r="BJ130" s="712"/>
      <c r="BK130" s="712"/>
      <c r="BL130" s="910"/>
      <c r="BN130" s="881"/>
      <c r="BO130" s="882"/>
      <c r="BP130" s="883"/>
      <c r="BT130" s="736"/>
      <c r="BU130" s="737"/>
      <c r="BV130" s="738" t="str">
        <f>IF(BT130="","-",(IF(INDEX($A$5:$BP$257,MATCH(BT130,$BN$5:$BN$257,0),50)="Aço Inoxidável",('Densidade do AR'!$S$8*1000000),IF(INDEX($A$5:$BP$257,MATCH(BT130,$BN$5:$BN$257,0),50)="Ferro Fundido",('Densidade do AR'!$S$12*1000000),IF(INDEX($A$5:$BP$257,MATCH(BT130,$BN$5:$BN$257,0),50)="Latão",('Densidade do AR'!$S$10*1000000),IF(INDEX($A$5:$BP$257,MATCH(BT130,$BN$5:$BN$257,0),50)="Alumínio",('Densidade do AR'!$S$4*1000000)))))))</f>
        <v>-</v>
      </c>
      <c r="BW130" s="739"/>
      <c r="BX130" s="739"/>
      <c r="BY130" s="740"/>
      <c r="BZ130" s="741" t="str">
        <f t="shared" si="30"/>
        <v>-</v>
      </c>
      <c r="CA130" s="742"/>
      <c r="CB130" s="742"/>
      <c r="CC130" s="743"/>
      <c r="CD130" s="741" t="str">
        <f t="shared" si="22"/>
        <v>-</v>
      </c>
      <c r="CE130" s="742"/>
      <c r="CF130" s="742"/>
      <c r="CG130" s="743"/>
      <c r="CH130" s="744" t="str">
        <f t="shared" si="31"/>
        <v>-</v>
      </c>
      <c r="CI130" s="739"/>
      <c r="CJ130" s="739"/>
      <c r="CK130" s="740"/>
      <c r="CL130" s="744" t="str">
        <f t="shared" si="23"/>
        <v>-</v>
      </c>
      <c r="CM130" s="739"/>
      <c r="CN130" s="739"/>
      <c r="CO130" s="740"/>
      <c r="CP130" s="744" t="str">
        <f>IF(BT130="","-",INDEX($A$5:$BP$257,MATCH(BT130,$BN$5:$BN$257,0),39)*(IF(BT130="","-",(1+(((-('Densidade do AR'!$M$4))+('Densidade do AR'!$T$15*1000000))/(IF(INDEX($A$5:$BP$257,MATCH(BT130,$BN$5:$BN$257,0),50)="Aço Inoxidável",('Densidade do AR'!$S$8*1000000),IF(INDEX($A$5:$BP$257,MATCH(BT130,$BN$5:$BN$257,0),50)="Ferro Fundido",('Densidade do AR'!$S$12*1000000),IF(INDEX($A$5:$BP$257,MATCH(BT130,$BN$5:$BN$257,0),50)="Latão",('Densidade do AR'!$S$10*1000000),IF(INDEX($A$5:$BP$257,MATCH(BT130,$BN$5:$BN$257,0),50)="Alumínio",('Densidade do AR'!$S$4*1000000)))))))-(((-('Densidade do AR'!$M$4))+('Densidade do AR'!$T$15*1000000))/('Densidade do AR'!$S$14*1000000))))))</f>
        <v>-</v>
      </c>
      <c r="CQ130" s="739"/>
      <c r="CR130" s="739"/>
      <c r="CS130" s="745"/>
      <c r="CT130" s="91" t="str">
        <f t="shared" si="32"/>
        <v>-</v>
      </c>
      <c r="CU130" s="736"/>
      <c r="CV130" s="737"/>
      <c r="CW130" s="738" t="str">
        <f>IF(CU130="","-",(IF(INDEX($A$5:$BP$257,MATCH(CU130,$BN$5:$BN$257,0),50)="Aço Inoxidável",('Densidade do AR'!$S$8*1000000),IF(INDEX($A$5:$BP$257,MATCH(CU130,$BN$5:$BN$257,0),50)="Ferro Fundido",('Densidade do AR'!$S$12*1000000),IF(INDEX($A$5:$BP$257,MATCH(CU130,$BN$5:$BN$257,0),50)="Latão",('Densidade do AR'!$S$10*1000000),IF(INDEX($A$5:$BP$257,MATCH(CU130,$BN$5:$BN$257,0),50)="Alumínio",('Densidade do AR'!$S$4*1000000)))))))</f>
        <v>-</v>
      </c>
      <c r="CX130" s="739"/>
      <c r="CY130" s="739"/>
      <c r="CZ130" s="740"/>
      <c r="DA130" s="741" t="str">
        <f t="shared" si="33"/>
        <v>-</v>
      </c>
      <c r="DB130" s="742"/>
      <c r="DC130" s="742"/>
      <c r="DD130" s="743"/>
      <c r="DE130" s="741" t="str">
        <f t="shared" si="24"/>
        <v>-</v>
      </c>
      <c r="DF130" s="742"/>
      <c r="DG130" s="742"/>
      <c r="DH130" s="743"/>
      <c r="DI130" s="744" t="str">
        <f t="shared" si="34"/>
        <v>-</v>
      </c>
      <c r="DJ130" s="739"/>
      <c r="DK130" s="739"/>
      <c r="DL130" s="740"/>
      <c r="DM130" s="744" t="str">
        <f t="shared" si="25"/>
        <v>-</v>
      </c>
      <c r="DN130" s="739"/>
      <c r="DO130" s="739"/>
      <c r="DP130" s="740"/>
      <c r="DQ130" s="744" t="str">
        <f>IF(CU130="","-",INDEX($A$5:$BP$257,MATCH(CU130,$BN$5:$BN$257,0),39)*(IF(CU130="","-",(1+(((-('Densidade do AR'!$M$4))+('Densidade do AR'!$T$15*1000000))/(IF(INDEX($A$5:$BP$257,MATCH(CU130,$BN$5:$BN$257,0),50)="Aço Inoxidável",('Densidade do AR'!$S$8*1000000),IF(INDEX($A$5:$BP$257,MATCH(CU130,$BN$5:$BN$257,0),50)="Ferro Fundido",('Densidade do AR'!$S$12*1000000),IF(INDEX($A$5:$BP$257,MATCH(CU130,$BN$5:$BN$257,0),50)="Latão",('Densidade do AR'!$S$10*1000000),IF(INDEX($A$5:$BP$257,MATCH(CU130,$BN$5:$BN$257,0),50)="Alumínio",('Densidade do AR'!$S$4*1000000)))))))-(((-('Densidade do AR'!$M$4))+('Densidade do AR'!$T$15*1000000))/('Densidade do AR'!$S$14*1000000))))))</f>
        <v>-</v>
      </c>
      <c r="DR130" s="739"/>
      <c r="DS130" s="739"/>
      <c r="DT130" s="745"/>
      <c r="DU130" s="91" t="str">
        <f t="shared" si="35"/>
        <v>-</v>
      </c>
      <c r="DV130" s="736"/>
      <c r="DW130" s="737"/>
      <c r="DX130" s="738" t="str">
        <f>IF(DV130="","-",(IF(INDEX($A$5:$BP$257,MATCH(DV130,$BN$5:$BN$257,0),50)="Aço Inoxidável",('Densidade do AR'!$S$8*1000000),IF(INDEX($A$5:$BP$257,MATCH(DV130,$BN$5:$BN$257,0),50)="Ferro Fundido",('Densidade do AR'!$S$12*1000000),IF(INDEX($A$5:$BP$257,MATCH(DV130,$BN$5:$BN$257,0),50)="Latão",('Densidade do AR'!$S$10*1000000),IF(INDEX($A$5:$BP$257,MATCH(DV130,$BN$5:$BN$257,0),50)="Alumínio",('Densidade do AR'!$S$4*1000000)))))))</f>
        <v>-</v>
      </c>
      <c r="DY130" s="739"/>
      <c r="DZ130" s="739"/>
      <c r="EA130" s="740"/>
      <c r="EB130" s="741" t="str">
        <f t="shared" si="36"/>
        <v>-</v>
      </c>
      <c r="EC130" s="742"/>
      <c r="ED130" s="742"/>
      <c r="EE130" s="743"/>
      <c r="EF130" s="741" t="str">
        <f t="shared" si="26"/>
        <v>-</v>
      </c>
      <c r="EG130" s="742"/>
      <c r="EH130" s="742"/>
      <c r="EI130" s="743"/>
      <c r="EJ130" s="744" t="str">
        <f t="shared" si="37"/>
        <v>-</v>
      </c>
      <c r="EK130" s="739"/>
      <c r="EL130" s="739"/>
      <c r="EM130" s="740"/>
      <c r="EN130" s="744" t="str">
        <f t="shared" si="27"/>
        <v>-</v>
      </c>
      <c r="EO130" s="739"/>
      <c r="EP130" s="739"/>
      <c r="EQ130" s="740"/>
      <c r="ER130" s="744" t="str">
        <f>IF(DV130="","-",INDEX($A$5:$BP$257,MATCH(DV130,$BN$5:$BN$257,0),39)*(IF(DV130="","-",(1+(((-('Densidade do AR'!$M$4))+('Densidade do AR'!$T$15*1000000))/(IF(INDEX($A$5:$BP$257,MATCH(DV130,$BN$5:$BN$257,0),50)="Aço Inoxidável",('Densidade do AR'!$S$8*1000000),IF(INDEX($A$5:$BP$257,MATCH(DV130,$BN$5:$BN$257,0),50)="Ferro Fundido",('Densidade do AR'!$S$12*1000000),IF(INDEX($A$5:$BP$257,MATCH(DV130,$BN$5:$BN$257,0),50)="Latão",('Densidade do AR'!$S$10*1000000),IF(INDEX($A$5:$BP$257,MATCH(DV130,$BN$5:$BN$257,0),50)="Alumínio",('Densidade do AR'!$S$4*1000000)))))))-(((-('Densidade do AR'!$M$4))+('Densidade do AR'!$T$15*1000000))/('Densidade do AR'!$S$14*1000000))))))</f>
        <v>-</v>
      </c>
      <c r="ES130" s="739"/>
      <c r="ET130" s="739"/>
      <c r="EU130" s="745"/>
      <c r="EV130" s="91" t="str">
        <f t="shared" si="38"/>
        <v>-</v>
      </c>
      <c r="EW130" s="736"/>
      <c r="EX130" s="737"/>
      <c r="EY130" s="738" t="str">
        <f>IF(EW130="","-",(IF(INDEX($A$5:$BP$257,MATCH(EW130,$BN$5:$BN$257,0),50)="Aço Inoxidável",('Densidade do AR'!$S$8*1000000),IF(INDEX($A$5:$BP$257,MATCH(EW130,$BN$5:$BN$257,0),50)="Ferro Fundido",('Densidade do AR'!$S$12*1000000),IF(INDEX($A$5:$BP$257,MATCH(EW130,$BN$5:$BN$257,0),50)="Latão",('Densidade do AR'!$S$10*1000000),IF(INDEX($A$5:$BP$257,MATCH(EW130,$BN$5:$BN$257,0),50)="Alumínio",('Densidade do AR'!$S$4*1000000)))))))</f>
        <v>-</v>
      </c>
      <c r="EZ130" s="739"/>
      <c r="FA130" s="739"/>
      <c r="FB130" s="740"/>
      <c r="FC130" s="741" t="str">
        <f t="shared" si="39"/>
        <v>-</v>
      </c>
      <c r="FD130" s="742"/>
      <c r="FE130" s="742"/>
      <c r="FF130" s="743"/>
      <c r="FG130" s="741" t="str">
        <f t="shared" si="28"/>
        <v>-</v>
      </c>
      <c r="FH130" s="742"/>
      <c r="FI130" s="742"/>
      <c r="FJ130" s="743"/>
      <c r="FK130" s="744" t="str">
        <f t="shared" si="40"/>
        <v>-</v>
      </c>
      <c r="FL130" s="739"/>
      <c r="FM130" s="739"/>
      <c r="FN130" s="740"/>
      <c r="FO130" s="744" t="str">
        <f t="shared" si="29"/>
        <v>-</v>
      </c>
      <c r="FP130" s="739"/>
      <c r="FQ130" s="739"/>
      <c r="FR130" s="740"/>
      <c r="FS130" s="744" t="str">
        <f>IF(EW130="","-",INDEX($A$5:$BP$257,MATCH(EW130,$BN$5:$BN$257,0),39)*(IF(EW130="","-",(1+(((-('Densidade do AR'!$M$4))+('Densidade do AR'!$T$15*1000000))/(IF(INDEX($A$5:$BP$257,MATCH(EW130,$BN$5:$BN$257,0),50)="Aço Inoxidável",('Densidade do AR'!$S$8*1000000),IF(INDEX($A$5:$BP$257,MATCH(EW130,$BN$5:$BN$257,0),50)="Ferro Fundido",('Densidade do AR'!$S$12*1000000),IF(INDEX($A$5:$BP$257,MATCH(EW130,$BN$5:$BN$257,0),50)="Latão",('Densidade do AR'!$S$10*1000000),IF(INDEX($A$5:$BP$257,MATCH(EW130,$BN$5:$BN$257,0),50)="Alumínio",('Densidade do AR'!$S$4*1000000)))))))-(((-('Densidade do AR'!$M$4))+('Densidade do AR'!$T$15*1000000))/('Densidade do AR'!$S$14*1000000))))))</f>
        <v>-</v>
      </c>
      <c r="FT130" s="739"/>
      <c r="FU130" s="739"/>
      <c r="FV130" s="745"/>
      <c r="FW130" s="91" t="str">
        <f t="shared" si="41"/>
        <v>-</v>
      </c>
      <c r="FX130" s="135"/>
    </row>
    <row r="131" spans="1:180" ht="12.75" customHeight="1" x14ac:dyDescent="0.2">
      <c r="A131" s="717">
        <v>127</v>
      </c>
      <c r="B131" s="713"/>
      <c r="C131" s="708"/>
      <c r="D131" s="709"/>
      <c r="E131" s="709"/>
      <c r="F131" s="709"/>
      <c r="G131" s="710"/>
      <c r="H131" s="711"/>
      <c r="I131" s="712"/>
      <c r="J131" s="712"/>
      <c r="K131" s="713"/>
      <c r="L131" s="708"/>
      <c r="M131" s="709"/>
      <c r="N131" s="709"/>
      <c r="O131" s="709"/>
      <c r="P131" s="708"/>
      <c r="Q131" s="709"/>
      <c r="R131" s="709"/>
      <c r="S131" s="709"/>
      <c r="T131" s="710"/>
      <c r="U131" s="714"/>
      <c r="V131" s="715"/>
      <c r="W131" s="715"/>
      <c r="X131" s="715"/>
      <c r="Y131" s="715"/>
      <c r="Z131" s="715"/>
      <c r="AA131" s="716"/>
      <c r="AB131" s="850"/>
      <c r="AC131" s="851"/>
      <c r="AD131" s="851"/>
      <c r="AE131" s="851"/>
      <c r="AF131" s="851"/>
      <c r="AG131" s="851"/>
      <c r="AH131" s="851"/>
      <c r="AI131" s="851"/>
      <c r="AJ131" s="851"/>
      <c r="AK131" s="851"/>
      <c r="AL131" s="852"/>
      <c r="AM131" s="917"/>
      <c r="AN131" s="712"/>
      <c r="AO131" s="712"/>
      <c r="AP131" s="712"/>
      <c r="AQ131" s="712"/>
      <c r="AR131" s="712"/>
      <c r="AS131" s="713"/>
      <c r="AT131" s="917"/>
      <c r="AU131" s="712"/>
      <c r="AV131" s="712"/>
      <c r="AW131" s="713"/>
      <c r="AX131" s="917"/>
      <c r="AY131" s="712"/>
      <c r="AZ131" s="712"/>
      <c r="BA131" s="712"/>
      <c r="BB131" s="712"/>
      <c r="BC131" s="713"/>
      <c r="BD131" s="917"/>
      <c r="BE131" s="712"/>
      <c r="BF131" s="712"/>
      <c r="BG131" s="713"/>
      <c r="BH131" s="918"/>
      <c r="BI131" s="712"/>
      <c r="BJ131" s="712"/>
      <c r="BK131" s="712"/>
      <c r="BL131" s="910"/>
      <c r="BN131" s="878"/>
      <c r="BO131" s="879"/>
      <c r="BP131" s="880"/>
      <c r="BT131" s="746"/>
      <c r="BU131" s="747"/>
      <c r="BV131" s="784" t="str">
        <f>IF(BT131="","-",(IF(INDEX($A$5:$BP$257,MATCH(BT131,$BN$5:$BN$257,0),50)="Aço Inoxidável",('Densidade do AR'!$S$8*1000000),IF(INDEX($A$5:$BP$257,MATCH(BT131,$BN$5:$BN$257,0),50)="Ferro Fundido",('Densidade do AR'!$S$12*1000000),IF(INDEX($A$5:$BP$257,MATCH(BT131,$BN$5:$BN$257,0),50)="Latão",('Densidade do AR'!$S$10*1000000),IF(INDEX($A$5:$BP$257,MATCH(BT131,$BN$5:$BN$257,0),50)="Alumínio",('Densidade do AR'!$S$4*1000000)))))))</f>
        <v>-</v>
      </c>
      <c r="BW131" s="785"/>
      <c r="BX131" s="785"/>
      <c r="BY131" s="786"/>
      <c r="BZ131" s="787" t="str">
        <f t="shared" si="30"/>
        <v>-</v>
      </c>
      <c r="CA131" s="788"/>
      <c r="CB131" s="788"/>
      <c r="CC131" s="789"/>
      <c r="CD131" s="787" t="str">
        <f t="shared" si="22"/>
        <v>-</v>
      </c>
      <c r="CE131" s="788"/>
      <c r="CF131" s="788"/>
      <c r="CG131" s="789"/>
      <c r="CH131" s="790" t="str">
        <f t="shared" si="31"/>
        <v>-</v>
      </c>
      <c r="CI131" s="785"/>
      <c r="CJ131" s="785"/>
      <c r="CK131" s="786"/>
      <c r="CL131" s="790" t="str">
        <f t="shared" si="23"/>
        <v>-</v>
      </c>
      <c r="CM131" s="785"/>
      <c r="CN131" s="785"/>
      <c r="CO131" s="786"/>
      <c r="CP131" s="790" t="str">
        <f>IF(BT131="","-",INDEX($A$5:$BP$257,MATCH(BT131,$BN$5:$BN$257,0),39)*(IF(BT131="","-",(1+(((-('Densidade do AR'!$M$4))+('Densidade do AR'!$T$15*1000000))/(IF(INDEX($A$5:$BP$257,MATCH(BT131,$BN$5:$BN$257,0),50)="Aço Inoxidável",('Densidade do AR'!$S$8*1000000),IF(INDEX($A$5:$BP$257,MATCH(BT131,$BN$5:$BN$257,0),50)="Ferro Fundido",('Densidade do AR'!$S$12*1000000),IF(INDEX($A$5:$BP$257,MATCH(BT131,$BN$5:$BN$257,0),50)="Latão",('Densidade do AR'!$S$10*1000000),IF(INDEX($A$5:$BP$257,MATCH(BT131,$BN$5:$BN$257,0),50)="Alumínio",('Densidade do AR'!$S$4*1000000)))))))-(((-('Densidade do AR'!$M$4))+('Densidade do AR'!$T$15*1000000))/('Densidade do AR'!$S$14*1000000))))))</f>
        <v>-</v>
      </c>
      <c r="CQ131" s="785"/>
      <c r="CR131" s="785"/>
      <c r="CS131" s="791"/>
      <c r="CT131" s="91" t="str">
        <f t="shared" si="32"/>
        <v>-</v>
      </c>
      <c r="CU131" s="746"/>
      <c r="CV131" s="747"/>
      <c r="CW131" s="784" t="str">
        <f>IF(CU131="","-",(IF(INDEX($A$5:$BP$257,MATCH(CU131,$BN$5:$BN$257,0),50)="Aço Inoxidável",('Densidade do AR'!$S$8*1000000),IF(INDEX($A$5:$BP$257,MATCH(CU131,$BN$5:$BN$257,0),50)="Ferro Fundido",('Densidade do AR'!$S$12*1000000),IF(INDEX($A$5:$BP$257,MATCH(CU131,$BN$5:$BN$257,0),50)="Latão",('Densidade do AR'!$S$10*1000000),IF(INDEX($A$5:$BP$257,MATCH(CU131,$BN$5:$BN$257,0),50)="Alumínio",('Densidade do AR'!$S$4*1000000)))))))</f>
        <v>-</v>
      </c>
      <c r="CX131" s="785"/>
      <c r="CY131" s="785"/>
      <c r="CZ131" s="786"/>
      <c r="DA131" s="787" t="str">
        <f t="shared" si="33"/>
        <v>-</v>
      </c>
      <c r="DB131" s="788"/>
      <c r="DC131" s="788"/>
      <c r="DD131" s="789"/>
      <c r="DE131" s="787" t="str">
        <f t="shared" si="24"/>
        <v>-</v>
      </c>
      <c r="DF131" s="788"/>
      <c r="DG131" s="788"/>
      <c r="DH131" s="789"/>
      <c r="DI131" s="790" t="str">
        <f t="shared" si="34"/>
        <v>-</v>
      </c>
      <c r="DJ131" s="785"/>
      <c r="DK131" s="785"/>
      <c r="DL131" s="786"/>
      <c r="DM131" s="790" t="str">
        <f t="shared" si="25"/>
        <v>-</v>
      </c>
      <c r="DN131" s="785"/>
      <c r="DO131" s="785"/>
      <c r="DP131" s="786"/>
      <c r="DQ131" s="790" t="str">
        <f>IF(CU131="","-",INDEX($A$5:$BP$257,MATCH(CU131,$BN$5:$BN$257,0),39)*(IF(CU131="","-",(1+(((-('Densidade do AR'!$M$4))+('Densidade do AR'!$T$15*1000000))/(IF(INDEX($A$5:$BP$257,MATCH(CU131,$BN$5:$BN$257,0),50)="Aço Inoxidável",('Densidade do AR'!$S$8*1000000),IF(INDEX($A$5:$BP$257,MATCH(CU131,$BN$5:$BN$257,0),50)="Ferro Fundido",('Densidade do AR'!$S$12*1000000),IF(INDEX($A$5:$BP$257,MATCH(CU131,$BN$5:$BN$257,0),50)="Latão",('Densidade do AR'!$S$10*1000000),IF(INDEX($A$5:$BP$257,MATCH(CU131,$BN$5:$BN$257,0),50)="Alumínio",('Densidade do AR'!$S$4*1000000)))))))-(((-('Densidade do AR'!$M$4))+('Densidade do AR'!$T$15*1000000))/('Densidade do AR'!$S$14*1000000))))))</f>
        <v>-</v>
      </c>
      <c r="DR131" s="785"/>
      <c r="DS131" s="785"/>
      <c r="DT131" s="791"/>
      <c r="DU131" s="91" t="str">
        <f t="shared" si="35"/>
        <v>-</v>
      </c>
      <c r="DV131" s="746"/>
      <c r="DW131" s="747"/>
      <c r="DX131" s="784" t="str">
        <f>IF(DV131="","-",(IF(INDEX($A$5:$BP$257,MATCH(DV131,$BN$5:$BN$257,0),50)="Aço Inoxidável",('Densidade do AR'!$S$8*1000000),IF(INDEX($A$5:$BP$257,MATCH(DV131,$BN$5:$BN$257,0),50)="Ferro Fundido",('Densidade do AR'!$S$12*1000000),IF(INDEX($A$5:$BP$257,MATCH(DV131,$BN$5:$BN$257,0),50)="Latão",('Densidade do AR'!$S$10*1000000),IF(INDEX($A$5:$BP$257,MATCH(DV131,$BN$5:$BN$257,0),50)="Alumínio",('Densidade do AR'!$S$4*1000000)))))))</f>
        <v>-</v>
      </c>
      <c r="DY131" s="785"/>
      <c r="DZ131" s="785"/>
      <c r="EA131" s="786"/>
      <c r="EB131" s="787" t="str">
        <f t="shared" si="36"/>
        <v>-</v>
      </c>
      <c r="EC131" s="788"/>
      <c r="ED131" s="788"/>
      <c r="EE131" s="789"/>
      <c r="EF131" s="787" t="str">
        <f t="shared" si="26"/>
        <v>-</v>
      </c>
      <c r="EG131" s="788"/>
      <c r="EH131" s="788"/>
      <c r="EI131" s="789"/>
      <c r="EJ131" s="790" t="str">
        <f t="shared" si="37"/>
        <v>-</v>
      </c>
      <c r="EK131" s="785"/>
      <c r="EL131" s="785"/>
      <c r="EM131" s="786"/>
      <c r="EN131" s="790" t="str">
        <f t="shared" si="27"/>
        <v>-</v>
      </c>
      <c r="EO131" s="785"/>
      <c r="EP131" s="785"/>
      <c r="EQ131" s="786"/>
      <c r="ER131" s="790" t="str">
        <f>IF(DV131="","-",INDEX($A$5:$BP$257,MATCH(DV131,$BN$5:$BN$257,0),39)*(IF(DV131="","-",(1+(((-('Densidade do AR'!$M$4))+('Densidade do AR'!$T$15*1000000))/(IF(INDEX($A$5:$BP$257,MATCH(DV131,$BN$5:$BN$257,0),50)="Aço Inoxidável",('Densidade do AR'!$S$8*1000000),IF(INDEX($A$5:$BP$257,MATCH(DV131,$BN$5:$BN$257,0),50)="Ferro Fundido",('Densidade do AR'!$S$12*1000000),IF(INDEX($A$5:$BP$257,MATCH(DV131,$BN$5:$BN$257,0),50)="Latão",('Densidade do AR'!$S$10*1000000),IF(INDEX($A$5:$BP$257,MATCH(DV131,$BN$5:$BN$257,0),50)="Alumínio",('Densidade do AR'!$S$4*1000000)))))))-(((-('Densidade do AR'!$M$4))+('Densidade do AR'!$T$15*1000000))/('Densidade do AR'!$S$14*1000000))))))</f>
        <v>-</v>
      </c>
      <c r="ES131" s="785"/>
      <c r="ET131" s="785"/>
      <c r="EU131" s="791"/>
      <c r="EV131" s="91" t="str">
        <f t="shared" si="38"/>
        <v>-</v>
      </c>
      <c r="EW131" s="746"/>
      <c r="EX131" s="747"/>
      <c r="EY131" s="784" t="str">
        <f>IF(EW131="","-",(IF(INDEX($A$5:$BP$257,MATCH(EW131,$BN$5:$BN$257,0),50)="Aço Inoxidável",('Densidade do AR'!$S$8*1000000),IF(INDEX($A$5:$BP$257,MATCH(EW131,$BN$5:$BN$257,0),50)="Ferro Fundido",('Densidade do AR'!$S$12*1000000),IF(INDEX($A$5:$BP$257,MATCH(EW131,$BN$5:$BN$257,0),50)="Latão",('Densidade do AR'!$S$10*1000000),IF(INDEX($A$5:$BP$257,MATCH(EW131,$BN$5:$BN$257,0),50)="Alumínio",('Densidade do AR'!$S$4*1000000)))))))</f>
        <v>-</v>
      </c>
      <c r="EZ131" s="785"/>
      <c r="FA131" s="785"/>
      <c r="FB131" s="786"/>
      <c r="FC131" s="787" t="str">
        <f t="shared" si="39"/>
        <v>-</v>
      </c>
      <c r="FD131" s="788"/>
      <c r="FE131" s="788"/>
      <c r="FF131" s="789"/>
      <c r="FG131" s="787" t="str">
        <f t="shared" si="28"/>
        <v>-</v>
      </c>
      <c r="FH131" s="788"/>
      <c r="FI131" s="788"/>
      <c r="FJ131" s="789"/>
      <c r="FK131" s="790" t="str">
        <f t="shared" si="40"/>
        <v>-</v>
      </c>
      <c r="FL131" s="785"/>
      <c r="FM131" s="785"/>
      <c r="FN131" s="786"/>
      <c r="FO131" s="790" t="str">
        <f t="shared" si="29"/>
        <v>-</v>
      </c>
      <c r="FP131" s="785"/>
      <c r="FQ131" s="785"/>
      <c r="FR131" s="786"/>
      <c r="FS131" s="790" t="str">
        <f>IF(EW131="","-",INDEX($A$5:$BP$257,MATCH(EW131,$BN$5:$BN$257,0),39)*(IF(EW131="","-",(1+(((-('Densidade do AR'!$M$4))+('Densidade do AR'!$T$15*1000000))/(IF(INDEX($A$5:$BP$257,MATCH(EW131,$BN$5:$BN$257,0),50)="Aço Inoxidável",('Densidade do AR'!$S$8*1000000),IF(INDEX($A$5:$BP$257,MATCH(EW131,$BN$5:$BN$257,0),50)="Ferro Fundido",('Densidade do AR'!$S$12*1000000),IF(INDEX($A$5:$BP$257,MATCH(EW131,$BN$5:$BN$257,0),50)="Latão",('Densidade do AR'!$S$10*1000000),IF(INDEX($A$5:$BP$257,MATCH(EW131,$BN$5:$BN$257,0),50)="Alumínio",('Densidade do AR'!$S$4*1000000)))))))-(((-('Densidade do AR'!$M$4))+('Densidade do AR'!$T$15*1000000))/('Densidade do AR'!$S$14*1000000))))))</f>
        <v>-</v>
      </c>
      <c r="FT131" s="785"/>
      <c r="FU131" s="785"/>
      <c r="FV131" s="791"/>
      <c r="FW131" s="91" t="str">
        <f t="shared" si="41"/>
        <v>-</v>
      </c>
      <c r="FX131" s="135"/>
    </row>
    <row r="132" spans="1:180" ht="12.75" customHeight="1" x14ac:dyDescent="0.2">
      <c r="A132" s="718">
        <v>128</v>
      </c>
      <c r="B132" s="713"/>
      <c r="C132" s="719"/>
      <c r="D132" s="709"/>
      <c r="E132" s="709"/>
      <c r="F132" s="709"/>
      <c r="G132" s="710"/>
      <c r="H132" s="720"/>
      <c r="I132" s="712"/>
      <c r="J132" s="712"/>
      <c r="K132" s="713"/>
      <c r="L132" s="719"/>
      <c r="M132" s="709"/>
      <c r="N132" s="709"/>
      <c r="O132" s="709"/>
      <c r="P132" s="719"/>
      <c r="Q132" s="709"/>
      <c r="R132" s="709"/>
      <c r="S132" s="709"/>
      <c r="T132" s="710"/>
      <c r="U132" s="721"/>
      <c r="V132" s="722"/>
      <c r="W132" s="722"/>
      <c r="X132" s="722"/>
      <c r="Y132" s="722"/>
      <c r="Z132" s="722"/>
      <c r="AA132" s="723"/>
      <c r="AB132" s="853"/>
      <c r="AC132" s="854"/>
      <c r="AD132" s="854"/>
      <c r="AE132" s="854"/>
      <c r="AF132" s="854"/>
      <c r="AG132" s="854"/>
      <c r="AH132" s="854"/>
      <c r="AI132" s="854"/>
      <c r="AJ132" s="854"/>
      <c r="AK132" s="854"/>
      <c r="AL132" s="855"/>
      <c r="AM132" s="909"/>
      <c r="AN132" s="712"/>
      <c r="AO132" s="712"/>
      <c r="AP132" s="712"/>
      <c r="AQ132" s="712"/>
      <c r="AR132" s="712"/>
      <c r="AS132" s="713"/>
      <c r="AT132" s="909"/>
      <c r="AU132" s="712"/>
      <c r="AV132" s="712"/>
      <c r="AW132" s="713"/>
      <c r="AX132" s="908"/>
      <c r="AY132" s="712"/>
      <c r="AZ132" s="712"/>
      <c r="BA132" s="712"/>
      <c r="BB132" s="712"/>
      <c r="BC132" s="713"/>
      <c r="BD132" s="909"/>
      <c r="BE132" s="712"/>
      <c r="BF132" s="712"/>
      <c r="BG132" s="713"/>
      <c r="BH132" s="908"/>
      <c r="BI132" s="712"/>
      <c r="BJ132" s="712"/>
      <c r="BK132" s="712"/>
      <c r="BL132" s="910"/>
      <c r="BN132" s="881"/>
      <c r="BO132" s="882"/>
      <c r="BP132" s="883"/>
      <c r="BT132" s="736"/>
      <c r="BU132" s="737"/>
      <c r="BV132" s="738" t="str">
        <f>IF(BT132="","-",(IF(INDEX($A$5:$BP$257,MATCH(BT132,$BN$5:$BN$257,0),50)="Aço Inoxidável",('Densidade do AR'!$S$8*1000000),IF(INDEX($A$5:$BP$257,MATCH(BT132,$BN$5:$BN$257,0),50)="Ferro Fundido",('Densidade do AR'!$S$12*1000000),IF(INDEX($A$5:$BP$257,MATCH(BT132,$BN$5:$BN$257,0),50)="Latão",('Densidade do AR'!$S$10*1000000),IF(INDEX($A$5:$BP$257,MATCH(BT132,$BN$5:$BN$257,0),50)="Alumínio",('Densidade do AR'!$S$4*1000000)))))))</f>
        <v>-</v>
      </c>
      <c r="BW132" s="739"/>
      <c r="BX132" s="739"/>
      <c r="BY132" s="740"/>
      <c r="BZ132" s="741" t="str">
        <f t="shared" si="30"/>
        <v>-</v>
      </c>
      <c r="CA132" s="742"/>
      <c r="CB132" s="742"/>
      <c r="CC132" s="743"/>
      <c r="CD132" s="741" t="str">
        <f t="shared" si="22"/>
        <v>-</v>
      </c>
      <c r="CE132" s="742"/>
      <c r="CF132" s="742"/>
      <c r="CG132" s="743"/>
      <c r="CH132" s="744" t="str">
        <f t="shared" si="31"/>
        <v>-</v>
      </c>
      <c r="CI132" s="739"/>
      <c r="CJ132" s="739"/>
      <c r="CK132" s="740"/>
      <c r="CL132" s="744" t="str">
        <f t="shared" si="23"/>
        <v>-</v>
      </c>
      <c r="CM132" s="739"/>
      <c r="CN132" s="739"/>
      <c r="CO132" s="740"/>
      <c r="CP132" s="744" t="str">
        <f>IF(BT132="","-",INDEX($A$5:$BP$257,MATCH(BT132,$BN$5:$BN$257,0),39)*(IF(BT132="","-",(1+(((-('Densidade do AR'!$M$4))+('Densidade do AR'!$T$15*1000000))/(IF(INDEX($A$5:$BP$257,MATCH(BT132,$BN$5:$BN$257,0),50)="Aço Inoxidável",('Densidade do AR'!$S$8*1000000),IF(INDEX($A$5:$BP$257,MATCH(BT132,$BN$5:$BN$257,0),50)="Ferro Fundido",('Densidade do AR'!$S$12*1000000),IF(INDEX($A$5:$BP$257,MATCH(BT132,$BN$5:$BN$257,0),50)="Latão",('Densidade do AR'!$S$10*1000000),IF(INDEX($A$5:$BP$257,MATCH(BT132,$BN$5:$BN$257,0),50)="Alumínio",('Densidade do AR'!$S$4*1000000)))))))-(((-('Densidade do AR'!$M$4))+('Densidade do AR'!$T$15*1000000))/('Densidade do AR'!$S$14*1000000))))))</f>
        <v>-</v>
      </c>
      <c r="CQ132" s="739"/>
      <c r="CR132" s="739"/>
      <c r="CS132" s="745"/>
      <c r="CT132" s="91" t="str">
        <f t="shared" si="32"/>
        <v>-</v>
      </c>
      <c r="CU132" s="736"/>
      <c r="CV132" s="737"/>
      <c r="CW132" s="738" t="str">
        <f>IF(CU132="","-",(IF(INDEX($A$5:$BP$257,MATCH(CU132,$BN$5:$BN$257,0),50)="Aço Inoxidável",('Densidade do AR'!$S$8*1000000),IF(INDEX($A$5:$BP$257,MATCH(CU132,$BN$5:$BN$257,0),50)="Ferro Fundido",('Densidade do AR'!$S$12*1000000),IF(INDEX($A$5:$BP$257,MATCH(CU132,$BN$5:$BN$257,0),50)="Latão",('Densidade do AR'!$S$10*1000000),IF(INDEX($A$5:$BP$257,MATCH(CU132,$BN$5:$BN$257,0),50)="Alumínio",('Densidade do AR'!$S$4*1000000)))))))</f>
        <v>-</v>
      </c>
      <c r="CX132" s="739"/>
      <c r="CY132" s="739"/>
      <c r="CZ132" s="740"/>
      <c r="DA132" s="741" t="str">
        <f t="shared" si="33"/>
        <v>-</v>
      </c>
      <c r="DB132" s="742"/>
      <c r="DC132" s="742"/>
      <c r="DD132" s="743"/>
      <c r="DE132" s="741" t="str">
        <f t="shared" si="24"/>
        <v>-</v>
      </c>
      <c r="DF132" s="742"/>
      <c r="DG132" s="742"/>
      <c r="DH132" s="743"/>
      <c r="DI132" s="744" t="str">
        <f t="shared" si="34"/>
        <v>-</v>
      </c>
      <c r="DJ132" s="739"/>
      <c r="DK132" s="739"/>
      <c r="DL132" s="740"/>
      <c r="DM132" s="744" t="str">
        <f t="shared" si="25"/>
        <v>-</v>
      </c>
      <c r="DN132" s="739"/>
      <c r="DO132" s="739"/>
      <c r="DP132" s="740"/>
      <c r="DQ132" s="744" t="str">
        <f>IF(CU132="","-",INDEX($A$5:$BP$257,MATCH(CU132,$BN$5:$BN$257,0),39)*(IF(CU132="","-",(1+(((-('Densidade do AR'!$M$4))+('Densidade do AR'!$T$15*1000000))/(IF(INDEX($A$5:$BP$257,MATCH(CU132,$BN$5:$BN$257,0),50)="Aço Inoxidável",('Densidade do AR'!$S$8*1000000),IF(INDEX($A$5:$BP$257,MATCH(CU132,$BN$5:$BN$257,0),50)="Ferro Fundido",('Densidade do AR'!$S$12*1000000),IF(INDEX($A$5:$BP$257,MATCH(CU132,$BN$5:$BN$257,0),50)="Latão",('Densidade do AR'!$S$10*1000000),IF(INDEX($A$5:$BP$257,MATCH(CU132,$BN$5:$BN$257,0),50)="Alumínio",('Densidade do AR'!$S$4*1000000)))))))-(((-('Densidade do AR'!$M$4))+('Densidade do AR'!$T$15*1000000))/('Densidade do AR'!$S$14*1000000))))))</f>
        <v>-</v>
      </c>
      <c r="DR132" s="739"/>
      <c r="DS132" s="739"/>
      <c r="DT132" s="745"/>
      <c r="DU132" s="91" t="str">
        <f t="shared" si="35"/>
        <v>-</v>
      </c>
      <c r="DV132" s="736"/>
      <c r="DW132" s="737"/>
      <c r="DX132" s="738" t="str">
        <f>IF(DV132="","-",(IF(INDEX($A$5:$BP$257,MATCH(DV132,$BN$5:$BN$257,0),50)="Aço Inoxidável",('Densidade do AR'!$S$8*1000000),IF(INDEX($A$5:$BP$257,MATCH(DV132,$BN$5:$BN$257,0),50)="Ferro Fundido",('Densidade do AR'!$S$12*1000000),IF(INDEX($A$5:$BP$257,MATCH(DV132,$BN$5:$BN$257,0),50)="Latão",('Densidade do AR'!$S$10*1000000),IF(INDEX($A$5:$BP$257,MATCH(DV132,$BN$5:$BN$257,0),50)="Alumínio",('Densidade do AR'!$S$4*1000000)))))))</f>
        <v>-</v>
      </c>
      <c r="DY132" s="739"/>
      <c r="DZ132" s="739"/>
      <c r="EA132" s="740"/>
      <c r="EB132" s="741" t="str">
        <f t="shared" si="36"/>
        <v>-</v>
      </c>
      <c r="EC132" s="742"/>
      <c r="ED132" s="742"/>
      <c r="EE132" s="743"/>
      <c r="EF132" s="741" t="str">
        <f t="shared" si="26"/>
        <v>-</v>
      </c>
      <c r="EG132" s="742"/>
      <c r="EH132" s="742"/>
      <c r="EI132" s="743"/>
      <c r="EJ132" s="744" t="str">
        <f t="shared" si="37"/>
        <v>-</v>
      </c>
      <c r="EK132" s="739"/>
      <c r="EL132" s="739"/>
      <c r="EM132" s="740"/>
      <c r="EN132" s="744" t="str">
        <f t="shared" si="27"/>
        <v>-</v>
      </c>
      <c r="EO132" s="739"/>
      <c r="EP132" s="739"/>
      <c r="EQ132" s="740"/>
      <c r="ER132" s="744" t="str">
        <f>IF(DV132="","-",INDEX($A$5:$BP$257,MATCH(DV132,$BN$5:$BN$257,0),39)*(IF(DV132="","-",(1+(((-('Densidade do AR'!$M$4))+('Densidade do AR'!$T$15*1000000))/(IF(INDEX($A$5:$BP$257,MATCH(DV132,$BN$5:$BN$257,0),50)="Aço Inoxidável",('Densidade do AR'!$S$8*1000000),IF(INDEX($A$5:$BP$257,MATCH(DV132,$BN$5:$BN$257,0),50)="Ferro Fundido",('Densidade do AR'!$S$12*1000000),IF(INDEX($A$5:$BP$257,MATCH(DV132,$BN$5:$BN$257,0),50)="Latão",('Densidade do AR'!$S$10*1000000),IF(INDEX($A$5:$BP$257,MATCH(DV132,$BN$5:$BN$257,0),50)="Alumínio",('Densidade do AR'!$S$4*1000000)))))))-(((-('Densidade do AR'!$M$4))+('Densidade do AR'!$T$15*1000000))/('Densidade do AR'!$S$14*1000000))))))</f>
        <v>-</v>
      </c>
      <c r="ES132" s="739"/>
      <c r="ET132" s="739"/>
      <c r="EU132" s="745"/>
      <c r="EV132" s="91" t="str">
        <f t="shared" si="38"/>
        <v>-</v>
      </c>
      <c r="EW132" s="736"/>
      <c r="EX132" s="737"/>
      <c r="EY132" s="738" t="str">
        <f>IF(EW132="","-",(IF(INDEX($A$5:$BP$257,MATCH(EW132,$BN$5:$BN$257,0),50)="Aço Inoxidável",('Densidade do AR'!$S$8*1000000),IF(INDEX($A$5:$BP$257,MATCH(EW132,$BN$5:$BN$257,0),50)="Ferro Fundido",('Densidade do AR'!$S$12*1000000),IF(INDEX($A$5:$BP$257,MATCH(EW132,$BN$5:$BN$257,0),50)="Latão",('Densidade do AR'!$S$10*1000000),IF(INDEX($A$5:$BP$257,MATCH(EW132,$BN$5:$BN$257,0),50)="Alumínio",('Densidade do AR'!$S$4*1000000)))))))</f>
        <v>-</v>
      </c>
      <c r="EZ132" s="739"/>
      <c r="FA132" s="739"/>
      <c r="FB132" s="740"/>
      <c r="FC132" s="741" t="str">
        <f t="shared" si="39"/>
        <v>-</v>
      </c>
      <c r="FD132" s="742"/>
      <c r="FE132" s="742"/>
      <c r="FF132" s="743"/>
      <c r="FG132" s="741" t="str">
        <f t="shared" si="28"/>
        <v>-</v>
      </c>
      <c r="FH132" s="742"/>
      <c r="FI132" s="742"/>
      <c r="FJ132" s="743"/>
      <c r="FK132" s="744" t="str">
        <f t="shared" si="40"/>
        <v>-</v>
      </c>
      <c r="FL132" s="739"/>
      <c r="FM132" s="739"/>
      <c r="FN132" s="740"/>
      <c r="FO132" s="744" t="str">
        <f t="shared" si="29"/>
        <v>-</v>
      </c>
      <c r="FP132" s="739"/>
      <c r="FQ132" s="739"/>
      <c r="FR132" s="740"/>
      <c r="FS132" s="744" t="str">
        <f>IF(EW132="","-",INDEX($A$5:$BP$257,MATCH(EW132,$BN$5:$BN$257,0),39)*(IF(EW132="","-",(1+(((-('Densidade do AR'!$M$4))+('Densidade do AR'!$T$15*1000000))/(IF(INDEX($A$5:$BP$257,MATCH(EW132,$BN$5:$BN$257,0),50)="Aço Inoxidável",('Densidade do AR'!$S$8*1000000),IF(INDEX($A$5:$BP$257,MATCH(EW132,$BN$5:$BN$257,0),50)="Ferro Fundido",('Densidade do AR'!$S$12*1000000),IF(INDEX($A$5:$BP$257,MATCH(EW132,$BN$5:$BN$257,0),50)="Latão",('Densidade do AR'!$S$10*1000000),IF(INDEX($A$5:$BP$257,MATCH(EW132,$BN$5:$BN$257,0),50)="Alumínio",('Densidade do AR'!$S$4*1000000)))))))-(((-('Densidade do AR'!$M$4))+('Densidade do AR'!$T$15*1000000))/('Densidade do AR'!$S$14*1000000))))))</f>
        <v>-</v>
      </c>
      <c r="FT132" s="739"/>
      <c r="FU132" s="739"/>
      <c r="FV132" s="745"/>
      <c r="FW132" s="91" t="str">
        <f t="shared" si="41"/>
        <v>-</v>
      </c>
      <c r="FX132" s="135"/>
    </row>
    <row r="133" spans="1:180" ht="12.75" customHeight="1" x14ac:dyDescent="0.2">
      <c r="A133" s="717">
        <v>129</v>
      </c>
      <c r="B133" s="713"/>
      <c r="C133" s="708"/>
      <c r="D133" s="709"/>
      <c r="E133" s="709"/>
      <c r="F133" s="709"/>
      <c r="G133" s="710"/>
      <c r="H133" s="711"/>
      <c r="I133" s="712"/>
      <c r="J133" s="712"/>
      <c r="K133" s="713"/>
      <c r="L133" s="708"/>
      <c r="M133" s="709"/>
      <c r="N133" s="709"/>
      <c r="O133" s="709"/>
      <c r="P133" s="708"/>
      <c r="Q133" s="709"/>
      <c r="R133" s="709"/>
      <c r="S133" s="709"/>
      <c r="T133" s="710"/>
      <c r="U133" s="714"/>
      <c r="V133" s="715"/>
      <c r="W133" s="715"/>
      <c r="X133" s="715"/>
      <c r="Y133" s="715"/>
      <c r="Z133" s="715"/>
      <c r="AA133" s="716"/>
      <c r="AB133" s="850"/>
      <c r="AC133" s="851"/>
      <c r="AD133" s="851"/>
      <c r="AE133" s="851"/>
      <c r="AF133" s="851"/>
      <c r="AG133" s="851"/>
      <c r="AH133" s="851"/>
      <c r="AI133" s="851"/>
      <c r="AJ133" s="851"/>
      <c r="AK133" s="851"/>
      <c r="AL133" s="852"/>
      <c r="AM133" s="917"/>
      <c r="AN133" s="712"/>
      <c r="AO133" s="712"/>
      <c r="AP133" s="712"/>
      <c r="AQ133" s="712"/>
      <c r="AR133" s="712"/>
      <c r="AS133" s="713"/>
      <c r="AT133" s="917"/>
      <c r="AU133" s="712"/>
      <c r="AV133" s="712"/>
      <c r="AW133" s="713"/>
      <c r="AX133" s="917"/>
      <c r="AY133" s="712"/>
      <c r="AZ133" s="712"/>
      <c r="BA133" s="712"/>
      <c r="BB133" s="712"/>
      <c r="BC133" s="713"/>
      <c r="BD133" s="917"/>
      <c r="BE133" s="712"/>
      <c r="BF133" s="712"/>
      <c r="BG133" s="713"/>
      <c r="BH133" s="918"/>
      <c r="BI133" s="712"/>
      <c r="BJ133" s="712"/>
      <c r="BK133" s="712"/>
      <c r="BL133" s="910"/>
      <c r="BN133" s="878"/>
      <c r="BO133" s="879"/>
      <c r="BP133" s="880"/>
      <c r="BT133" s="746"/>
      <c r="BU133" s="747"/>
      <c r="BV133" s="784" t="str">
        <f>IF(BT133="","-",(IF(INDEX($A$5:$BP$257,MATCH(BT133,$BN$5:$BN$257,0),50)="Aço Inoxidável",('Densidade do AR'!$S$8*1000000),IF(INDEX($A$5:$BP$257,MATCH(BT133,$BN$5:$BN$257,0),50)="Ferro Fundido",('Densidade do AR'!$S$12*1000000),IF(INDEX($A$5:$BP$257,MATCH(BT133,$BN$5:$BN$257,0),50)="Latão",('Densidade do AR'!$S$10*1000000),IF(INDEX($A$5:$BP$257,MATCH(BT133,$BN$5:$BN$257,0),50)="Alumínio",('Densidade do AR'!$S$4*1000000)))))))</f>
        <v>-</v>
      </c>
      <c r="BW133" s="785"/>
      <c r="BX133" s="785"/>
      <c r="BY133" s="786"/>
      <c r="BZ133" s="787" t="str">
        <f t="shared" si="30"/>
        <v>-</v>
      </c>
      <c r="CA133" s="788"/>
      <c r="CB133" s="788"/>
      <c r="CC133" s="789"/>
      <c r="CD133" s="787" t="str">
        <f t="shared" ref="CD133:CD196" si="44">IF(BT133="","-",IF($BT$259="micrograma (µg)",(((1000*INDEX($A$5:$BP$257,MATCH(BT133,$BN$5:$BN$257,0),56)/INDEX($A$5:$BP$257,MATCH(BT133,$BN$5:$BN$257,0),60))^4)/BZ133),IF($BT$259="miligrama (mg)",(((INDEX($A$5:$BP$257,MATCH(BT133,$BN$5:$BN$257,0),56)/INDEX($A$5:$BP$257,MATCH(BT133,$BN$5:$BN$257,0),60))^4)/BZ133),IF($BT$259="grama (g)",(((INDEX($A$5:$BP$257,MATCH(BT133,$BN$5:$BN$257,0),56)/(1000*INDEX($A$5:$BP$257,MATCH(BT133,$BN$5:$BN$257,0),60)))^4)/BZ133),IF($BT$259="quilograma (kg)",(((INDEX($A$5:$BP$257,MATCH(BT133,$BN$5:$BN$257,0),56)/(1000000*INDEX($A$5:$BP$257,MATCH(BT133,$BN$5:$BN$257,0),60)))^4)/BZ133),IF($BT$259="tonelada (t)",(((INDEX($A$5:$BP$257,MATCH(BT133,$BN$5:$BN$257,0),56)/(1000000000*INDEX($A$5:$BP$257,MATCH(BT133,$BN$5:$BN$257,0),60)))^4)/BZ133)))))))</f>
        <v>-</v>
      </c>
      <c r="CE133" s="788"/>
      <c r="CF133" s="788"/>
      <c r="CG133" s="789"/>
      <c r="CH133" s="790" t="str">
        <f t="shared" si="31"/>
        <v>-</v>
      </c>
      <c r="CI133" s="785"/>
      <c r="CJ133" s="785"/>
      <c r="CK133" s="786"/>
      <c r="CL133" s="790" t="str">
        <f t="shared" ref="CL133:CL196" si="45">IF(BT133="","-",INDEX($A$5:$BP$257,MATCH(BT133,$BN$5:$BN$257,0),56)/INDEX($A$5:$BP$257,MATCH(BT133,$BN$5:$BN$257,0),60))</f>
        <v>-</v>
      </c>
      <c r="CM133" s="785"/>
      <c r="CN133" s="785"/>
      <c r="CO133" s="786"/>
      <c r="CP133" s="790" t="str">
        <f>IF(BT133="","-",INDEX($A$5:$BP$257,MATCH(BT133,$BN$5:$BN$257,0),39)*(IF(BT133="","-",(1+(((-('Densidade do AR'!$M$4))+('Densidade do AR'!$T$15*1000000))/(IF(INDEX($A$5:$BP$257,MATCH(BT133,$BN$5:$BN$257,0),50)="Aço Inoxidável",('Densidade do AR'!$S$8*1000000),IF(INDEX($A$5:$BP$257,MATCH(BT133,$BN$5:$BN$257,0),50)="Ferro Fundido",('Densidade do AR'!$S$12*1000000),IF(INDEX($A$5:$BP$257,MATCH(BT133,$BN$5:$BN$257,0),50)="Latão",('Densidade do AR'!$S$10*1000000),IF(INDEX($A$5:$BP$257,MATCH(BT133,$BN$5:$BN$257,0),50)="Alumínio",('Densidade do AR'!$S$4*1000000)))))))-(((-('Densidade do AR'!$M$4))+('Densidade do AR'!$T$15*1000000))/('Densidade do AR'!$S$14*1000000))))))</f>
        <v>-</v>
      </c>
      <c r="CQ133" s="785"/>
      <c r="CR133" s="785"/>
      <c r="CS133" s="791"/>
      <c r="CT133" s="91" t="str">
        <f t="shared" si="32"/>
        <v>-</v>
      </c>
      <c r="CU133" s="746"/>
      <c r="CV133" s="747"/>
      <c r="CW133" s="784" t="str">
        <f>IF(CU133="","-",(IF(INDEX($A$5:$BP$257,MATCH(CU133,$BN$5:$BN$257,0),50)="Aço Inoxidável",('Densidade do AR'!$S$8*1000000),IF(INDEX($A$5:$BP$257,MATCH(CU133,$BN$5:$BN$257,0),50)="Ferro Fundido",('Densidade do AR'!$S$12*1000000),IF(INDEX($A$5:$BP$257,MATCH(CU133,$BN$5:$BN$257,0),50)="Latão",('Densidade do AR'!$S$10*1000000),IF(INDEX($A$5:$BP$257,MATCH(CU133,$BN$5:$BN$257,0),50)="Alumínio",('Densidade do AR'!$S$4*1000000)))))))</f>
        <v>-</v>
      </c>
      <c r="CX133" s="785"/>
      <c r="CY133" s="785"/>
      <c r="CZ133" s="786"/>
      <c r="DA133" s="787" t="str">
        <f t="shared" si="33"/>
        <v>-</v>
      </c>
      <c r="DB133" s="788"/>
      <c r="DC133" s="788"/>
      <c r="DD133" s="789"/>
      <c r="DE133" s="787" t="str">
        <f t="shared" ref="DE133:DE196" si="46">IF(CU133="","-",IF($BT$259="micrograma (µg)",(((1000*INDEX($A$5:$BP$257,MATCH(CU133,$BN$5:$BN$257,0),56)/INDEX($A$5:$BP$257,MATCH(CU133,$BN$5:$BN$257,0),60))^4)/DA133),IF($BT$259="miligrama (mg)",(((INDEX($A$5:$BP$257,MATCH(CU133,$BN$5:$BN$257,0),56)/INDEX($A$5:$BP$257,MATCH(CU133,$BN$5:$BN$257,0),60))^4)/DA133),IF($BT$259="grama (g)",(((INDEX($A$5:$BP$257,MATCH(CU133,$BN$5:$BN$257,0),56)/(1000*INDEX($A$5:$BP$257,MATCH(CU133,$BN$5:$BN$257,0),60)))^4)/DA133),IF($BT$259="quilograma (kg)",(((INDEX($A$5:$BP$257,MATCH(CU133,$BN$5:$BN$257,0),56)/(1000000*INDEX($A$5:$BP$257,MATCH(CU133,$BN$5:$BN$257,0),60)))^4)/DA133),IF($BT$259="tonelada (t)",(((INDEX($A$5:$BP$257,MATCH(CU133,$BN$5:$BN$257,0),56)/(1000000000*INDEX($A$5:$BP$257,MATCH(CU133,$BN$5:$BN$257,0),60)))^4)/DA133)))))))</f>
        <v>-</v>
      </c>
      <c r="DF133" s="788"/>
      <c r="DG133" s="788"/>
      <c r="DH133" s="789"/>
      <c r="DI133" s="790" t="str">
        <f t="shared" si="34"/>
        <v>-</v>
      </c>
      <c r="DJ133" s="785"/>
      <c r="DK133" s="785"/>
      <c r="DL133" s="786"/>
      <c r="DM133" s="790" t="str">
        <f t="shared" ref="DM133:DM196" si="47">IF(CU133="","-",INDEX($A$5:$BP$257,MATCH(CU133,$BN$5:$BN$257,0),56)/INDEX($A$5:$BP$257,MATCH(CU133,$BN$5:$BN$257,0),60))</f>
        <v>-</v>
      </c>
      <c r="DN133" s="785"/>
      <c r="DO133" s="785"/>
      <c r="DP133" s="786"/>
      <c r="DQ133" s="790" t="str">
        <f>IF(CU133="","-",INDEX($A$5:$BP$257,MATCH(CU133,$BN$5:$BN$257,0),39)*(IF(CU133="","-",(1+(((-('Densidade do AR'!$M$4))+('Densidade do AR'!$T$15*1000000))/(IF(INDEX($A$5:$BP$257,MATCH(CU133,$BN$5:$BN$257,0),50)="Aço Inoxidável",('Densidade do AR'!$S$8*1000000),IF(INDEX($A$5:$BP$257,MATCH(CU133,$BN$5:$BN$257,0),50)="Ferro Fundido",('Densidade do AR'!$S$12*1000000),IF(INDEX($A$5:$BP$257,MATCH(CU133,$BN$5:$BN$257,0),50)="Latão",('Densidade do AR'!$S$10*1000000),IF(INDEX($A$5:$BP$257,MATCH(CU133,$BN$5:$BN$257,0),50)="Alumínio",('Densidade do AR'!$S$4*1000000)))))))-(((-('Densidade do AR'!$M$4))+('Densidade do AR'!$T$15*1000000))/('Densidade do AR'!$S$14*1000000))))))</f>
        <v>-</v>
      </c>
      <c r="DR133" s="785"/>
      <c r="DS133" s="785"/>
      <c r="DT133" s="791"/>
      <c r="DU133" s="91" t="str">
        <f t="shared" si="35"/>
        <v>-</v>
      </c>
      <c r="DV133" s="746"/>
      <c r="DW133" s="747"/>
      <c r="DX133" s="784" t="str">
        <f>IF(DV133="","-",(IF(INDEX($A$5:$BP$257,MATCH(DV133,$BN$5:$BN$257,0),50)="Aço Inoxidável",('Densidade do AR'!$S$8*1000000),IF(INDEX($A$5:$BP$257,MATCH(DV133,$BN$5:$BN$257,0),50)="Ferro Fundido",('Densidade do AR'!$S$12*1000000),IF(INDEX($A$5:$BP$257,MATCH(DV133,$BN$5:$BN$257,0),50)="Latão",('Densidade do AR'!$S$10*1000000),IF(INDEX($A$5:$BP$257,MATCH(DV133,$BN$5:$BN$257,0),50)="Alumínio",('Densidade do AR'!$S$4*1000000)))))))</f>
        <v>-</v>
      </c>
      <c r="DY133" s="785"/>
      <c r="DZ133" s="785"/>
      <c r="EA133" s="786"/>
      <c r="EB133" s="787" t="str">
        <f t="shared" si="36"/>
        <v>-</v>
      </c>
      <c r="EC133" s="788"/>
      <c r="ED133" s="788"/>
      <c r="EE133" s="789"/>
      <c r="EF133" s="787" t="str">
        <f t="shared" ref="EF133:EF196" si="48">IF(DV133="","-",IF($BT$259="micrograma (µg)",(((1000*INDEX($A$5:$BP$257,MATCH(DV133,$BN$5:$BN$257,0),56)/INDEX($A$5:$BP$257,MATCH(DV133,$BN$5:$BN$257,0),60))^4)/EB133),IF($BT$259="miligrama (mg)",(((INDEX($A$5:$BP$257,MATCH(DV133,$BN$5:$BN$257,0),56)/INDEX($A$5:$BP$257,MATCH(DV133,$BN$5:$BN$257,0),60))^4)/EB133),IF($BT$259="grama (g)",(((INDEX($A$5:$BP$257,MATCH(DV133,$BN$5:$BN$257,0),56)/(1000*INDEX($A$5:$BP$257,MATCH(DV133,$BN$5:$BN$257,0),60)))^4)/EB133),IF($BT$259="quilograma (kg)",(((INDEX($A$5:$BP$257,MATCH(DV133,$BN$5:$BN$257,0),56)/(1000000*INDEX($A$5:$BP$257,MATCH(DV133,$BN$5:$BN$257,0),60)))^4)/EB133),IF($BT$259="tonelada (t)",(((INDEX($A$5:$BP$257,MATCH(DV133,$BN$5:$BN$257,0),56)/(1000000000*INDEX($A$5:$BP$257,MATCH(DV133,$BN$5:$BN$257,0),60)))^4)/EB133)))))))</f>
        <v>-</v>
      </c>
      <c r="EG133" s="788"/>
      <c r="EH133" s="788"/>
      <c r="EI133" s="789"/>
      <c r="EJ133" s="790" t="str">
        <f t="shared" si="37"/>
        <v>-</v>
      </c>
      <c r="EK133" s="785"/>
      <c r="EL133" s="785"/>
      <c r="EM133" s="786"/>
      <c r="EN133" s="790" t="str">
        <f t="shared" ref="EN133:EN196" si="49">IF(DV133="","-",INDEX($A$5:$BP$257,MATCH(DV133,$BN$5:$BN$257,0),56)/INDEX($A$5:$BP$257,MATCH(DV133,$BN$5:$BN$257,0),60))</f>
        <v>-</v>
      </c>
      <c r="EO133" s="785"/>
      <c r="EP133" s="785"/>
      <c r="EQ133" s="786"/>
      <c r="ER133" s="790" t="str">
        <f>IF(DV133="","-",INDEX($A$5:$BP$257,MATCH(DV133,$BN$5:$BN$257,0),39)*(IF(DV133="","-",(1+(((-('Densidade do AR'!$M$4))+('Densidade do AR'!$T$15*1000000))/(IF(INDEX($A$5:$BP$257,MATCH(DV133,$BN$5:$BN$257,0),50)="Aço Inoxidável",('Densidade do AR'!$S$8*1000000),IF(INDEX($A$5:$BP$257,MATCH(DV133,$BN$5:$BN$257,0),50)="Ferro Fundido",('Densidade do AR'!$S$12*1000000),IF(INDEX($A$5:$BP$257,MATCH(DV133,$BN$5:$BN$257,0),50)="Latão",('Densidade do AR'!$S$10*1000000),IF(INDEX($A$5:$BP$257,MATCH(DV133,$BN$5:$BN$257,0),50)="Alumínio",('Densidade do AR'!$S$4*1000000)))))))-(((-('Densidade do AR'!$M$4))+('Densidade do AR'!$T$15*1000000))/('Densidade do AR'!$S$14*1000000))))))</f>
        <v>-</v>
      </c>
      <c r="ES133" s="785"/>
      <c r="ET133" s="785"/>
      <c r="EU133" s="791"/>
      <c r="EV133" s="91" t="str">
        <f t="shared" si="38"/>
        <v>-</v>
      </c>
      <c r="EW133" s="746"/>
      <c r="EX133" s="747"/>
      <c r="EY133" s="784" t="str">
        <f>IF(EW133="","-",(IF(INDEX($A$5:$BP$257,MATCH(EW133,$BN$5:$BN$257,0),50)="Aço Inoxidável",('Densidade do AR'!$S$8*1000000),IF(INDEX($A$5:$BP$257,MATCH(EW133,$BN$5:$BN$257,0),50)="Ferro Fundido",('Densidade do AR'!$S$12*1000000),IF(INDEX($A$5:$BP$257,MATCH(EW133,$BN$5:$BN$257,0),50)="Latão",('Densidade do AR'!$S$10*1000000),IF(INDEX($A$5:$BP$257,MATCH(EW133,$BN$5:$BN$257,0),50)="Alumínio",('Densidade do AR'!$S$4*1000000)))))))</f>
        <v>-</v>
      </c>
      <c r="EZ133" s="785"/>
      <c r="FA133" s="785"/>
      <c r="FB133" s="786"/>
      <c r="FC133" s="787" t="str">
        <f t="shared" si="39"/>
        <v>-</v>
      </c>
      <c r="FD133" s="788"/>
      <c r="FE133" s="788"/>
      <c r="FF133" s="789"/>
      <c r="FG133" s="787" t="str">
        <f t="shared" ref="FG133:FG196" si="50">IF(EW133="","-",IF($BT$259="micrograma (µg)",(((1000*INDEX($A$5:$BP$257,MATCH(EW133,$BN$5:$BN$257,0),56)/INDEX($A$5:$BP$257,MATCH(EW133,$BN$5:$BN$257,0),60))^4)/FC133),IF($BT$259="miligrama (mg)",(((INDEX($A$5:$BP$257,MATCH(EW133,$BN$5:$BN$257,0),56)/INDEX($A$5:$BP$257,MATCH(EW133,$BN$5:$BN$257,0),60))^4)/FC133),IF($BT$259="grama (g)",(((INDEX($A$5:$BP$257,MATCH(EW133,$BN$5:$BN$257,0),56)/(1000*INDEX($A$5:$BP$257,MATCH(EW133,$BN$5:$BN$257,0),60)))^4)/FC133),IF($BT$259="quilograma (kg)",(((INDEX($A$5:$BP$257,MATCH(EW133,$BN$5:$BN$257,0),56)/(1000000*INDEX($A$5:$BP$257,MATCH(EW133,$BN$5:$BN$257,0),60)))^4)/FC133),IF($BT$259="tonelada (t)",(((INDEX($A$5:$BP$257,MATCH(EW133,$BN$5:$BN$257,0),56)/(1000000000*INDEX($A$5:$BP$257,MATCH(EW133,$BN$5:$BN$257,0),60)))^4)/FC133)))))))</f>
        <v>-</v>
      </c>
      <c r="FH133" s="788"/>
      <c r="FI133" s="788"/>
      <c r="FJ133" s="789"/>
      <c r="FK133" s="790" t="str">
        <f t="shared" si="40"/>
        <v>-</v>
      </c>
      <c r="FL133" s="785"/>
      <c r="FM133" s="785"/>
      <c r="FN133" s="786"/>
      <c r="FO133" s="790" t="str">
        <f t="shared" ref="FO133:FO196" si="51">IF(EW133="","-",INDEX($A$5:$BP$257,MATCH(EW133,$BN$5:$BN$257,0),56)/INDEX($A$5:$BP$257,MATCH(EW133,$BN$5:$BN$257,0),60))</f>
        <v>-</v>
      </c>
      <c r="FP133" s="785"/>
      <c r="FQ133" s="785"/>
      <c r="FR133" s="786"/>
      <c r="FS133" s="790" t="str">
        <f>IF(EW133="","-",INDEX($A$5:$BP$257,MATCH(EW133,$BN$5:$BN$257,0),39)*(IF(EW133="","-",(1+(((-('Densidade do AR'!$M$4))+('Densidade do AR'!$T$15*1000000))/(IF(INDEX($A$5:$BP$257,MATCH(EW133,$BN$5:$BN$257,0),50)="Aço Inoxidável",('Densidade do AR'!$S$8*1000000),IF(INDEX($A$5:$BP$257,MATCH(EW133,$BN$5:$BN$257,0),50)="Ferro Fundido",('Densidade do AR'!$S$12*1000000),IF(INDEX($A$5:$BP$257,MATCH(EW133,$BN$5:$BN$257,0),50)="Latão",('Densidade do AR'!$S$10*1000000),IF(INDEX($A$5:$BP$257,MATCH(EW133,$BN$5:$BN$257,0),50)="Alumínio",('Densidade do AR'!$S$4*1000000)))))))-(((-('Densidade do AR'!$M$4))+('Densidade do AR'!$T$15*1000000))/('Densidade do AR'!$S$14*1000000))))))</f>
        <v>-</v>
      </c>
      <c r="FT133" s="785"/>
      <c r="FU133" s="785"/>
      <c r="FV133" s="791"/>
      <c r="FW133" s="91" t="str">
        <f t="shared" si="41"/>
        <v>-</v>
      </c>
      <c r="FX133" s="135"/>
    </row>
    <row r="134" spans="1:180" ht="12.75" customHeight="1" x14ac:dyDescent="0.2">
      <c r="A134" s="718">
        <v>130</v>
      </c>
      <c r="B134" s="713"/>
      <c r="C134" s="719"/>
      <c r="D134" s="709"/>
      <c r="E134" s="709"/>
      <c r="F134" s="709"/>
      <c r="G134" s="710"/>
      <c r="H134" s="720"/>
      <c r="I134" s="712"/>
      <c r="J134" s="712"/>
      <c r="K134" s="713"/>
      <c r="L134" s="719"/>
      <c r="M134" s="709"/>
      <c r="N134" s="709"/>
      <c r="O134" s="709"/>
      <c r="P134" s="719"/>
      <c r="Q134" s="709"/>
      <c r="R134" s="709"/>
      <c r="S134" s="709"/>
      <c r="T134" s="710"/>
      <c r="U134" s="721"/>
      <c r="V134" s="722"/>
      <c r="W134" s="722"/>
      <c r="X134" s="722"/>
      <c r="Y134" s="722"/>
      <c r="Z134" s="722"/>
      <c r="AA134" s="723"/>
      <c r="AB134" s="853"/>
      <c r="AC134" s="854"/>
      <c r="AD134" s="854"/>
      <c r="AE134" s="854"/>
      <c r="AF134" s="854"/>
      <c r="AG134" s="854"/>
      <c r="AH134" s="854"/>
      <c r="AI134" s="854"/>
      <c r="AJ134" s="854"/>
      <c r="AK134" s="854"/>
      <c r="AL134" s="855"/>
      <c r="AM134" s="909"/>
      <c r="AN134" s="712"/>
      <c r="AO134" s="712"/>
      <c r="AP134" s="712"/>
      <c r="AQ134" s="712"/>
      <c r="AR134" s="712"/>
      <c r="AS134" s="713"/>
      <c r="AT134" s="909"/>
      <c r="AU134" s="712"/>
      <c r="AV134" s="712"/>
      <c r="AW134" s="713"/>
      <c r="AX134" s="908"/>
      <c r="AY134" s="712"/>
      <c r="AZ134" s="712"/>
      <c r="BA134" s="712"/>
      <c r="BB134" s="712"/>
      <c r="BC134" s="713"/>
      <c r="BD134" s="909"/>
      <c r="BE134" s="712"/>
      <c r="BF134" s="712"/>
      <c r="BG134" s="713"/>
      <c r="BH134" s="908"/>
      <c r="BI134" s="712"/>
      <c r="BJ134" s="712"/>
      <c r="BK134" s="712"/>
      <c r="BL134" s="910"/>
      <c r="BN134" s="881"/>
      <c r="BO134" s="882"/>
      <c r="BP134" s="883"/>
      <c r="BT134" s="736"/>
      <c r="BU134" s="737"/>
      <c r="BV134" s="738" t="str">
        <f>IF(BT134="","-",(IF(INDEX($A$5:$BP$257,MATCH(BT134,$BN$5:$BN$257,0),50)="Aço Inoxidável",('Densidade do AR'!$S$8*1000000),IF(INDEX($A$5:$BP$257,MATCH(BT134,$BN$5:$BN$257,0),50)="Ferro Fundido",('Densidade do AR'!$S$12*1000000),IF(INDEX($A$5:$BP$257,MATCH(BT134,$BN$5:$BN$257,0),50)="Latão",('Densidade do AR'!$S$10*1000000),IF(INDEX($A$5:$BP$257,MATCH(BT134,$BN$5:$BN$257,0),50)="Alumínio",('Densidade do AR'!$S$4*1000000)))))))</f>
        <v>-</v>
      </c>
      <c r="BW134" s="739"/>
      <c r="BX134" s="739"/>
      <c r="BY134" s="740"/>
      <c r="BZ134" s="741" t="str">
        <f t="shared" ref="BZ134:BZ197" si="52">IF(BT134="","-",IFERROR(INDEX($A$287:$I$320,MATCH(INDEX($A$5:$BP$257,MATCH(BT134,$BN$5:$BN$257,0),60),$A$287:$A$320,0),6),IFERROR(INDEX($A$287:$I$320,MATCH(INDEX($A$5:$BP$257,MATCH(BT134,$BN$5:$BN$257,0),60),$A$287:$A$320,1),6),INDEX($A$287:$I$320,MATCH(INDEX($A$5:$BP$257,MATCH(BT134,$BN$5:$BN$257,0),60),$A$287:$A$320,-1),6))))</f>
        <v>-</v>
      </c>
      <c r="CA134" s="742"/>
      <c r="CB134" s="742"/>
      <c r="CC134" s="743"/>
      <c r="CD134" s="741" t="str">
        <f t="shared" si="44"/>
        <v>-</v>
      </c>
      <c r="CE134" s="742"/>
      <c r="CF134" s="742"/>
      <c r="CG134" s="743"/>
      <c r="CH134" s="744" t="str">
        <f t="shared" ref="CH134:CH197" si="53">IF(BT134="","-",INDEX($A$5:$BP$257,MATCH(BT134,$BN$5:$BN$257,0),28))</f>
        <v>-</v>
      </c>
      <c r="CI134" s="739"/>
      <c r="CJ134" s="739"/>
      <c r="CK134" s="740"/>
      <c r="CL134" s="744" t="str">
        <f t="shared" si="45"/>
        <v>-</v>
      </c>
      <c r="CM134" s="739"/>
      <c r="CN134" s="739"/>
      <c r="CO134" s="740"/>
      <c r="CP134" s="744" t="str">
        <f>IF(BT134="","-",INDEX($A$5:$BP$257,MATCH(BT134,$BN$5:$BN$257,0),39)*(IF(BT134="","-",(1+(((-('Densidade do AR'!$M$4))+('Densidade do AR'!$T$15*1000000))/(IF(INDEX($A$5:$BP$257,MATCH(BT134,$BN$5:$BN$257,0),50)="Aço Inoxidável",('Densidade do AR'!$S$8*1000000),IF(INDEX($A$5:$BP$257,MATCH(BT134,$BN$5:$BN$257,0),50)="Ferro Fundido",('Densidade do AR'!$S$12*1000000),IF(INDEX($A$5:$BP$257,MATCH(BT134,$BN$5:$BN$257,0),50)="Latão",('Densidade do AR'!$S$10*1000000),IF(INDEX($A$5:$BP$257,MATCH(BT134,$BN$5:$BN$257,0),50)="Alumínio",('Densidade do AR'!$S$4*1000000)))))))-(((-('Densidade do AR'!$M$4))+('Densidade do AR'!$T$15*1000000))/('Densidade do AR'!$S$14*1000000))))))</f>
        <v>-</v>
      </c>
      <c r="CQ134" s="739"/>
      <c r="CR134" s="739"/>
      <c r="CS134" s="745"/>
      <c r="CT134" s="91" t="str">
        <f t="shared" ref="CT134:CT197" si="54">IF(BT134="","-",INDEX($A$5:$BP$257,MATCH(BT134,$BN$5:$BN$257,0),16))</f>
        <v>-</v>
      </c>
      <c r="CU134" s="736"/>
      <c r="CV134" s="737"/>
      <c r="CW134" s="738" t="str">
        <f>IF(CU134="","-",(IF(INDEX($A$5:$BP$257,MATCH(CU134,$BN$5:$BN$257,0),50)="Aço Inoxidável",('Densidade do AR'!$S$8*1000000),IF(INDEX($A$5:$BP$257,MATCH(CU134,$BN$5:$BN$257,0),50)="Ferro Fundido",('Densidade do AR'!$S$12*1000000),IF(INDEX($A$5:$BP$257,MATCH(CU134,$BN$5:$BN$257,0),50)="Latão",('Densidade do AR'!$S$10*1000000),IF(INDEX($A$5:$BP$257,MATCH(CU134,$BN$5:$BN$257,0),50)="Alumínio",('Densidade do AR'!$S$4*1000000)))))))</f>
        <v>-</v>
      </c>
      <c r="CX134" s="739"/>
      <c r="CY134" s="739"/>
      <c r="CZ134" s="740"/>
      <c r="DA134" s="741" t="str">
        <f t="shared" ref="DA134:DA197" si="55">IF(CU134="","-",IFERROR(INDEX($A$287:$I$320,MATCH(INDEX($A$5:$BP$257,MATCH(CU134,$BN$5:$BN$257,0),60),$A$287:$A$320,0),6),IFERROR(INDEX($A$287:$I$320,MATCH(INDEX($A$5:$BP$257,MATCH(CU134,$BN$5:$BN$257,0),60),$A$287:$A$320,1),6),INDEX($A$287:$I$320,MATCH(INDEX($A$5:$BP$257,MATCH(CU134,$BN$5:$BN$257,0),60),$A$287:$A$320,-1),6))))</f>
        <v>-</v>
      </c>
      <c r="DB134" s="742"/>
      <c r="DC134" s="742"/>
      <c r="DD134" s="743"/>
      <c r="DE134" s="741" t="str">
        <f t="shared" si="46"/>
        <v>-</v>
      </c>
      <c r="DF134" s="742"/>
      <c r="DG134" s="742"/>
      <c r="DH134" s="743"/>
      <c r="DI134" s="744" t="str">
        <f t="shared" ref="DI134:DI197" si="56">IF(CU134="","-",INDEX($A$5:$BP$257,MATCH(CU134,$BN$5:$BN$257,0),28))</f>
        <v>-</v>
      </c>
      <c r="DJ134" s="739"/>
      <c r="DK134" s="739"/>
      <c r="DL134" s="740"/>
      <c r="DM134" s="744" t="str">
        <f t="shared" si="47"/>
        <v>-</v>
      </c>
      <c r="DN134" s="739"/>
      <c r="DO134" s="739"/>
      <c r="DP134" s="740"/>
      <c r="DQ134" s="744" t="str">
        <f>IF(CU134="","-",INDEX($A$5:$BP$257,MATCH(CU134,$BN$5:$BN$257,0),39)*(IF(CU134="","-",(1+(((-('Densidade do AR'!$M$4))+('Densidade do AR'!$T$15*1000000))/(IF(INDEX($A$5:$BP$257,MATCH(CU134,$BN$5:$BN$257,0),50)="Aço Inoxidável",('Densidade do AR'!$S$8*1000000),IF(INDEX($A$5:$BP$257,MATCH(CU134,$BN$5:$BN$257,0),50)="Ferro Fundido",('Densidade do AR'!$S$12*1000000),IF(INDEX($A$5:$BP$257,MATCH(CU134,$BN$5:$BN$257,0),50)="Latão",('Densidade do AR'!$S$10*1000000),IF(INDEX($A$5:$BP$257,MATCH(CU134,$BN$5:$BN$257,0),50)="Alumínio",('Densidade do AR'!$S$4*1000000)))))))-(((-('Densidade do AR'!$M$4))+('Densidade do AR'!$T$15*1000000))/('Densidade do AR'!$S$14*1000000))))))</f>
        <v>-</v>
      </c>
      <c r="DR134" s="739"/>
      <c r="DS134" s="739"/>
      <c r="DT134" s="745"/>
      <c r="DU134" s="91" t="str">
        <f t="shared" ref="DU134:DU197" si="57">IF(CU134="","-",INDEX($A$5:$BP$257,MATCH(CU134,$BN$5:$BN$257,0),16))</f>
        <v>-</v>
      </c>
      <c r="DV134" s="736"/>
      <c r="DW134" s="737"/>
      <c r="DX134" s="738" t="str">
        <f>IF(DV134="","-",(IF(INDEX($A$5:$BP$257,MATCH(DV134,$BN$5:$BN$257,0),50)="Aço Inoxidável",('Densidade do AR'!$S$8*1000000),IF(INDEX($A$5:$BP$257,MATCH(DV134,$BN$5:$BN$257,0),50)="Ferro Fundido",('Densidade do AR'!$S$12*1000000),IF(INDEX($A$5:$BP$257,MATCH(DV134,$BN$5:$BN$257,0),50)="Latão",('Densidade do AR'!$S$10*1000000),IF(INDEX($A$5:$BP$257,MATCH(DV134,$BN$5:$BN$257,0),50)="Alumínio",('Densidade do AR'!$S$4*1000000)))))))</f>
        <v>-</v>
      </c>
      <c r="DY134" s="739"/>
      <c r="DZ134" s="739"/>
      <c r="EA134" s="740"/>
      <c r="EB134" s="741" t="str">
        <f t="shared" ref="EB134:EB197" si="58">IF(DV134="","-",IFERROR(INDEX($A$287:$I$320,MATCH(INDEX($A$5:$BP$257,MATCH(DV134,$BN$5:$BN$257,0),60),$A$287:$A$320,0),6),IFERROR(INDEX($A$287:$I$320,MATCH(INDEX($A$5:$BP$257,MATCH(DV134,$BN$5:$BN$257,0),60),$A$287:$A$320,1),6),INDEX($A$287:$I$320,MATCH(INDEX($A$5:$BP$257,MATCH(DV134,$BN$5:$BN$257,0),60),$A$287:$A$320,-1),6))))</f>
        <v>-</v>
      </c>
      <c r="EC134" s="742"/>
      <c r="ED134" s="742"/>
      <c r="EE134" s="743"/>
      <c r="EF134" s="741" t="str">
        <f t="shared" si="48"/>
        <v>-</v>
      </c>
      <c r="EG134" s="742"/>
      <c r="EH134" s="742"/>
      <c r="EI134" s="743"/>
      <c r="EJ134" s="744" t="str">
        <f t="shared" ref="EJ134:EJ197" si="59">IF(DV134="","-",INDEX($A$5:$BP$257,MATCH(DV134,$BN$5:$BN$257,0),28))</f>
        <v>-</v>
      </c>
      <c r="EK134" s="739"/>
      <c r="EL134" s="739"/>
      <c r="EM134" s="740"/>
      <c r="EN134" s="744" t="str">
        <f t="shared" si="49"/>
        <v>-</v>
      </c>
      <c r="EO134" s="739"/>
      <c r="EP134" s="739"/>
      <c r="EQ134" s="740"/>
      <c r="ER134" s="744" t="str">
        <f>IF(DV134="","-",INDEX($A$5:$BP$257,MATCH(DV134,$BN$5:$BN$257,0),39)*(IF(DV134="","-",(1+(((-('Densidade do AR'!$M$4))+('Densidade do AR'!$T$15*1000000))/(IF(INDEX($A$5:$BP$257,MATCH(DV134,$BN$5:$BN$257,0),50)="Aço Inoxidável",('Densidade do AR'!$S$8*1000000),IF(INDEX($A$5:$BP$257,MATCH(DV134,$BN$5:$BN$257,0),50)="Ferro Fundido",('Densidade do AR'!$S$12*1000000),IF(INDEX($A$5:$BP$257,MATCH(DV134,$BN$5:$BN$257,0),50)="Latão",('Densidade do AR'!$S$10*1000000),IF(INDEX($A$5:$BP$257,MATCH(DV134,$BN$5:$BN$257,0),50)="Alumínio",('Densidade do AR'!$S$4*1000000)))))))-(((-('Densidade do AR'!$M$4))+('Densidade do AR'!$T$15*1000000))/('Densidade do AR'!$S$14*1000000))))))</f>
        <v>-</v>
      </c>
      <c r="ES134" s="739"/>
      <c r="ET134" s="739"/>
      <c r="EU134" s="745"/>
      <c r="EV134" s="91" t="str">
        <f t="shared" ref="EV134:EV197" si="60">IF(DV134="","-",INDEX($A$5:$BP$257,MATCH(DV134,$BN$5:$BN$257,0),16))</f>
        <v>-</v>
      </c>
      <c r="EW134" s="736"/>
      <c r="EX134" s="737"/>
      <c r="EY134" s="738" t="str">
        <f>IF(EW134="","-",(IF(INDEX($A$5:$BP$257,MATCH(EW134,$BN$5:$BN$257,0),50)="Aço Inoxidável",('Densidade do AR'!$S$8*1000000),IF(INDEX($A$5:$BP$257,MATCH(EW134,$BN$5:$BN$257,0),50)="Ferro Fundido",('Densidade do AR'!$S$12*1000000),IF(INDEX($A$5:$BP$257,MATCH(EW134,$BN$5:$BN$257,0),50)="Latão",('Densidade do AR'!$S$10*1000000),IF(INDEX($A$5:$BP$257,MATCH(EW134,$BN$5:$BN$257,0),50)="Alumínio",('Densidade do AR'!$S$4*1000000)))))))</f>
        <v>-</v>
      </c>
      <c r="EZ134" s="739"/>
      <c r="FA134" s="739"/>
      <c r="FB134" s="740"/>
      <c r="FC134" s="741" t="str">
        <f t="shared" ref="FC134:FC197" si="61">IF(EW134="","-",IFERROR(INDEX($A$287:$I$320,MATCH(INDEX($A$5:$BP$257,MATCH(EW134,$BN$5:$BN$257,0),60),$A$287:$A$320,0),6),IFERROR(INDEX($A$287:$I$320,MATCH(INDEX($A$5:$BP$257,MATCH(EW134,$BN$5:$BN$257,0),60),$A$287:$A$320,1),6),INDEX($A$287:$I$320,MATCH(INDEX($A$5:$BP$257,MATCH(EW134,$BN$5:$BN$257,0),60),$A$287:$A$320,-1),6))))</f>
        <v>-</v>
      </c>
      <c r="FD134" s="742"/>
      <c r="FE134" s="742"/>
      <c r="FF134" s="743"/>
      <c r="FG134" s="741" t="str">
        <f t="shared" si="50"/>
        <v>-</v>
      </c>
      <c r="FH134" s="742"/>
      <c r="FI134" s="742"/>
      <c r="FJ134" s="743"/>
      <c r="FK134" s="744" t="str">
        <f t="shared" ref="FK134:FK197" si="62">IF(EW134="","-",INDEX($A$5:$BP$257,MATCH(EW134,$BN$5:$BN$257,0),28))</f>
        <v>-</v>
      </c>
      <c r="FL134" s="739"/>
      <c r="FM134" s="739"/>
      <c r="FN134" s="740"/>
      <c r="FO134" s="744" t="str">
        <f t="shared" si="51"/>
        <v>-</v>
      </c>
      <c r="FP134" s="739"/>
      <c r="FQ134" s="739"/>
      <c r="FR134" s="740"/>
      <c r="FS134" s="744" t="str">
        <f>IF(EW134="","-",INDEX($A$5:$BP$257,MATCH(EW134,$BN$5:$BN$257,0),39)*(IF(EW134="","-",(1+(((-('Densidade do AR'!$M$4))+('Densidade do AR'!$T$15*1000000))/(IF(INDEX($A$5:$BP$257,MATCH(EW134,$BN$5:$BN$257,0),50)="Aço Inoxidável",('Densidade do AR'!$S$8*1000000),IF(INDEX($A$5:$BP$257,MATCH(EW134,$BN$5:$BN$257,0),50)="Ferro Fundido",('Densidade do AR'!$S$12*1000000),IF(INDEX($A$5:$BP$257,MATCH(EW134,$BN$5:$BN$257,0),50)="Latão",('Densidade do AR'!$S$10*1000000),IF(INDEX($A$5:$BP$257,MATCH(EW134,$BN$5:$BN$257,0),50)="Alumínio",('Densidade do AR'!$S$4*1000000)))))))-(((-('Densidade do AR'!$M$4))+('Densidade do AR'!$T$15*1000000))/('Densidade do AR'!$S$14*1000000))))))</f>
        <v>-</v>
      </c>
      <c r="FT134" s="739"/>
      <c r="FU134" s="739"/>
      <c r="FV134" s="745"/>
      <c r="FW134" s="91" t="str">
        <f t="shared" ref="FW134:FW197" si="63">IF(EW134="","-",INDEX($A$5:$BP$257,MATCH(EW134,$BN$5:$BN$257,0),16))</f>
        <v>-</v>
      </c>
      <c r="FX134" s="135"/>
    </row>
    <row r="135" spans="1:180" ht="12.75" customHeight="1" x14ac:dyDescent="0.2">
      <c r="A135" s="717">
        <v>131</v>
      </c>
      <c r="B135" s="713"/>
      <c r="C135" s="708"/>
      <c r="D135" s="709"/>
      <c r="E135" s="709"/>
      <c r="F135" s="709"/>
      <c r="G135" s="710"/>
      <c r="H135" s="711"/>
      <c r="I135" s="712"/>
      <c r="J135" s="712"/>
      <c r="K135" s="713"/>
      <c r="L135" s="708"/>
      <c r="M135" s="709"/>
      <c r="N135" s="709"/>
      <c r="O135" s="709"/>
      <c r="P135" s="708"/>
      <c r="Q135" s="709"/>
      <c r="R135" s="709"/>
      <c r="S135" s="709"/>
      <c r="T135" s="710"/>
      <c r="U135" s="714"/>
      <c r="V135" s="715"/>
      <c r="W135" s="715"/>
      <c r="X135" s="715"/>
      <c r="Y135" s="715"/>
      <c r="Z135" s="715"/>
      <c r="AA135" s="716"/>
      <c r="AB135" s="850"/>
      <c r="AC135" s="851"/>
      <c r="AD135" s="851"/>
      <c r="AE135" s="851"/>
      <c r="AF135" s="851"/>
      <c r="AG135" s="851"/>
      <c r="AH135" s="851"/>
      <c r="AI135" s="851"/>
      <c r="AJ135" s="851"/>
      <c r="AK135" s="851"/>
      <c r="AL135" s="852"/>
      <c r="AM135" s="917"/>
      <c r="AN135" s="712"/>
      <c r="AO135" s="712"/>
      <c r="AP135" s="712"/>
      <c r="AQ135" s="712"/>
      <c r="AR135" s="712"/>
      <c r="AS135" s="713"/>
      <c r="AT135" s="917"/>
      <c r="AU135" s="712"/>
      <c r="AV135" s="712"/>
      <c r="AW135" s="713"/>
      <c r="AX135" s="917"/>
      <c r="AY135" s="712"/>
      <c r="AZ135" s="712"/>
      <c r="BA135" s="712"/>
      <c r="BB135" s="712"/>
      <c r="BC135" s="713"/>
      <c r="BD135" s="917"/>
      <c r="BE135" s="712"/>
      <c r="BF135" s="712"/>
      <c r="BG135" s="713"/>
      <c r="BH135" s="918"/>
      <c r="BI135" s="712"/>
      <c r="BJ135" s="712"/>
      <c r="BK135" s="712"/>
      <c r="BL135" s="910"/>
      <c r="BN135" s="878"/>
      <c r="BO135" s="879"/>
      <c r="BP135" s="880"/>
      <c r="BT135" s="746"/>
      <c r="BU135" s="747"/>
      <c r="BV135" s="784" t="str">
        <f>IF(BT135="","-",(IF(INDEX($A$5:$BP$257,MATCH(BT135,$BN$5:$BN$257,0),50)="Aço Inoxidável",('Densidade do AR'!$S$8*1000000),IF(INDEX($A$5:$BP$257,MATCH(BT135,$BN$5:$BN$257,0),50)="Ferro Fundido",('Densidade do AR'!$S$12*1000000),IF(INDEX($A$5:$BP$257,MATCH(BT135,$BN$5:$BN$257,0),50)="Latão",('Densidade do AR'!$S$10*1000000),IF(INDEX($A$5:$BP$257,MATCH(BT135,$BN$5:$BN$257,0),50)="Alumínio",('Densidade do AR'!$S$4*1000000)))))))</f>
        <v>-</v>
      </c>
      <c r="BW135" s="785"/>
      <c r="BX135" s="785"/>
      <c r="BY135" s="786"/>
      <c r="BZ135" s="787" t="str">
        <f t="shared" si="52"/>
        <v>-</v>
      </c>
      <c r="CA135" s="788"/>
      <c r="CB135" s="788"/>
      <c r="CC135" s="789"/>
      <c r="CD135" s="787" t="str">
        <f t="shared" si="44"/>
        <v>-</v>
      </c>
      <c r="CE135" s="788"/>
      <c r="CF135" s="788"/>
      <c r="CG135" s="789"/>
      <c r="CH135" s="790" t="str">
        <f t="shared" si="53"/>
        <v>-</v>
      </c>
      <c r="CI135" s="785"/>
      <c r="CJ135" s="785"/>
      <c r="CK135" s="786"/>
      <c r="CL135" s="790" t="str">
        <f t="shared" si="45"/>
        <v>-</v>
      </c>
      <c r="CM135" s="785"/>
      <c r="CN135" s="785"/>
      <c r="CO135" s="786"/>
      <c r="CP135" s="790" t="str">
        <f>IF(BT135="","-",INDEX($A$5:$BP$257,MATCH(BT135,$BN$5:$BN$257,0),39)*(IF(BT135="","-",(1+(((-('Densidade do AR'!$M$4))+('Densidade do AR'!$T$15*1000000))/(IF(INDEX($A$5:$BP$257,MATCH(BT135,$BN$5:$BN$257,0),50)="Aço Inoxidável",('Densidade do AR'!$S$8*1000000),IF(INDEX($A$5:$BP$257,MATCH(BT135,$BN$5:$BN$257,0),50)="Ferro Fundido",('Densidade do AR'!$S$12*1000000),IF(INDEX($A$5:$BP$257,MATCH(BT135,$BN$5:$BN$257,0),50)="Latão",('Densidade do AR'!$S$10*1000000),IF(INDEX($A$5:$BP$257,MATCH(BT135,$BN$5:$BN$257,0),50)="Alumínio",('Densidade do AR'!$S$4*1000000)))))))-(((-('Densidade do AR'!$M$4))+('Densidade do AR'!$T$15*1000000))/('Densidade do AR'!$S$14*1000000))))))</f>
        <v>-</v>
      </c>
      <c r="CQ135" s="785"/>
      <c r="CR135" s="785"/>
      <c r="CS135" s="791"/>
      <c r="CT135" s="91" t="str">
        <f t="shared" si="54"/>
        <v>-</v>
      </c>
      <c r="CU135" s="746"/>
      <c r="CV135" s="747"/>
      <c r="CW135" s="784" t="str">
        <f>IF(CU135="","-",(IF(INDEX($A$5:$BP$257,MATCH(CU135,$BN$5:$BN$257,0),50)="Aço Inoxidável",('Densidade do AR'!$S$8*1000000),IF(INDEX($A$5:$BP$257,MATCH(CU135,$BN$5:$BN$257,0),50)="Ferro Fundido",('Densidade do AR'!$S$12*1000000),IF(INDEX($A$5:$BP$257,MATCH(CU135,$BN$5:$BN$257,0),50)="Latão",('Densidade do AR'!$S$10*1000000),IF(INDEX($A$5:$BP$257,MATCH(CU135,$BN$5:$BN$257,0),50)="Alumínio",('Densidade do AR'!$S$4*1000000)))))))</f>
        <v>-</v>
      </c>
      <c r="CX135" s="785"/>
      <c r="CY135" s="785"/>
      <c r="CZ135" s="786"/>
      <c r="DA135" s="787" t="str">
        <f t="shared" si="55"/>
        <v>-</v>
      </c>
      <c r="DB135" s="788"/>
      <c r="DC135" s="788"/>
      <c r="DD135" s="789"/>
      <c r="DE135" s="787" t="str">
        <f t="shared" si="46"/>
        <v>-</v>
      </c>
      <c r="DF135" s="788"/>
      <c r="DG135" s="788"/>
      <c r="DH135" s="789"/>
      <c r="DI135" s="790" t="str">
        <f t="shared" si="56"/>
        <v>-</v>
      </c>
      <c r="DJ135" s="785"/>
      <c r="DK135" s="785"/>
      <c r="DL135" s="786"/>
      <c r="DM135" s="790" t="str">
        <f t="shared" si="47"/>
        <v>-</v>
      </c>
      <c r="DN135" s="785"/>
      <c r="DO135" s="785"/>
      <c r="DP135" s="786"/>
      <c r="DQ135" s="790" t="str">
        <f>IF(CU135="","-",INDEX($A$5:$BP$257,MATCH(CU135,$BN$5:$BN$257,0),39)*(IF(CU135="","-",(1+(((-('Densidade do AR'!$M$4))+('Densidade do AR'!$T$15*1000000))/(IF(INDEX($A$5:$BP$257,MATCH(CU135,$BN$5:$BN$257,0),50)="Aço Inoxidável",('Densidade do AR'!$S$8*1000000),IF(INDEX($A$5:$BP$257,MATCH(CU135,$BN$5:$BN$257,0),50)="Ferro Fundido",('Densidade do AR'!$S$12*1000000),IF(INDEX($A$5:$BP$257,MATCH(CU135,$BN$5:$BN$257,0),50)="Latão",('Densidade do AR'!$S$10*1000000),IF(INDEX($A$5:$BP$257,MATCH(CU135,$BN$5:$BN$257,0),50)="Alumínio",('Densidade do AR'!$S$4*1000000)))))))-(((-('Densidade do AR'!$M$4))+('Densidade do AR'!$T$15*1000000))/('Densidade do AR'!$S$14*1000000))))))</f>
        <v>-</v>
      </c>
      <c r="DR135" s="785"/>
      <c r="DS135" s="785"/>
      <c r="DT135" s="791"/>
      <c r="DU135" s="91" t="str">
        <f t="shared" si="57"/>
        <v>-</v>
      </c>
      <c r="DV135" s="746"/>
      <c r="DW135" s="747"/>
      <c r="DX135" s="784" t="str">
        <f>IF(DV135="","-",(IF(INDEX($A$5:$BP$257,MATCH(DV135,$BN$5:$BN$257,0),50)="Aço Inoxidável",('Densidade do AR'!$S$8*1000000),IF(INDEX($A$5:$BP$257,MATCH(DV135,$BN$5:$BN$257,0),50)="Ferro Fundido",('Densidade do AR'!$S$12*1000000),IF(INDEX($A$5:$BP$257,MATCH(DV135,$BN$5:$BN$257,0),50)="Latão",('Densidade do AR'!$S$10*1000000),IF(INDEX($A$5:$BP$257,MATCH(DV135,$BN$5:$BN$257,0),50)="Alumínio",('Densidade do AR'!$S$4*1000000)))))))</f>
        <v>-</v>
      </c>
      <c r="DY135" s="785"/>
      <c r="DZ135" s="785"/>
      <c r="EA135" s="786"/>
      <c r="EB135" s="787" t="str">
        <f t="shared" si="58"/>
        <v>-</v>
      </c>
      <c r="EC135" s="788"/>
      <c r="ED135" s="788"/>
      <c r="EE135" s="789"/>
      <c r="EF135" s="787" t="str">
        <f t="shared" si="48"/>
        <v>-</v>
      </c>
      <c r="EG135" s="788"/>
      <c r="EH135" s="788"/>
      <c r="EI135" s="789"/>
      <c r="EJ135" s="790" t="str">
        <f t="shared" si="59"/>
        <v>-</v>
      </c>
      <c r="EK135" s="785"/>
      <c r="EL135" s="785"/>
      <c r="EM135" s="786"/>
      <c r="EN135" s="790" t="str">
        <f t="shared" si="49"/>
        <v>-</v>
      </c>
      <c r="EO135" s="785"/>
      <c r="EP135" s="785"/>
      <c r="EQ135" s="786"/>
      <c r="ER135" s="790" t="str">
        <f>IF(DV135="","-",INDEX($A$5:$BP$257,MATCH(DV135,$BN$5:$BN$257,0),39)*(IF(DV135="","-",(1+(((-('Densidade do AR'!$M$4))+('Densidade do AR'!$T$15*1000000))/(IF(INDEX($A$5:$BP$257,MATCH(DV135,$BN$5:$BN$257,0),50)="Aço Inoxidável",('Densidade do AR'!$S$8*1000000),IF(INDEX($A$5:$BP$257,MATCH(DV135,$BN$5:$BN$257,0),50)="Ferro Fundido",('Densidade do AR'!$S$12*1000000),IF(INDEX($A$5:$BP$257,MATCH(DV135,$BN$5:$BN$257,0),50)="Latão",('Densidade do AR'!$S$10*1000000),IF(INDEX($A$5:$BP$257,MATCH(DV135,$BN$5:$BN$257,0),50)="Alumínio",('Densidade do AR'!$S$4*1000000)))))))-(((-('Densidade do AR'!$M$4))+('Densidade do AR'!$T$15*1000000))/('Densidade do AR'!$S$14*1000000))))))</f>
        <v>-</v>
      </c>
      <c r="ES135" s="785"/>
      <c r="ET135" s="785"/>
      <c r="EU135" s="791"/>
      <c r="EV135" s="91" t="str">
        <f t="shared" si="60"/>
        <v>-</v>
      </c>
      <c r="EW135" s="746"/>
      <c r="EX135" s="747"/>
      <c r="EY135" s="784" t="str">
        <f>IF(EW135="","-",(IF(INDEX($A$5:$BP$257,MATCH(EW135,$BN$5:$BN$257,0),50)="Aço Inoxidável",('Densidade do AR'!$S$8*1000000),IF(INDEX($A$5:$BP$257,MATCH(EW135,$BN$5:$BN$257,0),50)="Ferro Fundido",('Densidade do AR'!$S$12*1000000),IF(INDEX($A$5:$BP$257,MATCH(EW135,$BN$5:$BN$257,0),50)="Latão",('Densidade do AR'!$S$10*1000000),IF(INDEX($A$5:$BP$257,MATCH(EW135,$BN$5:$BN$257,0),50)="Alumínio",('Densidade do AR'!$S$4*1000000)))))))</f>
        <v>-</v>
      </c>
      <c r="EZ135" s="785"/>
      <c r="FA135" s="785"/>
      <c r="FB135" s="786"/>
      <c r="FC135" s="787" t="str">
        <f t="shared" si="61"/>
        <v>-</v>
      </c>
      <c r="FD135" s="788"/>
      <c r="FE135" s="788"/>
      <c r="FF135" s="789"/>
      <c r="FG135" s="787" t="str">
        <f t="shared" si="50"/>
        <v>-</v>
      </c>
      <c r="FH135" s="788"/>
      <c r="FI135" s="788"/>
      <c r="FJ135" s="789"/>
      <c r="FK135" s="790" t="str">
        <f t="shared" si="62"/>
        <v>-</v>
      </c>
      <c r="FL135" s="785"/>
      <c r="FM135" s="785"/>
      <c r="FN135" s="786"/>
      <c r="FO135" s="790" t="str">
        <f t="shared" si="51"/>
        <v>-</v>
      </c>
      <c r="FP135" s="785"/>
      <c r="FQ135" s="785"/>
      <c r="FR135" s="786"/>
      <c r="FS135" s="790" t="str">
        <f>IF(EW135="","-",INDEX($A$5:$BP$257,MATCH(EW135,$BN$5:$BN$257,0),39)*(IF(EW135="","-",(1+(((-('Densidade do AR'!$M$4))+('Densidade do AR'!$T$15*1000000))/(IF(INDEX($A$5:$BP$257,MATCH(EW135,$BN$5:$BN$257,0),50)="Aço Inoxidável",('Densidade do AR'!$S$8*1000000),IF(INDEX($A$5:$BP$257,MATCH(EW135,$BN$5:$BN$257,0),50)="Ferro Fundido",('Densidade do AR'!$S$12*1000000),IF(INDEX($A$5:$BP$257,MATCH(EW135,$BN$5:$BN$257,0),50)="Latão",('Densidade do AR'!$S$10*1000000),IF(INDEX($A$5:$BP$257,MATCH(EW135,$BN$5:$BN$257,0),50)="Alumínio",('Densidade do AR'!$S$4*1000000)))))))-(((-('Densidade do AR'!$M$4))+('Densidade do AR'!$T$15*1000000))/('Densidade do AR'!$S$14*1000000))))))</f>
        <v>-</v>
      </c>
      <c r="FT135" s="785"/>
      <c r="FU135" s="785"/>
      <c r="FV135" s="791"/>
      <c r="FW135" s="91" t="str">
        <f t="shared" si="63"/>
        <v>-</v>
      </c>
      <c r="FX135" s="135"/>
    </row>
    <row r="136" spans="1:180" ht="12.75" customHeight="1" x14ac:dyDescent="0.2">
      <c r="A136" s="718">
        <v>132</v>
      </c>
      <c r="B136" s="713"/>
      <c r="C136" s="719"/>
      <c r="D136" s="709"/>
      <c r="E136" s="709"/>
      <c r="F136" s="709"/>
      <c r="G136" s="710"/>
      <c r="H136" s="720"/>
      <c r="I136" s="712"/>
      <c r="J136" s="712"/>
      <c r="K136" s="713"/>
      <c r="L136" s="719"/>
      <c r="M136" s="709"/>
      <c r="N136" s="709"/>
      <c r="O136" s="709"/>
      <c r="P136" s="719"/>
      <c r="Q136" s="709"/>
      <c r="R136" s="709"/>
      <c r="S136" s="709"/>
      <c r="T136" s="710"/>
      <c r="U136" s="721"/>
      <c r="V136" s="722"/>
      <c r="W136" s="722"/>
      <c r="X136" s="722"/>
      <c r="Y136" s="722"/>
      <c r="Z136" s="722"/>
      <c r="AA136" s="723"/>
      <c r="AB136" s="853"/>
      <c r="AC136" s="854"/>
      <c r="AD136" s="854"/>
      <c r="AE136" s="854"/>
      <c r="AF136" s="854"/>
      <c r="AG136" s="854"/>
      <c r="AH136" s="854"/>
      <c r="AI136" s="854"/>
      <c r="AJ136" s="854"/>
      <c r="AK136" s="854"/>
      <c r="AL136" s="855"/>
      <c r="AM136" s="909"/>
      <c r="AN136" s="712"/>
      <c r="AO136" s="712"/>
      <c r="AP136" s="712"/>
      <c r="AQ136" s="712"/>
      <c r="AR136" s="712"/>
      <c r="AS136" s="713"/>
      <c r="AT136" s="909"/>
      <c r="AU136" s="712"/>
      <c r="AV136" s="712"/>
      <c r="AW136" s="713"/>
      <c r="AX136" s="908"/>
      <c r="AY136" s="712"/>
      <c r="AZ136" s="712"/>
      <c r="BA136" s="712"/>
      <c r="BB136" s="712"/>
      <c r="BC136" s="713"/>
      <c r="BD136" s="909"/>
      <c r="BE136" s="712"/>
      <c r="BF136" s="712"/>
      <c r="BG136" s="713"/>
      <c r="BH136" s="908"/>
      <c r="BI136" s="712"/>
      <c r="BJ136" s="712"/>
      <c r="BK136" s="712"/>
      <c r="BL136" s="910"/>
      <c r="BN136" s="881"/>
      <c r="BO136" s="709"/>
      <c r="BP136" s="884"/>
      <c r="BT136" s="736"/>
      <c r="BU136" s="737"/>
      <c r="BV136" s="738" t="str">
        <f>IF(BT136="","-",(IF(INDEX($A$5:$BP$257,MATCH(BT136,$BN$5:$BN$257,0),50)="Aço Inoxidável",('Densidade do AR'!$S$8*1000000),IF(INDEX($A$5:$BP$257,MATCH(BT136,$BN$5:$BN$257,0),50)="Ferro Fundido",('Densidade do AR'!$S$12*1000000),IF(INDEX($A$5:$BP$257,MATCH(BT136,$BN$5:$BN$257,0),50)="Latão",('Densidade do AR'!$S$10*1000000),IF(INDEX($A$5:$BP$257,MATCH(BT136,$BN$5:$BN$257,0),50)="Alumínio",('Densidade do AR'!$S$4*1000000)))))))</f>
        <v>-</v>
      </c>
      <c r="BW136" s="739"/>
      <c r="BX136" s="739"/>
      <c r="BY136" s="740"/>
      <c r="BZ136" s="741" t="str">
        <f t="shared" si="52"/>
        <v>-</v>
      </c>
      <c r="CA136" s="742"/>
      <c r="CB136" s="742"/>
      <c r="CC136" s="743"/>
      <c r="CD136" s="741" t="str">
        <f t="shared" si="44"/>
        <v>-</v>
      </c>
      <c r="CE136" s="742"/>
      <c r="CF136" s="742"/>
      <c r="CG136" s="743"/>
      <c r="CH136" s="744" t="str">
        <f t="shared" si="53"/>
        <v>-</v>
      </c>
      <c r="CI136" s="739"/>
      <c r="CJ136" s="739"/>
      <c r="CK136" s="740"/>
      <c r="CL136" s="744" t="str">
        <f t="shared" si="45"/>
        <v>-</v>
      </c>
      <c r="CM136" s="739"/>
      <c r="CN136" s="739"/>
      <c r="CO136" s="740"/>
      <c r="CP136" s="744" t="str">
        <f>IF(BT136="","-",INDEX($A$5:$BP$257,MATCH(BT136,$BN$5:$BN$257,0),39)*(IF(BT136="","-",(1+(((-('Densidade do AR'!$M$4))+('Densidade do AR'!$T$15*1000000))/(IF(INDEX($A$5:$BP$257,MATCH(BT136,$BN$5:$BN$257,0),50)="Aço Inoxidável",('Densidade do AR'!$S$8*1000000),IF(INDEX($A$5:$BP$257,MATCH(BT136,$BN$5:$BN$257,0),50)="Ferro Fundido",('Densidade do AR'!$S$12*1000000),IF(INDEX($A$5:$BP$257,MATCH(BT136,$BN$5:$BN$257,0),50)="Latão",('Densidade do AR'!$S$10*1000000),IF(INDEX($A$5:$BP$257,MATCH(BT136,$BN$5:$BN$257,0),50)="Alumínio",('Densidade do AR'!$S$4*1000000)))))))-(((-('Densidade do AR'!$M$4))+('Densidade do AR'!$T$15*1000000))/('Densidade do AR'!$S$14*1000000))))))</f>
        <v>-</v>
      </c>
      <c r="CQ136" s="739"/>
      <c r="CR136" s="739"/>
      <c r="CS136" s="745"/>
      <c r="CT136" s="91" t="str">
        <f t="shared" si="54"/>
        <v>-</v>
      </c>
      <c r="CU136" s="736"/>
      <c r="CV136" s="737"/>
      <c r="CW136" s="738" t="str">
        <f>IF(CU136="","-",(IF(INDEX($A$5:$BP$257,MATCH(CU136,$BN$5:$BN$257,0),50)="Aço Inoxidável",('Densidade do AR'!$S$8*1000000),IF(INDEX($A$5:$BP$257,MATCH(CU136,$BN$5:$BN$257,0),50)="Ferro Fundido",('Densidade do AR'!$S$12*1000000),IF(INDEX($A$5:$BP$257,MATCH(CU136,$BN$5:$BN$257,0),50)="Latão",('Densidade do AR'!$S$10*1000000),IF(INDEX($A$5:$BP$257,MATCH(CU136,$BN$5:$BN$257,0),50)="Alumínio",('Densidade do AR'!$S$4*1000000)))))))</f>
        <v>-</v>
      </c>
      <c r="CX136" s="739"/>
      <c r="CY136" s="739"/>
      <c r="CZ136" s="740"/>
      <c r="DA136" s="741" t="str">
        <f t="shared" si="55"/>
        <v>-</v>
      </c>
      <c r="DB136" s="742"/>
      <c r="DC136" s="742"/>
      <c r="DD136" s="743"/>
      <c r="DE136" s="741" t="str">
        <f t="shared" si="46"/>
        <v>-</v>
      </c>
      <c r="DF136" s="742"/>
      <c r="DG136" s="742"/>
      <c r="DH136" s="743"/>
      <c r="DI136" s="744" t="str">
        <f t="shared" si="56"/>
        <v>-</v>
      </c>
      <c r="DJ136" s="739"/>
      <c r="DK136" s="739"/>
      <c r="DL136" s="740"/>
      <c r="DM136" s="744" t="str">
        <f t="shared" si="47"/>
        <v>-</v>
      </c>
      <c r="DN136" s="739"/>
      <c r="DO136" s="739"/>
      <c r="DP136" s="740"/>
      <c r="DQ136" s="744" t="str">
        <f>IF(CU136="","-",INDEX($A$5:$BP$257,MATCH(CU136,$BN$5:$BN$257,0),39)*(IF(CU136="","-",(1+(((-('Densidade do AR'!$M$4))+('Densidade do AR'!$T$15*1000000))/(IF(INDEX($A$5:$BP$257,MATCH(CU136,$BN$5:$BN$257,0),50)="Aço Inoxidável",('Densidade do AR'!$S$8*1000000),IF(INDEX($A$5:$BP$257,MATCH(CU136,$BN$5:$BN$257,0),50)="Ferro Fundido",('Densidade do AR'!$S$12*1000000),IF(INDEX($A$5:$BP$257,MATCH(CU136,$BN$5:$BN$257,0),50)="Latão",('Densidade do AR'!$S$10*1000000),IF(INDEX($A$5:$BP$257,MATCH(CU136,$BN$5:$BN$257,0),50)="Alumínio",('Densidade do AR'!$S$4*1000000)))))))-(((-('Densidade do AR'!$M$4))+('Densidade do AR'!$T$15*1000000))/('Densidade do AR'!$S$14*1000000))))))</f>
        <v>-</v>
      </c>
      <c r="DR136" s="739"/>
      <c r="DS136" s="739"/>
      <c r="DT136" s="745"/>
      <c r="DU136" s="91" t="str">
        <f t="shared" si="57"/>
        <v>-</v>
      </c>
      <c r="DV136" s="736"/>
      <c r="DW136" s="737"/>
      <c r="DX136" s="738" t="str">
        <f>IF(DV136="","-",(IF(INDEX($A$5:$BP$257,MATCH(DV136,$BN$5:$BN$257,0),50)="Aço Inoxidável",('Densidade do AR'!$S$8*1000000),IF(INDEX($A$5:$BP$257,MATCH(DV136,$BN$5:$BN$257,0),50)="Ferro Fundido",('Densidade do AR'!$S$12*1000000),IF(INDEX($A$5:$BP$257,MATCH(DV136,$BN$5:$BN$257,0),50)="Latão",('Densidade do AR'!$S$10*1000000),IF(INDEX($A$5:$BP$257,MATCH(DV136,$BN$5:$BN$257,0),50)="Alumínio",('Densidade do AR'!$S$4*1000000)))))))</f>
        <v>-</v>
      </c>
      <c r="DY136" s="739"/>
      <c r="DZ136" s="739"/>
      <c r="EA136" s="740"/>
      <c r="EB136" s="741" t="str">
        <f t="shared" si="58"/>
        <v>-</v>
      </c>
      <c r="EC136" s="742"/>
      <c r="ED136" s="742"/>
      <c r="EE136" s="743"/>
      <c r="EF136" s="741" t="str">
        <f t="shared" si="48"/>
        <v>-</v>
      </c>
      <c r="EG136" s="742"/>
      <c r="EH136" s="742"/>
      <c r="EI136" s="743"/>
      <c r="EJ136" s="744" t="str">
        <f t="shared" si="59"/>
        <v>-</v>
      </c>
      <c r="EK136" s="739"/>
      <c r="EL136" s="739"/>
      <c r="EM136" s="740"/>
      <c r="EN136" s="744" t="str">
        <f t="shared" si="49"/>
        <v>-</v>
      </c>
      <c r="EO136" s="739"/>
      <c r="EP136" s="739"/>
      <c r="EQ136" s="740"/>
      <c r="ER136" s="744" t="str">
        <f>IF(DV136="","-",INDEX($A$5:$BP$257,MATCH(DV136,$BN$5:$BN$257,0),39)*(IF(DV136="","-",(1+(((-('Densidade do AR'!$M$4))+('Densidade do AR'!$T$15*1000000))/(IF(INDEX($A$5:$BP$257,MATCH(DV136,$BN$5:$BN$257,0),50)="Aço Inoxidável",('Densidade do AR'!$S$8*1000000),IF(INDEX($A$5:$BP$257,MATCH(DV136,$BN$5:$BN$257,0),50)="Ferro Fundido",('Densidade do AR'!$S$12*1000000),IF(INDEX($A$5:$BP$257,MATCH(DV136,$BN$5:$BN$257,0),50)="Latão",('Densidade do AR'!$S$10*1000000),IF(INDEX($A$5:$BP$257,MATCH(DV136,$BN$5:$BN$257,0),50)="Alumínio",('Densidade do AR'!$S$4*1000000)))))))-(((-('Densidade do AR'!$M$4))+('Densidade do AR'!$T$15*1000000))/('Densidade do AR'!$S$14*1000000))))))</f>
        <v>-</v>
      </c>
      <c r="ES136" s="739"/>
      <c r="ET136" s="739"/>
      <c r="EU136" s="745"/>
      <c r="EV136" s="91" t="str">
        <f t="shared" si="60"/>
        <v>-</v>
      </c>
      <c r="EW136" s="736"/>
      <c r="EX136" s="737"/>
      <c r="EY136" s="738" t="str">
        <f>IF(EW136="","-",(IF(INDEX($A$5:$BP$257,MATCH(EW136,$BN$5:$BN$257,0),50)="Aço Inoxidável",('Densidade do AR'!$S$8*1000000),IF(INDEX($A$5:$BP$257,MATCH(EW136,$BN$5:$BN$257,0),50)="Ferro Fundido",('Densidade do AR'!$S$12*1000000),IF(INDEX($A$5:$BP$257,MATCH(EW136,$BN$5:$BN$257,0),50)="Latão",('Densidade do AR'!$S$10*1000000),IF(INDEX($A$5:$BP$257,MATCH(EW136,$BN$5:$BN$257,0),50)="Alumínio",('Densidade do AR'!$S$4*1000000)))))))</f>
        <v>-</v>
      </c>
      <c r="EZ136" s="739"/>
      <c r="FA136" s="739"/>
      <c r="FB136" s="740"/>
      <c r="FC136" s="741" t="str">
        <f t="shared" si="61"/>
        <v>-</v>
      </c>
      <c r="FD136" s="742"/>
      <c r="FE136" s="742"/>
      <c r="FF136" s="743"/>
      <c r="FG136" s="741" t="str">
        <f t="shared" si="50"/>
        <v>-</v>
      </c>
      <c r="FH136" s="742"/>
      <c r="FI136" s="742"/>
      <c r="FJ136" s="743"/>
      <c r="FK136" s="744" t="str">
        <f t="shared" si="62"/>
        <v>-</v>
      </c>
      <c r="FL136" s="739"/>
      <c r="FM136" s="739"/>
      <c r="FN136" s="740"/>
      <c r="FO136" s="744" t="str">
        <f t="shared" si="51"/>
        <v>-</v>
      </c>
      <c r="FP136" s="739"/>
      <c r="FQ136" s="739"/>
      <c r="FR136" s="740"/>
      <c r="FS136" s="744" t="str">
        <f>IF(EW136="","-",INDEX($A$5:$BP$257,MATCH(EW136,$BN$5:$BN$257,0),39)*(IF(EW136="","-",(1+(((-('Densidade do AR'!$M$4))+('Densidade do AR'!$T$15*1000000))/(IF(INDEX($A$5:$BP$257,MATCH(EW136,$BN$5:$BN$257,0),50)="Aço Inoxidável",('Densidade do AR'!$S$8*1000000),IF(INDEX($A$5:$BP$257,MATCH(EW136,$BN$5:$BN$257,0),50)="Ferro Fundido",('Densidade do AR'!$S$12*1000000),IF(INDEX($A$5:$BP$257,MATCH(EW136,$BN$5:$BN$257,0),50)="Latão",('Densidade do AR'!$S$10*1000000),IF(INDEX($A$5:$BP$257,MATCH(EW136,$BN$5:$BN$257,0),50)="Alumínio",('Densidade do AR'!$S$4*1000000)))))))-(((-('Densidade do AR'!$M$4))+('Densidade do AR'!$T$15*1000000))/('Densidade do AR'!$S$14*1000000))))))</f>
        <v>-</v>
      </c>
      <c r="FT136" s="739"/>
      <c r="FU136" s="739"/>
      <c r="FV136" s="745"/>
      <c r="FW136" s="91" t="str">
        <f t="shared" si="63"/>
        <v>-</v>
      </c>
      <c r="FX136" s="135"/>
    </row>
    <row r="137" spans="1:180" ht="12.75" customHeight="1" x14ac:dyDescent="0.2">
      <c r="A137" s="717">
        <v>133</v>
      </c>
      <c r="B137" s="713"/>
      <c r="C137" s="708"/>
      <c r="D137" s="709"/>
      <c r="E137" s="709"/>
      <c r="F137" s="709"/>
      <c r="G137" s="710"/>
      <c r="H137" s="711"/>
      <c r="I137" s="712"/>
      <c r="J137" s="712"/>
      <c r="K137" s="713"/>
      <c r="L137" s="708"/>
      <c r="M137" s="709"/>
      <c r="N137" s="709"/>
      <c r="O137" s="709"/>
      <c r="P137" s="708"/>
      <c r="Q137" s="709"/>
      <c r="R137" s="709"/>
      <c r="S137" s="709"/>
      <c r="T137" s="710"/>
      <c r="U137" s="714"/>
      <c r="V137" s="715"/>
      <c r="W137" s="715"/>
      <c r="X137" s="715"/>
      <c r="Y137" s="715"/>
      <c r="Z137" s="715"/>
      <c r="AA137" s="716"/>
      <c r="AB137" s="850"/>
      <c r="AC137" s="851"/>
      <c r="AD137" s="851"/>
      <c r="AE137" s="851"/>
      <c r="AF137" s="851"/>
      <c r="AG137" s="851"/>
      <c r="AH137" s="851"/>
      <c r="AI137" s="851"/>
      <c r="AJ137" s="851"/>
      <c r="AK137" s="851"/>
      <c r="AL137" s="852"/>
      <c r="AM137" s="917"/>
      <c r="AN137" s="712"/>
      <c r="AO137" s="712"/>
      <c r="AP137" s="712"/>
      <c r="AQ137" s="712"/>
      <c r="AR137" s="712"/>
      <c r="AS137" s="713"/>
      <c r="AT137" s="917"/>
      <c r="AU137" s="712"/>
      <c r="AV137" s="712"/>
      <c r="AW137" s="713"/>
      <c r="AX137" s="917"/>
      <c r="AY137" s="712"/>
      <c r="AZ137" s="712"/>
      <c r="BA137" s="712"/>
      <c r="BB137" s="712"/>
      <c r="BC137" s="713"/>
      <c r="BD137" s="917"/>
      <c r="BE137" s="712"/>
      <c r="BF137" s="712"/>
      <c r="BG137" s="713"/>
      <c r="BH137" s="918"/>
      <c r="BI137" s="712"/>
      <c r="BJ137" s="712"/>
      <c r="BK137" s="712"/>
      <c r="BL137" s="910"/>
      <c r="BN137" s="878"/>
      <c r="BO137" s="709"/>
      <c r="BP137" s="884"/>
      <c r="BT137" s="746"/>
      <c r="BU137" s="747"/>
      <c r="BV137" s="784" t="str">
        <f>IF(BT137="","-",(IF(INDEX($A$5:$BP$257,MATCH(BT137,$BN$5:$BN$257,0),50)="Aço Inoxidável",('Densidade do AR'!$S$8*1000000),IF(INDEX($A$5:$BP$257,MATCH(BT137,$BN$5:$BN$257,0),50)="Ferro Fundido",('Densidade do AR'!$S$12*1000000),IF(INDEX($A$5:$BP$257,MATCH(BT137,$BN$5:$BN$257,0),50)="Latão",('Densidade do AR'!$S$10*1000000),IF(INDEX($A$5:$BP$257,MATCH(BT137,$BN$5:$BN$257,0),50)="Alumínio",('Densidade do AR'!$S$4*1000000)))))))</f>
        <v>-</v>
      </c>
      <c r="BW137" s="785"/>
      <c r="BX137" s="785"/>
      <c r="BY137" s="786"/>
      <c r="BZ137" s="787" t="str">
        <f t="shared" si="52"/>
        <v>-</v>
      </c>
      <c r="CA137" s="788"/>
      <c r="CB137" s="788"/>
      <c r="CC137" s="789"/>
      <c r="CD137" s="787" t="str">
        <f t="shared" si="44"/>
        <v>-</v>
      </c>
      <c r="CE137" s="788"/>
      <c r="CF137" s="788"/>
      <c r="CG137" s="789"/>
      <c r="CH137" s="790" t="str">
        <f t="shared" si="53"/>
        <v>-</v>
      </c>
      <c r="CI137" s="785"/>
      <c r="CJ137" s="785"/>
      <c r="CK137" s="786"/>
      <c r="CL137" s="790" t="str">
        <f t="shared" si="45"/>
        <v>-</v>
      </c>
      <c r="CM137" s="785"/>
      <c r="CN137" s="785"/>
      <c r="CO137" s="786"/>
      <c r="CP137" s="790" t="str">
        <f>IF(BT137="","-",INDEX($A$5:$BP$257,MATCH(BT137,$BN$5:$BN$257,0),39)*(IF(BT137="","-",(1+(((-('Densidade do AR'!$M$4))+('Densidade do AR'!$T$15*1000000))/(IF(INDEX($A$5:$BP$257,MATCH(BT137,$BN$5:$BN$257,0),50)="Aço Inoxidável",('Densidade do AR'!$S$8*1000000),IF(INDEX($A$5:$BP$257,MATCH(BT137,$BN$5:$BN$257,0),50)="Ferro Fundido",('Densidade do AR'!$S$12*1000000),IF(INDEX($A$5:$BP$257,MATCH(BT137,$BN$5:$BN$257,0),50)="Latão",('Densidade do AR'!$S$10*1000000),IF(INDEX($A$5:$BP$257,MATCH(BT137,$BN$5:$BN$257,0),50)="Alumínio",('Densidade do AR'!$S$4*1000000)))))))-(((-('Densidade do AR'!$M$4))+('Densidade do AR'!$T$15*1000000))/('Densidade do AR'!$S$14*1000000))))))</f>
        <v>-</v>
      </c>
      <c r="CQ137" s="785"/>
      <c r="CR137" s="785"/>
      <c r="CS137" s="791"/>
      <c r="CT137" s="91" t="str">
        <f t="shared" si="54"/>
        <v>-</v>
      </c>
      <c r="CU137" s="746"/>
      <c r="CV137" s="747"/>
      <c r="CW137" s="784" t="str">
        <f>IF(CU137="","-",(IF(INDEX($A$5:$BP$257,MATCH(CU137,$BN$5:$BN$257,0),50)="Aço Inoxidável",('Densidade do AR'!$S$8*1000000),IF(INDEX($A$5:$BP$257,MATCH(CU137,$BN$5:$BN$257,0),50)="Ferro Fundido",('Densidade do AR'!$S$12*1000000),IF(INDEX($A$5:$BP$257,MATCH(CU137,$BN$5:$BN$257,0),50)="Latão",('Densidade do AR'!$S$10*1000000),IF(INDEX($A$5:$BP$257,MATCH(CU137,$BN$5:$BN$257,0),50)="Alumínio",('Densidade do AR'!$S$4*1000000)))))))</f>
        <v>-</v>
      </c>
      <c r="CX137" s="785"/>
      <c r="CY137" s="785"/>
      <c r="CZ137" s="786"/>
      <c r="DA137" s="787" t="str">
        <f t="shared" si="55"/>
        <v>-</v>
      </c>
      <c r="DB137" s="788"/>
      <c r="DC137" s="788"/>
      <c r="DD137" s="789"/>
      <c r="DE137" s="787" t="str">
        <f t="shared" si="46"/>
        <v>-</v>
      </c>
      <c r="DF137" s="788"/>
      <c r="DG137" s="788"/>
      <c r="DH137" s="789"/>
      <c r="DI137" s="790" t="str">
        <f t="shared" si="56"/>
        <v>-</v>
      </c>
      <c r="DJ137" s="785"/>
      <c r="DK137" s="785"/>
      <c r="DL137" s="786"/>
      <c r="DM137" s="790" t="str">
        <f t="shared" si="47"/>
        <v>-</v>
      </c>
      <c r="DN137" s="785"/>
      <c r="DO137" s="785"/>
      <c r="DP137" s="786"/>
      <c r="DQ137" s="790" t="str">
        <f>IF(CU137="","-",INDEX($A$5:$BP$257,MATCH(CU137,$BN$5:$BN$257,0),39)*(IF(CU137="","-",(1+(((-('Densidade do AR'!$M$4))+('Densidade do AR'!$T$15*1000000))/(IF(INDEX($A$5:$BP$257,MATCH(CU137,$BN$5:$BN$257,0),50)="Aço Inoxidável",('Densidade do AR'!$S$8*1000000),IF(INDEX($A$5:$BP$257,MATCH(CU137,$BN$5:$BN$257,0),50)="Ferro Fundido",('Densidade do AR'!$S$12*1000000),IF(INDEX($A$5:$BP$257,MATCH(CU137,$BN$5:$BN$257,0),50)="Latão",('Densidade do AR'!$S$10*1000000),IF(INDEX($A$5:$BP$257,MATCH(CU137,$BN$5:$BN$257,0),50)="Alumínio",('Densidade do AR'!$S$4*1000000)))))))-(((-('Densidade do AR'!$M$4))+('Densidade do AR'!$T$15*1000000))/('Densidade do AR'!$S$14*1000000))))))</f>
        <v>-</v>
      </c>
      <c r="DR137" s="785"/>
      <c r="DS137" s="785"/>
      <c r="DT137" s="791"/>
      <c r="DU137" s="91" t="str">
        <f t="shared" si="57"/>
        <v>-</v>
      </c>
      <c r="DV137" s="746"/>
      <c r="DW137" s="747"/>
      <c r="DX137" s="784" t="str">
        <f>IF(DV137="","-",(IF(INDEX($A$5:$BP$257,MATCH(DV137,$BN$5:$BN$257,0),50)="Aço Inoxidável",('Densidade do AR'!$S$8*1000000),IF(INDEX($A$5:$BP$257,MATCH(DV137,$BN$5:$BN$257,0),50)="Ferro Fundido",('Densidade do AR'!$S$12*1000000),IF(INDEX($A$5:$BP$257,MATCH(DV137,$BN$5:$BN$257,0),50)="Latão",('Densidade do AR'!$S$10*1000000),IF(INDEX($A$5:$BP$257,MATCH(DV137,$BN$5:$BN$257,0),50)="Alumínio",('Densidade do AR'!$S$4*1000000)))))))</f>
        <v>-</v>
      </c>
      <c r="DY137" s="785"/>
      <c r="DZ137" s="785"/>
      <c r="EA137" s="786"/>
      <c r="EB137" s="787" t="str">
        <f t="shared" si="58"/>
        <v>-</v>
      </c>
      <c r="EC137" s="788"/>
      <c r="ED137" s="788"/>
      <c r="EE137" s="789"/>
      <c r="EF137" s="787" t="str">
        <f t="shared" si="48"/>
        <v>-</v>
      </c>
      <c r="EG137" s="788"/>
      <c r="EH137" s="788"/>
      <c r="EI137" s="789"/>
      <c r="EJ137" s="790" t="str">
        <f t="shared" si="59"/>
        <v>-</v>
      </c>
      <c r="EK137" s="785"/>
      <c r="EL137" s="785"/>
      <c r="EM137" s="786"/>
      <c r="EN137" s="790" t="str">
        <f t="shared" si="49"/>
        <v>-</v>
      </c>
      <c r="EO137" s="785"/>
      <c r="EP137" s="785"/>
      <c r="EQ137" s="786"/>
      <c r="ER137" s="790" t="str">
        <f>IF(DV137="","-",INDEX($A$5:$BP$257,MATCH(DV137,$BN$5:$BN$257,0),39)*(IF(DV137="","-",(1+(((-('Densidade do AR'!$M$4))+('Densidade do AR'!$T$15*1000000))/(IF(INDEX($A$5:$BP$257,MATCH(DV137,$BN$5:$BN$257,0),50)="Aço Inoxidável",('Densidade do AR'!$S$8*1000000),IF(INDEX($A$5:$BP$257,MATCH(DV137,$BN$5:$BN$257,0),50)="Ferro Fundido",('Densidade do AR'!$S$12*1000000),IF(INDEX($A$5:$BP$257,MATCH(DV137,$BN$5:$BN$257,0),50)="Latão",('Densidade do AR'!$S$10*1000000),IF(INDEX($A$5:$BP$257,MATCH(DV137,$BN$5:$BN$257,0),50)="Alumínio",('Densidade do AR'!$S$4*1000000)))))))-(((-('Densidade do AR'!$M$4))+('Densidade do AR'!$T$15*1000000))/('Densidade do AR'!$S$14*1000000))))))</f>
        <v>-</v>
      </c>
      <c r="ES137" s="785"/>
      <c r="ET137" s="785"/>
      <c r="EU137" s="791"/>
      <c r="EV137" s="91" t="str">
        <f t="shared" si="60"/>
        <v>-</v>
      </c>
      <c r="EW137" s="746"/>
      <c r="EX137" s="747"/>
      <c r="EY137" s="784" t="str">
        <f>IF(EW137="","-",(IF(INDEX($A$5:$BP$257,MATCH(EW137,$BN$5:$BN$257,0),50)="Aço Inoxidável",('Densidade do AR'!$S$8*1000000),IF(INDEX($A$5:$BP$257,MATCH(EW137,$BN$5:$BN$257,0),50)="Ferro Fundido",('Densidade do AR'!$S$12*1000000),IF(INDEX($A$5:$BP$257,MATCH(EW137,$BN$5:$BN$257,0),50)="Latão",('Densidade do AR'!$S$10*1000000),IF(INDEX($A$5:$BP$257,MATCH(EW137,$BN$5:$BN$257,0),50)="Alumínio",('Densidade do AR'!$S$4*1000000)))))))</f>
        <v>-</v>
      </c>
      <c r="EZ137" s="785"/>
      <c r="FA137" s="785"/>
      <c r="FB137" s="786"/>
      <c r="FC137" s="787" t="str">
        <f t="shared" si="61"/>
        <v>-</v>
      </c>
      <c r="FD137" s="788"/>
      <c r="FE137" s="788"/>
      <c r="FF137" s="789"/>
      <c r="FG137" s="787" t="str">
        <f t="shared" si="50"/>
        <v>-</v>
      </c>
      <c r="FH137" s="788"/>
      <c r="FI137" s="788"/>
      <c r="FJ137" s="789"/>
      <c r="FK137" s="790" t="str">
        <f t="shared" si="62"/>
        <v>-</v>
      </c>
      <c r="FL137" s="785"/>
      <c r="FM137" s="785"/>
      <c r="FN137" s="786"/>
      <c r="FO137" s="790" t="str">
        <f t="shared" si="51"/>
        <v>-</v>
      </c>
      <c r="FP137" s="785"/>
      <c r="FQ137" s="785"/>
      <c r="FR137" s="786"/>
      <c r="FS137" s="790" t="str">
        <f>IF(EW137="","-",INDEX($A$5:$BP$257,MATCH(EW137,$BN$5:$BN$257,0),39)*(IF(EW137="","-",(1+(((-('Densidade do AR'!$M$4))+('Densidade do AR'!$T$15*1000000))/(IF(INDEX($A$5:$BP$257,MATCH(EW137,$BN$5:$BN$257,0),50)="Aço Inoxidável",('Densidade do AR'!$S$8*1000000),IF(INDEX($A$5:$BP$257,MATCH(EW137,$BN$5:$BN$257,0),50)="Ferro Fundido",('Densidade do AR'!$S$12*1000000),IF(INDEX($A$5:$BP$257,MATCH(EW137,$BN$5:$BN$257,0),50)="Latão",('Densidade do AR'!$S$10*1000000),IF(INDEX($A$5:$BP$257,MATCH(EW137,$BN$5:$BN$257,0),50)="Alumínio",('Densidade do AR'!$S$4*1000000)))))))-(((-('Densidade do AR'!$M$4))+('Densidade do AR'!$T$15*1000000))/('Densidade do AR'!$S$14*1000000))))))</f>
        <v>-</v>
      </c>
      <c r="FT137" s="785"/>
      <c r="FU137" s="785"/>
      <c r="FV137" s="791"/>
      <c r="FW137" s="91" t="str">
        <f t="shared" si="63"/>
        <v>-</v>
      </c>
      <c r="FX137" s="135"/>
    </row>
    <row r="138" spans="1:180" ht="12.75" customHeight="1" x14ac:dyDescent="0.2">
      <c r="A138" s="718">
        <v>134</v>
      </c>
      <c r="B138" s="713"/>
      <c r="C138" s="719"/>
      <c r="D138" s="709"/>
      <c r="E138" s="709"/>
      <c r="F138" s="709"/>
      <c r="G138" s="710"/>
      <c r="H138" s="720"/>
      <c r="I138" s="712"/>
      <c r="J138" s="712"/>
      <c r="K138" s="713"/>
      <c r="L138" s="719"/>
      <c r="M138" s="709"/>
      <c r="N138" s="709"/>
      <c r="O138" s="709"/>
      <c r="P138" s="719"/>
      <c r="Q138" s="709"/>
      <c r="R138" s="709"/>
      <c r="S138" s="709"/>
      <c r="T138" s="710"/>
      <c r="U138" s="721"/>
      <c r="V138" s="722"/>
      <c r="W138" s="722"/>
      <c r="X138" s="722"/>
      <c r="Y138" s="722"/>
      <c r="Z138" s="722"/>
      <c r="AA138" s="723"/>
      <c r="AB138" s="853"/>
      <c r="AC138" s="854"/>
      <c r="AD138" s="854"/>
      <c r="AE138" s="854"/>
      <c r="AF138" s="854"/>
      <c r="AG138" s="854"/>
      <c r="AH138" s="854"/>
      <c r="AI138" s="854"/>
      <c r="AJ138" s="854"/>
      <c r="AK138" s="854"/>
      <c r="AL138" s="855"/>
      <c r="AM138" s="909"/>
      <c r="AN138" s="712"/>
      <c r="AO138" s="712"/>
      <c r="AP138" s="712"/>
      <c r="AQ138" s="712"/>
      <c r="AR138" s="712"/>
      <c r="AS138" s="713"/>
      <c r="AT138" s="909"/>
      <c r="AU138" s="712"/>
      <c r="AV138" s="712"/>
      <c r="AW138" s="713"/>
      <c r="AX138" s="908"/>
      <c r="AY138" s="712"/>
      <c r="AZ138" s="712"/>
      <c r="BA138" s="712"/>
      <c r="BB138" s="712"/>
      <c r="BC138" s="713"/>
      <c r="BD138" s="909"/>
      <c r="BE138" s="712"/>
      <c r="BF138" s="712"/>
      <c r="BG138" s="713"/>
      <c r="BH138" s="908"/>
      <c r="BI138" s="712"/>
      <c r="BJ138" s="712"/>
      <c r="BK138" s="712"/>
      <c r="BL138" s="910"/>
      <c r="BN138" s="881"/>
      <c r="BO138" s="709"/>
      <c r="BP138" s="884"/>
      <c r="BT138" s="736"/>
      <c r="BU138" s="737"/>
      <c r="BV138" s="738" t="str">
        <f>IF(BT138="","-",(IF(INDEX($A$5:$BP$257,MATCH(BT138,$BN$5:$BN$257,0),50)="Aço Inoxidável",('Densidade do AR'!$S$8*1000000),IF(INDEX($A$5:$BP$257,MATCH(BT138,$BN$5:$BN$257,0),50)="Ferro Fundido",('Densidade do AR'!$S$12*1000000),IF(INDEX($A$5:$BP$257,MATCH(BT138,$BN$5:$BN$257,0),50)="Latão",('Densidade do AR'!$S$10*1000000),IF(INDEX($A$5:$BP$257,MATCH(BT138,$BN$5:$BN$257,0),50)="Alumínio",('Densidade do AR'!$S$4*1000000)))))))</f>
        <v>-</v>
      </c>
      <c r="BW138" s="739"/>
      <c r="BX138" s="739"/>
      <c r="BY138" s="740"/>
      <c r="BZ138" s="741" t="str">
        <f t="shared" si="52"/>
        <v>-</v>
      </c>
      <c r="CA138" s="742"/>
      <c r="CB138" s="742"/>
      <c r="CC138" s="743"/>
      <c r="CD138" s="741" t="str">
        <f t="shared" si="44"/>
        <v>-</v>
      </c>
      <c r="CE138" s="742"/>
      <c r="CF138" s="742"/>
      <c r="CG138" s="743"/>
      <c r="CH138" s="744" t="str">
        <f t="shared" si="53"/>
        <v>-</v>
      </c>
      <c r="CI138" s="739"/>
      <c r="CJ138" s="739"/>
      <c r="CK138" s="740"/>
      <c r="CL138" s="744" t="str">
        <f t="shared" si="45"/>
        <v>-</v>
      </c>
      <c r="CM138" s="739"/>
      <c r="CN138" s="739"/>
      <c r="CO138" s="740"/>
      <c r="CP138" s="744" t="str">
        <f>IF(BT138="","-",INDEX($A$5:$BP$257,MATCH(BT138,$BN$5:$BN$257,0),39)*(IF(BT138="","-",(1+(((-('Densidade do AR'!$M$4))+('Densidade do AR'!$T$15*1000000))/(IF(INDEX($A$5:$BP$257,MATCH(BT138,$BN$5:$BN$257,0),50)="Aço Inoxidável",('Densidade do AR'!$S$8*1000000),IF(INDEX($A$5:$BP$257,MATCH(BT138,$BN$5:$BN$257,0),50)="Ferro Fundido",('Densidade do AR'!$S$12*1000000),IF(INDEX($A$5:$BP$257,MATCH(BT138,$BN$5:$BN$257,0),50)="Latão",('Densidade do AR'!$S$10*1000000),IF(INDEX($A$5:$BP$257,MATCH(BT138,$BN$5:$BN$257,0),50)="Alumínio",('Densidade do AR'!$S$4*1000000)))))))-(((-('Densidade do AR'!$M$4))+('Densidade do AR'!$T$15*1000000))/('Densidade do AR'!$S$14*1000000))))))</f>
        <v>-</v>
      </c>
      <c r="CQ138" s="739"/>
      <c r="CR138" s="739"/>
      <c r="CS138" s="745"/>
      <c r="CT138" s="91" t="str">
        <f t="shared" si="54"/>
        <v>-</v>
      </c>
      <c r="CU138" s="736"/>
      <c r="CV138" s="737"/>
      <c r="CW138" s="738" t="str">
        <f>IF(CU138="","-",(IF(INDEX($A$5:$BP$257,MATCH(CU138,$BN$5:$BN$257,0),50)="Aço Inoxidável",('Densidade do AR'!$S$8*1000000),IF(INDEX($A$5:$BP$257,MATCH(CU138,$BN$5:$BN$257,0),50)="Ferro Fundido",('Densidade do AR'!$S$12*1000000),IF(INDEX($A$5:$BP$257,MATCH(CU138,$BN$5:$BN$257,0),50)="Latão",('Densidade do AR'!$S$10*1000000),IF(INDEX($A$5:$BP$257,MATCH(CU138,$BN$5:$BN$257,0),50)="Alumínio",('Densidade do AR'!$S$4*1000000)))))))</f>
        <v>-</v>
      </c>
      <c r="CX138" s="739"/>
      <c r="CY138" s="739"/>
      <c r="CZ138" s="740"/>
      <c r="DA138" s="741" t="str">
        <f t="shared" si="55"/>
        <v>-</v>
      </c>
      <c r="DB138" s="742"/>
      <c r="DC138" s="742"/>
      <c r="DD138" s="743"/>
      <c r="DE138" s="741" t="str">
        <f t="shared" si="46"/>
        <v>-</v>
      </c>
      <c r="DF138" s="742"/>
      <c r="DG138" s="742"/>
      <c r="DH138" s="743"/>
      <c r="DI138" s="744" t="str">
        <f t="shared" si="56"/>
        <v>-</v>
      </c>
      <c r="DJ138" s="739"/>
      <c r="DK138" s="739"/>
      <c r="DL138" s="740"/>
      <c r="DM138" s="744" t="str">
        <f t="shared" si="47"/>
        <v>-</v>
      </c>
      <c r="DN138" s="739"/>
      <c r="DO138" s="739"/>
      <c r="DP138" s="740"/>
      <c r="DQ138" s="744" t="str">
        <f>IF(CU138="","-",INDEX($A$5:$BP$257,MATCH(CU138,$BN$5:$BN$257,0),39)*(IF(CU138="","-",(1+(((-('Densidade do AR'!$M$4))+('Densidade do AR'!$T$15*1000000))/(IF(INDEX($A$5:$BP$257,MATCH(CU138,$BN$5:$BN$257,0),50)="Aço Inoxidável",('Densidade do AR'!$S$8*1000000),IF(INDEX($A$5:$BP$257,MATCH(CU138,$BN$5:$BN$257,0),50)="Ferro Fundido",('Densidade do AR'!$S$12*1000000),IF(INDEX($A$5:$BP$257,MATCH(CU138,$BN$5:$BN$257,0),50)="Latão",('Densidade do AR'!$S$10*1000000),IF(INDEX($A$5:$BP$257,MATCH(CU138,$BN$5:$BN$257,0),50)="Alumínio",('Densidade do AR'!$S$4*1000000)))))))-(((-('Densidade do AR'!$M$4))+('Densidade do AR'!$T$15*1000000))/('Densidade do AR'!$S$14*1000000))))))</f>
        <v>-</v>
      </c>
      <c r="DR138" s="739"/>
      <c r="DS138" s="739"/>
      <c r="DT138" s="745"/>
      <c r="DU138" s="91" t="str">
        <f t="shared" si="57"/>
        <v>-</v>
      </c>
      <c r="DV138" s="736"/>
      <c r="DW138" s="737"/>
      <c r="DX138" s="738" t="str">
        <f>IF(DV138="","-",(IF(INDEX($A$5:$BP$257,MATCH(DV138,$BN$5:$BN$257,0),50)="Aço Inoxidável",('Densidade do AR'!$S$8*1000000),IF(INDEX($A$5:$BP$257,MATCH(DV138,$BN$5:$BN$257,0),50)="Ferro Fundido",('Densidade do AR'!$S$12*1000000),IF(INDEX($A$5:$BP$257,MATCH(DV138,$BN$5:$BN$257,0),50)="Latão",('Densidade do AR'!$S$10*1000000),IF(INDEX($A$5:$BP$257,MATCH(DV138,$BN$5:$BN$257,0),50)="Alumínio",('Densidade do AR'!$S$4*1000000)))))))</f>
        <v>-</v>
      </c>
      <c r="DY138" s="739"/>
      <c r="DZ138" s="739"/>
      <c r="EA138" s="740"/>
      <c r="EB138" s="741" t="str">
        <f t="shared" si="58"/>
        <v>-</v>
      </c>
      <c r="EC138" s="742"/>
      <c r="ED138" s="742"/>
      <c r="EE138" s="743"/>
      <c r="EF138" s="741" t="str">
        <f t="shared" si="48"/>
        <v>-</v>
      </c>
      <c r="EG138" s="742"/>
      <c r="EH138" s="742"/>
      <c r="EI138" s="743"/>
      <c r="EJ138" s="744" t="str">
        <f t="shared" si="59"/>
        <v>-</v>
      </c>
      <c r="EK138" s="739"/>
      <c r="EL138" s="739"/>
      <c r="EM138" s="740"/>
      <c r="EN138" s="744" t="str">
        <f t="shared" si="49"/>
        <v>-</v>
      </c>
      <c r="EO138" s="739"/>
      <c r="EP138" s="739"/>
      <c r="EQ138" s="740"/>
      <c r="ER138" s="744" t="str">
        <f>IF(DV138="","-",INDEX($A$5:$BP$257,MATCH(DV138,$BN$5:$BN$257,0),39)*(IF(DV138="","-",(1+(((-('Densidade do AR'!$M$4))+('Densidade do AR'!$T$15*1000000))/(IF(INDEX($A$5:$BP$257,MATCH(DV138,$BN$5:$BN$257,0),50)="Aço Inoxidável",('Densidade do AR'!$S$8*1000000),IF(INDEX($A$5:$BP$257,MATCH(DV138,$BN$5:$BN$257,0),50)="Ferro Fundido",('Densidade do AR'!$S$12*1000000),IF(INDEX($A$5:$BP$257,MATCH(DV138,$BN$5:$BN$257,0),50)="Latão",('Densidade do AR'!$S$10*1000000),IF(INDEX($A$5:$BP$257,MATCH(DV138,$BN$5:$BN$257,0),50)="Alumínio",('Densidade do AR'!$S$4*1000000)))))))-(((-('Densidade do AR'!$M$4))+('Densidade do AR'!$T$15*1000000))/('Densidade do AR'!$S$14*1000000))))))</f>
        <v>-</v>
      </c>
      <c r="ES138" s="739"/>
      <c r="ET138" s="739"/>
      <c r="EU138" s="745"/>
      <c r="EV138" s="91" t="str">
        <f t="shared" si="60"/>
        <v>-</v>
      </c>
      <c r="EW138" s="736"/>
      <c r="EX138" s="737"/>
      <c r="EY138" s="738" t="str">
        <f>IF(EW138="","-",(IF(INDEX($A$5:$BP$257,MATCH(EW138,$BN$5:$BN$257,0),50)="Aço Inoxidável",('Densidade do AR'!$S$8*1000000),IF(INDEX($A$5:$BP$257,MATCH(EW138,$BN$5:$BN$257,0),50)="Ferro Fundido",('Densidade do AR'!$S$12*1000000),IF(INDEX($A$5:$BP$257,MATCH(EW138,$BN$5:$BN$257,0),50)="Latão",('Densidade do AR'!$S$10*1000000),IF(INDEX($A$5:$BP$257,MATCH(EW138,$BN$5:$BN$257,0),50)="Alumínio",('Densidade do AR'!$S$4*1000000)))))))</f>
        <v>-</v>
      </c>
      <c r="EZ138" s="739"/>
      <c r="FA138" s="739"/>
      <c r="FB138" s="740"/>
      <c r="FC138" s="741" t="str">
        <f t="shared" si="61"/>
        <v>-</v>
      </c>
      <c r="FD138" s="742"/>
      <c r="FE138" s="742"/>
      <c r="FF138" s="743"/>
      <c r="FG138" s="741" t="str">
        <f t="shared" si="50"/>
        <v>-</v>
      </c>
      <c r="FH138" s="742"/>
      <c r="FI138" s="742"/>
      <c r="FJ138" s="743"/>
      <c r="FK138" s="744" t="str">
        <f t="shared" si="62"/>
        <v>-</v>
      </c>
      <c r="FL138" s="739"/>
      <c r="FM138" s="739"/>
      <c r="FN138" s="740"/>
      <c r="FO138" s="744" t="str">
        <f t="shared" si="51"/>
        <v>-</v>
      </c>
      <c r="FP138" s="739"/>
      <c r="FQ138" s="739"/>
      <c r="FR138" s="740"/>
      <c r="FS138" s="744" t="str">
        <f>IF(EW138="","-",INDEX($A$5:$BP$257,MATCH(EW138,$BN$5:$BN$257,0),39)*(IF(EW138="","-",(1+(((-('Densidade do AR'!$M$4))+('Densidade do AR'!$T$15*1000000))/(IF(INDEX($A$5:$BP$257,MATCH(EW138,$BN$5:$BN$257,0),50)="Aço Inoxidável",('Densidade do AR'!$S$8*1000000),IF(INDEX($A$5:$BP$257,MATCH(EW138,$BN$5:$BN$257,0),50)="Ferro Fundido",('Densidade do AR'!$S$12*1000000),IF(INDEX($A$5:$BP$257,MATCH(EW138,$BN$5:$BN$257,0),50)="Latão",('Densidade do AR'!$S$10*1000000),IF(INDEX($A$5:$BP$257,MATCH(EW138,$BN$5:$BN$257,0),50)="Alumínio",('Densidade do AR'!$S$4*1000000)))))))-(((-('Densidade do AR'!$M$4))+('Densidade do AR'!$T$15*1000000))/('Densidade do AR'!$S$14*1000000))))))</f>
        <v>-</v>
      </c>
      <c r="FT138" s="739"/>
      <c r="FU138" s="739"/>
      <c r="FV138" s="745"/>
      <c r="FW138" s="91" t="str">
        <f t="shared" si="63"/>
        <v>-</v>
      </c>
      <c r="FX138" s="135"/>
    </row>
    <row r="139" spans="1:180" ht="12.75" customHeight="1" x14ac:dyDescent="0.2">
      <c r="A139" s="717">
        <v>135</v>
      </c>
      <c r="B139" s="713"/>
      <c r="C139" s="708"/>
      <c r="D139" s="709"/>
      <c r="E139" s="709"/>
      <c r="F139" s="709"/>
      <c r="G139" s="710"/>
      <c r="H139" s="711"/>
      <c r="I139" s="712"/>
      <c r="J139" s="712"/>
      <c r="K139" s="713"/>
      <c r="L139" s="708"/>
      <c r="M139" s="709"/>
      <c r="N139" s="709"/>
      <c r="O139" s="709"/>
      <c r="P139" s="708"/>
      <c r="Q139" s="709"/>
      <c r="R139" s="709"/>
      <c r="S139" s="709"/>
      <c r="T139" s="710"/>
      <c r="U139" s="714"/>
      <c r="V139" s="715"/>
      <c r="W139" s="715"/>
      <c r="X139" s="715"/>
      <c r="Y139" s="715"/>
      <c r="Z139" s="715"/>
      <c r="AA139" s="716"/>
      <c r="AB139" s="850"/>
      <c r="AC139" s="851"/>
      <c r="AD139" s="851"/>
      <c r="AE139" s="851"/>
      <c r="AF139" s="851"/>
      <c r="AG139" s="851"/>
      <c r="AH139" s="851"/>
      <c r="AI139" s="851"/>
      <c r="AJ139" s="851"/>
      <c r="AK139" s="851"/>
      <c r="AL139" s="852"/>
      <c r="AM139" s="917"/>
      <c r="AN139" s="712"/>
      <c r="AO139" s="712"/>
      <c r="AP139" s="712"/>
      <c r="AQ139" s="712"/>
      <c r="AR139" s="712"/>
      <c r="AS139" s="713"/>
      <c r="AT139" s="917"/>
      <c r="AU139" s="712"/>
      <c r="AV139" s="712"/>
      <c r="AW139" s="713"/>
      <c r="AX139" s="917"/>
      <c r="AY139" s="712"/>
      <c r="AZ139" s="712"/>
      <c r="BA139" s="712"/>
      <c r="BB139" s="712"/>
      <c r="BC139" s="713"/>
      <c r="BD139" s="917"/>
      <c r="BE139" s="712"/>
      <c r="BF139" s="712"/>
      <c r="BG139" s="713"/>
      <c r="BH139" s="918"/>
      <c r="BI139" s="712"/>
      <c r="BJ139" s="712"/>
      <c r="BK139" s="712"/>
      <c r="BL139" s="910"/>
      <c r="BN139" s="878"/>
      <c r="BO139" s="709"/>
      <c r="BP139" s="884"/>
      <c r="BT139" s="746"/>
      <c r="BU139" s="747"/>
      <c r="BV139" s="784" t="str">
        <f>IF(BT139="","-",(IF(INDEX($A$5:$BP$257,MATCH(BT139,$BN$5:$BN$257,0),50)="Aço Inoxidável",('Densidade do AR'!$S$8*1000000),IF(INDEX($A$5:$BP$257,MATCH(BT139,$BN$5:$BN$257,0),50)="Ferro Fundido",('Densidade do AR'!$S$12*1000000),IF(INDEX($A$5:$BP$257,MATCH(BT139,$BN$5:$BN$257,0),50)="Latão",('Densidade do AR'!$S$10*1000000),IF(INDEX($A$5:$BP$257,MATCH(BT139,$BN$5:$BN$257,0),50)="Alumínio",('Densidade do AR'!$S$4*1000000)))))))</f>
        <v>-</v>
      </c>
      <c r="BW139" s="785"/>
      <c r="BX139" s="785"/>
      <c r="BY139" s="786"/>
      <c r="BZ139" s="787" t="str">
        <f t="shared" si="52"/>
        <v>-</v>
      </c>
      <c r="CA139" s="788"/>
      <c r="CB139" s="788"/>
      <c r="CC139" s="789"/>
      <c r="CD139" s="787" t="str">
        <f t="shared" si="44"/>
        <v>-</v>
      </c>
      <c r="CE139" s="788"/>
      <c r="CF139" s="788"/>
      <c r="CG139" s="789"/>
      <c r="CH139" s="790" t="str">
        <f t="shared" si="53"/>
        <v>-</v>
      </c>
      <c r="CI139" s="785"/>
      <c r="CJ139" s="785"/>
      <c r="CK139" s="786"/>
      <c r="CL139" s="790" t="str">
        <f t="shared" si="45"/>
        <v>-</v>
      </c>
      <c r="CM139" s="785"/>
      <c r="CN139" s="785"/>
      <c r="CO139" s="786"/>
      <c r="CP139" s="790" t="str">
        <f>IF(BT139="","-",INDEX($A$5:$BP$257,MATCH(BT139,$BN$5:$BN$257,0),39)*(IF(BT139="","-",(1+(((-('Densidade do AR'!$M$4))+('Densidade do AR'!$T$15*1000000))/(IF(INDEX($A$5:$BP$257,MATCH(BT139,$BN$5:$BN$257,0),50)="Aço Inoxidável",('Densidade do AR'!$S$8*1000000),IF(INDEX($A$5:$BP$257,MATCH(BT139,$BN$5:$BN$257,0),50)="Ferro Fundido",('Densidade do AR'!$S$12*1000000),IF(INDEX($A$5:$BP$257,MATCH(BT139,$BN$5:$BN$257,0),50)="Latão",('Densidade do AR'!$S$10*1000000),IF(INDEX($A$5:$BP$257,MATCH(BT139,$BN$5:$BN$257,0),50)="Alumínio",('Densidade do AR'!$S$4*1000000)))))))-(((-('Densidade do AR'!$M$4))+('Densidade do AR'!$T$15*1000000))/('Densidade do AR'!$S$14*1000000))))))</f>
        <v>-</v>
      </c>
      <c r="CQ139" s="785"/>
      <c r="CR139" s="785"/>
      <c r="CS139" s="791"/>
      <c r="CT139" s="91" t="str">
        <f t="shared" si="54"/>
        <v>-</v>
      </c>
      <c r="CU139" s="746"/>
      <c r="CV139" s="747"/>
      <c r="CW139" s="784" t="str">
        <f>IF(CU139="","-",(IF(INDEX($A$5:$BP$257,MATCH(CU139,$BN$5:$BN$257,0),50)="Aço Inoxidável",('Densidade do AR'!$S$8*1000000),IF(INDEX($A$5:$BP$257,MATCH(CU139,$BN$5:$BN$257,0),50)="Ferro Fundido",('Densidade do AR'!$S$12*1000000),IF(INDEX($A$5:$BP$257,MATCH(CU139,$BN$5:$BN$257,0),50)="Latão",('Densidade do AR'!$S$10*1000000),IF(INDEX($A$5:$BP$257,MATCH(CU139,$BN$5:$BN$257,0),50)="Alumínio",('Densidade do AR'!$S$4*1000000)))))))</f>
        <v>-</v>
      </c>
      <c r="CX139" s="785"/>
      <c r="CY139" s="785"/>
      <c r="CZ139" s="786"/>
      <c r="DA139" s="787" t="str">
        <f t="shared" si="55"/>
        <v>-</v>
      </c>
      <c r="DB139" s="788"/>
      <c r="DC139" s="788"/>
      <c r="DD139" s="789"/>
      <c r="DE139" s="787" t="str">
        <f t="shared" si="46"/>
        <v>-</v>
      </c>
      <c r="DF139" s="788"/>
      <c r="DG139" s="788"/>
      <c r="DH139" s="789"/>
      <c r="DI139" s="790" t="str">
        <f t="shared" si="56"/>
        <v>-</v>
      </c>
      <c r="DJ139" s="785"/>
      <c r="DK139" s="785"/>
      <c r="DL139" s="786"/>
      <c r="DM139" s="790" t="str">
        <f t="shared" si="47"/>
        <v>-</v>
      </c>
      <c r="DN139" s="785"/>
      <c r="DO139" s="785"/>
      <c r="DP139" s="786"/>
      <c r="DQ139" s="790" t="str">
        <f>IF(CU139="","-",INDEX($A$5:$BP$257,MATCH(CU139,$BN$5:$BN$257,0),39)*(IF(CU139="","-",(1+(((-('Densidade do AR'!$M$4))+('Densidade do AR'!$T$15*1000000))/(IF(INDEX($A$5:$BP$257,MATCH(CU139,$BN$5:$BN$257,0),50)="Aço Inoxidável",('Densidade do AR'!$S$8*1000000),IF(INDEX($A$5:$BP$257,MATCH(CU139,$BN$5:$BN$257,0),50)="Ferro Fundido",('Densidade do AR'!$S$12*1000000),IF(INDEX($A$5:$BP$257,MATCH(CU139,$BN$5:$BN$257,0),50)="Latão",('Densidade do AR'!$S$10*1000000),IF(INDEX($A$5:$BP$257,MATCH(CU139,$BN$5:$BN$257,0),50)="Alumínio",('Densidade do AR'!$S$4*1000000)))))))-(((-('Densidade do AR'!$M$4))+('Densidade do AR'!$T$15*1000000))/('Densidade do AR'!$S$14*1000000))))))</f>
        <v>-</v>
      </c>
      <c r="DR139" s="785"/>
      <c r="DS139" s="785"/>
      <c r="DT139" s="791"/>
      <c r="DU139" s="91" t="str">
        <f t="shared" si="57"/>
        <v>-</v>
      </c>
      <c r="DV139" s="746"/>
      <c r="DW139" s="747"/>
      <c r="DX139" s="784" t="str">
        <f>IF(DV139="","-",(IF(INDEX($A$5:$BP$257,MATCH(DV139,$BN$5:$BN$257,0),50)="Aço Inoxidável",('Densidade do AR'!$S$8*1000000),IF(INDEX($A$5:$BP$257,MATCH(DV139,$BN$5:$BN$257,0),50)="Ferro Fundido",('Densidade do AR'!$S$12*1000000),IF(INDEX($A$5:$BP$257,MATCH(DV139,$BN$5:$BN$257,0),50)="Latão",('Densidade do AR'!$S$10*1000000),IF(INDEX($A$5:$BP$257,MATCH(DV139,$BN$5:$BN$257,0),50)="Alumínio",('Densidade do AR'!$S$4*1000000)))))))</f>
        <v>-</v>
      </c>
      <c r="DY139" s="785"/>
      <c r="DZ139" s="785"/>
      <c r="EA139" s="786"/>
      <c r="EB139" s="787" t="str">
        <f t="shared" si="58"/>
        <v>-</v>
      </c>
      <c r="EC139" s="788"/>
      <c r="ED139" s="788"/>
      <c r="EE139" s="789"/>
      <c r="EF139" s="787" t="str">
        <f t="shared" si="48"/>
        <v>-</v>
      </c>
      <c r="EG139" s="788"/>
      <c r="EH139" s="788"/>
      <c r="EI139" s="789"/>
      <c r="EJ139" s="790" t="str">
        <f t="shared" si="59"/>
        <v>-</v>
      </c>
      <c r="EK139" s="785"/>
      <c r="EL139" s="785"/>
      <c r="EM139" s="786"/>
      <c r="EN139" s="790" t="str">
        <f t="shared" si="49"/>
        <v>-</v>
      </c>
      <c r="EO139" s="785"/>
      <c r="EP139" s="785"/>
      <c r="EQ139" s="786"/>
      <c r="ER139" s="790" t="str">
        <f>IF(DV139="","-",INDEX($A$5:$BP$257,MATCH(DV139,$BN$5:$BN$257,0),39)*(IF(DV139="","-",(1+(((-('Densidade do AR'!$M$4))+('Densidade do AR'!$T$15*1000000))/(IF(INDEX($A$5:$BP$257,MATCH(DV139,$BN$5:$BN$257,0),50)="Aço Inoxidável",('Densidade do AR'!$S$8*1000000),IF(INDEX($A$5:$BP$257,MATCH(DV139,$BN$5:$BN$257,0),50)="Ferro Fundido",('Densidade do AR'!$S$12*1000000),IF(INDEX($A$5:$BP$257,MATCH(DV139,$BN$5:$BN$257,0),50)="Latão",('Densidade do AR'!$S$10*1000000),IF(INDEX($A$5:$BP$257,MATCH(DV139,$BN$5:$BN$257,0),50)="Alumínio",('Densidade do AR'!$S$4*1000000)))))))-(((-('Densidade do AR'!$M$4))+('Densidade do AR'!$T$15*1000000))/('Densidade do AR'!$S$14*1000000))))))</f>
        <v>-</v>
      </c>
      <c r="ES139" s="785"/>
      <c r="ET139" s="785"/>
      <c r="EU139" s="791"/>
      <c r="EV139" s="91" t="str">
        <f t="shared" si="60"/>
        <v>-</v>
      </c>
      <c r="EW139" s="746"/>
      <c r="EX139" s="747"/>
      <c r="EY139" s="784" t="str">
        <f>IF(EW139="","-",(IF(INDEX($A$5:$BP$257,MATCH(EW139,$BN$5:$BN$257,0),50)="Aço Inoxidável",('Densidade do AR'!$S$8*1000000),IF(INDEX($A$5:$BP$257,MATCH(EW139,$BN$5:$BN$257,0),50)="Ferro Fundido",('Densidade do AR'!$S$12*1000000),IF(INDEX($A$5:$BP$257,MATCH(EW139,$BN$5:$BN$257,0),50)="Latão",('Densidade do AR'!$S$10*1000000),IF(INDEX($A$5:$BP$257,MATCH(EW139,$BN$5:$BN$257,0),50)="Alumínio",('Densidade do AR'!$S$4*1000000)))))))</f>
        <v>-</v>
      </c>
      <c r="EZ139" s="785"/>
      <c r="FA139" s="785"/>
      <c r="FB139" s="786"/>
      <c r="FC139" s="787" t="str">
        <f t="shared" si="61"/>
        <v>-</v>
      </c>
      <c r="FD139" s="788"/>
      <c r="FE139" s="788"/>
      <c r="FF139" s="789"/>
      <c r="FG139" s="787" t="str">
        <f t="shared" si="50"/>
        <v>-</v>
      </c>
      <c r="FH139" s="788"/>
      <c r="FI139" s="788"/>
      <c r="FJ139" s="789"/>
      <c r="FK139" s="790" t="str">
        <f t="shared" si="62"/>
        <v>-</v>
      </c>
      <c r="FL139" s="785"/>
      <c r="FM139" s="785"/>
      <c r="FN139" s="786"/>
      <c r="FO139" s="790" t="str">
        <f t="shared" si="51"/>
        <v>-</v>
      </c>
      <c r="FP139" s="785"/>
      <c r="FQ139" s="785"/>
      <c r="FR139" s="786"/>
      <c r="FS139" s="790" t="str">
        <f>IF(EW139="","-",INDEX($A$5:$BP$257,MATCH(EW139,$BN$5:$BN$257,0),39)*(IF(EW139="","-",(1+(((-('Densidade do AR'!$M$4))+('Densidade do AR'!$T$15*1000000))/(IF(INDEX($A$5:$BP$257,MATCH(EW139,$BN$5:$BN$257,0),50)="Aço Inoxidável",('Densidade do AR'!$S$8*1000000),IF(INDEX($A$5:$BP$257,MATCH(EW139,$BN$5:$BN$257,0),50)="Ferro Fundido",('Densidade do AR'!$S$12*1000000),IF(INDEX($A$5:$BP$257,MATCH(EW139,$BN$5:$BN$257,0),50)="Latão",('Densidade do AR'!$S$10*1000000),IF(INDEX($A$5:$BP$257,MATCH(EW139,$BN$5:$BN$257,0),50)="Alumínio",('Densidade do AR'!$S$4*1000000)))))))-(((-('Densidade do AR'!$M$4))+('Densidade do AR'!$T$15*1000000))/('Densidade do AR'!$S$14*1000000))))))</f>
        <v>-</v>
      </c>
      <c r="FT139" s="785"/>
      <c r="FU139" s="785"/>
      <c r="FV139" s="791"/>
      <c r="FW139" s="91" t="str">
        <f t="shared" si="63"/>
        <v>-</v>
      </c>
      <c r="FX139" s="135"/>
    </row>
    <row r="140" spans="1:180" ht="12.75" customHeight="1" x14ac:dyDescent="0.2">
      <c r="A140" s="718">
        <v>136</v>
      </c>
      <c r="B140" s="713"/>
      <c r="C140" s="719"/>
      <c r="D140" s="709"/>
      <c r="E140" s="709"/>
      <c r="F140" s="709"/>
      <c r="G140" s="710"/>
      <c r="H140" s="720"/>
      <c r="I140" s="712"/>
      <c r="J140" s="712"/>
      <c r="K140" s="713"/>
      <c r="L140" s="719"/>
      <c r="M140" s="709"/>
      <c r="N140" s="709"/>
      <c r="O140" s="709"/>
      <c r="P140" s="719"/>
      <c r="Q140" s="709"/>
      <c r="R140" s="709"/>
      <c r="S140" s="709"/>
      <c r="T140" s="710"/>
      <c r="U140" s="721"/>
      <c r="V140" s="722"/>
      <c r="W140" s="722"/>
      <c r="X140" s="722"/>
      <c r="Y140" s="722"/>
      <c r="Z140" s="722"/>
      <c r="AA140" s="723"/>
      <c r="AB140" s="853"/>
      <c r="AC140" s="854"/>
      <c r="AD140" s="854"/>
      <c r="AE140" s="854"/>
      <c r="AF140" s="854"/>
      <c r="AG140" s="854"/>
      <c r="AH140" s="854"/>
      <c r="AI140" s="854"/>
      <c r="AJ140" s="854"/>
      <c r="AK140" s="854"/>
      <c r="AL140" s="855"/>
      <c r="AM140" s="909"/>
      <c r="AN140" s="712"/>
      <c r="AO140" s="712"/>
      <c r="AP140" s="712"/>
      <c r="AQ140" s="712"/>
      <c r="AR140" s="712"/>
      <c r="AS140" s="713"/>
      <c r="AT140" s="909"/>
      <c r="AU140" s="712"/>
      <c r="AV140" s="712"/>
      <c r="AW140" s="713"/>
      <c r="AX140" s="908"/>
      <c r="AY140" s="712"/>
      <c r="AZ140" s="712"/>
      <c r="BA140" s="712"/>
      <c r="BB140" s="712"/>
      <c r="BC140" s="713"/>
      <c r="BD140" s="909"/>
      <c r="BE140" s="712"/>
      <c r="BF140" s="712"/>
      <c r="BG140" s="713"/>
      <c r="BH140" s="908"/>
      <c r="BI140" s="712"/>
      <c r="BJ140" s="712"/>
      <c r="BK140" s="712"/>
      <c r="BL140" s="910"/>
      <c r="BN140" s="881"/>
      <c r="BO140" s="709"/>
      <c r="BP140" s="884"/>
      <c r="BT140" s="792"/>
      <c r="BU140" s="793"/>
      <c r="BV140" s="738" t="str">
        <f>IF(BT140="","-",(IF(INDEX($A$5:$BP$257,MATCH(BT140,$BN$5:$BN$257,0),50)="Aço Inoxidável",('Densidade do AR'!$S$8*1000000),IF(INDEX($A$5:$BP$257,MATCH(BT140,$BN$5:$BN$257,0),50)="Ferro Fundido",('Densidade do AR'!$S$12*1000000),IF(INDEX($A$5:$BP$257,MATCH(BT140,$BN$5:$BN$257,0),50)="Latão",('Densidade do AR'!$S$10*1000000),IF(INDEX($A$5:$BP$257,MATCH(BT140,$BN$5:$BN$257,0),50)="Alumínio",('Densidade do AR'!$S$4*1000000)))))))</f>
        <v>-</v>
      </c>
      <c r="BW140" s="739"/>
      <c r="BX140" s="739"/>
      <c r="BY140" s="740"/>
      <c r="BZ140" s="741" t="str">
        <f t="shared" si="52"/>
        <v>-</v>
      </c>
      <c r="CA140" s="742"/>
      <c r="CB140" s="742"/>
      <c r="CC140" s="743"/>
      <c r="CD140" s="741" t="str">
        <f t="shared" si="44"/>
        <v>-</v>
      </c>
      <c r="CE140" s="742"/>
      <c r="CF140" s="742"/>
      <c r="CG140" s="743"/>
      <c r="CH140" s="744" t="str">
        <f t="shared" si="53"/>
        <v>-</v>
      </c>
      <c r="CI140" s="739"/>
      <c r="CJ140" s="739"/>
      <c r="CK140" s="740"/>
      <c r="CL140" s="744" t="str">
        <f t="shared" si="45"/>
        <v>-</v>
      </c>
      <c r="CM140" s="739"/>
      <c r="CN140" s="739"/>
      <c r="CO140" s="740"/>
      <c r="CP140" s="744" t="str">
        <f>IF(BT140="","-",INDEX($A$5:$BP$257,MATCH(BT140,$BN$5:$BN$257,0),39)*(IF(BT140="","-",(1+(((-('Densidade do AR'!$M$4))+('Densidade do AR'!$T$15*1000000))/(IF(INDEX($A$5:$BP$257,MATCH(BT140,$BN$5:$BN$257,0),50)="Aço Inoxidável",('Densidade do AR'!$S$8*1000000),IF(INDEX($A$5:$BP$257,MATCH(BT140,$BN$5:$BN$257,0),50)="Ferro Fundido",('Densidade do AR'!$S$12*1000000),IF(INDEX($A$5:$BP$257,MATCH(BT140,$BN$5:$BN$257,0),50)="Latão",('Densidade do AR'!$S$10*1000000),IF(INDEX($A$5:$BP$257,MATCH(BT140,$BN$5:$BN$257,0),50)="Alumínio",('Densidade do AR'!$S$4*1000000)))))))-(((-('Densidade do AR'!$M$4))+('Densidade do AR'!$T$15*1000000))/('Densidade do AR'!$S$14*1000000))))))</f>
        <v>-</v>
      </c>
      <c r="CQ140" s="739"/>
      <c r="CR140" s="739"/>
      <c r="CS140" s="745"/>
      <c r="CT140" s="91" t="str">
        <f t="shared" si="54"/>
        <v>-</v>
      </c>
      <c r="CU140" s="792"/>
      <c r="CV140" s="793"/>
      <c r="CW140" s="738" t="str">
        <f>IF(CU140="","-",(IF(INDEX($A$5:$BP$257,MATCH(CU140,$BN$5:$BN$257,0),50)="Aço Inoxidável",('Densidade do AR'!$S$8*1000000),IF(INDEX($A$5:$BP$257,MATCH(CU140,$BN$5:$BN$257,0),50)="Ferro Fundido",('Densidade do AR'!$S$12*1000000),IF(INDEX($A$5:$BP$257,MATCH(CU140,$BN$5:$BN$257,0),50)="Latão",('Densidade do AR'!$S$10*1000000),IF(INDEX($A$5:$BP$257,MATCH(CU140,$BN$5:$BN$257,0),50)="Alumínio",('Densidade do AR'!$S$4*1000000)))))))</f>
        <v>-</v>
      </c>
      <c r="CX140" s="739"/>
      <c r="CY140" s="739"/>
      <c r="CZ140" s="740"/>
      <c r="DA140" s="741" t="str">
        <f t="shared" si="55"/>
        <v>-</v>
      </c>
      <c r="DB140" s="742"/>
      <c r="DC140" s="742"/>
      <c r="DD140" s="743"/>
      <c r="DE140" s="741" t="str">
        <f t="shared" si="46"/>
        <v>-</v>
      </c>
      <c r="DF140" s="742"/>
      <c r="DG140" s="742"/>
      <c r="DH140" s="743"/>
      <c r="DI140" s="744" t="str">
        <f t="shared" si="56"/>
        <v>-</v>
      </c>
      <c r="DJ140" s="739"/>
      <c r="DK140" s="739"/>
      <c r="DL140" s="740"/>
      <c r="DM140" s="744" t="str">
        <f t="shared" si="47"/>
        <v>-</v>
      </c>
      <c r="DN140" s="739"/>
      <c r="DO140" s="739"/>
      <c r="DP140" s="740"/>
      <c r="DQ140" s="744" t="str">
        <f>IF(CU140="","-",INDEX($A$5:$BP$257,MATCH(CU140,$BN$5:$BN$257,0),39)*(IF(CU140="","-",(1+(((-('Densidade do AR'!$M$4))+('Densidade do AR'!$T$15*1000000))/(IF(INDEX($A$5:$BP$257,MATCH(CU140,$BN$5:$BN$257,0),50)="Aço Inoxidável",('Densidade do AR'!$S$8*1000000),IF(INDEX($A$5:$BP$257,MATCH(CU140,$BN$5:$BN$257,0),50)="Ferro Fundido",('Densidade do AR'!$S$12*1000000),IF(INDEX($A$5:$BP$257,MATCH(CU140,$BN$5:$BN$257,0),50)="Latão",('Densidade do AR'!$S$10*1000000),IF(INDEX($A$5:$BP$257,MATCH(CU140,$BN$5:$BN$257,0),50)="Alumínio",('Densidade do AR'!$S$4*1000000)))))))-(((-('Densidade do AR'!$M$4))+('Densidade do AR'!$T$15*1000000))/('Densidade do AR'!$S$14*1000000))))))</f>
        <v>-</v>
      </c>
      <c r="DR140" s="739"/>
      <c r="DS140" s="739"/>
      <c r="DT140" s="745"/>
      <c r="DU140" s="91" t="str">
        <f t="shared" si="57"/>
        <v>-</v>
      </c>
      <c r="DV140" s="792"/>
      <c r="DW140" s="793"/>
      <c r="DX140" s="738" t="str">
        <f>IF(DV140="","-",(IF(INDEX($A$5:$BP$257,MATCH(DV140,$BN$5:$BN$257,0),50)="Aço Inoxidável",('Densidade do AR'!$S$8*1000000),IF(INDEX($A$5:$BP$257,MATCH(DV140,$BN$5:$BN$257,0),50)="Ferro Fundido",('Densidade do AR'!$S$12*1000000),IF(INDEX($A$5:$BP$257,MATCH(DV140,$BN$5:$BN$257,0),50)="Latão",('Densidade do AR'!$S$10*1000000),IF(INDEX($A$5:$BP$257,MATCH(DV140,$BN$5:$BN$257,0),50)="Alumínio",('Densidade do AR'!$S$4*1000000)))))))</f>
        <v>-</v>
      </c>
      <c r="DY140" s="739"/>
      <c r="DZ140" s="739"/>
      <c r="EA140" s="740"/>
      <c r="EB140" s="741" t="str">
        <f t="shared" si="58"/>
        <v>-</v>
      </c>
      <c r="EC140" s="742"/>
      <c r="ED140" s="742"/>
      <c r="EE140" s="743"/>
      <c r="EF140" s="741" t="str">
        <f t="shared" si="48"/>
        <v>-</v>
      </c>
      <c r="EG140" s="742"/>
      <c r="EH140" s="742"/>
      <c r="EI140" s="743"/>
      <c r="EJ140" s="744" t="str">
        <f t="shared" si="59"/>
        <v>-</v>
      </c>
      <c r="EK140" s="739"/>
      <c r="EL140" s="739"/>
      <c r="EM140" s="740"/>
      <c r="EN140" s="744" t="str">
        <f t="shared" si="49"/>
        <v>-</v>
      </c>
      <c r="EO140" s="739"/>
      <c r="EP140" s="739"/>
      <c r="EQ140" s="740"/>
      <c r="ER140" s="744" t="str">
        <f>IF(DV140="","-",INDEX($A$5:$BP$257,MATCH(DV140,$BN$5:$BN$257,0),39)*(IF(DV140="","-",(1+(((-('Densidade do AR'!$M$4))+('Densidade do AR'!$T$15*1000000))/(IF(INDEX($A$5:$BP$257,MATCH(DV140,$BN$5:$BN$257,0),50)="Aço Inoxidável",('Densidade do AR'!$S$8*1000000),IF(INDEX($A$5:$BP$257,MATCH(DV140,$BN$5:$BN$257,0),50)="Ferro Fundido",('Densidade do AR'!$S$12*1000000),IF(INDEX($A$5:$BP$257,MATCH(DV140,$BN$5:$BN$257,0),50)="Latão",('Densidade do AR'!$S$10*1000000),IF(INDEX($A$5:$BP$257,MATCH(DV140,$BN$5:$BN$257,0),50)="Alumínio",('Densidade do AR'!$S$4*1000000)))))))-(((-('Densidade do AR'!$M$4))+('Densidade do AR'!$T$15*1000000))/('Densidade do AR'!$S$14*1000000))))))</f>
        <v>-</v>
      </c>
      <c r="ES140" s="739"/>
      <c r="ET140" s="739"/>
      <c r="EU140" s="745"/>
      <c r="EV140" s="91" t="str">
        <f t="shared" si="60"/>
        <v>-</v>
      </c>
      <c r="EW140" s="792"/>
      <c r="EX140" s="793"/>
      <c r="EY140" s="738" t="str">
        <f>IF(EW140="","-",(IF(INDEX($A$5:$BP$257,MATCH(EW140,$BN$5:$BN$257,0),50)="Aço Inoxidável",('Densidade do AR'!$S$8*1000000),IF(INDEX($A$5:$BP$257,MATCH(EW140,$BN$5:$BN$257,0),50)="Ferro Fundido",('Densidade do AR'!$S$12*1000000),IF(INDEX($A$5:$BP$257,MATCH(EW140,$BN$5:$BN$257,0),50)="Latão",('Densidade do AR'!$S$10*1000000),IF(INDEX($A$5:$BP$257,MATCH(EW140,$BN$5:$BN$257,0),50)="Alumínio",('Densidade do AR'!$S$4*1000000)))))))</f>
        <v>-</v>
      </c>
      <c r="EZ140" s="739"/>
      <c r="FA140" s="739"/>
      <c r="FB140" s="740"/>
      <c r="FC140" s="741" t="str">
        <f t="shared" si="61"/>
        <v>-</v>
      </c>
      <c r="FD140" s="742"/>
      <c r="FE140" s="742"/>
      <c r="FF140" s="743"/>
      <c r="FG140" s="741" t="str">
        <f t="shared" si="50"/>
        <v>-</v>
      </c>
      <c r="FH140" s="742"/>
      <c r="FI140" s="742"/>
      <c r="FJ140" s="743"/>
      <c r="FK140" s="744" t="str">
        <f t="shared" si="62"/>
        <v>-</v>
      </c>
      <c r="FL140" s="739"/>
      <c r="FM140" s="739"/>
      <c r="FN140" s="740"/>
      <c r="FO140" s="744" t="str">
        <f t="shared" si="51"/>
        <v>-</v>
      </c>
      <c r="FP140" s="739"/>
      <c r="FQ140" s="739"/>
      <c r="FR140" s="740"/>
      <c r="FS140" s="744" t="str">
        <f>IF(EW140="","-",INDEX($A$5:$BP$257,MATCH(EW140,$BN$5:$BN$257,0),39)*(IF(EW140="","-",(1+(((-('Densidade do AR'!$M$4))+('Densidade do AR'!$T$15*1000000))/(IF(INDEX($A$5:$BP$257,MATCH(EW140,$BN$5:$BN$257,0),50)="Aço Inoxidável",('Densidade do AR'!$S$8*1000000),IF(INDEX($A$5:$BP$257,MATCH(EW140,$BN$5:$BN$257,0),50)="Ferro Fundido",('Densidade do AR'!$S$12*1000000),IF(INDEX($A$5:$BP$257,MATCH(EW140,$BN$5:$BN$257,0),50)="Latão",('Densidade do AR'!$S$10*1000000),IF(INDEX($A$5:$BP$257,MATCH(EW140,$BN$5:$BN$257,0),50)="Alumínio",('Densidade do AR'!$S$4*1000000)))))))-(((-('Densidade do AR'!$M$4))+('Densidade do AR'!$T$15*1000000))/('Densidade do AR'!$S$14*1000000))))))</f>
        <v>-</v>
      </c>
      <c r="FT140" s="739"/>
      <c r="FU140" s="739"/>
      <c r="FV140" s="745"/>
      <c r="FW140" s="91" t="str">
        <f t="shared" si="63"/>
        <v>-</v>
      </c>
      <c r="FX140" s="135"/>
    </row>
    <row r="141" spans="1:180" ht="12.75" customHeight="1" x14ac:dyDescent="0.2">
      <c r="A141" s="717">
        <v>137</v>
      </c>
      <c r="B141" s="713"/>
      <c r="C141" s="708"/>
      <c r="D141" s="709"/>
      <c r="E141" s="709"/>
      <c r="F141" s="709"/>
      <c r="G141" s="710"/>
      <c r="H141" s="711"/>
      <c r="I141" s="712"/>
      <c r="J141" s="712"/>
      <c r="K141" s="713"/>
      <c r="L141" s="708"/>
      <c r="M141" s="709"/>
      <c r="N141" s="709"/>
      <c r="O141" s="709"/>
      <c r="P141" s="708"/>
      <c r="Q141" s="709"/>
      <c r="R141" s="709"/>
      <c r="S141" s="709"/>
      <c r="T141" s="710"/>
      <c r="U141" s="714"/>
      <c r="V141" s="715"/>
      <c r="W141" s="715"/>
      <c r="X141" s="715"/>
      <c r="Y141" s="715"/>
      <c r="Z141" s="715"/>
      <c r="AA141" s="716"/>
      <c r="AB141" s="850"/>
      <c r="AC141" s="851"/>
      <c r="AD141" s="851"/>
      <c r="AE141" s="851"/>
      <c r="AF141" s="851"/>
      <c r="AG141" s="851"/>
      <c r="AH141" s="851"/>
      <c r="AI141" s="851"/>
      <c r="AJ141" s="851"/>
      <c r="AK141" s="851"/>
      <c r="AL141" s="852"/>
      <c r="AM141" s="917"/>
      <c r="AN141" s="712"/>
      <c r="AO141" s="712"/>
      <c r="AP141" s="712"/>
      <c r="AQ141" s="712"/>
      <c r="AR141" s="712"/>
      <c r="AS141" s="713"/>
      <c r="AT141" s="917"/>
      <c r="AU141" s="712"/>
      <c r="AV141" s="712"/>
      <c r="AW141" s="713"/>
      <c r="AX141" s="917"/>
      <c r="AY141" s="712"/>
      <c r="AZ141" s="712"/>
      <c r="BA141" s="712"/>
      <c r="BB141" s="712"/>
      <c r="BC141" s="713"/>
      <c r="BD141" s="917"/>
      <c r="BE141" s="712"/>
      <c r="BF141" s="712"/>
      <c r="BG141" s="713"/>
      <c r="BH141" s="918"/>
      <c r="BI141" s="712"/>
      <c r="BJ141" s="712"/>
      <c r="BK141" s="712"/>
      <c r="BL141" s="910"/>
      <c r="BN141" s="878"/>
      <c r="BO141" s="709"/>
      <c r="BP141" s="884"/>
      <c r="BT141" s="794"/>
      <c r="BU141" s="795"/>
      <c r="BV141" s="784" t="str">
        <f>IF(BT141="","-",(IF(INDEX($A$5:$BP$257,MATCH(BT141,$BN$5:$BN$257,0),50)="Aço Inoxidável",('Densidade do AR'!$S$8*1000000),IF(INDEX($A$5:$BP$257,MATCH(BT141,$BN$5:$BN$257,0),50)="Ferro Fundido",('Densidade do AR'!$S$12*1000000),IF(INDEX($A$5:$BP$257,MATCH(BT141,$BN$5:$BN$257,0),50)="Latão",('Densidade do AR'!$S$10*1000000),IF(INDEX($A$5:$BP$257,MATCH(BT141,$BN$5:$BN$257,0),50)="Alumínio",('Densidade do AR'!$S$4*1000000)))))))</f>
        <v>-</v>
      </c>
      <c r="BW141" s="785"/>
      <c r="BX141" s="785"/>
      <c r="BY141" s="786"/>
      <c r="BZ141" s="787" t="str">
        <f t="shared" si="52"/>
        <v>-</v>
      </c>
      <c r="CA141" s="788"/>
      <c r="CB141" s="788"/>
      <c r="CC141" s="789"/>
      <c r="CD141" s="787" t="str">
        <f t="shared" si="44"/>
        <v>-</v>
      </c>
      <c r="CE141" s="788"/>
      <c r="CF141" s="788"/>
      <c r="CG141" s="789"/>
      <c r="CH141" s="790" t="str">
        <f t="shared" si="53"/>
        <v>-</v>
      </c>
      <c r="CI141" s="785"/>
      <c r="CJ141" s="785"/>
      <c r="CK141" s="786"/>
      <c r="CL141" s="790" t="str">
        <f t="shared" si="45"/>
        <v>-</v>
      </c>
      <c r="CM141" s="785"/>
      <c r="CN141" s="785"/>
      <c r="CO141" s="786"/>
      <c r="CP141" s="790" t="str">
        <f>IF(BT141="","-",INDEX($A$5:$BP$257,MATCH(BT141,$BN$5:$BN$257,0),39)*(IF(BT141="","-",(1+(((-('Densidade do AR'!$M$4))+('Densidade do AR'!$T$15*1000000))/(IF(INDEX($A$5:$BP$257,MATCH(BT141,$BN$5:$BN$257,0),50)="Aço Inoxidável",('Densidade do AR'!$S$8*1000000),IF(INDEX($A$5:$BP$257,MATCH(BT141,$BN$5:$BN$257,0),50)="Ferro Fundido",('Densidade do AR'!$S$12*1000000),IF(INDEX($A$5:$BP$257,MATCH(BT141,$BN$5:$BN$257,0),50)="Latão",('Densidade do AR'!$S$10*1000000),IF(INDEX($A$5:$BP$257,MATCH(BT141,$BN$5:$BN$257,0),50)="Alumínio",('Densidade do AR'!$S$4*1000000)))))))-(((-('Densidade do AR'!$M$4))+('Densidade do AR'!$T$15*1000000))/('Densidade do AR'!$S$14*1000000))))))</f>
        <v>-</v>
      </c>
      <c r="CQ141" s="785"/>
      <c r="CR141" s="785"/>
      <c r="CS141" s="791"/>
      <c r="CT141" s="91" t="str">
        <f t="shared" si="54"/>
        <v>-</v>
      </c>
      <c r="CU141" s="794"/>
      <c r="CV141" s="795"/>
      <c r="CW141" s="784" t="str">
        <f>IF(CU141="","-",(IF(INDEX($A$5:$BP$257,MATCH(CU141,$BN$5:$BN$257,0),50)="Aço Inoxidável",('Densidade do AR'!$S$8*1000000),IF(INDEX($A$5:$BP$257,MATCH(CU141,$BN$5:$BN$257,0),50)="Ferro Fundido",('Densidade do AR'!$S$12*1000000),IF(INDEX($A$5:$BP$257,MATCH(CU141,$BN$5:$BN$257,0),50)="Latão",('Densidade do AR'!$S$10*1000000),IF(INDEX($A$5:$BP$257,MATCH(CU141,$BN$5:$BN$257,0),50)="Alumínio",('Densidade do AR'!$S$4*1000000)))))))</f>
        <v>-</v>
      </c>
      <c r="CX141" s="785"/>
      <c r="CY141" s="785"/>
      <c r="CZ141" s="786"/>
      <c r="DA141" s="787" t="str">
        <f t="shared" si="55"/>
        <v>-</v>
      </c>
      <c r="DB141" s="788"/>
      <c r="DC141" s="788"/>
      <c r="DD141" s="789"/>
      <c r="DE141" s="787" t="str">
        <f t="shared" si="46"/>
        <v>-</v>
      </c>
      <c r="DF141" s="788"/>
      <c r="DG141" s="788"/>
      <c r="DH141" s="789"/>
      <c r="DI141" s="790" t="str">
        <f t="shared" si="56"/>
        <v>-</v>
      </c>
      <c r="DJ141" s="785"/>
      <c r="DK141" s="785"/>
      <c r="DL141" s="786"/>
      <c r="DM141" s="790" t="str">
        <f t="shared" si="47"/>
        <v>-</v>
      </c>
      <c r="DN141" s="785"/>
      <c r="DO141" s="785"/>
      <c r="DP141" s="786"/>
      <c r="DQ141" s="790" t="str">
        <f>IF(CU141="","-",INDEX($A$5:$BP$257,MATCH(CU141,$BN$5:$BN$257,0),39)*(IF(CU141="","-",(1+(((-('Densidade do AR'!$M$4))+('Densidade do AR'!$T$15*1000000))/(IF(INDEX($A$5:$BP$257,MATCH(CU141,$BN$5:$BN$257,0),50)="Aço Inoxidável",('Densidade do AR'!$S$8*1000000),IF(INDEX($A$5:$BP$257,MATCH(CU141,$BN$5:$BN$257,0),50)="Ferro Fundido",('Densidade do AR'!$S$12*1000000),IF(INDEX($A$5:$BP$257,MATCH(CU141,$BN$5:$BN$257,0),50)="Latão",('Densidade do AR'!$S$10*1000000),IF(INDEX($A$5:$BP$257,MATCH(CU141,$BN$5:$BN$257,0),50)="Alumínio",('Densidade do AR'!$S$4*1000000)))))))-(((-('Densidade do AR'!$M$4))+('Densidade do AR'!$T$15*1000000))/('Densidade do AR'!$S$14*1000000))))))</f>
        <v>-</v>
      </c>
      <c r="DR141" s="785"/>
      <c r="DS141" s="785"/>
      <c r="DT141" s="791"/>
      <c r="DU141" s="91" t="str">
        <f t="shared" si="57"/>
        <v>-</v>
      </c>
      <c r="DV141" s="794"/>
      <c r="DW141" s="795"/>
      <c r="DX141" s="784" t="str">
        <f>IF(DV141="","-",(IF(INDEX($A$5:$BP$257,MATCH(DV141,$BN$5:$BN$257,0),50)="Aço Inoxidável",('Densidade do AR'!$S$8*1000000),IF(INDEX($A$5:$BP$257,MATCH(DV141,$BN$5:$BN$257,0),50)="Ferro Fundido",('Densidade do AR'!$S$12*1000000),IF(INDEX($A$5:$BP$257,MATCH(DV141,$BN$5:$BN$257,0),50)="Latão",('Densidade do AR'!$S$10*1000000),IF(INDEX($A$5:$BP$257,MATCH(DV141,$BN$5:$BN$257,0),50)="Alumínio",('Densidade do AR'!$S$4*1000000)))))))</f>
        <v>-</v>
      </c>
      <c r="DY141" s="785"/>
      <c r="DZ141" s="785"/>
      <c r="EA141" s="786"/>
      <c r="EB141" s="787" t="str">
        <f t="shared" si="58"/>
        <v>-</v>
      </c>
      <c r="EC141" s="788"/>
      <c r="ED141" s="788"/>
      <c r="EE141" s="789"/>
      <c r="EF141" s="787" t="str">
        <f t="shared" si="48"/>
        <v>-</v>
      </c>
      <c r="EG141" s="788"/>
      <c r="EH141" s="788"/>
      <c r="EI141" s="789"/>
      <c r="EJ141" s="790" t="str">
        <f t="shared" si="59"/>
        <v>-</v>
      </c>
      <c r="EK141" s="785"/>
      <c r="EL141" s="785"/>
      <c r="EM141" s="786"/>
      <c r="EN141" s="790" t="str">
        <f t="shared" si="49"/>
        <v>-</v>
      </c>
      <c r="EO141" s="785"/>
      <c r="EP141" s="785"/>
      <c r="EQ141" s="786"/>
      <c r="ER141" s="790" t="str">
        <f>IF(DV141="","-",INDEX($A$5:$BP$257,MATCH(DV141,$BN$5:$BN$257,0),39)*(IF(DV141="","-",(1+(((-('Densidade do AR'!$M$4))+('Densidade do AR'!$T$15*1000000))/(IF(INDEX($A$5:$BP$257,MATCH(DV141,$BN$5:$BN$257,0),50)="Aço Inoxidável",('Densidade do AR'!$S$8*1000000),IF(INDEX($A$5:$BP$257,MATCH(DV141,$BN$5:$BN$257,0),50)="Ferro Fundido",('Densidade do AR'!$S$12*1000000),IF(INDEX($A$5:$BP$257,MATCH(DV141,$BN$5:$BN$257,0),50)="Latão",('Densidade do AR'!$S$10*1000000),IF(INDEX($A$5:$BP$257,MATCH(DV141,$BN$5:$BN$257,0),50)="Alumínio",('Densidade do AR'!$S$4*1000000)))))))-(((-('Densidade do AR'!$M$4))+('Densidade do AR'!$T$15*1000000))/('Densidade do AR'!$S$14*1000000))))))</f>
        <v>-</v>
      </c>
      <c r="ES141" s="785"/>
      <c r="ET141" s="785"/>
      <c r="EU141" s="791"/>
      <c r="EV141" s="91" t="str">
        <f t="shared" si="60"/>
        <v>-</v>
      </c>
      <c r="EW141" s="794"/>
      <c r="EX141" s="795"/>
      <c r="EY141" s="784" t="str">
        <f>IF(EW141="","-",(IF(INDEX($A$5:$BP$257,MATCH(EW141,$BN$5:$BN$257,0),50)="Aço Inoxidável",('Densidade do AR'!$S$8*1000000),IF(INDEX($A$5:$BP$257,MATCH(EW141,$BN$5:$BN$257,0),50)="Ferro Fundido",('Densidade do AR'!$S$12*1000000),IF(INDEX($A$5:$BP$257,MATCH(EW141,$BN$5:$BN$257,0),50)="Latão",('Densidade do AR'!$S$10*1000000),IF(INDEX($A$5:$BP$257,MATCH(EW141,$BN$5:$BN$257,0),50)="Alumínio",('Densidade do AR'!$S$4*1000000)))))))</f>
        <v>-</v>
      </c>
      <c r="EZ141" s="785"/>
      <c r="FA141" s="785"/>
      <c r="FB141" s="786"/>
      <c r="FC141" s="787" t="str">
        <f t="shared" si="61"/>
        <v>-</v>
      </c>
      <c r="FD141" s="788"/>
      <c r="FE141" s="788"/>
      <c r="FF141" s="789"/>
      <c r="FG141" s="787" t="str">
        <f t="shared" si="50"/>
        <v>-</v>
      </c>
      <c r="FH141" s="788"/>
      <c r="FI141" s="788"/>
      <c r="FJ141" s="789"/>
      <c r="FK141" s="790" t="str">
        <f t="shared" si="62"/>
        <v>-</v>
      </c>
      <c r="FL141" s="785"/>
      <c r="FM141" s="785"/>
      <c r="FN141" s="786"/>
      <c r="FO141" s="790" t="str">
        <f t="shared" si="51"/>
        <v>-</v>
      </c>
      <c r="FP141" s="785"/>
      <c r="FQ141" s="785"/>
      <c r="FR141" s="786"/>
      <c r="FS141" s="790" t="str">
        <f>IF(EW141="","-",INDEX($A$5:$BP$257,MATCH(EW141,$BN$5:$BN$257,0),39)*(IF(EW141="","-",(1+(((-('Densidade do AR'!$M$4))+('Densidade do AR'!$T$15*1000000))/(IF(INDEX($A$5:$BP$257,MATCH(EW141,$BN$5:$BN$257,0),50)="Aço Inoxidável",('Densidade do AR'!$S$8*1000000),IF(INDEX($A$5:$BP$257,MATCH(EW141,$BN$5:$BN$257,0),50)="Ferro Fundido",('Densidade do AR'!$S$12*1000000),IF(INDEX($A$5:$BP$257,MATCH(EW141,$BN$5:$BN$257,0),50)="Latão",('Densidade do AR'!$S$10*1000000),IF(INDEX($A$5:$BP$257,MATCH(EW141,$BN$5:$BN$257,0),50)="Alumínio",('Densidade do AR'!$S$4*1000000)))))))-(((-('Densidade do AR'!$M$4))+('Densidade do AR'!$T$15*1000000))/('Densidade do AR'!$S$14*1000000))))))</f>
        <v>-</v>
      </c>
      <c r="FT141" s="785"/>
      <c r="FU141" s="785"/>
      <c r="FV141" s="791"/>
      <c r="FW141" s="91" t="str">
        <f t="shared" si="63"/>
        <v>-</v>
      </c>
      <c r="FX141" s="135"/>
    </row>
    <row r="142" spans="1:180" ht="12.75" customHeight="1" x14ac:dyDescent="0.2">
      <c r="A142" s="718">
        <v>138</v>
      </c>
      <c r="B142" s="713"/>
      <c r="C142" s="719"/>
      <c r="D142" s="709"/>
      <c r="E142" s="709"/>
      <c r="F142" s="709"/>
      <c r="G142" s="710"/>
      <c r="H142" s="720"/>
      <c r="I142" s="712"/>
      <c r="J142" s="712"/>
      <c r="K142" s="713"/>
      <c r="L142" s="719"/>
      <c r="M142" s="709"/>
      <c r="N142" s="709"/>
      <c r="O142" s="709"/>
      <c r="P142" s="719"/>
      <c r="Q142" s="709"/>
      <c r="R142" s="709"/>
      <c r="S142" s="709"/>
      <c r="T142" s="710"/>
      <c r="U142" s="721"/>
      <c r="V142" s="722"/>
      <c r="W142" s="722"/>
      <c r="X142" s="722"/>
      <c r="Y142" s="722"/>
      <c r="Z142" s="722"/>
      <c r="AA142" s="723"/>
      <c r="AB142" s="853"/>
      <c r="AC142" s="854"/>
      <c r="AD142" s="854"/>
      <c r="AE142" s="854"/>
      <c r="AF142" s="854"/>
      <c r="AG142" s="854"/>
      <c r="AH142" s="854"/>
      <c r="AI142" s="854"/>
      <c r="AJ142" s="854"/>
      <c r="AK142" s="854"/>
      <c r="AL142" s="855"/>
      <c r="AM142" s="909"/>
      <c r="AN142" s="712"/>
      <c r="AO142" s="712"/>
      <c r="AP142" s="712"/>
      <c r="AQ142" s="712"/>
      <c r="AR142" s="712"/>
      <c r="AS142" s="713"/>
      <c r="AT142" s="909"/>
      <c r="AU142" s="712"/>
      <c r="AV142" s="712"/>
      <c r="AW142" s="713"/>
      <c r="AX142" s="908"/>
      <c r="AY142" s="712"/>
      <c r="AZ142" s="712"/>
      <c r="BA142" s="712"/>
      <c r="BB142" s="712"/>
      <c r="BC142" s="713"/>
      <c r="BD142" s="909"/>
      <c r="BE142" s="712"/>
      <c r="BF142" s="712"/>
      <c r="BG142" s="713"/>
      <c r="BH142" s="908"/>
      <c r="BI142" s="712"/>
      <c r="BJ142" s="712"/>
      <c r="BK142" s="712"/>
      <c r="BL142" s="910"/>
      <c r="BN142" s="881"/>
      <c r="BO142" s="709"/>
      <c r="BP142" s="884"/>
      <c r="BT142" s="792"/>
      <c r="BU142" s="793"/>
      <c r="BV142" s="738" t="str">
        <f>IF(BT142="","-",(IF(INDEX($A$5:$BP$257,MATCH(BT142,$BN$5:$BN$257,0),50)="Aço Inoxidável",('Densidade do AR'!$S$8*1000000),IF(INDEX($A$5:$BP$257,MATCH(BT142,$BN$5:$BN$257,0),50)="Ferro Fundido",('Densidade do AR'!$S$12*1000000),IF(INDEX($A$5:$BP$257,MATCH(BT142,$BN$5:$BN$257,0),50)="Latão",('Densidade do AR'!$S$10*1000000),IF(INDEX($A$5:$BP$257,MATCH(BT142,$BN$5:$BN$257,0),50)="Alumínio",('Densidade do AR'!$S$4*1000000)))))))</f>
        <v>-</v>
      </c>
      <c r="BW142" s="739"/>
      <c r="BX142" s="739"/>
      <c r="BY142" s="740"/>
      <c r="BZ142" s="741" t="str">
        <f t="shared" si="52"/>
        <v>-</v>
      </c>
      <c r="CA142" s="742"/>
      <c r="CB142" s="742"/>
      <c r="CC142" s="743"/>
      <c r="CD142" s="741" t="str">
        <f t="shared" si="44"/>
        <v>-</v>
      </c>
      <c r="CE142" s="742"/>
      <c r="CF142" s="742"/>
      <c r="CG142" s="743"/>
      <c r="CH142" s="744" t="str">
        <f t="shared" si="53"/>
        <v>-</v>
      </c>
      <c r="CI142" s="739"/>
      <c r="CJ142" s="739"/>
      <c r="CK142" s="740"/>
      <c r="CL142" s="744" t="str">
        <f t="shared" si="45"/>
        <v>-</v>
      </c>
      <c r="CM142" s="739"/>
      <c r="CN142" s="739"/>
      <c r="CO142" s="740"/>
      <c r="CP142" s="744" t="str">
        <f>IF(BT142="","-",INDEX($A$5:$BP$257,MATCH(BT142,$BN$5:$BN$257,0),39)*(IF(BT142="","-",(1+(((-('Densidade do AR'!$M$4))+('Densidade do AR'!$T$15*1000000))/(IF(INDEX($A$5:$BP$257,MATCH(BT142,$BN$5:$BN$257,0),50)="Aço Inoxidável",('Densidade do AR'!$S$8*1000000),IF(INDEX($A$5:$BP$257,MATCH(BT142,$BN$5:$BN$257,0),50)="Ferro Fundido",('Densidade do AR'!$S$12*1000000),IF(INDEX($A$5:$BP$257,MATCH(BT142,$BN$5:$BN$257,0),50)="Latão",('Densidade do AR'!$S$10*1000000),IF(INDEX($A$5:$BP$257,MATCH(BT142,$BN$5:$BN$257,0),50)="Alumínio",('Densidade do AR'!$S$4*1000000)))))))-(((-('Densidade do AR'!$M$4))+('Densidade do AR'!$T$15*1000000))/('Densidade do AR'!$S$14*1000000))))))</f>
        <v>-</v>
      </c>
      <c r="CQ142" s="739"/>
      <c r="CR142" s="739"/>
      <c r="CS142" s="745"/>
      <c r="CT142" s="91" t="str">
        <f t="shared" si="54"/>
        <v>-</v>
      </c>
      <c r="CU142" s="792"/>
      <c r="CV142" s="793"/>
      <c r="CW142" s="738" t="str">
        <f>IF(CU142="","-",(IF(INDEX($A$5:$BP$257,MATCH(CU142,$BN$5:$BN$257,0),50)="Aço Inoxidável",('Densidade do AR'!$S$8*1000000),IF(INDEX($A$5:$BP$257,MATCH(CU142,$BN$5:$BN$257,0),50)="Ferro Fundido",('Densidade do AR'!$S$12*1000000),IF(INDEX($A$5:$BP$257,MATCH(CU142,$BN$5:$BN$257,0),50)="Latão",('Densidade do AR'!$S$10*1000000),IF(INDEX($A$5:$BP$257,MATCH(CU142,$BN$5:$BN$257,0),50)="Alumínio",('Densidade do AR'!$S$4*1000000)))))))</f>
        <v>-</v>
      </c>
      <c r="CX142" s="739"/>
      <c r="CY142" s="739"/>
      <c r="CZ142" s="740"/>
      <c r="DA142" s="741" t="str">
        <f t="shared" si="55"/>
        <v>-</v>
      </c>
      <c r="DB142" s="742"/>
      <c r="DC142" s="742"/>
      <c r="DD142" s="743"/>
      <c r="DE142" s="741" t="str">
        <f t="shared" si="46"/>
        <v>-</v>
      </c>
      <c r="DF142" s="742"/>
      <c r="DG142" s="742"/>
      <c r="DH142" s="743"/>
      <c r="DI142" s="744" t="str">
        <f t="shared" si="56"/>
        <v>-</v>
      </c>
      <c r="DJ142" s="739"/>
      <c r="DK142" s="739"/>
      <c r="DL142" s="740"/>
      <c r="DM142" s="744" t="str">
        <f t="shared" si="47"/>
        <v>-</v>
      </c>
      <c r="DN142" s="739"/>
      <c r="DO142" s="739"/>
      <c r="DP142" s="740"/>
      <c r="DQ142" s="744" t="str">
        <f>IF(CU142="","-",INDEX($A$5:$BP$257,MATCH(CU142,$BN$5:$BN$257,0),39)*(IF(CU142="","-",(1+(((-('Densidade do AR'!$M$4))+('Densidade do AR'!$T$15*1000000))/(IF(INDEX($A$5:$BP$257,MATCH(CU142,$BN$5:$BN$257,0),50)="Aço Inoxidável",('Densidade do AR'!$S$8*1000000),IF(INDEX($A$5:$BP$257,MATCH(CU142,$BN$5:$BN$257,0),50)="Ferro Fundido",('Densidade do AR'!$S$12*1000000),IF(INDEX($A$5:$BP$257,MATCH(CU142,$BN$5:$BN$257,0),50)="Latão",('Densidade do AR'!$S$10*1000000),IF(INDEX($A$5:$BP$257,MATCH(CU142,$BN$5:$BN$257,0),50)="Alumínio",('Densidade do AR'!$S$4*1000000)))))))-(((-('Densidade do AR'!$M$4))+('Densidade do AR'!$T$15*1000000))/('Densidade do AR'!$S$14*1000000))))))</f>
        <v>-</v>
      </c>
      <c r="DR142" s="739"/>
      <c r="DS142" s="739"/>
      <c r="DT142" s="745"/>
      <c r="DU142" s="91" t="str">
        <f t="shared" si="57"/>
        <v>-</v>
      </c>
      <c r="DV142" s="792"/>
      <c r="DW142" s="793"/>
      <c r="DX142" s="738" t="str">
        <f>IF(DV142="","-",(IF(INDEX($A$5:$BP$257,MATCH(DV142,$BN$5:$BN$257,0),50)="Aço Inoxidável",('Densidade do AR'!$S$8*1000000),IF(INDEX($A$5:$BP$257,MATCH(DV142,$BN$5:$BN$257,0),50)="Ferro Fundido",('Densidade do AR'!$S$12*1000000),IF(INDEX($A$5:$BP$257,MATCH(DV142,$BN$5:$BN$257,0),50)="Latão",('Densidade do AR'!$S$10*1000000),IF(INDEX($A$5:$BP$257,MATCH(DV142,$BN$5:$BN$257,0),50)="Alumínio",('Densidade do AR'!$S$4*1000000)))))))</f>
        <v>-</v>
      </c>
      <c r="DY142" s="739"/>
      <c r="DZ142" s="739"/>
      <c r="EA142" s="740"/>
      <c r="EB142" s="741" t="str">
        <f t="shared" si="58"/>
        <v>-</v>
      </c>
      <c r="EC142" s="742"/>
      <c r="ED142" s="742"/>
      <c r="EE142" s="743"/>
      <c r="EF142" s="741" t="str">
        <f t="shared" si="48"/>
        <v>-</v>
      </c>
      <c r="EG142" s="742"/>
      <c r="EH142" s="742"/>
      <c r="EI142" s="743"/>
      <c r="EJ142" s="744" t="str">
        <f t="shared" si="59"/>
        <v>-</v>
      </c>
      <c r="EK142" s="739"/>
      <c r="EL142" s="739"/>
      <c r="EM142" s="740"/>
      <c r="EN142" s="744" t="str">
        <f t="shared" si="49"/>
        <v>-</v>
      </c>
      <c r="EO142" s="739"/>
      <c r="EP142" s="739"/>
      <c r="EQ142" s="740"/>
      <c r="ER142" s="744" t="str">
        <f>IF(DV142="","-",INDEX($A$5:$BP$257,MATCH(DV142,$BN$5:$BN$257,0),39)*(IF(DV142="","-",(1+(((-('Densidade do AR'!$M$4))+('Densidade do AR'!$T$15*1000000))/(IF(INDEX($A$5:$BP$257,MATCH(DV142,$BN$5:$BN$257,0),50)="Aço Inoxidável",('Densidade do AR'!$S$8*1000000),IF(INDEX($A$5:$BP$257,MATCH(DV142,$BN$5:$BN$257,0),50)="Ferro Fundido",('Densidade do AR'!$S$12*1000000),IF(INDEX($A$5:$BP$257,MATCH(DV142,$BN$5:$BN$257,0),50)="Latão",('Densidade do AR'!$S$10*1000000),IF(INDEX($A$5:$BP$257,MATCH(DV142,$BN$5:$BN$257,0),50)="Alumínio",('Densidade do AR'!$S$4*1000000)))))))-(((-('Densidade do AR'!$M$4))+('Densidade do AR'!$T$15*1000000))/('Densidade do AR'!$S$14*1000000))))))</f>
        <v>-</v>
      </c>
      <c r="ES142" s="739"/>
      <c r="ET142" s="739"/>
      <c r="EU142" s="745"/>
      <c r="EV142" s="91" t="str">
        <f t="shared" si="60"/>
        <v>-</v>
      </c>
      <c r="EW142" s="792"/>
      <c r="EX142" s="793"/>
      <c r="EY142" s="738" t="str">
        <f>IF(EW142="","-",(IF(INDEX($A$5:$BP$257,MATCH(EW142,$BN$5:$BN$257,0),50)="Aço Inoxidável",('Densidade do AR'!$S$8*1000000),IF(INDEX($A$5:$BP$257,MATCH(EW142,$BN$5:$BN$257,0),50)="Ferro Fundido",('Densidade do AR'!$S$12*1000000),IF(INDEX($A$5:$BP$257,MATCH(EW142,$BN$5:$BN$257,0),50)="Latão",('Densidade do AR'!$S$10*1000000),IF(INDEX($A$5:$BP$257,MATCH(EW142,$BN$5:$BN$257,0),50)="Alumínio",('Densidade do AR'!$S$4*1000000)))))))</f>
        <v>-</v>
      </c>
      <c r="EZ142" s="739"/>
      <c r="FA142" s="739"/>
      <c r="FB142" s="740"/>
      <c r="FC142" s="741" t="str">
        <f t="shared" si="61"/>
        <v>-</v>
      </c>
      <c r="FD142" s="742"/>
      <c r="FE142" s="742"/>
      <c r="FF142" s="743"/>
      <c r="FG142" s="741" t="str">
        <f t="shared" si="50"/>
        <v>-</v>
      </c>
      <c r="FH142" s="742"/>
      <c r="FI142" s="742"/>
      <c r="FJ142" s="743"/>
      <c r="FK142" s="744" t="str">
        <f t="shared" si="62"/>
        <v>-</v>
      </c>
      <c r="FL142" s="739"/>
      <c r="FM142" s="739"/>
      <c r="FN142" s="740"/>
      <c r="FO142" s="744" t="str">
        <f t="shared" si="51"/>
        <v>-</v>
      </c>
      <c r="FP142" s="739"/>
      <c r="FQ142" s="739"/>
      <c r="FR142" s="740"/>
      <c r="FS142" s="744" t="str">
        <f>IF(EW142="","-",INDEX($A$5:$BP$257,MATCH(EW142,$BN$5:$BN$257,0),39)*(IF(EW142="","-",(1+(((-('Densidade do AR'!$M$4))+('Densidade do AR'!$T$15*1000000))/(IF(INDEX($A$5:$BP$257,MATCH(EW142,$BN$5:$BN$257,0),50)="Aço Inoxidável",('Densidade do AR'!$S$8*1000000),IF(INDEX($A$5:$BP$257,MATCH(EW142,$BN$5:$BN$257,0),50)="Ferro Fundido",('Densidade do AR'!$S$12*1000000),IF(INDEX($A$5:$BP$257,MATCH(EW142,$BN$5:$BN$257,0),50)="Latão",('Densidade do AR'!$S$10*1000000),IF(INDEX($A$5:$BP$257,MATCH(EW142,$BN$5:$BN$257,0),50)="Alumínio",('Densidade do AR'!$S$4*1000000)))))))-(((-('Densidade do AR'!$M$4))+('Densidade do AR'!$T$15*1000000))/('Densidade do AR'!$S$14*1000000))))))</f>
        <v>-</v>
      </c>
      <c r="FT142" s="739"/>
      <c r="FU142" s="739"/>
      <c r="FV142" s="745"/>
      <c r="FW142" s="91" t="str">
        <f t="shared" si="63"/>
        <v>-</v>
      </c>
      <c r="FX142" s="135"/>
    </row>
    <row r="143" spans="1:180" ht="12.75" customHeight="1" x14ac:dyDescent="0.2">
      <c r="A143" s="717">
        <v>139</v>
      </c>
      <c r="B143" s="713"/>
      <c r="C143" s="708"/>
      <c r="D143" s="709"/>
      <c r="E143" s="709"/>
      <c r="F143" s="709"/>
      <c r="G143" s="710"/>
      <c r="H143" s="711"/>
      <c r="I143" s="712"/>
      <c r="J143" s="712"/>
      <c r="K143" s="713"/>
      <c r="L143" s="708"/>
      <c r="M143" s="709"/>
      <c r="N143" s="709"/>
      <c r="O143" s="709"/>
      <c r="P143" s="708"/>
      <c r="Q143" s="709"/>
      <c r="R143" s="709"/>
      <c r="S143" s="709"/>
      <c r="T143" s="710"/>
      <c r="U143" s="714"/>
      <c r="V143" s="715"/>
      <c r="W143" s="715"/>
      <c r="X143" s="715"/>
      <c r="Y143" s="715"/>
      <c r="Z143" s="715"/>
      <c r="AA143" s="716"/>
      <c r="AB143" s="850"/>
      <c r="AC143" s="851"/>
      <c r="AD143" s="851"/>
      <c r="AE143" s="851"/>
      <c r="AF143" s="851"/>
      <c r="AG143" s="851"/>
      <c r="AH143" s="851"/>
      <c r="AI143" s="851"/>
      <c r="AJ143" s="851"/>
      <c r="AK143" s="851"/>
      <c r="AL143" s="852"/>
      <c r="AM143" s="917"/>
      <c r="AN143" s="712"/>
      <c r="AO143" s="712"/>
      <c r="AP143" s="712"/>
      <c r="AQ143" s="712"/>
      <c r="AR143" s="712"/>
      <c r="AS143" s="713"/>
      <c r="AT143" s="917"/>
      <c r="AU143" s="712"/>
      <c r="AV143" s="712"/>
      <c r="AW143" s="713"/>
      <c r="AX143" s="917"/>
      <c r="AY143" s="712"/>
      <c r="AZ143" s="712"/>
      <c r="BA143" s="712"/>
      <c r="BB143" s="712"/>
      <c r="BC143" s="713"/>
      <c r="BD143" s="917"/>
      <c r="BE143" s="712"/>
      <c r="BF143" s="712"/>
      <c r="BG143" s="713"/>
      <c r="BH143" s="918"/>
      <c r="BI143" s="712"/>
      <c r="BJ143" s="712"/>
      <c r="BK143" s="712"/>
      <c r="BL143" s="910"/>
      <c r="BN143" s="878"/>
      <c r="BO143" s="709"/>
      <c r="BP143" s="884"/>
      <c r="BT143" s="794"/>
      <c r="BU143" s="795"/>
      <c r="BV143" s="784" t="str">
        <f>IF(BT143="","-",(IF(INDEX($A$5:$BP$257,MATCH(BT143,$BN$5:$BN$257,0),50)="Aço Inoxidável",('Densidade do AR'!$S$8*1000000),IF(INDEX($A$5:$BP$257,MATCH(BT143,$BN$5:$BN$257,0),50)="Ferro Fundido",('Densidade do AR'!$S$12*1000000),IF(INDEX($A$5:$BP$257,MATCH(BT143,$BN$5:$BN$257,0),50)="Latão",('Densidade do AR'!$S$10*1000000),IF(INDEX($A$5:$BP$257,MATCH(BT143,$BN$5:$BN$257,0),50)="Alumínio",('Densidade do AR'!$S$4*1000000)))))))</f>
        <v>-</v>
      </c>
      <c r="BW143" s="785"/>
      <c r="BX143" s="785"/>
      <c r="BY143" s="786"/>
      <c r="BZ143" s="787" t="str">
        <f t="shared" si="52"/>
        <v>-</v>
      </c>
      <c r="CA143" s="788"/>
      <c r="CB143" s="788"/>
      <c r="CC143" s="789"/>
      <c r="CD143" s="787" t="str">
        <f t="shared" si="44"/>
        <v>-</v>
      </c>
      <c r="CE143" s="788"/>
      <c r="CF143" s="788"/>
      <c r="CG143" s="789"/>
      <c r="CH143" s="790" t="str">
        <f t="shared" si="53"/>
        <v>-</v>
      </c>
      <c r="CI143" s="785"/>
      <c r="CJ143" s="785"/>
      <c r="CK143" s="786"/>
      <c r="CL143" s="790" t="str">
        <f t="shared" si="45"/>
        <v>-</v>
      </c>
      <c r="CM143" s="785"/>
      <c r="CN143" s="785"/>
      <c r="CO143" s="786"/>
      <c r="CP143" s="790" t="str">
        <f>IF(BT143="","-",INDEX($A$5:$BP$257,MATCH(BT143,$BN$5:$BN$257,0),39)*(IF(BT143="","-",(1+(((-('Densidade do AR'!$M$4))+('Densidade do AR'!$T$15*1000000))/(IF(INDEX($A$5:$BP$257,MATCH(BT143,$BN$5:$BN$257,0),50)="Aço Inoxidável",('Densidade do AR'!$S$8*1000000),IF(INDEX($A$5:$BP$257,MATCH(BT143,$BN$5:$BN$257,0),50)="Ferro Fundido",('Densidade do AR'!$S$12*1000000),IF(INDEX($A$5:$BP$257,MATCH(BT143,$BN$5:$BN$257,0),50)="Latão",('Densidade do AR'!$S$10*1000000),IF(INDEX($A$5:$BP$257,MATCH(BT143,$BN$5:$BN$257,0),50)="Alumínio",('Densidade do AR'!$S$4*1000000)))))))-(((-('Densidade do AR'!$M$4))+('Densidade do AR'!$T$15*1000000))/('Densidade do AR'!$S$14*1000000))))))</f>
        <v>-</v>
      </c>
      <c r="CQ143" s="785"/>
      <c r="CR143" s="785"/>
      <c r="CS143" s="791"/>
      <c r="CT143" s="91" t="str">
        <f t="shared" si="54"/>
        <v>-</v>
      </c>
      <c r="CU143" s="794"/>
      <c r="CV143" s="795"/>
      <c r="CW143" s="784" t="str">
        <f>IF(CU143="","-",(IF(INDEX($A$5:$BP$257,MATCH(CU143,$BN$5:$BN$257,0),50)="Aço Inoxidável",('Densidade do AR'!$S$8*1000000),IF(INDEX($A$5:$BP$257,MATCH(CU143,$BN$5:$BN$257,0),50)="Ferro Fundido",('Densidade do AR'!$S$12*1000000),IF(INDEX($A$5:$BP$257,MATCH(CU143,$BN$5:$BN$257,0),50)="Latão",('Densidade do AR'!$S$10*1000000),IF(INDEX($A$5:$BP$257,MATCH(CU143,$BN$5:$BN$257,0),50)="Alumínio",('Densidade do AR'!$S$4*1000000)))))))</f>
        <v>-</v>
      </c>
      <c r="CX143" s="785"/>
      <c r="CY143" s="785"/>
      <c r="CZ143" s="786"/>
      <c r="DA143" s="787" t="str">
        <f t="shared" si="55"/>
        <v>-</v>
      </c>
      <c r="DB143" s="788"/>
      <c r="DC143" s="788"/>
      <c r="DD143" s="789"/>
      <c r="DE143" s="787" t="str">
        <f t="shared" si="46"/>
        <v>-</v>
      </c>
      <c r="DF143" s="788"/>
      <c r="DG143" s="788"/>
      <c r="DH143" s="789"/>
      <c r="DI143" s="790" t="str">
        <f t="shared" si="56"/>
        <v>-</v>
      </c>
      <c r="DJ143" s="785"/>
      <c r="DK143" s="785"/>
      <c r="DL143" s="786"/>
      <c r="DM143" s="790" t="str">
        <f t="shared" si="47"/>
        <v>-</v>
      </c>
      <c r="DN143" s="785"/>
      <c r="DO143" s="785"/>
      <c r="DP143" s="786"/>
      <c r="DQ143" s="790" t="str">
        <f>IF(CU143="","-",INDEX($A$5:$BP$257,MATCH(CU143,$BN$5:$BN$257,0),39)*(IF(CU143="","-",(1+(((-('Densidade do AR'!$M$4))+('Densidade do AR'!$T$15*1000000))/(IF(INDEX($A$5:$BP$257,MATCH(CU143,$BN$5:$BN$257,0),50)="Aço Inoxidável",('Densidade do AR'!$S$8*1000000),IF(INDEX($A$5:$BP$257,MATCH(CU143,$BN$5:$BN$257,0),50)="Ferro Fundido",('Densidade do AR'!$S$12*1000000),IF(INDEX($A$5:$BP$257,MATCH(CU143,$BN$5:$BN$257,0),50)="Latão",('Densidade do AR'!$S$10*1000000),IF(INDEX($A$5:$BP$257,MATCH(CU143,$BN$5:$BN$257,0),50)="Alumínio",('Densidade do AR'!$S$4*1000000)))))))-(((-('Densidade do AR'!$M$4))+('Densidade do AR'!$T$15*1000000))/('Densidade do AR'!$S$14*1000000))))))</f>
        <v>-</v>
      </c>
      <c r="DR143" s="785"/>
      <c r="DS143" s="785"/>
      <c r="DT143" s="791"/>
      <c r="DU143" s="91" t="str">
        <f t="shared" si="57"/>
        <v>-</v>
      </c>
      <c r="DV143" s="794"/>
      <c r="DW143" s="795"/>
      <c r="DX143" s="784" t="str">
        <f>IF(DV143="","-",(IF(INDEX($A$5:$BP$257,MATCH(DV143,$BN$5:$BN$257,0),50)="Aço Inoxidável",('Densidade do AR'!$S$8*1000000),IF(INDEX($A$5:$BP$257,MATCH(DV143,$BN$5:$BN$257,0),50)="Ferro Fundido",('Densidade do AR'!$S$12*1000000),IF(INDEX($A$5:$BP$257,MATCH(DV143,$BN$5:$BN$257,0),50)="Latão",('Densidade do AR'!$S$10*1000000),IF(INDEX($A$5:$BP$257,MATCH(DV143,$BN$5:$BN$257,0),50)="Alumínio",('Densidade do AR'!$S$4*1000000)))))))</f>
        <v>-</v>
      </c>
      <c r="DY143" s="785"/>
      <c r="DZ143" s="785"/>
      <c r="EA143" s="786"/>
      <c r="EB143" s="787" t="str">
        <f t="shared" si="58"/>
        <v>-</v>
      </c>
      <c r="EC143" s="788"/>
      <c r="ED143" s="788"/>
      <c r="EE143" s="789"/>
      <c r="EF143" s="787" t="str">
        <f t="shared" si="48"/>
        <v>-</v>
      </c>
      <c r="EG143" s="788"/>
      <c r="EH143" s="788"/>
      <c r="EI143" s="789"/>
      <c r="EJ143" s="790" t="str">
        <f t="shared" si="59"/>
        <v>-</v>
      </c>
      <c r="EK143" s="785"/>
      <c r="EL143" s="785"/>
      <c r="EM143" s="786"/>
      <c r="EN143" s="790" t="str">
        <f t="shared" si="49"/>
        <v>-</v>
      </c>
      <c r="EO143" s="785"/>
      <c r="EP143" s="785"/>
      <c r="EQ143" s="786"/>
      <c r="ER143" s="790" t="str">
        <f>IF(DV143="","-",INDEX($A$5:$BP$257,MATCH(DV143,$BN$5:$BN$257,0),39)*(IF(DV143="","-",(1+(((-('Densidade do AR'!$M$4))+('Densidade do AR'!$T$15*1000000))/(IF(INDEX($A$5:$BP$257,MATCH(DV143,$BN$5:$BN$257,0),50)="Aço Inoxidável",('Densidade do AR'!$S$8*1000000),IF(INDEX($A$5:$BP$257,MATCH(DV143,$BN$5:$BN$257,0),50)="Ferro Fundido",('Densidade do AR'!$S$12*1000000),IF(INDEX($A$5:$BP$257,MATCH(DV143,$BN$5:$BN$257,0),50)="Latão",('Densidade do AR'!$S$10*1000000),IF(INDEX($A$5:$BP$257,MATCH(DV143,$BN$5:$BN$257,0),50)="Alumínio",('Densidade do AR'!$S$4*1000000)))))))-(((-('Densidade do AR'!$M$4))+('Densidade do AR'!$T$15*1000000))/('Densidade do AR'!$S$14*1000000))))))</f>
        <v>-</v>
      </c>
      <c r="ES143" s="785"/>
      <c r="ET143" s="785"/>
      <c r="EU143" s="791"/>
      <c r="EV143" s="91" t="str">
        <f t="shared" si="60"/>
        <v>-</v>
      </c>
      <c r="EW143" s="794"/>
      <c r="EX143" s="795"/>
      <c r="EY143" s="784" t="str">
        <f>IF(EW143="","-",(IF(INDEX($A$5:$BP$257,MATCH(EW143,$BN$5:$BN$257,0),50)="Aço Inoxidável",('Densidade do AR'!$S$8*1000000),IF(INDEX($A$5:$BP$257,MATCH(EW143,$BN$5:$BN$257,0),50)="Ferro Fundido",('Densidade do AR'!$S$12*1000000),IF(INDEX($A$5:$BP$257,MATCH(EW143,$BN$5:$BN$257,0),50)="Latão",('Densidade do AR'!$S$10*1000000),IF(INDEX($A$5:$BP$257,MATCH(EW143,$BN$5:$BN$257,0),50)="Alumínio",('Densidade do AR'!$S$4*1000000)))))))</f>
        <v>-</v>
      </c>
      <c r="EZ143" s="785"/>
      <c r="FA143" s="785"/>
      <c r="FB143" s="786"/>
      <c r="FC143" s="787" t="str">
        <f t="shared" si="61"/>
        <v>-</v>
      </c>
      <c r="FD143" s="788"/>
      <c r="FE143" s="788"/>
      <c r="FF143" s="789"/>
      <c r="FG143" s="787" t="str">
        <f t="shared" si="50"/>
        <v>-</v>
      </c>
      <c r="FH143" s="788"/>
      <c r="FI143" s="788"/>
      <c r="FJ143" s="789"/>
      <c r="FK143" s="790" t="str">
        <f t="shared" si="62"/>
        <v>-</v>
      </c>
      <c r="FL143" s="785"/>
      <c r="FM143" s="785"/>
      <c r="FN143" s="786"/>
      <c r="FO143" s="790" t="str">
        <f t="shared" si="51"/>
        <v>-</v>
      </c>
      <c r="FP143" s="785"/>
      <c r="FQ143" s="785"/>
      <c r="FR143" s="786"/>
      <c r="FS143" s="790" t="str">
        <f>IF(EW143="","-",INDEX($A$5:$BP$257,MATCH(EW143,$BN$5:$BN$257,0),39)*(IF(EW143="","-",(1+(((-('Densidade do AR'!$M$4))+('Densidade do AR'!$T$15*1000000))/(IF(INDEX($A$5:$BP$257,MATCH(EW143,$BN$5:$BN$257,0),50)="Aço Inoxidável",('Densidade do AR'!$S$8*1000000),IF(INDEX($A$5:$BP$257,MATCH(EW143,$BN$5:$BN$257,0),50)="Ferro Fundido",('Densidade do AR'!$S$12*1000000),IF(INDEX($A$5:$BP$257,MATCH(EW143,$BN$5:$BN$257,0),50)="Latão",('Densidade do AR'!$S$10*1000000),IF(INDEX($A$5:$BP$257,MATCH(EW143,$BN$5:$BN$257,0),50)="Alumínio",('Densidade do AR'!$S$4*1000000)))))))-(((-('Densidade do AR'!$M$4))+('Densidade do AR'!$T$15*1000000))/('Densidade do AR'!$S$14*1000000))))))</f>
        <v>-</v>
      </c>
      <c r="FT143" s="785"/>
      <c r="FU143" s="785"/>
      <c r="FV143" s="791"/>
      <c r="FW143" s="91" t="str">
        <f t="shared" si="63"/>
        <v>-</v>
      </c>
      <c r="FX143" s="135"/>
    </row>
    <row r="144" spans="1:180" ht="12.75" customHeight="1" x14ac:dyDescent="0.2">
      <c r="A144" s="718">
        <v>140</v>
      </c>
      <c r="B144" s="713"/>
      <c r="C144" s="719"/>
      <c r="D144" s="709"/>
      <c r="E144" s="709"/>
      <c r="F144" s="709"/>
      <c r="G144" s="710"/>
      <c r="H144" s="720"/>
      <c r="I144" s="712"/>
      <c r="J144" s="712"/>
      <c r="K144" s="713"/>
      <c r="L144" s="719"/>
      <c r="M144" s="709"/>
      <c r="N144" s="709"/>
      <c r="O144" s="709"/>
      <c r="P144" s="719"/>
      <c r="Q144" s="709"/>
      <c r="R144" s="709"/>
      <c r="S144" s="709"/>
      <c r="T144" s="710"/>
      <c r="U144" s="721"/>
      <c r="V144" s="722"/>
      <c r="W144" s="722"/>
      <c r="X144" s="722"/>
      <c r="Y144" s="722"/>
      <c r="Z144" s="722"/>
      <c r="AA144" s="723"/>
      <c r="AB144" s="853"/>
      <c r="AC144" s="854"/>
      <c r="AD144" s="854"/>
      <c r="AE144" s="854"/>
      <c r="AF144" s="854"/>
      <c r="AG144" s="854"/>
      <c r="AH144" s="854"/>
      <c r="AI144" s="854"/>
      <c r="AJ144" s="854"/>
      <c r="AK144" s="854"/>
      <c r="AL144" s="855"/>
      <c r="AM144" s="909"/>
      <c r="AN144" s="712"/>
      <c r="AO144" s="712"/>
      <c r="AP144" s="712"/>
      <c r="AQ144" s="712"/>
      <c r="AR144" s="712"/>
      <c r="AS144" s="713"/>
      <c r="AT144" s="909"/>
      <c r="AU144" s="712"/>
      <c r="AV144" s="712"/>
      <c r="AW144" s="713"/>
      <c r="AX144" s="908"/>
      <c r="AY144" s="712"/>
      <c r="AZ144" s="712"/>
      <c r="BA144" s="712"/>
      <c r="BB144" s="712"/>
      <c r="BC144" s="713"/>
      <c r="BD144" s="909"/>
      <c r="BE144" s="712"/>
      <c r="BF144" s="712"/>
      <c r="BG144" s="713"/>
      <c r="BH144" s="908"/>
      <c r="BI144" s="712"/>
      <c r="BJ144" s="712"/>
      <c r="BK144" s="712"/>
      <c r="BL144" s="910"/>
      <c r="BN144" s="881"/>
      <c r="BO144" s="709"/>
      <c r="BP144" s="884"/>
      <c r="BT144" s="792"/>
      <c r="BU144" s="793"/>
      <c r="BV144" s="738" t="str">
        <f>IF(BT144="","-",(IF(INDEX($A$5:$BP$257,MATCH(BT144,$BN$5:$BN$257,0),50)="Aço Inoxidável",('Densidade do AR'!$S$8*1000000),IF(INDEX($A$5:$BP$257,MATCH(BT144,$BN$5:$BN$257,0),50)="Ferro Fundido",('Densidade do AR'!$S$12*1000000),IF(INDEX($A$5:$BP$257,MATCH(BT144,$BN$5:$BN$257,0),50)="Latão",('Densidade do AR'!$S$10*1000000),IF(INDEX($A$5:$BP$257,MATCH(BT144,$BN$5:$BN$257,0),50)="Alumínio",('Densidade do AR'!$S$4*1000000)))))))</f>
        <v>-</v>
      </c>
      <c r="BW144" s="739"/>
      <c r="BX144" s="739"/>
      <c r="BY144" s="740"/>
      <c r="BZ144" s="741" t="str">
        <f t="shared" si="52"/>
        <v>-</v>
      </c>
      <c r="CA144" s="742"/>
      <c r="CB144" s="742"/>
      <c r="CC144" s="743"/>
      <c r="CD144" s="741" t="str">
        <f t="shared" si="44"/>
        <v>-</v>
      </c>
      <c r="CE144" s="742"/>
      <c r="CF144" s="742"/>
      <c r="CG144" s="743"/>
      <c r="CH144" s="744" t="str">
        <f t="shared" si="53"/>
        <v>-</v>
      </c>
      <c r="CI144" s="739"/>
      <c r="CJ144" s="739"/>
      <c r="CK144" s="740"/>
      <c r="CL144" s="744" t="str">
        <f t="shared" si="45"/>
        <v>-</v>
      </c>
      <c r="CM144" s="739"/>
      <c r="CN144" s="739"/>
      <c r="CO144" s="740"/>
      <c r="CP144" s="744" t="str">
        <f>IF(BT144="","-",INDEX($A$5:$BP$257,MATCH(BT144,$BN$5:$BN$257,0),39)*(IF(BT144="","-",(1+(((-('Densidade do AR'!$M$4))+('Densidade do AR'!$T$15*1000000))/(IF(INDEX($A$5:$BP$257,MATCH(BT144,$BN$5:$BN$257,0),50)="Aço Inoxidável",('Densidade do AR'!$S$8*1000000),IF(INDEX($A$5:$BP$257,MATCH(BT144,$BN$5:$BN$257,0),50)="Ferro Fundido",('Densidade do AR'!$S$12*1000000),IF(INDEX($A$5:$BP$257,MATCH(BT144,$BN$5:$BN$257,0),50)="Latão",('Densidade do AR'!$S$10*1000000),IF(INDEX($A$5:$BP$257,MATCH(BT144,$BN$5:$BN$257,0),50)="Alumínio",('Densidade do AR'!$S$4*1000000)))))))-(((-('Densidade do AR'!$M$4))+('Densidade do AR'!$T$15*1000000))/('Densidade do AR'!$S$14*1000000))))))</f>
        <v>-</v>
      </c>
      <c r="CQ144" s="739"/>
      <c r="CR144" s="739"/>
      <c r="CS144" s="745"/>
      <c r="CT144" s="91" t="str">
        <f t="shared" si="54"/>
        <v>-</v>
      </c>
      <c r="CU144" s="792"/>
      <c r="CV144" s="793"/>
      <c r="CW144" s="738" t="str">
        <f>IF(CU144="","-",(IF(INDEX($A$5:$BP$257,MATCH(CU144,$BN$5:$BN$257,0),50)="Aço Inoxidável",('Densidade do AR'!$S$8*1000000),IF(INDEX($A$5:$BP$257,MATCH(CU144,$BN$5:$BN$257,0),50)="Ferro Fundido",('Densidade do AR'!$S$12*1000000),IF(INDEX($A$5:$BP$257,MATCH(CU144,$BN$5:$BN$257,0),50)="Latão",('Densidade do AR'!$S$10*1000000),IF(INDEX($A$5:$BP$257,MATCH(CU144,$BN$5:$BN$257,0),50)="Alumínio",('Densidade do AR'!$S$4*1000000)))))))</f>
        <v>-</v>
      </c>
      <c r="CX144" s="739"/>
      <c r="CY144" s="739"/>
      <c r="CZ144" s="740"/>
      <c r="DA144" s="741" t="str">
        <f t="shared" si="55"/>
        <v>-</v>
      </c>
      <c r="DB144" s="742"/>
      <c r="DC144" s="742"/>
      <c r="DD144" s="743"/>
      <c r="DE144" s="741" t="str">
        <f t="shared" si="46"/>
        <v>-</v>
      </c>
      <c r="DF144" s="742"/>
      <c r="DG144" s="742"/>
      <c r="DH144" s="743"/>
      <c r="DI144" s="744" t="str">
        <f t="shared" si="56"/>
        <v>-</v>
      </c>
      <c r="DJ144" s="739"/>
      <c r="DK144" s="739"/>
      <c r="DL144" s="740"/>
      <c r="DM144" s="744" t="str">
        <f t="shared" si="47"/>
        <v>-</v>
      </c>
      <c r="DN144" s="739"/>
      <c r="DO144" s="739"/>
      <c r="DP144" s="740"/>
      <c r="DQ144" s="744" t="str">
        <f>IF(CU144="","-",INDEX($A$5:$BP$257,MATCH(CU144,$BN$5:$BN$257,0),39)*(IF(CU144="","-",(1+(((-('Densidade do AR'!$M$4))+('Densidade do AR'!$T$15*1000000))/(IF(INDEX($A$5:$BP$257,MATCH(CU144,$BN$5:$BN$257,0),50)="Aço Inoxidável",('Densidade do AR'!$S$8*1000000),IF(INDEX($A$5:$BP$257,MATCH(CU144,$BN$5:$BN$257,0),50)="Ferro Fundido",('Densidade do AR'!$S$12*1000000),IF(INDEX($A$5:$BP$257,MATCH(CU144,$BN$5:$BN$257,0),50)="Latão",('Densidade do AR'!$S$10*1000000),IF(INDEX($A$5:$BP$257,MATCH(CU144,$BN$5:$BN$257,0),50)="Alumínio",('Densidade do AR'!$S$4*1000000)))))))-(((-('Densidade do AR'!$M$4))+('Densidade do AR'!$T$15*1000000))/('Densidade do AR'!$S$14*1000000))))))</f>
        <v>-</v>
      </c>
      <c r="DR144" s="739"/>
      <c r="DS144" s="739"/>
      <c r="DT144" s="745"/>
      <c r="DU144" s="91" t="str">
        <f t="shared" si="57"/>
        <v>-</v>
      </c>
      <c r="DV144" s="792"/>
      <c r="DW144" s="793"/>
      <c r="DX144" s="738" t="str">
        <f>IF(DV144="","-",(IF(INDEX($A$5:$BP$257,MATCH(DV144,$BN$5:$BN$257,0),50)="Aço Inoxidável",('Densidade do AR'!$S$8*1000000),IF(INDEX($A$5:$BP$257,MATCH(DV144,$BN$5:$BN$257,0),50)="Ferro Fundido",('Densidade do AR'!$S$12*1000000),IF(INDEX($A$5:$BP$257,MATCH(DV144,$BN$5:$BN$257,0),50)="Latão",('Densidade do AR'!$S$10*1000000),IF(INDEX($A$5:$BP$257,MATCH(DV144,$BN$5:$BN$257,0),50)="Alumínio",('Densidade do AR'!$S$4*1000000)))))))</f>
        <v>-</v>
      </c>
      <c r="DY144" s="739"/>
      <c r="DZ144" s="739"/>
      <c r="EA144" s="740"/>
      <c r="EB144" s="741" t="str">
        <f t="shared" si="58"/>
        <v>-</v>
      </c>
      <c r="EC144" s="742"/>
      <c r="ED144" s="742"/>
      <c r="EE144" s="743"/>
      <c r="EF144" s="741" t="str">
        <f t="shared" si="48"/>
        <v>-</v>
      </c>
      <c r="EG144" s="742"/>
      <c r="EH144" s="742"/>
      <c r="EI144" s="743"/>
      <c r="EJ144" s="744" t="str">
        <f t="shared" si="59"/>
        <v>-</v>
      </c>
      <c r="EK144" s="739"/>
      <c r="EL144" s="739"/>
      <c r="EM144" s="740"/>
      <c r="EN144" s="744" t="str">
        <f t="shared" si="49"/>
        <v>-</v>
      </c>
      <c r="EO144" s="739"/>
      <c r="EP144" s="739"/>
      <c r="EQ144" s="740"/>
      <c r="ER144" s="744" t="str">
        <f>IF(DV144="","-",INDEX($A$5:$BP$257,MATCH(DV144,$BN$5:$BN$257,0),39)*(IF(DV144="","-",(1+(((-('Densidade do AR'!$M$4))+('Densidade do AR'!$T$15*1000000))/(IF(INDEX($A$5:$BP$257,MATCH(DV144,$BN$5:$BN$257,0),50)="Aço Inoxidável",('Densidade do AR'!$S$8*1000000),IF(INDEX($A$5:$BP$257,MATCH(DV144,$BN$5:$BN$257,0),50)="Ferro Fundido",('Densidade do AR'!$S$12*1000000),IF(INDEX($A$5:$BP$257,MATCH(DV144,$BN$5:$BN$257,0),50)="Latão",('Densidade do AR'!$S$10*1000000),IF(INDEX($A$5:$BP$257,MATCH(DV144,$BN$5:$BN$257,0),50)="Alumínio",('Densidade do AR'!$S$4*1000000)))))))-(((-('Densidade do AR'!$M$4))+('Densidade do AR'!$T$15*1000000))/('Densidade do AR'!$S$14*1000000))))))</f>
        <v>-</v>
      </c>
      <c r="ES144" s="739"/>
      <c r="ET144" s="739"/>
      <c r="EU144" s="745"/>
      <c r="EV144" s="91" t="str">
        <f t="shared" si="60"/>
        <v>-</v>
      </c>
      <c r="EW144" s="792"/>
      <c r="EX144" s="793"/>
      <c r="EY144" s="738" t="str">
        <f>IF(EW144="","-",(IF(INDEX($A$5:$BP$257,MATCH(EW144,$BN$5:$BN$257,0),50)="Aço Inoxidável",('Densidade do AR'!$S$8*1000000),IF(INDEX($A$5:$BP$257,MATCH(EW144,$BN$5:$BN$257,0),50)="Ferro Fundido",('Densidade do AR'!$S$12*1000000),IF(INDEX($A$5:$BP$257,MATCH(EW144,$BN$5:$BN$257,0),50)="Latão",('Densidade do AR'!$S$10*1000000),IF(INDEX($A$5:$BP$257,MATCH(EW144,$BN$5:$BN$257,0),50)="Alumínio",('Densidade do AR'!$S$4*1000000)))))))</f>
        <v>-</v>
      </c>
      <c r="EZ144" s="739"/>
      <c r="FA144" s="739"/>
      <c r="FB144" s="740"/>
      <c r="FC144" s="741" t="str">
        <f t="shared" si="61"/>
        <v>-</v>
      </c>
      <c r="FD144" s="742"/>
      <c r="FE144" s="742"/>
      <c r="FF144" s="743"/>
      <c r="FG144" s="741" t="str">
        <f t="shared" si="50"/>
        <v>-</v>
      </c>
      <c r="FH144" s="742"/>
      <c r="FI144" s="742"/>
      <c r="FJ144" s="743"/>
      <c r="FK144" s="744" t="str">
        <f t="shared" si="62"/>
        <v>-</v>
      </c>
      <c r="FL144" s="739"/>
      <c r="FM144" s="739"/>
      <c r="FN144" s="740"/>
      <c r="FO144" s="744" t="str">
        <f t="shared" si="51"/>
        <v>-</v>
      </c>
      <c r="FP144" s="739"/>
      <c r="FQ144" s="739"/>
      <c r="FR144" s="740"/>
      <c r="FS144" s="744" t="str">
        <f>IF(EW144="","-",INDEX($A$5:$BP$257,MATCH(EW144,$BN$5:$BN$257,0),39)*(IF(EW144="","-",(1+(((-('Densidade do AR'!$M$4))+('Densidade do AR'!$T$15*1000000))/(IF(INDEX($A$5:$BP$257,MATCH(EW144,$BN$5:$BN$257,0),50)="Aço Inoxidável",('Densidade do AR'!$S$8*1000000),IF(INDEX($A$5:$BP$257,MATCH(EW144,$BN$5:$BN$257,0),50)="Ferro Fundido",('Densidade do AR'!$S$12*1000000),IF(INDEX($A$5:$BP$257,MATCH(EW144,$BN$5:$BN$257,0),50)="Latão",('Densidade do AR'!$S$10*1000000),IF(INDEX($A$5:$BP$257,MATCH(EW144,$BN$5:$BN$257,0),50)="Alumínio",('Densidade do AR'!$S$4*1000000)))))))-(((-('Densidade do AR'!$M$4))+('Densidade do AR'!$T$15*1000000))/('Densidade do AR'!$S$14*1000000))))))</f>
        <v>-</v>
      </c>
      <c r="FT144" s="739"/>
      <c r="FU144" s="739"/>
      <c r="FV144" s="745"/>
      <c r="FW144" s="91" t="str">
        <f t="shared" si="63"/>
        <v>-</v>
      </c>
      <c r="FX144" s="135"/>
    </row>
    <row r="145" spans="1:180" ht="12.75" customHeight="1" x14ac:dyDescent="0.2">
      <c r="A145" s="717">
        <v>141</v>
      </c>
      <c r="B145" s="713"/>
      <c r="C145" s="708"/>
      <c r="D145" s="709"/>
      <c r="E145" s="709"/>
      <c r="F145" s="709"/>
      <c r="G145" s="710"/>
      <c r="H145" s="711"/>
      <c r="I145" s="712"/>
      <c r="J145" s="712"/>
      <c r="K145" s="713"/>
      <c r="L145" s="708"/>
      <c r="M145" s="709"/>
      <c r="N145" s="709"/>
      <c r="O145" s="709"/>
      <c r="P145" s="708"/>
      <c r="Q145" s="709"/>
      <c r="R145" s="709"/>
      <c r="S145" s="709"/>
      <c r="T145" s="710"/>
      <c r="U145" s="714"/>
      <c r="V145" s="715"/>
      <c r="W145" s="715"/>
      <c r="X145" s="715"/>
      <c r="Y145" s="715"/>
      <c r="Z145" s="715"/>
      <c r="AA145" s="716"/>
      <c r="AB145" s="850"/>
      <c r="AC145" s="851"/>
      <c r="AD145" s="851"/>
      <c r="AE145" s="851"/>
      <c r="AF145" s="851"/>
      <c r="AG145" s="851"/>
      <c r="AH145" s="851"/>
      <c r="AI145" s="851"/>
      <c r="AJ145" s="851"/>
      <c r="AK145" s="851"/>
      <c r="AL145" s="852"/>
      <c r="AM145" s="917"/>
      <c r="AN145" s="712"/>
      <c r="AO145" s="712"/>
      <c r="AP145" s="712"/>
      <c r="AQ145" s="712"/>
      <c r="AR145" s="712"/>
      <c r="AS145" s="713"/>
      <c r="AT145" s="917"/>
      <c r="AU145" s="712"/>
      <c r="AV145" s="712"/>
      <c r="AW145" s="713"/>
      <c r="AX145" s="917"/>
      <c r="AY145" s="712"/>
      <c r="AZ145" s="712"/>
      <c r="BA145" s="712"/>
      <c r="BB145" s="712"/>
      <c r="BC145" s="713"/>
      <c r="BD145" s="917"/>
      <c r="BE145" s="712"/>
      <c r="BF145" s="712"/>
      <c r="BG145" s="713"/>
      <c r="BH145" s="918"/>
      <c r="BI145" s="712"/>
      <c r="BJ145" s="712"/>
      <c r="BK145" s="712"/>
      <c r="BL145" s="910"/>
      <c r="BN145" s="878"/>
      <c r="BO145" s="709"/>
      <c r="BP145" s="884"/>
      <c r="BT145" s="794"/>
      <c r="BU145" s="795"/>
      <c r="BV145" s="784" t="str">
        <f>IF(BT145="","-",(IF(INDEX($A$5:$BP$257,MATCH(BT145,$BN$5:$BN$257,0),50)="Aço Inoxidável",('Densidade do AR'!$S$8*1000000),IF(INDEX($A$5:$BP$257,MATCH(BT145,$BN$5:$BN$257,0),50)="Ferro Fundido",('Densidade do AR'!$S$12*1000000),IF(INDEX($A$5:$BP$257,MATCH(BT145,$BN$5:$BN$257,0),50)="Latão",('Densidade do AR'!$S$10*1000000),IF(INDEX($A$5:$BP$257,MATCH(BT145,$BN$5:$BN$257,0),50)="Alumínio",('Densidade do AR'!$S$4*1000000)))))))</f>
        <v>-</v>
      </c>
      <c r="BW145" s="785"/>
      <c r="BX145" s="785"/>
      <c r="BY145" s="786"/>
      <c r="BZ145" s="787" t="str">
        <f t="shared" si="52"/>
        <v>-</v>
      </c>
      <c r="CA145" s="788"/>
      <c r="CB145" s="788"/>
      <c r="CC145" s="789"/>
      <c r="CD145" s="787" t="str">
        <f t="shared" si="44"/>
        <v>-</v>
      </c>
      <c r="CE145" s="788"/>
      <c r="CF145" s="788"/>
      <c r="CG145" s="789"/>
      <c r="CH145" s="790" t="str">
        <f t="shared" si="53"/>
        <v>-</v>
      </c>
      <c r="CI145" s="785"/>
      <c r="CJ145" s="785"/>
      <c r="CK145" s="786"/>
      <c r="CL145" s="790" t="str">
        <f t="shared" si="45"/>
        <v>-</v>
      </c>
      <c r="CM145" s="785"/>
      <c r="CN145" s="785"/>
      <c r="CO145" s="786"/>
      <c r="CP145" s="790" t="str">
        <f>IF(BT145="","-",INDEX($A$5:$BP$257,MATCH(BT145,$BN$5:$BN$257,0),39)*(IF(BT145="","-",(1+(((-('Densidade do AR'!$M$4))+('Densidade do AR'!$T$15*1000000))/(IF(INDEX($A$5:$BP$257,MATCH(BT145,$BN$5:$BN$257,0),50)="Aço Inoxidável",('Densidade do AR'!$S$8*1000000),IF(INDEX($A$5:$BP$257,MATCH(BT145,$BN$5:$BN$257,0),50)="Ferro Fundido",('Densidade do AR'!$S$12*1000000),IF(INDEX($A$5:$BP$257,MATCH(BT145,$BN$5:$BN$257,0),50)="Latão",('Densidade do AR'!$S$10*1000000),IF(INDEX($A$5:$BP$257,MATCH(BT145,$BN$5:$BN$257,0),50)="Alumínio",('Densidade do AR'!$S$4*1000000)))))))-(((-('Densidade do AR'!$M$4))+('Densidade do AR'!$T$15*1000000))/('Densidade do AR'!$S$14*1000000))))))</f>
        <v>-</v>
      </c>
      <c r="CQ145" s="785"/>
      <c r="CR145" s="785"/>
      <c r="CS145" s="791"/>
      <c r="CT145" s="91" t="str">
        <f t="shared" si="54"/>
        <v>-</v>
      </c>
      <c r="CU145" s="794"/>
      <c r="CV145" s="795"/>
      <c r="CW145" s="784" t="str">
        <f>IF(CU145="","-",(IF(INDEX($A$5:$BP$257,MATCH(CU145,$BN$5:$BN$257,0),50)="Aço Inoxidável",('Densidade do AR'!$S$8*1000000),IF(INDEX($A$5:$BP$257,MATCH(CU145,$BN$5:$BN$257,0),50)="Ferro Fundido",('Densidade do AR'!$S$12*1000000),IF(INDEX($A$5:$BP$257,MATCH(CU145,$BN$5:$BN$257,0),50)="Latão",('Densidade do AR'!$S$10*1000000),IF(INDEX($A$5:$BP$257,MATCH(CU145,$BN$5:$BN$257,0),50)="Alumínio",('Densidade do AR'!$S$4*1000000)))))))</f>
        <v>-</v>
      </c>
      <c r="CX145" s="785"/>
      <c r="CY145" s="785"/>
      <c r="CZ145" s="786"/>
      <c r="DA145" s="787" t="str">
        <f t="shared" si="55"/>
        <v>-</v>
      </c>
      <c r="DB145" s="788"/>
      <c r="DC145" s="788"/>
      <c r="DD145" s="789"/>
      <c r="DE145" s="787" t="str">
        <f t="shared" si="46"/>
        <v>-</v>
      </c>
      <c r="DF145" s="788"/>
      <c r="DG145" s="788"/>
      <c r="DH145" s="789"/>
      <c r="DI145" s="790" t="str">
        <f t="shared" si="56"/>
        <v>-</v>
      </c>
      <c r="DJ145" s="785"/>
      <c r="DK145" s="785"/>
      <c r="DL145" s="786"/>
      <c r="DM145" s="790" t="str">
        <f t="shared" si="47"/>
        <v>-</v>
      </c>
      <c r="DN145" s="785"/>
      <c r="DO145" s="785"/>
      <c r="DP145" s="786"/>
      <c r="DQ145" s="790" t="str">
        <f>IF(CU145="","-",INDEX($A$5:$BP$257,MATCH(CU145,$BN$5:$BN$257,0),39)*(IF(CU145="","-",(1+(((-('Densidade do AR'!$M$4))+('Densidade do AR'!$T$15*1000000))/(IF(INDEX($A$5:$BP$257,MATCH(CU145,$BN$5:$BN$257,0),50)="Aço Inoxidável",('Densidade do AR'!$S$8*1000000),IF(INDEX($A$5:$BP$257,MATCH(CU145,$BN$5:$BN$257,0),50)="Ferro Fundido",('Densidade do AR'!$S$12*1000000),IF(INDEX($A$5:$BP$257,MATCH(CU145,$BN$5:$BN$257,0),50)="Latão",('Densidade do AR'!$S$10*1000000),IF(INDEX($A$5:$BP$257,MATCH(CU145,$BN$5:$BN$257,0),50)="Alumínio",('Densidade do AR'!$S$4*1000000)))))))-(((-('Densidade do AR'!$M$4))+('Densidade do AR'!$T$15*1000000))/('Densidade do AR'!$S$14*1000000))))))</f>
        <v>-</v>
      </c>
      <c r="DR145" s="785"/>
      <c r="DS145" s="785"/>
      <c r="DT145" s="791"/>
      <c r="DU145" s="91" t="str">
        <f t="shared" si="57"/>
        <v>-</v>
      </c>
      <c r="DV145" s="794"/>
      <c r="DW145" s="795"/>
      <c r="DX145" s="784" t="str">
        <f>IF(DV145="","-",(IF(INDEX($A$5:$BP$257,MATCH(DV145,$BN$5:$BN$257,0),50)="Aço Inoxidável",('Densidade do AR'!$S$8*1000000),IF(INDEX($A$5:$BP$257,MATCH(DV145,$BN$5:$BN$257,0),50)="Ferro Fundido",('Densidade do AR'!$S$12*1000000),IF(INDEX($A$5:$BP$257,MATCH(DV145,$BN$5:$BN$257,0),50)="Latão",('Densidade do AR'!$S$10*1000000),IF(INDEX($A$5:$BP$257,MATCH(DV145,$BN$5:$BN$257,0),50)="Alumínio",('Densidade do AR'!$S$4*1000000)))))))</f>
        <v>-</v>
      </c>
      <c r="DY145" s="785"/>
      <c r="DZ145" s="785"/>
      <c r="EA145" s="786"/>
      <c r="EB145" s="787" t="str">
        <f t="shared" si="58"/>
        <v>-</v>
      </c>
      <c r="EC145" s="788"/>
      <c r="ED145" s="788"/>
      <c r="EE145" s="789"/>
      <c r="EF145" s="787" t="str">
        <f t="shared" si="48"/>
        <v>-</v>
      </c>
      <c r="EG145" s="788"/>
      <c r="EH145" s="788"/>
      <c r="EI145" s="789"/>
      <c r="EJ145" s="790" t="str">
        <f t="shared" si="59"/>
        <v>-</v>
      </c>
      <c r="EK145" s="785"/>
      <c r="EL145" s="785"/>
      <c r="EM145" s="786"/>
      <c r="EN145" s="790" t="str">
        <f t="shared" si="49"/>
        <v>-</v>
      </c>
      <c r="EO145" s="785"/>
      <c r="EP145" s="785"/>
      <c r="EQ145" s="786"/>
      <c r="ER145" s="790" t="str">
        <f>IF(DV145="","-",INDEX($A$5:$BP$257,MATCH(DV145,$BN$5:$BN$257,0),39)*(IF(DV145="","-",(1+(((-('Densidade do AR'!$M$4))+('Densidade do AR'!$T$15*1000000))/(IF(INDEX($A$5:$BP$257,MATCH(DV145,$BN$5:$BN$257,0),50)="Aço Inoxidável",('Densidade do AR'!$S$8*1000000),IF(INDEX($A$5:$BP$257,MATCH(DV145,$BN$5:$BN$257,0),50)="Ferro Fundido",('Densidade do AR'!$S$12*1000000),IF(INDEX($A$5:$BP$257,MATCH(DV145,$BN$5:$BN$257,0),50)="Latão",('Densidade do AR'!$S$10*1000000),IF(INDEX($A$5:$BP$257,MATCH(DV145,$BN$5:$BN$257,0),50)="Alumínio",('Densidade do AR'!$S$4*1000000)))))))-(((-('Densidade do AR'!$M$4))+('Densidade do AR'!$T$15*1000000))/('Densidade do AR'!$S$14*1000000))))))</f>
        <v>-</v>
      </c>
      <c r="ES145" s="785"/>
      <c r="ET145" s="785"/>
      <c r="EU145" s="791"/>
      <c r="EV145" s="91" t="str">
        <f t="shared" si="60"/>
        <v>-</v>
      </c>
      <c r="EW145" s="794"/>
      <c r="EX145" s="795"/>
      <c r="EY145" s="784" t="str">
        <f>IF(EW145="","-",(IF(INDEX($A$5:$BP$257,MATCH(EW145,$BN$5:$BN$257,0),50)="Aço Inoxidável",('Densidade do AR'!$S$8*1000000),IF(INDEX($A$5:$BP$257,MATCH(EW145,$BN$5:$BN$257,0),50)="Ferro Fundido",('Densidade do AR'!$S$12*1000000),IF(INDEX($A$5:$BP$257,MATCH(EW145,$BN$5:$BN$257,0),50)="Latão",('Densidade do AR'!$S$10*1000000),IF(INDEX($A$5:$BP$257,MATCH(EW145,$BN$5:$BN$257,0),50)="Alumínio",('Densidade do AR'!$S$4*1000000)))))))</f>
        <v>-</v>
      </c>
      <c r="EZ145" s="785"/>
      <c r="FA145" s="785"/>
      <c r="FB145" s="786"/>
      <c r="FC145" s="787" t="str">
        <f t="shared" si="61"/>
        <v>-</v>
      </c>
      <c r="FD145" s="788"/>
      <c r="FE145" s="788"/>
      <c r="FF145" s="789"/>
      <c r="FG145" s="787" t="str">
        <f t="shared" si="50"/>
        <v>-</v>
      </c>
      <c r="FH145" s="788"/>
      <c r="FI145" s="788"/>
      <c r="FJ145" s="789"/>
      <c r="FK145" s="790" t="str">
        <f t="shared" si="62"/>
        <v>-</v>
      </c>
      <c r="FL145" s="785"/>
      <c r="FM145" s="785"/>
      <c r="FN145" s="786"/>
      <c r="FO145" s="790" t="str">
        <f t="shared" si="51"/>
        <v>-</v>
      </c>
      <c r="FP145" s="785"/>
      <c r="FQ145" s="785"/>
      <c r="FR145" s="786"/>
      <c r="FS145" s="790" t="str">
        <f>IF(EW145="","-",INDEX($A$5:$BP$257,MATCH(EW145,$BN$5:$BN$257,0),39)*(IF(EW145="","-",(1+(((-('Densidade do AR'!$M$4))+('Densidade do AR'!$T$15*1000000))/(IF(INDEX($A$5:$BP$257,MATCH(EW145,$BN$5:$BN$257,0),50)="Aço Inoxidável",('Densidade do AR'!$S$8*1000000),IF(INDEX($A$5:$BP$257,MATCH(EW145,$BN$5:$BN$257,0),50)="Ferro Fundido",('Densidade do AR'!$S$12*1000000),IF(INDEX($A$5:$BP$257,MATCH(EW145,$BN$5:$BN$257,0),50)="Latão",('Densidade do AR'!$S$10*1000000),IF(INDEX($A$5:$BP$257,MATCH(EW145,$BN$5:$BN$257,0),50)="Alumínio",('Densidade do AR'!$S$4*1000000)))))))-(((-('Densidade do AR'!$M$4))+('Densidade do AR'!$T$15*1000000))/('Densidade do AR'!$S$14*1000000))))))</f>
        <v>-</v>
      </c>
      <c r="FT145" s="785"/>
      <c r="FU145" s="785"/>
      <c r="FV145" s="791"/>
      <c r="FW145" s="91" t="str">
        <f t="shared" si="63"/>
        <v>-</v>
      </c>
      <c r="FX145" s="135"/>
    </row>
    <row r="146" spans="1:180" ht="12.75" customHeight="1" x14ac:dyDescent="0.2">
      <c r="A146" s="718">
        <v>142</v>
      </c>
      <c r="B146" s="713"/>
      <c r="C146" s="719"/>
      <c r="D146" s="709"/>
      <c r="E146" s="709"/>
      <c r="F146" s="709"/>
      <c r="G146" s="710"/>
      <c r="H146" s="720"/>
      <c r="I146" s="712"/>
      <c r="J146" s="712"/>
      <c r="K146" s="713"/>
      <c r="L146" s="719"/>
      <c r="M146" s="709"/>
      <c r="N146" s="709"/>
      <c r="O146" s="709"/>
      <c r="P146" s="719"/>
      <c r="Q146" s="709"/>
      <c r="R146" s="709"/>
      <c r="S146" s="709"/>
      <c r="T146" s="710"/>
      <c r="U146" s="721"/>
      <c r="V146" s="722"/>
      <c r="W146" s="722"/>
      <c r="X146" s="722"/>
      <c r="Y146" s="722"/>
      <c r="Z146" s="722"/>
      <c r="AA146" s="723"/>
      <c r="AB146" s="853"/>
      <c r="AC146" s="854"/>
      <c r="AD146" s="854"/>
      <c r="AE146" s="854"/>
      <c r="AF146" s="854"/>
      <c r="AG146" s="854"/>
      <c r="AH146" s="854"/>
      <c r="AI146" s="854"/>
      <c r="AJ146" s="854"/>
      <c r="AK146" s="854"/>
      <c r="AL146" s="855"/>
      <c r="AM146" s="909"/>
      <c r="AN146" s="712"/>
      <c r="AO146" s="712"/>
      <c r="AP146" s="712"/>
      <c r="AQ146" s="712"/>
      <c r="AR146" s="712"/>
      <c r="AS146" s="713"/>
      <c r="AT146" s="909"/>
      <c r="AU146" s="712"/>
      <c r="AV146" s="712"/>
      <c r="AW146" s="713"/>
      <c r="AX146" s="908"/>
      <c r="AY146" s="712"/>
      <c r="AZ146" s="712"/>
      <c r="BA146" s="712"/>
      <c r="BB146" s="712"/>
      <c r="BC146" s="713"/>
      <c r="BD146" s="909"/>
      <c r="BE146" s="712"/>
      <c r="BF146" s="712"/>
      <c r="BG146" s="713"/>
      <c r="BH146" s="908"/>
      <c r="BI146" s="712"/>
      <c r="BJ146" s="712"/>
      <c r="BK146" s="712"/>
      <c r="BL146" s="910"/>
      <c r="BN146" s="881"/>
      <c r="BO146" s="709"/>
      <c r="BP146" s="884"/>
      <c r="BT146" s="792"/>
      <c r="BU146" s="793"/>
      <c r="BV146" s="738" t="str">
        <f>IF(BT146="","-",(IF(INDEX($A$5:$BP$257,MATCH(BT146,$BN$5:$BN$257,0),50)="Aço Inoxidável",('Densidade do AR'!$S$8*1000000),IF(INDEX($A$5:$BP$257,MATCH(BT146,$BN$5:$BN$257,0),50)="Ferro Fundido",('Densidade do AR'!$S$12*1000000),IF(INDEX($A$5:$BP$257,MATCH(BT146,$BN$5:$BN$257,0),50)="Latão",('Densidade do AR'!$S$10*1000000),IF(INDEX($A$5:$BP$257,MATCH(BT146,$BN$5:$BN$257,0),50)="Alumínio",('Densidade do AR'!$S$4*1000000)))))))</f>
        <v>-</v>
      </c>
      <c r="BW146" s="739"/>
      <c r="BX146" s="739"/>
      <c r="BY146" s="740"/>
      <c r="BZ146" s="741" t="str">
        <f t="shared" si="52"/>
        <v>-</v>
      </c>
      <c r="CA146" s="742"/>
      <c r="CB146" s="742"/>
      <c r="CC146" s="743"/>
      <c r="CD146" s="741" t="str">
        <f t="shared" si="44"/>
        <v>-</v>
      </c>
      <c r="CE146" s="742"/>
      <c r="CF146" s="742"/>
      <c r="CG146" s="743"/>
      <c r="CH146" s="744" t="str">
        <f t="shared" si="53"/>
        <v>-</v>
      </c>
      <c r="CI146" s="739"/>
      <c r="CJ146" s="739"/>
      <c r="CK146" s="740"/>
      <c r="CL146" s="744" t="str">
        <f t="shared" si="45"/>
        <v>-</v>
      </c>
      <c r="CM146" s="739"/>
      <c r="CN146" s="739"/>
      <c r="CO146" s="740"/>
      <c r="CP146" s="744" t="str">
        <f>IF(BT146="","-",INDEX($A$5:$BP$257,MATCH(BT146,$BN$5:$BN$257,0),39)*(IF(BT146="","-",(1+(((-('Densidade do AR'!$M$4))+('Densidade do AR'!$T$15*1000000))/(IF(INDEX($A$5:$BP$257,MATCH(BT146,$BN$5:$BN$257,0),50)="Aço Inoxidável",('Densidade do AR'!$S$8*1000000),IF(INDEX($A$5:$BP$257,MATCH(BT146,$BN$5:$BN$257,0),50)="Ferro Fundido",('Densidade do AR'!$S$12*1000000),IF(INDEX($A$5:$BP$257,MATCH(BT146,$BN$5:$BN$257,0),50)="Latão",('Densidade do AR'!$S$10*1000000),IF(INDEX($A$5:$BP$257,MATCH(BT146,$BN$5:$BN$257,0),50)="Alumínio",('Densidade do AR'!$S$4*1000000)))))))-(((-('Densidade do AR'!$M$4))+('Densidade do AR'!$T$15*1000000))/('Densidade do AR'!$S$14*1000000))))))</f>
        <v>-</v>
      </c>
      <c r="CQ146" s="739"/>
      <c r="CR146" s="739"/>
      <c r="CS146" s="745"/>
      <c r="CT146" s="91" t="str">
        <f t="shared" si="54"/>
        <v>-</v>
      </c>
      <c r="CU146" s="792"/>
      <c r="CV146" s="793"/>
      <c r="CW146" s="738" t="str">
        <f>IF(CU146="","-",(IF(INDEX($A$5:$BP$257,MATCH(CU146,$BN$5:$BN$257,0),50)="Aço Inoxidável",('Densidade do AR'!$S$8*1000000),IF(INDEX($A$5:$BP$257,MATCH(CU146,$BN$5:$BN$257,0),50)="Ferro Fundido",('Densidade do AR'!$S$12*1000000),IF(INDEX($A$5:$BP$257,MATCH(CU146,$BN$5:$BN$257,0),50)="Latão",('Densidade do AR'!$S$10*1000000),IF(INDEX($A$5:$BP$257,MATCH(CU146,$BN$5:$BN$257,0),50)="Alumínio",('Densidade do AR'!$S$4*1000000)))))))</f>
        <v>-</v>
      </c>
      <c r="CX146" s="739"/>
      <c r="CY146" s="739"/>
      <c r="CZ146" s="740"/>
      <c r="DA146" s="741" t="str">
        <f t="shared" si="55"/>
        <v>-</v>
      </c>
      <c r="DB146" s="742"/>
      <c r="DC146" s="742"/>
      <c r="DD146" s="743"/>
      <c r="DE146" s="741" t="str">
        <f t="shared" si="46"/>
        <v>-</v>
      </c>
      <c r="DF146" s="742"/>
      <c r="DG146" s="742"/>
      <c r="DH146" s="743"/>
      <c r="DI146" s="744" t="str">
        <f t="shared" si="56"/>
        <v>-</v>
      </c>
      <c r="DJ146" s="739"/>
      <c r="DK146" s="739"/>
      <c r="DL146" s="740"/>
      <c r="DM146" s="744" t="str">
        <f t="shared" si="47"/>
        <v>-</v>
      </c>
      <c r="DN146" s="739"/>
      <c r="DO146" s="739"/>
      <c r="DP146" s="740"/>
      <c r="DQ146" s="744" t="str">
        <f>IF(CU146="","-",INDEX($A$5:$BP$257,MATCH(CU146,$BN$5:$BN$257,0),39)*(IF(CU146="","-",(1+(((-('Densidade do AR'!$M$4))+('Densidade do AR'!$T$15*1000000))/(IF(INDEX($A$5:$BP$257,MATCH(CU146,$BN$5:$BN$257,0),50)="Aço Inoxidável",('Densidade do AR'!$S$8*1000000),IF(INDEX($A$5:$BP$257,MATCH(CU146,$BN$5:$BN$257,0),50)="Ferro Fundido",('Densidade do AR'!$S$12*1000000),IF(INDEX($A$5:$BP$257,MATCH(CU146,$BN$5:$BN$257,0),50)="Latão",('Densidade do AR'!$S$10*1000000),IF(INDEX($A$5:$BP$257,MATCH(CU146,$BN$5:$BN$257,0),50)="Alumínio",('Densidade do AR'!$S$4*1000000)))))))-(((-('Densidade do AR'!$M$4))+('Densidade do AR'!$T$15*1000000))/('Densidade do AR'!$S$14*1000000))))))</f>
        <v>-</v>
      </c>
      <c r="DR146" s="739"/>
      <c r="DS146" s="739"/>
      <c r="DT146" s="745"/>
      <c r="DU146" s="91" t="str">
        <f t="shared" si="57"/>
        <v>-</v>
      </c>
      <c r="DV146" s="792"/>
      <c r="DW146" s="793"/>
      <c r="DX146" s="738" t="str">
        <f>IF(DV146="","-",(IF(INDEX($A$5:$BP$257,MATCH(DV146,$BN$5:$BN$257,0),50)="Aço Inoxidável",('Densidade do AR'!$S$8*1000000),IF(INDEX($A$5:$BP$257,MATCH(DV146,$BN$5:$BN$257,0),50)="Ferro Fundido",('Densidade do AR'!$S$12*1000000),IF(INDEX($A$5:$BP$257,MATCH(DV146,$BN$5:$BN$257,0),50)="Latão",('Densidade do AR'!$S$10*1000000),IF(INDEX($A$5:$BP$257,MATCH(DV146,$BN$5:$BN$257,0),50)="Alumínio",('Densidade do AR'!$S$4*1000000)))))))</f>
        <v>-</v>
      </c>
      <c r="DY146" s="739"/>
      <c r="DZ146" s="739"/>
      <c r="EA146" s="740"/>
      <c r="EB146" s="741" t="str">
        <f t="shared" si="58"/>
        <v>-</v>
      </c>
      <c r="EC146" s="742"/>
      <c r="ED146" s="742"/>
      <c r="EE146" s="743"/>
      <c r="EF146" s="741" t="str">
        <f t="shared" si="48"/>
        <v>-</v>
      </c>
      <c r="EG146" s="742"/>
      <c r="EH146" s="742"/>
      <c r="EI146" s="743"/>
      <c r="EJ146" s="744" t="str">
        <f t="shared" si="59"/>
        <v>-</v>
      </c>
      <c r="EK146" s="739"/>
      <c r="EL146" s="739"/>
      <c r="EM146" s="740"/>
      <c r="EN146" s="744" t="str">
        <f t="shared" si="49"/>
        <v>-</v>
      </c>
      <c r="EO146" s="739"/>
      <c r="EP146" s="739"/>
      <c r="EQ146" s="740"/>
      <c r="ER146" s="744" t="str">
        <f>IF(DV146="","-",INDEX($A$5:$BP$257,MATCH(DV146,$BN$5:$BN$257,0),39)*(IF(DV146="","-",(1+(((-('Densidade do AR'!$M$4))+('Densidade do AR'!$T$15*1000000))/(IF(INDEX($A$5:$BP$257,MATCH(DV146,$BN$5:$BN$257,0),50)="Aço Inoxidável",('Densidade do AR'!$S$8*1000000),IF(INDEX($A$5:$BP$257,MATCH(DV146,$BN$5:$BN$257,0),50)="Ferro Fundido",('Densidade do AR'!$S$12*1000000),IF(INDEX($A$5:$BP$257,MATCH(DV146,$BN$5:$BN$257,0),50)="Latão",('Densidade do AR'!$S$10*1000000),IF(INDEX($A$5:$BP$257,MATCH(DV146,$BN$5:$BN$257,0),50)="Alumínio",('Densidade do AR'!$S$4*1000000)))))))-(((-('Densidade do AR'!$M$4))+('Densidade do AR'!$T$15*1000000))/('Densidade do AR'!$S$14*1000000))))))</f>
        <v>-</v>
      </c>
      <c r="ES146" s="739"/>
      <c r="ET146" s="739"/>
      <c r="EU146" s="745"/>
      <c r="EV146" s="91" t="str">
        <f t="shared" si="60"/>
        <v>-</v>
      </c>
      <c r="EW146" s="792"/>
      <c r="EX146" s="793"/>
      <c r="EY146" s="738" t="str">
        <f>IF(EW146="","-",(IF(INDEX($A$5:$BP$257,MATCH(EW146,$BN$5:$BN$257,0),50)="Aço Inoxidável",('Densidade do AR'!$S$8*1000000),IF(INDEX($A$5:$BP$257,MATCH(EW146,$BN$5:$BN$257,0),50)="Ferro Fundido",('Densidade do AR'!$S$12*1000000),IF(INDEX($A$5:$BP$257,MATCH(EW146,$BN$5:$BN$257,0),50)="Latão",('Densidade do AR'!$S$10*1000000),IF(INDEX($A$5:$BP$257,MATCH(EW146,$BN$5:$BN$257,0),50)="Alumínio",('Densidade do AR'!$S$4*1000000)))))))</f>
        <v>-</v>
      </c>
      <c r="EZ146" s="739"/>
      <c r="FA146" s="739"/>
      <c r="FB146" s="740"/>
      <c r="FC146" s="741" t="str">
        <f t="shared" si="61"/>
        <v>-</v>
      </c>
      <c r="FD146" s="742"/>
      <c r="FE146" s="742"/>
      <c r="FF146" s="743"/>
      <c r="FG146" s="741" t="str">
        <f t="shared" si="50"/>
        <v>-</v>
      </c>
      <c r="FH146" s="742"/>
      <c r="FI146" s="742"/>
      <c r="FJ146" s="743"/>
      <c r="FK146" s="744" t="str">
        <f t="shared" si="62"/>
        <v>-</v>
      </c>
      <c r="FL146" s="739"/>
      <c r="FM146" s="739"/>
      <c r="FN146" s="740"/>
      <c r="FO146" s="744" t="str">
        <f t="shared" si="51"/>
        <v>-</v>
      </c>
      <c r="FP146" s="739"/>
      <c r="FQ146" s="739"/>
      <c r="FR146" s="740"/>
      <c r="FS146" s="744" t="str">
        <f>IF(EW146="","-",INDEX($A$5:$BP$257,MATCH(EW146,$BN$5:$BN$257,0),39)*(IF(EW146="","-",(1+(((-('Densidade do AR'!$M$4))+('Densidade do AR'!$T$15*1000000))/(IF(INDEX($A$5:$BP$257,MATCH(EW146,$BN$5:$BN$257,0),50)="Aço Inoxidável",('Densidade do AR'!$S$8*1000000),IF(INDEX($A$5:$BP$257,MATCH(EW146,$BN$5:$BN$257,0),50)="Ferro Fundido",('Densidade do AR'!$S$12*1000000),IF(INDEX($A$5:$BP$257,MATCH(EW146,$BN$5:$BN$257,0),50)="Latão",('Densidade do AR'!$S$10*1000000),IF(INDEX($A$5:$BP$257,MATCH(EW146,$BN$5:$BN$257,0),50)="Alumínio",('Densidade do AR'!$S$4*1000000)))))))-(((-('Densidade do AR'!$M$4))+('Densidade do AR'!$T$15*1000000))/('Densidade do AR'!$S$14*1000000))))))</f>
        <v>-</v>
      </c>
      <c r="FT146" s="739"/>
      <c r="FU146" s="739"/>
      <c r="FV146" s="745"/>
      <c r="FW146" s="91" t="str">
        <f t="shared" si="63"/>
        <v>-</v>
      </c>
      <c r="FX146" s="135"/>
    </row>
    <row r="147" spans="1:180" ht="12.75" customHeight="1" x14ac:dyDescent="0.2">
      <c r="A147" s="717">
        <v>143</v>
      </c>
      <c r="B147" s="713"/>
      <c r="C147" s="708"/>
      <c r="D147" s="709"/>
      <c r="E147" s="709"/>
      <c r="F147" s="709"/>
      <c r="G147" s="710"/>
      <c r="H147" s="711"/>
      <c r="I147" s="712"/>
      <c r="J147" s="712"/>
      <c r="K147" s="713"/>
      <c r="L147" s="708"/>
      <c r="M147" s="709"/>
      <c r="N147" s="709"/>
      <c r="O147" s="709"/>
      <c r="P147" s="708"/>
      <c r="Q147" s="709"/>
      <c r="R147" s="709"/>
      <c r="S147" s="709"/>
      <c r="T147" s="710"/>
      <c r="U147" s="714"/>
      <c r="V147" s="715"/>
      <c r="W147" s="715"/>
      <c r="X147" s="715"/>
      <c r="Y147" s="715"/>
      <c r="Z147" s="715"/>
      <c r="AA147" s="716"/>
      <c r="AB147" s="850"/>
      <c r="AC147" s="851"/>
      <c r="AD147" s="851"/>
      <c r="AE147" s="851"/>
      <c r="AF147" s="851"/>
      <c r="AG147" s="851"/>
      <c r="AH147" s="851"/>
      <c r="AI147" s="851"/>
      <c r="AJ147" s="851"/>
      <c r="AK147" s="851"/>
      <c r="AL147" s="852"/>
      <c r="AM147" s="917"/>
      <c r="AN147" s="712"/>
      <c r="AO147" s="712"/>
      <c r="AP147" s="712"/>
      <c r="AQ147" s="712"/>
      <c r="AR147" s="712"/>
      <c r="AS147" s="713"/>
      <c r="AT147" s="917"/>
      <c r="AU147" s="712"/>
      <c r="AV147" s="712"/>
      <c r="AW147" s="713"/>
      <c r="AX147" s="917"/>
      <c r="AY147" s="712"/>
      <c r="AZ147" s="712"/>
      <c r="BA147" s="712"/>
      <c r="BB147" s="712"/>
      <c r="BC147" s="713"/>
      <c r="BD147" s="917"/>
      <c r="BE147" s="712"/>
      <c r="BF147" s="712"/>
      <c r="BG147" s="713"/>
      <c r="BH147" s="918"/>
      <c r="BI147" s="712"/>
      <c r="BJ147" s="712"/>
      <c r="BK147" s="712"/>
      <c r="BL147" s="910"/>
      <c r="BN147" s="878"/>
      <c r="BO147" s="709"/>
      <c r="BP147" s="884"/>
      <c r="BT147" s="794"/>
      <c r="BU147" s="795"/>
      <c r="BV147" s="784" t="str">
        <f>IF(BT147="","-",(IF(INDEX($A$5:$BP$257,MATCH(BT147,$BN$5:$BN$257,0),50)="Aço Inoxidável",('Densidade do AR'!$S$8*1000000),IF(INDEX($A$5:$BP$257,MATCH(BT147,$BN$5:$BN$257,0),50)="Ferro Fundido",('Densidade do AR'!$S$12*1000000),IF(INDEX($A$5:$BP$257,MATCH(BT147,$BN$5:$BN$257,0),50)="Latão",('Densidade do AR'!$S$10*1000000),IF(INDEX($A$5:$BP$257,MATCH(BT147,$BN$5:$BN$257,0),50)="Alumínio",('Densidade do AR'!$S$4*1000000)))))))</f>
        <v>-</v>
      </c>
      <c r="BW147" s="785"/>
      <c r="BX147" s="785"/>
      <c r="BY147" s="786"/>
      <c r="BZ147" s="787" t="str">
        <f t="shared" si="52"/>
        <v>-</v>
      </c>
      <c r="CA147" s="788"/>
      <c r="CB147" s="788"/>
      <c r="CC147" s="789"/>
      <c r="CD147" s="787" t="str">
        <f t="shared" si="44"/>
        <v>-</v>
      </c>
      <c r="CE147" s="788"/>
      <c r="CF147" s="788"/>
      <c r="CG147" s="789"/>
      <c r="CH147" s="790" t="str">
        <f t="shared" si="53"/>
        <v>-</v>
      </c>
      <c r="CI147" s="785"/>
      <c r="CJ147" s="785"/>
      <c r="CK147" s="786"/>
      <c r="CL147" s="790" t="str">
        <f t="shared" si="45"/>
        <v>-</v>
      </c>
      <c r="CM147" s="785"/>
      <c r="CN147" s="785"/>
      <c r="CO147" s="786"/>
      <c r="CP147" s="790" t="str">
        <f>IF(BT147="","-",INDEX($A$5:$BP$257,MATCH(BT147,$BN$5:$BN$257,0),39)*(IF(BT147="","-",(1+(((-('Densidade do AR'!$M$4))+('Densidade do AR'!$T$15*1000000))/(IF(INDEX($A$5:$BP$257,MATCH(BT147,$BN$5:$BN$257,0),50)="Aço Inoxidável",('Densidade do AR'!$S$8*1000000),IF(INDEX($A$5:$BP$257,MATCH(BT147,$BN$5:$BN$257,0),50)="Ferro Fundido",('Densidade do AR'!$S$12*1000000),IF(INDEX($A$5:$BP$257,MATCH(BT147,$BN$5:$BN$257,0),50)="Latão",('Densidade do AR'!$S$10*1000000),IF(INDEX($A$5:$BP$257,MATCH(BT147,$BN$5:$BN$257,0),50)="Alumínio",('Densidade do AR'!$S$4*1000000)))))))-(((-('Densidade do AR'!$M$4))+('Densidade do AR'!$T$15*1000000))/('Densidade do AR'!$S$14*1000000))))))</f>
        <v>-</v>
      </c>
      <c r="CQ147" s="785"/>
      <c r="CR147" s="785"/>
      <c r="CS147" s="791"/>
      <c r="CT147" s="91" t="str">
        <f t="shared" si="54"/>
        <v>-</v>
      </c>
      <c r="CU147" s="794"/>
      <c r="CV147" s="795"/>
      <c r="CW147" s="784" t="str">
        <f>IF(CU147="","-",(IF(INDEX($A$5:$BP$257,MATCH(CU147,$BN$5:$BN$257,0),50)="Aço Inoxidável",('Densidade do AR'!$S$8*1000000),IF(INDEX($A$5:$BP$257,MATCH(CU147,$BN$5:$BN$257,0),50)="Ferro Fundido",('Densidade do AR'!$S$12*1000000),IF(INDEX($A$5:$BP$257,MATCH(CU147,$BN$5:$BN$257,0),50)="Latão",('Densidade do AR'!$S$10*1000000),IF(INDEX($A$5:$BP$257,MATCH(CU147,$BN$5:$BN$257,0),50)="Alumínio",('Densidade do AR'!$S$4*1000000)))))))</f>
        <v>-</v>
      </c>
      <c r="CX147" s="785"/>
      <c r="CY147" s="785"/>
      <c r="CZ147" s="786"/>
      <c r="DA147" s="787" t="str">
        <f t="shared" si="55"/>
        <v>-</v>
      </c>
      <c r="DB147" s="788"/>
      <c r="DC147" s="788"/>
      <c r="DD147" s="789"/>
      <c r="DE147" s="787" t="str">
        <f t="shared" si="46"/>
        <v>-</v>
      </c>
      <c r="DF147" s="788"/>
      <c r="DG147" s="788"/>
      <c r="DH147" s="789"/>
      <c r="DI147" s="790" t="str">
        <f t="shared" si="56"/>
        <v>-</v>
      </c>
      <c r="DJ147" s="785"/>
      <c r="DK147" s="785"/>
      <c r="DL147" s="786"/>
      <c r="DM147" s="790" t="str">
        <f t="shared" si="47"/>
        <v>-</v>
      </c>
      <c r="DN147" s="785"/>
      <c r="DO147" s="785"/>
      <c r="DP147" s="786"/>
      <c r="DQ147" s="790" t="str">
        <f>IF(CU147="","-",INDEX($A$5:$BP$257,MATCH(CU147,$BN$5:$BN$257,0),39)*(IF(CU147="","-",(1+(((-('Densidade do AR'!$M$4))+('Densidade do AR'!$T$15*1000000))/(IF(INDEX($A$5:$BP$257,MATCH(CU147,$BN$5:$BN$257,0),50)="Aço Inoxidável",('Densidade do AR'!$S$8*1000000),IF(INDEX($A$5:$BP$257,MATCH(CU147,$BN$5:$BN$257,0),50)="Ferro Fundido",('Densidade do AR'!$S$12*1000000),IF(INDEX($A$5:$BP$257,MATCH(CU147,$BN$5:$BN$257,0),50)="Latão",('Densidade do AR'!$S$10*1000000),IF(INDEX($A$5:$BP$257,MATCH(CU147,$BN$5:$BN$257,0),50)="Alumínio",('Densidade do AR'!$S$4*1000000)))))))-(((-('Densidade do AR'!$M$4))+('Densidade do AR'!$T$15*1000000))/('Densidade do AR'!$S$14*1000000))))))</f>
        <v>-</v>
      </c>
      <c r="DR147" s="785"/>
      <c r="DS147" s="785"/>
      <c r="DT147" s="791"/>
      <c r="DU147" s="91" t="str">
        <f t="shared" si="57"/>
        <v>-</v>
      </c>
      <c r="DV147" s="794"/>
      <c r="DW147" s="795"/>
      <c r="DX147" s="784" t="str">
        <f>IF(DV147="","-",(IF(INDEX($A$5:$BP$257,MATCH(DV147,$BN$5:$BN$257,0),50)="Aço Inoxidável",('Densidade do AR'!$S$8*1000000),IF(INDEX($A$5:$BP$257,MATCH(DV147,$BN$5:$BN$257,0),50)="Ferro Fundido",('Densidade do AR'!$S$12*1000000),IF(INDEX($A$5:$BP$257,MATCH(DV147,$BN$5:$BN$257,0),50)="Latão",('Densidade do AR'!$S$10*1000000),IF(INDEX($A$5:$BP$257,MATCH(DV147,$BN$5:$BN$257,0),50)="Alumínio",('Densidade do AR'!$S$4*1000000)))))))</f>
        <v>-</v>
      </c>
      <c r="DY147" s="785"/>
      <c r="DZ147" s="785"/>
      <c r="EA147" s="786"/>
      <c r="EB147" s="787" t="str">
        <f t="shared" si="58"/>
        <v>-</v>
      </c>
      <c r="EC147" s="788"/>
      <c r="ED147" s="788"/>
      <c r="EE147" s="789"/>
      <c r="EF147" s="787" t="str">
        <f t="shared" si="48"/>
        <v>-</v>
      </c>
      <c r="EG147" s="788"/>
      <c r="EH147" s="788"/>
      <c r="EI147" s="789"/>
      <c r="EJ147" s="790" t="str">
        <f t="shared" si="59"/>
        <v>-</v>
      </c>
      <c r="EK147" s="785"/>
      <c r="EL147" s="785"/>
      <c r="EM147" s="786"/>
      <c r="EN147" s="790" t="str">
        <f t="shared" si="49"/>
        <v>-</v>
      </c>
      <c r="EO147" s="785"/>
      <c r="EP147" s="785"/>
      <c r="EQ147" s="786"/>
      <c r="ER147" s="790" t="str">
        <f>IF(DV147="","-",INDEX($A$5:$BP$257,MATCH(DV147,$BN$5:$BN$257,0),39)*(IF(DV147="","-",(1+(((-('Densidade do AR'!$M$4))+('Densidade do AR'!$T$15*1000000))/(IF(INDEX($A$5:$BP$257,MATCH(DV147,$BN$5:$BN$257,0),50)="Aço Inoxidável",('Densidade do AR'!$S$8*1000000),IF(INDEX($A$5:$BP$257,MATCH(DV147,$BN$5:$BN$257,0),50)="Ferro Fundido",('Densidade do AR'!$S$12*1000000),IF(INDEX($A$5:$BP$257,MATCH(DV147,$BN$5:$BN$257,0),50)="Latão",('Densidade do AR'!$S$10*1000000),IF(INDEX($A$5:$BP$257,MATCH(DV147,$BN$5:$BN$257,0),50)="Alumínio",('Densidade do AR'!$S$4*1000000)))))))-(((-('Densidade do AR'!$M$4))+('Densidade do AR'!$T$15*1000000))/('Densidade do AR'!$S$14*1000000))))))</f>
        <v>-</v>
      </c>
      <c r="ES147" s="785"/>
      <c r="ET147" s="785"/>
      <c r="EU147" s="791"/>
      <c r="EV147" s="91" t="str">
        <f t="shared" si="60"/>
        <v>-</v>
      </c>
      <c r="EW147" s="794"/>
      <c r="EX147" s="795"/>
      <c r="EY147" s="784" t="str">
        <f>IF(EW147="","-",(IF(INDEX($A$5:$BP$257,MATCH(EW147,$BN$5:$BN$257,0),50)="Aço Inoxidável",('Densidade do AR'!$S$8*1000000),IF(INDEX($A$5:$BP$257,MATCH(EW147,$BN$5:$BN$257,0),50)="Ferro Fundido",('Densidade do AR'!$S$12*1000000),IF(INDEX($A$5:$BP$257,MATCH(EW147,$BN$5:$BN$257,0),50)="Latão",('Densidade do AR'!$S$10*1000000),IF(INDEX($A$5:$BP$257,MATCH(EW147,$BN$5:$BN$257,0),50)="Alumínio",('Densidade do AR'!$S$4*1000000)))))))</f>
        <v>-</v>
      </c>
      <c r="EZ147" s="785"/>
      <c r="FA147" s="785"/>
      <c r="FB147" s="786"/>
      <c r="FC147" s="787" t="str">
        <f t="shared" si="61"/>
        <v>-</v>
      </c>
      <c r="FD147" s="788"/>
      <c r="FE147" s="788"/>
      <c r="FF147" s="789"/>
      <c r="FG147" s="787" t="str">
        <f t="shared" si="50"/>
        <v>-</v>
      </c>
      <c r="FH147" s="788"/>
      <c r="FI147" s="788"/>
      <c r="FJ147" s="789"/>
      <c r="FK147" s="790" t="str">
        <f t="shared" si="62"/>
        <v>-</v>
      </c>
      <c r="FL147" s="785"/>
      <c r="FM147" s="785"/>
      <c r="FN147" s="786"/>
      <c r="FO147" s="790" t="str">
        <f t="shared" si="51"/>
        <v>-</v>
      </c>
      <c r="FP147" s="785"/>
      <c r="FQ147" s="785"/>
      <c r="FR147" s="786"/>
      <c r="FS147" s="790" t="str">
        <f>IF(EW147="","-",INDEX($A$5:$BP$257,MATCH(EW147,$BN$5:$BN$257,0),39)*(IF(EW147="","-",(1+(((-('Densidade do AR'!$M$4))+('Densidade do AR'!$T$15*1000000))/(IF(INDEX($A$5:$BP$257,MATCH(EW147,$BN$5:$BN$257,0),50)="Aço Inoxidável",('Densidade do AR'!$S$8*1000000),IF(INDEX($A$5:$BP$257,MATCH(EW147,$BN$5:$BN$257,0),50)="Ferro Fundido",('Densidade do AR'!$S$12*1000000),IF(INDEX($A$5:$BP$257,MATCH(EW147,$BN$5:$BN$257,0),50)="Latão",('Densidade do AR'!$S$10*1000000),IF(INDEX($A$5:$BP$257,MATCH(EW147,$BN$5:$BN$257,0),50)="Alumínio",('Densidade do AR'!$S$4*1000000)))))))-(((-('Densidade do AR'!$M$4))+('Densidade do AR'!$T$15*1000000))/('Densidade do AR'!$S$14*1000000))))))</f>
        <v>-</v>
      </c>
      <c r="FT147" s="785"/>
      <c r="FU147" s="785"/>
      <c r="FV147" s="791"/>
      <c r="FW147" s="91" t="str">
        <f t="shared" si="63"/>
        <v>-</v>
      </c>
      <c r="FX147" s="135"/>
    </row>
    <row r="148" spans="1:180" ht="12.75" customHeight="1" x14ac:dyDescent="0.2">
      <c r="A148" s="718">
        <v>144</v>
      </c>
      <c r="B148" s="713"/>
      <c r="C148" s="719"/>
      <c r="D148" s="709"/>
      <c r="E148" s="709"/>
      <c r="F148" s="709"/>
      <c r="G148" s="710"/>
      <c r="H148" s="720"/>
      <c r="I148" s="712"/>
      <c r="J148" s="712"/>
      <c r="K148" s="713"/>
      <c r="L148" s="719"/>
      <c r="M148" s="709"/>
      <c r="N148" s="709"/>
      <c r="O148" s="709"/>
      <c r="P148" s="719"/>
      <c r="Q148" s="709"/>
      <c r="R148" s="709"/>
      <c r="S148" s="709"/>
      <c r="T148" s="710"/>
      <c r="U148" s="721"/>
      <c r="V148" s="722"/>
      <c r="W148" s="722"/>
      <c r="X148" s="722"/>
      <c r="Y148" s="722"/>
      <c r="Z148" s="722"/>
      <c r="AA148" s="723"/>
      <c r="AB148" s="853"/>
      <c r="AC148" s="854"/>
      <c r="AD148" s="854"/>
      <c r="AE148" s="854"/>
      <c r="AF148" s="854"/>
      <c r="AG148" s="854"/>
      <c r="AH148" s="854"/>
      <c r="AI148" s="854"/>
      <c r="AJ148" s="854"/>
      <c r="AK148" s="854"/>
      <c r="AL148" s="855"/>
      <c r="AM148" s="909"/>
      <c r="AN148" s="712"/>
      <c r="AO148" s="712"/>
      <c r="AP148" s="712"/>
      <c r="AQ148" s="712"/>
      <c r="AR148" s="712"/>
      <c r="AS148" s="713"/>
      <c r="AT148" s="909"/>
      <c r="AU148" s="712"/>
      <c r="AV148" s="712"/>
      <c r="AW148" s="713"/>
      <c r="AX148" s="908"/>
      <c r="AY148" s="712"/>
      <c r="AZ148" s="712"/>
      <c r="BA148" s="712"/>
      <c r="BB148" s="712"/>
      <c r="BC148" s="713"/>
      <c r="BD148" s="909"/>
      <c r="BE148" s="712"/>
      <c r="BF148" s="712"/>
      <c r="BG148" s="713"/>
      <c r="BH148" s="908"/>
      <c r="BI148" s="712"/>
      <c r="BJ148" s="712"/>
      <c r="BK148" s="712"/>
      <c r="BL148" s="910"/>
      <c r="BN148" s="881"/>
      <c r="BO148" s="709"/>
      <c r="BP148" s="884"/>
      <c r="BT148" s="792"/>
      <c r="BU148" s="793"/>
      <c r="BV148" s="738" t="str">
        <f>IF(BT148="","-",(IF(INDEX($A$5:$BP$257,MATCH(BT148,$BN$5:$BN$257,0),50)="Aço Inoxidável",('Densidade do AR'!$S$8*1000000),IF(INDEX($A$5:$BP$257,MATCH(BT148,$BN$5:$BN$257,0),50)="Ferro Fundido",('Densidade do AR'!$S$12*1000000),IF(INDEX($A$5:$BP$257,MATCH(BT148,$BN$5:$BN$257,0),50)="Latão",('Densidade do AR'!$S$10*1000000),IF(INDEX($A$5:$BP$257,MATCH(BT148,$BN$5:$BN$257,0),50)="Alumínio",('Densidade do AR'!$S$4*1000000)))))))</f>
        <v>-</v>
      </c>
      <c r="BW148" s="739"/>
      <c r="BX148" s="739"/>
      <c r="BY148" s="740"/>
      <c r="BZ148" s="741" t="str">
        <f t="shared" si="52"/>
        <v>-</v>
      </c>
      <c r="CA148" s="742"/>
      <c r="CB148" s="742"/>
      <c r="CC148" s="743"/>
      <c r="CD148" s="741" t="str">
        <f t="shared" si="44"/>
        <v>-</v>
      </c>
      <c r="CE148" s="742"/>
      <c r="CF148" s="742"/>
      <c r="CG148" s="743"/>
      <c r="CH148" s="744" t="str">
        <f t="shared" si="53"/>
        <v>-</v>
      </c>
      <c r="CI148" s="739"/>
      <c r="CJ148" s="739"/>
      <c r="CK148" s="740"/>
      <c r="CL148" s="744" t="str">
        <f t="shared" si="45"/>
        <v>-</v>
      </c>
      <c r="CM148" s="739"/>
      <c r="CN148" s="739"/>
      <c r="CO148" s="740"/>
      <c r="CP148" s="744" t="str">
        <f>IF(BT148="","-",INDEX($A$5:$BP$257,MATCH(BT148,$BN$5:$BN$257,0),39)*(IF(BT148="","-",(1+(((-('Densidade do AR'!$M$4))+('Densidade do AR'!$T$15*1000000))/(IF(INDEX($A$5:$BP$257,MATCH(BT148,$BN$5:$BN$257,0),50)="Aço Inoxidável",('Densidade do AR'!$S$8*1000000),IF(INDEX($A$5:$BP$257,MATCH(BT148,$BN$5:$BN$257,0),50)="Ferro Fundido",('Densidade do AR'!$S$12*1000000),IF(INDEX($A$5:$BP$257,MATCH(BT148,$BN$5:$BN$257,0),50)="Latão",('Densidade do AR'!$S$10*1000000),IF(INDEX($A$5:$BP$257,MATCH(BT148,$BN$5:$BN$257,0),50)="Alumínio",('Densidade do AR'!$S$4*1000000)))))))-(((-('Densidade do AR'!$M$4))+('Densidade do AR'!$T$15*1000000))/('Densidade do AR'!$S$14*1000000))))))</f>
        <v>-</v>
      </c>
      <c r="CQ148" s="739"/>
      <c r="CR148" s="739"/>
      <c r="CS148" s="745"/>
      <c r="CT148" s="91" t="str">
        <f t="shared" si="54"/>
        <v>-</v>
      </c>
      <c r="CU148" s="792"/>
      <c r="CV148" s="793"/>
      <c r="CW148" s="738" t="str">
        <f>IF(CU148="","-",(IF(INDEX($A$5:$BP$257,MATCH(CU148,$BN$5:$BN$257,0),50)="Aço Inoxidável",('Densidade do AR'!$S$8*1000000),IF(INDEX($A$5:$BP$257,MATCH(CU148,$BN$5:$BN$257,0),50)="Ferro Fundido",('Densidade do AR'!$S$12*1000000),IF(INDEX($A$5:$BP$257,MATCH(CU148,$BN$5:$BN$257,0),50)="Latão",('Densidade do AR'!$S$10*1000000),IF(INDEX($A$5:$BP$257,MATCH(CU148,$BN$5:$BN$257,0),50)="Alumínio",('Densidade do AR'!$S$4*1000000)))))))</f>
        <v>-</v>
      </c>
      <c r="CX148" s="739"/>
      <c r="CY148" s="739"/>
      <c r="CZ148" s="740"/>
      <c r="DA148" s="741" t="str">
        <f t="shared" si="55"/>
        <v>-</v>
      </c>
      <c r="DB148" s="742"/>
      <c r="DC148" s="742"/>
      <c r="DD148" s="743"/>
      <c r="DE148" s="741" t="str">
        <f t="shared" si="46"/>
        <v>-</v>
      </c>
      <c r="DF148" s="742"/>
      <c r="DG148" s="742"/>
      <c r="DH148" s="743"/>
      <c r="DI148" s="744" t="str">
        <f t="shared" si="56"/>
        <v>-</v>
      </c>
      <c r="DJ148" s="739"/>
      <c r="DK148" s="739"/>
      <c r="DL148" s="740"/>
      <c r="DM148" s="744" t="str">
        <f t="shared" si="47"/>
        <v>-</v>
      </c>
      <c r="DN148" s="739"/>
      <c r="DO148" s="739"/>
      <c r="DP148" s="740"/>
      <c r="DQ148" s="744" t="str">
        <f>IF(CU148="","-",INDEX($A$5:$BP$257,MATCH(CU148,$BN$5:$BN$257,0),39)*(IF(CU148="","-",(1+(((-('Densidade do AR'!$M$4))+('Densidade do AR'!$T$15*1000000))/(IF(INDEX($A$5:$BP$257,MATCH(CU148,$BN$5:$BN$257,0),50)="Aço Inoxidável",('Densidade do AR'!$S$8*1000000),IF(INDEX($A$5:$BP$257,MATCH(CU148,$BN$5:$BN$257,0),50)="Ferro Fundido",('Densidade do AR'!$S$12*1000000),IF(INDEX($A$5:$BP$257,MATCH(CU148,$BN$5:$BN$257,0),50)="Latão",('Densidade do AR'!$S$10*1000000),IF(INDEX($A$5:$BP$257,MATCH(CU148,$BN$5:$BN$257,0),50)="Alumínio",('Densidade do AR'!$S$4*1000000)))))))-(((-('Densidade do AR'!$M$4))+('Densidade do AR'!$T$15*1000000))/('Densidade do AR'!$S$14*1000000))))))</f>
        <v>-</v>
      </c>
      <c r="DR148" s="739"/>
      <c r="DS148" s="739"/>
      <c r="DT148" s="745"/>
      <c r="DU148" s="91" t="str">
        <f t="shared" si="57"/>
        <v>-</v>
      </c>
      <c r="DV148" s="792"/>
      <c r="DW148" s="793"/>
      <c r="DX148" s="738" t="str">
        <f>IF(DV148="","-",(IF(INDEX($A$5:$BP$257,MATCH(DV148,$BN$5:$BN$257,0),50)="Aço Inoxidável",('Densidade do AR'!$S$8*1000000),IF(INDEX($A$5:$BP$257,MATCH(DV148,$BN$5:$BN$257,0),50)="Ferro Fundido",('Densidade do AR'!$S$12*1000000),IF(INDEX($A$5:$BP$257,MATCH(DV148,$BN$5:$BN$257,0),50)="Latão",('Densidade do AR'!$S$10*1000000),IF(INDEX($A$5:$BP$257,MATCH(DV148,$BN$5:$BN$257,0),50)="Alumínio",('Densidade do AR'!$S$4*1000000)))))))</f>
        <v>-</v>
      </c>
      <c r="DY148" s="739"/>
      <c r="DZ148" s="739"/>
      <c r="EA148" s="740"/>
      <c r="EB148" s="741" t="str">
        <f t="shared" si="58"/>
        <v>-</v>
      </c>
      <c r="EC148" s="742"/>
      <c r="ED148" s="742"/>
      <c r="EE148" s="743"/>
      <c r="EF148" s="741" t="str">
        <f t="shared" si="48"/>
        <v>-</v>
      </c>
      <c r="EG148" s="742"/>
      <c r="EH148" s="742"/>
      <c r="EI148" s="743"/>
      <c r="EJ148" s="744" t="str">
        <f t="shared" si="59"/>
        <v>-</v>
      </c>
      <c r="EK148" s="739"/>
      <c r="EL148" s="739"/>
      <c r="EM148" s="740"/>
      <c r="EN148" s="744" t="str">
        <f t="shared" si="49"/>
        <v>-</v>
      </c>
      <c r="EO148" s="739"/>
      <c r="EP148" s="739"/>
      <c r="EQ148" s="740"/>
      <c r="ER148" s="744" t="str">
        <f>IF(DV148="","-",INDEX($A$5:$BP$257,MATCH(DV148,$BN$5:$BN$257,0),39)*(IF(DV148="","-",(1+(((-('Densidade do AR'!$M$4))+('Densidade do AR'!$T$15*1000000))/(IF(INDEX($A$5:$BP$257,MATCH(DV148,$BN$5:$BN$257,0),50)="Aço Inoxidável",('Densidade do AR'!$S$8*1000000),IF(INDEX($A$5:$BP$257,MATCH(DV148,$BN$5:$BN$257,0),50)="Ferro Fundido",('Densidade do AR'!$S$12*1000000),IF(INDEX($A$5:$BP$257,MATCH(DV148,$BN$5:$BN$257,0),50)="Latão",('Densidade do AR'!$S$10*1000000),IF(INDEX($A$5:$BP$257,MATCH(DV148,$BN$5:$BN$257,0),50)="Alumínio",('Densidade do AR'!$S$4*1000000)))))))-(((-('Densidade do AR'!$M$4))+('Densidade do AR'!$T$15*1000000))/('Densidade do AR'!$S$14*1000000))))))</f>
        <v>-</v>
      </c>
      <c r="ES148" s="739"/>
      <c r="ET148" s="739"/>
      <c r="EU148" s="745"/>
      <c r="EV148" s="91" t="str">
        <f t="shared" si="60"/>
        <v>-</v>
      </c>
      <c r="EW148" s="792"/>
      <c r="EX148" s="793"/>
      <c r="EY148" s="738" t="str">
        <f>IF(EW148="","-",(IF(INDEX($A$5:$BP$257,MATCH(EW148,$BN$5:$BN$257,0),50)="Aço Inoxidável",('Densidade do AR'!$S$8*1000000),IF(INDEX($A$5:$BP$257,MATCH(EW148,$BN$5:$BN$257,0),50)="Ferro Fundido",('Densidade do AR'!$S$12*1000000),IF(INDEX($A$5:$BP$257,MATCH(EW148,$BN$5:$BN$257,0),50)="Latão",('Densidade do AR'!$S$10*1000000),IF(INDEX($A$5:$BP$257,MATCH(EW148,$BN$5:$BN$257,0),50)="Alumínio",('Densidade do AR'!$S$4*1000000)))))))</f>
        <v>-</v>
      </c>
      <c r="EZ148" s="739"/>
      <c r="FA148" s="739"/>
      <c r="FB148" s="740"/>
      <c r="FC148" s="741" t="str">
        <f t="shared" si="61"/>
        <v>-</v>
      </c>
      <c r="FD148" s="742"/>
      <c r="FE148" s="742"/>
      <c r="FF148" s="743"/>
      <c r="FG148" s="741" t="str">
        <f t="shared" si="50"/>
        <v>-</v>
      </c>
      <c r="FH148" s="742"/>
      <c r="FI148" s="742"/>
      <c r="FJ148" s="743"/>
      <c r="FK148" s="744" t="str">
        <f t="shared" si="62"/>
        <v>-</v>
      </c>
      <c r="FL148" s="739"/>
      <c r="FM148" s="739"/>
      <c r="FN148" s="740"/>
      <c r="FO148" s="744" t="str">
        <f t="shared" si="51"/>
        <v>-</v>
      </c>
      <c r="FP148" s="739"/>
      <c r="FQ148" s="739"/>
      <c r="FR148" s="740"/>
      <c r="FS148" s="744" t="str">
        <f>IF(EW148="","-",INDEX($A$5:$BP$257,MATCH(EW148,$BN$5:$BN$257,0),39)*(IF(EW148="","-",(1+(((-('Densidade do AR'!$M$4))+('Densidade do AR'!$T$15*1000000))/(IF(INDEX($A$5:$BP$257,MATCH(EW148,$BN$5:$BN$257,0),50)="Aço Inoxidável",('Densidade do AR'!$S$8*1000000),IF(INDEX($A$5:$BP$257,MATCH(EW148,$BN$5:$BN$257,0),50)="Ferro Fundido",('Densidade do AR'!$S$12*1000000),IF(INDEX($A$5:$BP$257,MATCH(EW148,$BN$5:$BN$257,0),50)="Latão",('Densidade do AR'!$S$10*1000000),IF(INDEX($A$5:$BP$257,MATCH(EW148,$BN$5:$BN$257,0),50)="Alumínio",('Densidade do AR'!$S$4*1000000)))))))-(((-('Densidade do AR'!$M$4))+('Densidade do AR'!$T$15*1000000))/('Densidade do AR'!$S$14*1000000))))))</f>
        <v>-</v>
      </c>
      <c r="FT148" s="739"/>
      <c r="FU148" s="739"/>
      <c r="FV148" s="745"/>
      <c r="FW148" s="91" t="str">
        <f t="shared" si="63"/>
        <v>-</v>
      </c>
      <c r="FX148" s="135"/>
    </row>
    <row r="149" spans="1:180" ht="12.75" customHeight="1" x14ac:dyDescent="0.2">
      <c r="A149" s="717">
        <v>145</v>
      </c>
      <c r="B149" s="713"/>
      <c r="C149" s="708"/>
      <c r="D149" s="709"/>
      <c r="E149" s="709"/>
      <c r="F149" s="709"/>
      <c r="G149" s="710"/>
      <c r="H149" s="711"/>
      <c r="I149" s="712"/>
      <c r="J149" s="712"/>
      <c r="K149" s="713"/>
      <c r="L149" s="708"/>
      <c r="M149" s="709"/>
      <c r="N149" s="709"/>
      <c r="O149" s="709"/>
      <c r="P149" s="708"/>
      <c r="Q149" s="709"/>
      <c r="R149" s="709"/>
      <c r="S149" s="709"/>
      <c r="T149" s="710"/>
      <c r="U149" s="714"/>
      <c r="V149" s="715"/>
      <c r="W149" s="715"/>
      <c r="X149" s="715"/>
      <c r="Y149" s="715"/>
      <c r="Z149" s="715"/>
      <c r="AA149" s="716"/>
      <c r="AB149" s="850"/>
      <c r="AC149" s="851"/>
      <c r="AD149" s="851"/>
      <c r="AE149" s="851"/>
      <c r="AF149" s="851"/>
      <c r="AG149" s="851"/>
      <c r="AH149" s="851"/>
      <c r="AI149" s="851"/>
      <c r="AJ149" s="851"/>
      <c r="AK149" s="851"/>
      <c r="AL149" s="852"/>
      <c r="AM149" s="917"/>
      <c r="AN149" s="712"/>
      <c r="AO149" s="712"/>
      <c r="AP149" s="712"/>
      <c r="AQ149" s="712"/>
      <c r="AR149" s="712"/>
      <c r="AS149" s="713"/>
      <c r="AT149" s="917"/>
      <c r="AU149" s="712"/>
      <c r="AV149" s="712"/>
      <c r="AW149" s="713"/>
      <c r="AX149" s="917"/>
      <c r="AY149" s="712"/>
      <c r="AZ149" s="712"/>
      <c r="BA149" s="712"/>
      <c r="BB149" s="712"/>
      <c r="BC149" s="713"/>
      <c r="BD149" s="917"/>
      <c r="BE149" s="712"/>
      <c r="BF149" s="712"/>
      <c r="BG149" s="713"/>
      <c r="BH149" s="918"/>
      <c r="BI149" s="712"/>
      <c r="BJ149" s="712"/>
      <c r="BK149" s="712"/>
      <c r="BL149" s="910"/>
      <c r="BN149" s="878"/>
      <c r="BO149" s="709"/>
      <c r="BP149" s="884"/>
      <c r="BT149" s="794"/>
      <c r="BU149" s="795"/>
      <c r="BV149" s="784" t="str">
        <f>IF(BT149="","-",(IF(INDEX($A$5:$BP$257,MATCH(BT149,$BN$5:$BN$257,0),50)="Aço Inoxidável",('Densidade do AR'!$S$8*1000000),IF(INDEX($A$5:$BP$257,MATCH(BT149,$BN$5:$BN$257,0),50)="Ferro Fundido",('Densidade do AR'!$S$12*1000000),IF(INDEX($A$5:$BP$257,MATCH(BT149,$BN$5:$BN$257,0),50)="Latão",('Densidade do AR'!$S$10*1000000),IF(INDEX($A$5:$BP$257,MATCH(BT149,$BN$5:$BN$257,0),50)="Alumínio",('Densidade do AR'!$S$4*1000000)))))))</f>
        <v>-</v>
      </c>
      <c r="BW149" s="785"/>
      <c r="BX149" s="785"/>
      <c r="BY149" s="786"/>
      <c r="BZ149" s="787" t="str">
        <f t="shared" si="52"/>
        <v>-</v>
      </c>
      <c r="CA149" s="788"/>
      <c r="CB149" s="788"/>
      <c r="CC149" s="789"/>
      <c r="CD149" s="787" t="str">
        <f t="shared" si="44"/>
        <v>-</v>
      </c>
      <c r="CE149" s="788"/>
      <c r="CF149" s="788"/>
      <c r="CG149" s="789"/>
      <c r="CH149" s="790" t="str">
        <f t="shared" si="53"/>
        <v>-</v>
      </c>
      <c r="CI149" s="785"/>
      <c r="CJ149" s="785"/>
      <c r="CK149" s="786"/>
      <c r="CL149" s="790" t="str">
        <f t="shared" si="45"/>
        <v>-</v>
      </c>
      <c r="CM149" s="785"/>
      <c r="CN149" s="785"/>
      <c r="CO149" s="786"/>
      <c r="CP149" s="790" t="str">
        <f>IF(BT149="","-",INDEX($A$5:$BP$257,MATCH(BT149,$BN$5:$BN$257,0),39)*(IF(BT149="","-",(1+(((-('Densidade do AR'!$M$4))+('Densidade do AR'!$T$15*1000000))/(IF(INDEX($A$5:$BP$257,MATCH(BT149,$BN$5:$BN$257,0),50)="Aço Inoxidável",('Densidade do AR'!$S$8*1000000),IF(INDEX($A$5:$BP$257,MATCH(BT149,$BN$5:$BN$257,0),50)="Ferro Fundido",('Densidade do AR'!$S$12*1000000),IF(INDEX($A$5:$BP$257,MATCH(BT149,$BN$5:$BN$257,0),50)="Latão",('Densidade do AR'!$S$10*1000000),IF(INDEX($A$5:$BP$257,MATCH(BT149,$BN$5:$BN$257,0),50)="Alumínio",('Densidade do AR'!$S$4*1000000)))))))-(((-('Densidade do AR'!$M$4))+('Densidade do AR'!$T$15*1000000))/('Densidade do AR'!$S$14*1000000))))))</f>
        <v>-</v>
      </c>
      <c r="CQ149" s="785"/>
      <c r="CR149" s="785"/>
      <c r="CS149" s="791"/>
      <c r="CT149" s="91" t="str">
        <f t="shared" si="54"/>
        <v>-</v>
      </c>
      <c r="CU149" s="794"/>
      <c r="CV149" s="795"/>
      <c r="CW149" s="784" t="str">
        <f>IF(CU149="","-",(IF(INDEX($A$5:$BP$257,MATCH(CU149,$BN$5:$BN$257,0),50)="Aço Inoxidável",('Densidade do AR'!$S$8*1000000),IF(INDEX($A$5:$BP$257,MATCH(CU149,$BN$5:$BN$257,0),50)="Ferro Fundido",('Densidade do AR'!$S$12*1000000),IF(INDEX($A$5:$BP$257,MATCH(CU149,$BN$5:$BN$257,0),50)="Latão",('Densidade do AR'!$S$10*1000000),IF(INDEX($A$5:$BP$257,MATCH(CU149,$BN$5:$BN$257,0),50)="Alumínio",('Densidade do AR'!$S$4*1000000)))))))</f>
        <v>-</v>
      </c>
      <c r="CX149" s="785"/>
      <c r="CY149" s="785"/>
      <c r="CZ149" s="786"/>
      <c r="DA149" s="787" t="str">
        <f t="shared" si="55"/>
        <v>-</v>
      </c>
      <c r="DB149" s="788"/>
      <c r="DC149" s="788"/>
      <c r="DD149" s="789"/>
      <c r="DE149" s="787" t="str">
        <f t="shared" si="46"/>
        <v>-</v>
      </c>
      <c r="DF149" s="788"/>
      <c r="DG149" s="788"/>
      <c r="DH149" s="789"/>
      <c r="DI149" s="790" t="str">
        <f t="shared" si="56"/>
        <v>-</v>
      </c>
      <c r="DJ149" s="785"/>
      <c r="DK149" s="785"/>
      <c r="DL149" s="786"/>
      <c r="DM149" s="790" t="str">
        <f t="shared" si="47"/>
        <v>-</v>
      </c>
      <c r="DN149" s="785"/>
      <c r="DO149" s="785"/>
      <c r="DP149" s="786"/>
      <c r="DQ149" s="790" t="str">
        <f>IF(CU149="","-",INDEX($A$5:$BP$257,MATCH(CU149,$BN$5:$BN$257,0),39)*(IF(CU149="","-",(1+(((-('Densidade do AR'!$M$4))+('Densidade do AR'!$T$15*1000000))/(IF(INDEX($A$5:$BP$257,MATCH(CU149,$BN$5:$BN$257,0),50)="Aço Inoxidável",('Densidade do AR'!$S$8*1000000),IF(INDEX($A$5:$BP$257,MATCH(CU149,$BN$5:$BN$257,0),50)="Ferro Fundido",('Densidade do AR'!$S$12*1000000),IF(INDEX($A$5:$BP$257,MATCH(CU149,$BN$5:$BN$257,0),50)="Latão",('Densidade do AR'!$S$10*1000000),IF(INDEX($A$5:$BP$257,MATCH(CU149,$BN$5:$BN$257,0),50)="Alumínio",('Densidade do AR'!$S$4*1000000)))))))-(((-('Densidade do AR'!$M$4))+('Densidade do AR'!$T$15*1000000))/('Densidade do AR'!$S$14*1000000))))))</f>
        <v>-</v>
      </c>
      <c r="DR149" s="785"/>
      <c r="DS149" s="785"/>
      <c r="DT149" s="791"/>
      <c r="DU149" s="91" t="str">
        <f t="shared" si="57"/>
        <v>-</v>
      </c>
      <c r="DV149" s="794"/>
      <c r="DW149" s="795"/>
      <c r="DX149" s="784" t="str">
        <f>IF(DV149="","-",(IF(INDEX($A$5:$BP$257,MATCH(DV149,$BN$5:$BN$257,0),50)="Aço Inoxidável",('Densidade do AR'!$S$8*1000000),IF(INDEX($A$5:$BP$257,MATCH(DV149,$BN$5:$BN$257,0),50)="Ferro Fundido",('Densidade do AR'!$S$12*1000000),IF(INDEX($A$5:$BP$257,MATCH(DV149,$BN$5:$BN$257,0),50)="Latão",('Densidade do AR'!$S$10*1000000),IF(INDEX($A$5:$BP$257,MATCH(DV149,$BN$5:$BN$257,0),50)="Alumínio",('Densidade do AR'!$S$4*1000000)))))))</f>
        <v>-</v>
      </c>
      <c r="DY149" s="785"/>
      <c r="DZ149" s="785"/>
      <c r="EA149" s="786"/>
      <c r="EB149" s="787" t="str">
        <f t="shared" si="58"/>
        <v>-</v>
      </c>
      <c r="EC149" s="788"/>
      <c r="ED149" s="788"/>
      <c r="EE149" s="789"/>
      <c r="EF149" s="787" t="str">
        <f t="shared" si="48"/>
        <v>-</v>
      </c>
      <c r="EG149" s="788"/>
      <c r="EH149" s="788"/>
      <c r="EI149" s="789"/>
      <c r="EJ149" s="790" t="str">
        <f t="shared" si="59"/>
        <v>-</v>
      </c>
      <c r="EK149" s="785"/>
      <c r="EL149" s="785"/>
      <c r="EM149" s="786"/>
      <c r="EN149" s="790" t="str">
        <f t="shared" si="49"/>
        <v>-</v>
      </c>
      <c r="EO149" s="785"/>
      <c r="EP149" s="785"/>
      <c r="EQ149" s="786"/>
      <c r="ER149" s="790" t="str">
        <f>IF(DV149="","-",INDEX($A$5:$BP$257,MATCH(DV149,$BN$5:$BN$257,0),39)*(IF(DV149="","-",(1+(((-('Densidade do AR'!$M$4))+('Densidade do AR'!$T$15*1000000))/(IF(INDEX($A$5:$BP$257,MATCH(DV149,$BN$5:$BN$257,0),50)="Aço Inoxidável",('Densidade do AR'!$S$8*1000000),IF(INDEX($A$5:$BP$257,MATCH(DV149,$BN$5:$BN$257,0),50)="Ferro Fundido",('Densidade do AR'!$S$12*1000000),IF(INDEX($A$5:$BP$257,MATCH(DV149,$BN$5:$BN$257,0),50)="Latão",('Densidade do AR'!$S$10*1000000),IF(INDEX($A$5:$BP$257,MATCH(DV149,$BN$5:$BN$257,0),50)="Alumínio",('Densidade do AR'!$S$4*1000000)))))))-(((-('Densidade do AR'!$M$4))+('Densidade do AR'!$T$15*1000000))/('Densidade do AR'!$S$14*1000000))))))</f>
        <v>-</v>
      </c>
      <c r="ES149" s="785"/>
      <c r="ET149" s="785"/>
      <c r="EU149" s="791"/>
      <c r="EV149" s="91" t="str">
        <f t="shared" si="60"/>
        <v>-</v>
      </c>
      <c r="EW149" s="794"/>
      <c r="EX149" s="795"/>
      <c r="EY149" s="784" t="str">
        <f>IF(EW149="","-",(IF(INDEX($A$5:$BP$257,MATCH(EW149,$BN$5:$BN$257,0),50)="Aço Inoxidável",('Densidade do AR'!$S$8*1000000),IF(INDEX($A$5:$BP$257,MATCH(EW149,$BN$5:$BN$257,0),50)="Ferro Fundido",('Densidade do AR'!$S$12*1000000),IF(INDEX($A$5:$BP$257,MATCH(EW149,$BN$5:$BN$257,0),50)="Latão",('Densidade do AR'!$S$10*1000000),IF(INDEX($A$5:$BP$257,MATCH(EW149,$BN$5:$BN$257,0),50)="Alumínio",('Densidade do AR'!$S$4*1000000)))))))</f>
        <v>-</v>
      </c>
      <c r="EZ149" s="785"/>
      <c r="FA149" s="785"/>
      <c r="FB149" s="786"/>
      <c r="FC149" s="787" t="str">
        <f t="shared" si="61"/>
        <v>-</v>
      </c>
      <c r="FD149" s="788"/>
      <c r="FE149" s="788"/>
      <c r="FF149" s="789"/>
      <c r="FG149" s="787" t="str">
        <f t="shared" si="50"/>
        <v>-</v>
      </c>
      <c r="FH149" s="788"/>
      <c r="FI149" s="788"/>
      <c r="FJ149" s="789"/>
      <c r="FK149" s="790" t="str">
        <f t="shared" si="62"/>
        <v>-</v>
      </c>
      <c r="FL149" s="785"/>
      <c r="FM149" s="785"/>
      <c r="FN149" s="786"/>
      <c r="FO149" s="790" t="str">
        <f t="shared" si="51"/>
        <v>-</v>
      </c>
      <c r="FP149" s="785"/>
      <c r="FQ149" s="785"/>
      <c r="FR149" s="786"/>
      <c r="FS149" s="790" t="str">
        <f>IF(EW149="","-",INDEX($A$5:$BP$257,MATCH(EW149,$BN$5:$BN$257,0),39)*(IF(EW149="","-",(1+(((-('Densidade do AR'!$M$4))+('Densidade do AR'!$T$15*1000000))/(IF(INDEX($A$5:$BP$257,MATCH(EW149,$BN$5:$BN$257,0),50)="Aço Inoxidável",('Densidade do AR'!$S$8*1000000),IF(INDEX($A$5:$BP$257,MATCH(EW149,$BN$5:$BN$257,0),50)="Ferro Fundido",('Densidade do AR'!$S$12*1000000),IF(INDEX($A$5:$BP$257,MATCH(EW149,$BN$5:$BN$257,0),50)="Latão",('Densidade do AR'!$S$10*1000000),IF(INDEX($A$5:$BP$257,MATCH(EW149,$BN$5:$BN$257,0),50)="Alumínio",('Densidade do AR'!$S$4*1000000)))))))-(((-('Densidade do AR'!$M$4))+('Densidade do AR'!$T$15*1000000))/('Densidade do AR'!$S$14*1000000))))))</f>
        <v>-</v>
      </c>
      <c r="FT149" s="785"/>
      <c r="FU149" s="785"/>
      <c r="FV149" s="791"/>
      <c r="FW149" s="91" t="str">
        <f t="shared" si="63"/>
        <v>-</v>
      </c>
      <c r="FX149" s="135"/>
    </row>
    <row r="150" spans="1:180" ht="12.75" customHeight="1" x14ac:dyDescent="0.2">
      <c r="A150" s="718">
        <v>146</v>
      </c>
      <c r="B150" s="713"/>
      <c r="C150" s="719"/>
      <c r="D150" s="709"/>
      <c r="E150" s="709"/>
      <c r="F150" s="709"/>
      <c r="G150" s="710"/>
      <c r="H150" s="720"/>
      <c r="I150" s="712"/>
      <c r="J150" s="712"/>
      <c r="K150" s="713"/>
      <c r="L150" s="719"/>
      <c r="M150" s="709"/>
      <c r="N150" s="709"/>
      <c r="O150" s="709"/>
      <c r="P150" s="719"/>
      <c r="Q150" s="709"/>
      <c r="R150" s="709"/>
      <c r="S150" s="709"/>
      <c r="T150" s="710"/>
      <c r="U150" s="721"/>
      <c r="V150" s="722"/>
      <c r="W150" s="722"/>
      <c r="X150" s="722"/>
      <c r="Y150" s="722"/>
      <c r="Z150" s="722"/>
      <c r="AA150" s="723"/>
      <c r="AB150" s="853"/>
      <c r="AC150" s="854"/>
      <c r="AD150" s="854"/>
      <c r="AE150" s="854"/>
      <c r="AF150" s="854"/>
      <c r="AG150" s="854"/>
      <c r="AH150" s="854"/>
      <c r="AI150" s="854"/>
      <c r="AJ150" s="854"/>
      <c r="AK150" s="854"/>
      <c r="AL150" s="855"/>
      <c r="AM150" s="909"/>
      <c r="AN150" s="712"/>
      <c r="AO150" s="712"/>
      <c r="AP150" s="712"/>
      <c r="AQ150" s="712"/>
      <c r="AR150" s="712"/>
      <c r="AS150" s="713"/>
      <c r="AT150" s="909"/>
      <c r="AU150" s="712"/>
      <c r="AV150" s="712"/>
      <c r="AW150" s="713"/>
      <c r="AX150" s="908"/>
      <c r="AY150" s="712"/>
      <c r="AZ150" s="712"/>
      <c r="BA150" s="712"/>
      <c r="BB150" s="712"/>
      <c r="BC150" s="713"/>
      <c r="BD150" s="909"/>
      <c r="BE150" s="712"/>
      <c r="BF150" s="712"/>
      <c r="BG150" s="713"/>
      <c r="BH150" s="908"/>
      <c r="BI150" s="712"/>
      <c r="BJ150" s="712"/>
      <c r="BK150" s="712"/>
      <c r="BL150" s="910"/>
      <c r="BN150" s="881"/>
      <c r="BO150" s="709"/>
      <c r="BP150" s="884"/>
      <c r="BT150" s="792"/>
      <c r="BU150" s="793"/>
      <c r="BV150" s="738" t="str">
        <f>IF(BT150="","-",(IF(INDEX($A$5:$BP$257,MATCH(BT150,$BN$5:$BN$257,0),50)="Aço Inoxidável",('Densidade do AR'!$S$8*1000000),IF(INDEX($A$5:$BP$257,MATCH(BT150,$BN$5:$BN$257,0),50)="Ferro Fundido",('Densidade do AR'!$S$12*1000000),IF(INDEX($A$5:$BP$257,MATCH(BT150,$BN$5:$BN$257,0),50)="Latão",('Densidade do AR'!$S$10*1000000),IF(INDEX($A$5:$BP$257,MATCH(BT150,$BN$5:$BN$257,0),50)="Alumínio",('Densidade do AR'!$S$4*1000000)))))))</f>
        <v>-</v>
      </c>
      <c r="BW150" s="739"/>
      <c r="BX150" s="739"/>
      <c r="BY150" s="740"/>
      <c r="BZ150" s="741" t="str">
        <f t="shared" si="52"/>
        <v>-</v>
      </c>
      <c r="CA150" s="742"/>
      <c r="CB150" s="742"/>
      <c r="CC150" s="743"/>
      <c r="CD150" s="741" t="str">
        <f t="shared" si="44"/>
        <v>-</v>
      </c>
      <c r="CE150" s="742"/>
      <c r="CF150" s="742"/>
      <c r="CG150" s="743"/>
      <c r="CH150" s="744" t="str">
        <f t="shared" si="53"/>
        <v>-</v>
      </c>
      <c r="CI150" s="739"/>
      <c r="CJ150" s="739"/>
      <c r="CK150" s="740"/>
      <c r="CL150" s="744" t="str">
        <f t="shared" si="45"/>
        <v>-</v>
      </c>
      <c r="CM150" s="739"/>
      <c r="CN150" s="739"/>
      <c r="CO150" s="740"/>
      <c r="CP150" s="744" t="str">
        <f>IF(BT150="","-",INDEX($A$5:$BP$257,MATCH(BT150,$BN$5:$BN$257,0),39)*(IF(BT150="","-",(1+(((-('Densidade do AR'!$M$4))+('Densidade do AR'!$T$15*1000000))/(IF(INDEX($A$5:$BP$257,MATCH(BT150,$BN$5:$BN$257,0),50)="Aço Inoxidável",('Densidade do AR'!$S$8*1000000),IF(INDEX($A$5:$BP$257,MATCH(BT150,$BN$5:$BN$257,0),50)="Ferro Fundido",('Densidade do AR'!$S$12*1000000),IF(INDEX($A$5:$BP$257,MATCH(BT150,$BN$5:$BN$257,0),50)="Latão",('Densidade do AR'!$S$10*1000000),IF(INDEX($A$5:$BP$257,MATCH(BT150,$BN$5:$BN$257,0),50)="Alumínio",('Densidade do AR'!$S$4*1000000)))))))-(((-('Densidade do AR'!$M$4))+('Densidade do AR'!$T$15*1000000))/('Densidade do AR'!$S$14*1000000))))))</f>
        <v>-</v>
      </c>
      <c r="CQ150" s="739"/>
      <c r="CR150" s="739"/>
      <c r="CS150" s="745"/>
      <c r="CT150" s="91" t="str">
        <f t="shared" si="54"/>
        <v>-</v>
      </c>
      <c r="CU150" s="792"/>
      <c r="CV150" s="793"/>
      <c r="CW150" s="738" t="str">
        <f>IF(CU150="","-",(IF(INDEX($A$5:$BP$257,MATCH(CU150,$BN$5:$BN$257,0),50)="Aço Inoxidável",('Densidade do AR'!$S$8*1000000),IF(INDEX($A$5:$BP$257,MATCH(CU150,$BN$5:$BN$257,0),50)="Ferro Fundido",('Densidade do AR'!$S$12*1000000),IF(INDEX($A$5:$BP$257,MATCH(CU150,$BN$5:$BN$257,0),50)="Latão",('Densidade do AR'!$S$10*1000000),IF(INDEX($A$5:$BP$257,MATCH(CU150,$BN$5:$BN$257,0),50)="Alumínio",('Densidade do AR'!$S$4*1000000)))))))</f>
        <v>-</v>
      </c>
      <c r="CX150" s="739"/>
      <c r="CY150" s="739"/>
      <c r="CZ150" s="740"/>
      <c r="DA150" s="741" t="str">
        <f t="shared" si="55"/>
        <v>-</v>
      </c>
      <c r="DB150" s="742"/>
      <c r="DC150" s="742"/>
      <c r="DD150" s="743"/>
      <c r="DE150" s="741" t="str">
        <f t="shared" si="46"/>
        <v>-</v>
      </c>
      <c r="DF150" s="742"/>
      <c r="DG150" s="742"/>
      <c r="DH150" s="743"/>
      <c r="DI150" s="744" t="str">
        <f t="shared" si="56"/>
        <v>-</v>
      </c>
      <c r="DJ150" s="739"/>
      <c r="DK150" s="739"/>
      <c r="DL150" s="740"/>
      <c r="DM150" s="744" t="str">
        <f t="shared" si="47"/>
        <v>-</v>
      </c>
      <c r="DN150" s="739"/>
      <c r="DO150" s="739"/>
      <c r="DP150" s="740"/>
      <c r="DQ150" s="744" t="str">
        <f>IF(CU150="","-",INDEX($A$5:$BP$257,MATCH(CU150,$BN$5:$BN$257,0),39)*(IF(CU150="","-",(1+(((-('Densidade do AR'!$M$4))+('Densidade do AR'!$T$15*1000000))/(IF(INDEX($A$5:$BP$257,MATCH(CU150,$BN$5:$BN$257,0),50)="Aço Inoxidável",('Densidade do AR'!$S$8*1000000),IF(INDEX($A$5:$BP$257,MATCH(CU150,$BN$5:$BN$257,0),50)="Ferro Fundido",('Densidade do AR'!$S$12*1000000),IF(INDEX($A$5:$BP$257,MATCH(CU150,$BN$5:$BN$257,0),50)="Latão",('Densidade do AR'!$S$10*1000000),IF(INDEX($A$5:$BP$257,MATCH(CU150,$BN$5:$BN$257,0),50)="Alumínio",('Densidade do AR'!$S$4*1000000)))))))-(((-('Densidade do AR'!$M$4))+('Densidade do AR'!$T$15*1000000))/('Densidade do AR'!$S$14*1000000))))))</f>
        <v>-</v>
      </c>
      <c r="DR150" s="739"/>
      <c r="DS150" s="739"/>
      <c r="DT150" s="745"/>
      <c r="DU150" s="91" t="str">
        <f t="shared" si="57"/>
        <v>-</v>
      </c>
      <c r="DV150" s="792"/>
      <c r="DW150" s="793"/>
      <c r="DX150" s="738" t="str">
        <f>IF(DV150="","-",(IF(INDEX($A$5:$BP$257,MATCH(DV150,$BN$5:$BN$257,0),50)="Aço Inoxidável",('Densidade do AR'!$S$8*1000000),IF(INDEX($A$5:$BP$257,MATCH(DV150,$BN$5:$BN$257,0),50)="Ferro Fundido",('Densidade do AR'!$S$12*1000000),IF(INDEX($A$5:$BP$257,MATCH(DV150,$BN$5:$BN$257,0),50)="Latão",('Densidade do AR'!$S$10*1000000),IF(INDEX($A$5:$BP$257,MATCH(DV150,$BN$5:$BN$257,0),50)="Alumínio",('Densidade do AR'!$S$4*1000000)))))))</f>
        <v>-</v>
      </c>
      <c r="DY150" s="739"/>
      <c r="DZ150" s="739"/>
      <c r="EA150" s="740"/>
      <c r="EB150" s="741" t="str">
        <f t="shared" si="58"/>
        <v>-</v>
      </c>
      <c r="EC150" s="742"/>
      <c r="ED150" s="742"/>
      <c r="EE150" s="743"/>
      <c r="EF150" s="741" t="str">
        <f t="shared" si="48"/>
        <v>-</v>
      </c>
      <c r="EG150" s="742"/>
      <c r="EH150" s="742"/>
      <c r="EI150" s="743"/>
      <c r="EJ150" s="744" t="str">
        <f t="shared" si="59"/>
        <v>-</v>
      </c>
      <c r="EK150" s="739"/>
      <c r="EL150" s="739"/>
      <c r="EM150" s="740"/>
      <c r="EN150" s="744" t="str">
        <f t="shared" si="49"/>
        <v>-</v>
      </c>
      <c r="EO150" s="739"/>
      <c r="EP150" s="739"/>
      <c r="EQ150" s="740"/>
      <c r="ER150" s="744" t="str">
        <f>IF(DV150="","-",INDEX($A$5:$BP$257,MATCH(DV150,$BN$5:$BN$257,0),39)*(IF(DV150="","-",(1+(((-('Densidade do AR'!$M$4))+('Densidade do AR'!$T$15*1000000))/(IF(INDEX($A$5:$BP$257,MATCH(DV150,$BN$5:$BN$257,0),50)="Aço Inoxidável",('Densidade do AR'!$S$8*1000000),IF(INDEX($A$5:$BP$257,MATCH(DV150,$BN$5:$BN$257,0),50)="Ferro Fundido",('Densidade do AR'!$S$12*1000000),IF(INDEX($A$5:$BP$257,MATCH(DV150,$BN$5:$BN$257,0),50)="Latão",('Densidade do AR'!$S$10*1000000),IF(INDEX($A$5:$BP$257,MATCH(DV150,$BN$5:$BN$257,0),50)="Alumínio",('Densidade do AR'!$S$4*1000000)))))))-(((-('Densidade do AR'!$M$4))+('Densidade do AR'!$T$15*1000000))/('Densidade do AR'!$S$14*1000000))))))</f>
        <v>-</v>
      </c>
      <c r="ES150" s="739"/>
      <c r="ET150" s="739"/>
      <c r="EU150" s="745"/>
      <c r="EV150" s="91" t="str">
        <f t="shared" si="60"/>
        <v>-</v>
      </c>
      <c r="EW150" s="792"/>
      <c r="EX150" s="793"/>
      <c r="EY150" s="738" t="str">
        <f>IF(EW150="","-",(IF(INDEX($A$5:$BP$257,MATCH(EW150,$BN$5:$BN$257,0),50)="Aço Inoxidável",('Densidade do AR'!$S$8*1000000),IF(INDEX($A$5:$BP$257,MATCH(EW150,$BN$5:$BN$257,0),50)="Ferro Fundido",('Densidade do AR'!$S$12*1000000),IF(INDEX($A$5:$BP$257,MATCH(EW150,$BN$5:$BN$257,0),50)="Latão",('Densidade do AR'!$S$10*1000000),IF(INDEX($A$5:$BP$257,MATCH(EW150,$BN$5:$BN$257,0),50)="Alumínio",('Densidade do AR'!$S$4*1000000)))))))</f>
        <v>-</v>
      </c>
      <c r="EZ150" s="739"/>
      <c r="FA150" s="739"/>
      <c r="FB150" s="740"/>
      <c r="FC150" s="741" t="str">
        <f t="shared" si="61"/>
        <v>-</v>
      </c>
      <c r="FD150" s="742"/>
      <c r="FE150" s="742"/>
      <c r="FF150" s="743"/>
      <c r="FG150" s="741" t="str">
        <f t="shared" si="50"/>
        <v>-</v>
      </c>
      <c r="FH150" s="742"/>
      <c r="FI150" s="742"/>
      <c r="FJ150" s="743"/>
      <c r="FK150" s="744" t="str">
        <f t="shared" si="62"/>
        <v>-</v>
      </c>
      <c r="FL150" s="739"/>
      <c r="FM150" s="739"/>
      <c r="FN150" s="740"/>
      <c r="FO150" s="744" t="str">
        <f t="shared" si="51"/>
        <v>-</v>
      </c>
      <c r="FP150" s="739"/>
      <c r="FQ150" s="739"/>
      <c r="FR150" s="740"/>
      <c r="FS150" s="744" t="str">
        <f>IF(EW150="","-",INDEX($A$5:$BP$257,MATCH(EW150,$BN$5:$BN$257,0),39)*(IF(EW150="","-",(1+(((-('Densidade do AR'!$M$4))+('Densidade do AR'!$T$15*1000000))/(IF(INDEX($A$5:$BP$257,MATCH(EW150,$BN$5:$BN$257,0),50)="Aço Inoxidável",('Densidade do AR'!$S$8*1000000),IF(INDEX($A$5:$BP$257,MATCH(EW150,$BN$5:$BN$257,0),50)="Ferro Fundido",('Densidade do AR'!$S$12*1000000),IF(INDEX($A$5:$BP$257,MATCH(EW150,$BN$5:$BN$257,0),50)="Latão",('Densidade do AR'!$S$10*1000000),IF(INDEX($A$5:$BP$257,MATCH(EW150,$BN$5:$BN$257,0),50)="Alumínio",('Densidade do AR'!$S$4*1000000)))))))-(((-('Densidade do AR'!$M$4))+('Densidade do AR'!$T$15*1000000))/('Densidade do AR'!$S$14*1000000))))))</f>
        <v>-</v>
      </c>
      <c r="FT150" s="739"/>
      <c r="FU150" s="739"/>
      <c r="FV150" s="745"/>
      <c r="FW150" s="91" t="str">
        <f t="shared" si="63"/>
        <v>-</v>
      </c>
      <c r="FX150" s="135"/>
    </row>
    <row r="151" spans="1:180" ht="12.75" customHeight="1" x14ac:dyDescent="0.2">
      <c r="A151" s="717">
        <v>147</v>
      </c>
      <c r="B151" s="713"/>
      <c r="C151" s="708"/>
      <c r="D151" s="709"/>
      <c r="E151" s="709"/>
      <c r="F151" s="709"/>
      <c r="G151" s="710"/>
      <c r="H151" s="711"/>
      <c r="I151" s="712"/>
      <c r="J151" s="712"/>
      <c r="K151" s="713"/>
      <c r="L151" s="708"/>
      <c r="M151" s="709"/>
      <c r="N151" s="709"/>
      <c r="O151" s="709"/>
      <c r="P151" s="708"/>
      <c r="Q151" s="709"/>
      <c r="R151" s="709"/>
      <c r="S151" s="709"/>
      <c r="T151" s="710"/>
      <c r="U151" s="714"/>
      <c r="V151" s="715"/>
      <c r="W151" s="715"/>
      <c r="X151" s="715"/>
      <c r="Y151" s="715"/>
      <c r="Z151" s="715"/>
      <c r="AA151" s="716"/>
      <c r="AB151" s="850"/>
      <c r="AC151" s="851"/>
      <c r="AD151" s="851"/>
      <c r="AE151" s="851"/>
      <c r="AF151" s="851"/>
      <c r="AG151" s="851"/>
      <c r="AH151" s="851"/>
      <c r="AI151" s="851"/>
      <c r="AJ151" s="851"/>
      <c r="AK151" s="851"/>
      <c r="AL151" s="852"/>
      <c r="AM151" s="917"/>
      <c r="AN151" s="712"/>
      <c r="AO151" s="712"/>
      <c r="AP151" s="712"/>
      <c r="AQ151" s="712"/>
      <c r="AR151" s="712"/>
      <c r="AS151" s="713"/>
      <c r="AT151" s="917"/>
      <c r="AU151" s="712"/>
      <c r="AV151" s="712"/>
      <c r="AW151" s="713"/>
      <c r="AX151" s="917"/>
      <c r="AY151" s="712"/>
      <c r="AZ151" s="712"/>
      <c r="BA151" s="712"/>
      <c r="BB151" s="712"/>
      <c r="BC151" s="713"/>
      <c r="BD151" s="917"/>
      <c r="BE151" s="712"/>
      <c r="BF151" s="712"/>
      <c r="BG151" s="713"/>
      <c r="BH151" s="918"/>
      <c r="BI151" s="712"/>
      <c r="BJ151" s="712"/>
      <c r="BK151" s="712"/>
      <c r="BL151" s="910"/>
      <c r="BN151" s="878"/>
      <c r="BO151" s="709"/>
      <c r="BP151" s="884"/>
      <c r="BT151" s="794"/>
      <c r="BU151" s="795"/>
      <c r="BV151" s="784" t="str">
        <f>IF(BT151="","-",(IF(INDEX($A$5:$BP$257,MATCH(BT151,$BN$5:$BN$257,0),50)="Aço Inoxidável",('Densidade do AR'!$S$8*1000000),IF(INDEX($A$5:$BP$257,MATCH(BT151,$BN$5:$BN$257,0),50)="Ferro Fundido",('Densidade do AR'!$S$12*1000000),IF(INDEX($A$5:$BP$257,MATCH(BT151,$BN$5:$BN$257,0),50)="Latão",('Densidade do AR'!$S$10*1000000),IF(INDEX($A$5:$BP$257,MATCH(BT151,$BN$5:$BN$257,0),50)="Alumínio",('Densidade do AR'!$S$4*1000000)))))))</f>
        <v>-</v>
      </c>
      <c r="BW151" s="785"/>
      <c r="BX151" s="785"/>
      <c r="BY151" s="786"/>
      <c r="BZ151" s="787" t="str">
        <f t="shared" si="52"/>
        <v>-</v>
      </c>
      <c r="CA151" s="788"/>
      <c r="CB151" s="788"/>
      <c r="CC151" s="789"/>
      <c r="CD151" s="787" t="str">
        <f t="shared" si="44"/>
        <v>-</v>
      </c>
      <c r="CE151" s="788"/>
      <c r="CF151" s="788"/>
      <c r="CG151" s="789"/>
      <c r="CH151" s="790" t="str">
        <f t="shared" si="53"/>
        <v>-</v>
      </c>
      <c r="CI151" s="785"/>
      <c r="CJ151" s="785"/>
      <c r="CK151" s="786"/>
      <c r="CL151" s="790" t="str">
        <f t="shared" si="45"/>
        <v>-</v>
      </c>
      <c r="CM151" s="785"/>
      <c r="CN151" s="785"/>
      <c r="CO151" s="786"/>
      <c r="CP151" s="790" t="str">
        <f>IF(BT151="","-",INDEX($A$5:$BP$257,MATCH(BT151,$BN$5:$BN$257,0),39)*(IF(BT151="","-",(1+(((-('Densidade do AR'!$M$4))+('Densidade do AR'!$T$15*1000000))/(IF(INDEX($A$5:$BP$257,MATCH(BT151,$BN$5:$BN$257,0),50)="Aço Inoxidável",('Densidade do AR'!$S$8*1000000),IF(INDEX($A$5:$BP$257,MATCH(BT151,$BN$5:$BN$257,0),50)="Ferro Fundido",('Densidade do AR'!$S$12*1000000),IF(INDEX($A$5:$BP$257,MATCH(BT151,$BN$5:$BN$257,0),50)="Latão",('Densidade do AR'!$S$10*1000000),IF(INDEX($A$5:$BP$257,MATCH(BT151,$BN$5:$BN$257,0),50)="Alumínio",('Densidade do AR'!$S$4*1000000)))))))-(((-('Densidade do AR'!$M$4))+('Densidade do AR'!$T$15*1000000))/('Densidade do AR'!$S$14*1000000))))))</f>
        <v>-</v>
      </c>
      <c r="CQ151" s="785"/>
      <c r="CR151" s="785"/>
      <c r="CS151" s="791"/>
      <c r="CT151" s="91" t="str">
        <f t="shared" si="54"/>
        <v>-</v>
      </c>
      <c r="CU151" s="794"/>
      <c r="CV151" s="795"/>
      <c r="CW151" s="784" t="str">
        <f>IF(CU151="","-",(IF(INDEX($A$5:$BP$257,MATCH(CU151,$BN$5:$BN$257,0),50)="Aço Inoxidável",('Densidade do AR'!$S$8*1000000),IF(INDEX($A$5:$BP$257,MATCH(CU151,$BN$5:$BN$257,0),50)="Ferro Fundido",('Densidade do AR'!$S$12*1000000),IF(INDEX($A$5:$BP$257,MATCH(CU151,$BN$5:$BN$257,0),50)="Latão",('Densidade do AR'!$S$10*1000000),IF(INDEX($A$5:$BP$257,MATCH(CU151,$BN$5:$BN$257,0),50)="Alumínio",('Densidade do AR'!$S$4*1000000)))))))</f>
        <v>-</v>
      </c>
      <c r="CX151" s="785"/>
      <c r="CY151" s="785"/>
      <c r="CZ151" s="786"/>
      <c r="DA151" s="787" t="str">
        <f t="shared" si="55"/>
        <v>-</v>
      </c>
      <c r="DB151" s="788"/>
      <c r="DC151" s="788"/>
      <c r="DD151" s="789"/>
      <c r="DE151" s="787" t="str">
        <f t="shared" si="46"/>
        <v>-</v>
      </c>
      <c r="DF151" s="788"/>
      <c r="DG151" s="788"/>
      <c r="DH151" s="789"/>
      <c r="DI151" s="790" t="str">
        <f t="shared" si="56"/>
        <v>-</v>
      </c>
      <c r="DJ151" s="785"/>
      <c r="DK151" s="785"/>
      <c r="DL151" s="786"/>
      <c r="DM151" s="790" t="str">
        <f t="shared" si="47"/>
        <v>-</v>
      </c>
      <c r="DN151" s="785"/>
      <c r="DO151" s="785"/>
      <c r="DP151" s="786"/>
      <c r="DQ151" s="790" t="str">
        <f>IF(CU151="","-",INDEX($A$5:$BP$257,MATCH(CU151,$BN$5:$BN$257,0),39)*(IF(CU151="","-",(1+(((-('Densidade do AR'!$M$4))+('Densidade do AR'!$T$15*1000000))/(IF(INDEX($A$5:$BP$257,MATCH(CU151,$BN$5:$BN$257,0),50)="Aço Inoxidável",('Densidade do AR'!$S$8*1000000),IF(INDEX($A$5:$BP$257,MATCH(CU151,$BN$5:$BN$257,0),50)="Ferro Fundido",('Densidade do AR'!$S$12*1000000),IF(INDEX($A$5:$BP$257,MATCH(CU151,$BN$5:$BN$257,0),50)="Latão",('Densidade do AR'!$S$10*1000000),IF(INDEX($A$5:$BP$257,MATCH(CU151,$BN$5:$BN$257,0),50)="Alumínio",('Densidade do AR'!$S$4*1000000)))))))-(((-('Densidade do AR'!$M$4))+('Densidade do AR'!$T$15*1000000))/('Densidade do AR'!$S$14*1000000))))))</f>
        <v>-</v>
      </c>
      <c r="DR151" s="785"/>
      <c r="DS151" s="785"/>
      <c r="DT151" s="791"/>
      <c r="DU151" s="91" t="str">
        <f t="shared" si="57"/>
        <v>-</v>
      </c>
      <c r="DV151" s="794"/>
      <c r="DW151" s="795"/>
      <c r="DX151" s="784" t="str">
        <f>IF(DV151="","-",(IF(INDEX($A$5:$BP$257,MATCH(DV151,$BN$5:$BN$257,0),50)="Aço Inoxidável",('Densidade do AR'!$S$8*1000000),IF(INDEX($A$5:$BP$257,MATCH(DV151,$BN$5:$BN$257,0),50)="Ferro Fundido",('Densidade do AR'!$S$12*1000000),IF(INDEX($A$5:$BP$257,MATCH(DV151,$BN$5:$BN$257,0),50)="Latão",('Densidade do AR'!$S$10*1000000),IF(INDEX($A$5:$BP$257,MATCH(DV151,$BN$5:$BN$257,0),50)="Alumínio",('Densidade do AR'!$S$4*1000000)))))))</f>
        <v>-</v>
      </c>
      <c r="DY151" s="785"/>
      <c r="DZ151" s="785"/>
      <c r="EA151" s="786"/>
      <c r="EB151" s="787" t="str">
        <f t="shared" si="58"/>
        <v>-</v>
      </c>
      <c r="EC151" s="788"/>
      <c r="ED151" s="788"/>
      <c r="EE151" s="789"/>
      <c r="EF151" s="787" t="str">
        <f t="shared" si="48"/>
        <v>-</v>
      </c>
      <c r="EG151" s="788"/>
      <c r="EH151" s="788"/>
      <c r="EI151" s="789"/>
      <c r="EJ151" s="790" t="str">
        <f t="shared" si="59"/>
        <v>-</v>
      </c>
      <c r="EK151" s="785"/>
      <c r="EL151" s="785"/>
      <c r="EM151" s="786"/>
      <c r="EN151" s="790" t="str">
        <f t="shared" si="49"/>
        <v>-</v>
      </c>
      <c r="EO151" s="785"/>
      <c r="EP151" s="785"/>
      <c r="EQ151" s="786"/>
      <c r="ER151" s="790" t="str">
        <f>IF(DV151="","-",INDEX($A$5:$BP$257,MATCH(DV151,$BN$5:$BN$257,0),39)*(IF(DV151="","-",(1+(((-('Densidade do AR'!$M$4))+('Densidade do AR'!$T$15*1000000))/(IF(INDEX($A$5:$BP$257,MATCH(DV151,$BN$5:$BN$257,0),50)="Aço Inoxidável",('Densidade do AR'!$S$8*1000000),IF(INDEX($A$5:$BP$257,MATCH(DV151,$BN$5:$BN$257,0),50)="Ferro Fundido",('Densidade do AR'!$S$12*1000000),IF(INDEX($A$5:$BP$257,MATCH(DV151,$BN$5:$BN$257,0),50)="Latão",('Densidade do AR'!$S$10*1000000),IF(INDEX($A$5:$BP$257,MATCH(DV151,$BN$5:$BN$257,0),50)="Alumínio",('Densidade do AR'!$S$4*1000000)))))))-(((-('Densidade do AR'!$M$4))+('Densidade do AR'!$T$15*1000000))/('Densidade do AR'!$S$14*1000000))))))</f>
        <v>-</v>
      </c>
      <c r="ES151" s="785"/>
      <c r="ET151" s="785"/>
      <c r="EU151" s="791"/>
      <c r="EV151" s="91" t="str">
        <f t="shared" si="60"/>
        <v>-</v>
      </c>
      <c r="EW151" s="794"/>
      <c r="EX151" s="795"/>
      <c r="EY151" s="784" t="str">
        <f>IF(EW151="","-",(IF(INDEX($A$5:$BP$257,MATCH(EW151,$BN$5:$BN$257,0),50)="Aço Inoxidável",('Densidade do AR'!$S$8*1000000),IF(INDEX($A$5:$BP$257,MATCH(EW151,$BN$5:$BN$257,0),50)="Ferro Fundido",('Densidade do AR'!$S$12*1000000),IF(INDEX($A$5:$BP$257,MATCH(EW151,$BN$5:$BN$257,0),50)="Latão",('Densidade do AR'!$S$10*1000000),IF(INDEX($A$5:$BP$257,MATCH(EW151,$BN$5:$BN$257,0),50)="Alumínio",('Densidade do AR'!$S$4*1000000)))))))</f>
        <v>-</v>
      </c>
      <c r="EZ151" s="785"/>
      <c r="FA151" s="785"/>
      <c r="FB151" s="786"/>
      <c r="FC151" s="787" t="str">
        <f t="shared" si="61"/>
        <v>-</v>
      </c>
      <c r="FD151" s="788"/>
      <c r="FE151" s="788"/>
      <c r="FF151" s="789"/>
      <c r="FG151" s="787" t="str">
        <f t="shared" si="50"/>
        <v>-</v>
      </c>
      <c r="FH151" s="788"/>
      <c r="FI151" s="788"/>
      <c r="FJ151" s="789"/>
      <c r="FK151" s="790" t="str">
        <f t="shared" si="62"/>
        <v>-</v>
      </c>
      <c r="FL151" s="785"/>
      <c r="FM151" s="785"/>
      <c r="FN151" s="786"/>
      <c r="FO151" s="790" t="str">
        <f t="shared" si="51"/>
        <v>-</v>
      </c>
      <c r="FP151" s="785"/>
      <c r="FQ151" s="785"/>
      <c r="FR151" s="786"/>
      <c r="FS151" s="790" t="str">
        <f>IF(EW151="","-",INDEX($A$5:$BP$257,MATCH(EW151,$BN$5:$BN$257,0),39)*(IF(EW151="","-",(1+(((-('Densidade do AR'!$M$4))+('Densidade do AR'!$T$15*1000000))/(IF(INDEX($A$5:$BP$257,MATCH(EW151,$BN$5:$BN$257,0),50)="Aço Inoxidável",('Densidade do AR'!$S$8*1000000),IF(INDEX($A$5:$BP$257,MATCH(EW151,$BN$5:$BN$257,0),50)="Ferro Fundido",('Densidade do AR'!$S$12*1000000),IF(INDEX($A$5:$BP$257,MATCH(EW151,$BN$5:$BN$257,0),50)="Latão",('Densidade do AR'!$S$10*1000000),IF(INDEX($A$5:$BP$257,MATCH(EW151,$BN$5:$BN$257,0),50)="Alumínio",('Densidade do AR'!$S$4*1000000)))))))-(((-('Densidade do AR'!$M$4))+('Densidade do AR'!$T$15*1000000))/('Densidade do AR'!$S$14*1000000))))))</f>
        <v>-</v>
      </c>
      <c r="FT151" s="785"/>
      <c r="FU151" s="785"/>
      <c r="FV151" s="791"/>
      <c r="FW151" s="91" t="str">
        <f t="shared" si="63"/>
        <v>-</v>
      </c>
      <c r="FX151" s="135"/>
    </row>
    <row r="152" spans="1:180" ht="12.75" customHeight="1" x14ac:dyDescent="0.2">
      <c r="A152" s="718">
        <v>148</v>
      </c>
      <c r="B152" s="713"/>
      <c r="C152" s="719"/>
      <c r="D152" s="709"/>
      <c r="E152" s="709"/>
      <c r="F152" s="709"/>
      <c r="G152" s="710"/>
      <c r="H152" s="720"/>
      <c r="I152" s="712"/>
      <c r="J152" s="712"/>
      <c r="K152" s="713"/>
      <c r="L152" s="719"/>
      <c r="M152" s="709"/>
      <c r="N152" s="709"/>
      <c r="O152" s="709"/>
      <c r="P152" s="719"/>
      <c r="Q152" s="709"/>
      <c r="R152" s="709"/>
      <c r="S152" s="709"/>
      <c r="T152" s="710"/>
      <c r="U152" s="721"/>
      <c r="V152" s="722"/>
      <c r="W152" s="722"/>
      <c r="X152" s="722"/>
      <c r="Y152" s="722"/>
      <c r="Z152" s="722"/>
      <c r="AA152" s="723"/>
      <c r="AB152" s="853"/>
      <c r="AC152" s="854"/>
      <c r="AD152" s="854"/>
      <c r="AE152" s="854"/>
      <c r="AF152" s="854"/>
      <c r="AG152" s="854"/>
      <c r="AH152" s="854"/>
      <c r="AI152" s="854"/>
      <c r="AJ152" s="854"/>
      <c r="AK152" s="854"/>
      <c r="AL152" s="855"/>
      <c r="AM152" s="909"/>
      <c r="AN152" s="712"/>
      <c r="AO152" s="712"/>
      <c r="AP152" s="712"/>
      <c r="AQ152" s="712"/>
      <c r="AR152" s="712"/>
      <c r="AS152" s="713"/>
      <c r="AT152" s="909"/>
      <c r="AU152" s="712"/>
      <c r="AV152" s="712"/>
      <c r="AW152" s="713"/>
      <c r="AX152" s="908"/>
      <c r="AY152" s="712"/>
      <c r="AZ152" s="712"/>
      <c r="BA152" s="712"/>
      <c r="BB152" s="712"/>
      <c r="BC152" s="713"/>
      <c r="BD152" s="909"/>
      <c r="BE152" s="712"/>
      <c r="BF152" s="712"/>
      <c r="BG152" s="713"/>
      <c r="BH152" s="908"/>
      <c r="BI152" s="712"/>
      <c r="BJ152" s="712"/>
      <c r="BK152" s="712"/>
      <c r="BL152" s="910"/>
      <c r="BN152" s="881"/>
      <c r="BO152" s="709"/>
      <c r="BP152" s="884"/>
      <c r="BT152" s="792"/>
      <c r="BU152" s="793"/>
      <c r="BV152" s="738" t="str">
        <f>IF(BT152="","-",(IF(INDEX($A$5:$BP$257,MATCH(BT152,$BN$5:$BN$257,0),50)="Aço Inoxidável",('Densidade do AR'!$S$8*1000000),IF(INDEX($A$5:$BP$257,MATCH(BT152,$BN$5:$BN$257,0),50)="Ferro Fundido",('Densidade do AR'!$S$12*1000000),IF(INDEX($A$5:$BP$257,MATCH(BT152,$BN$5:$BN$257,0),50)="Latão",('Densidade do AR'!$S$10*1000000),IF(INDEX($A$5:$BP$257,MATCH(BT152,$BN$5:$BN$257,0),50)="Alumínio",('Densidade do AR'!$S$4*1000000)))))))</f>
        <v>-</v>
      </c>
      <c r="BW152" s="739"/>
      <c r="BX152" s="739"/>
      <c r="BY152" s="740"/>
      <c r="BZ152" s="741" t="str">
        <f t="shared" si="52"/>
        <v>-</v>
      </c>
      <c r="CA152" s="742"/>
      <c r="CB152" s="742"/>
      <c r="CC152" s="743"/>
      <c r="CD152" s="741" t="str">
        <f t="shared" si="44"/>
        <v>-</v>
      </c>
      <c r="CE152" s="742"/>
      <c r="CF152" s="742"/>
      <c r="CG152" s="743"/>
      <c r="CH152" s="744" t="str">
        <f t="shared" si="53"/>
        <v>-</v>
      </c>
      <c r="CI152" s="739"/>
      <c r="CJ152" s="739"/>
      <c r="CK152" s="740"/>
      <c r="CL152" s="744" t="str">
        <f t="shared" si="45"/>
        <v>-</v>
      </c>
      <c r="CM152" s="739"/>
      <c r="CN152" s="739"/>
      <c r="CO152" s="740"/>
      <c r="CP152" s="744" t="str">
        <f>IF(BT152="","-",INDEX($A$5:$BP$257,MATCH(BT152,$BN$5:$BN$257,0),39)*(IF(BT152="","-",(1+(((-('Densidade do AR'!$M$4))+('Densidade do AR'!$T$15*1000000))/(IF(INDEX($A$5:$BP$257,MATCH(BT152,$BN$5:$BN$257,0),50)="Aço Inoxidável",('Densidade do AR'!$S$8*1000000),IF(INDEX($A$5:$BP$257,MATCH(BT152,$BN$5:$BN$257,0),50)="Ferro Fundido",('Densidade do AR'!$S$12*1000000),IF(INDEX($A$5:$BP$257,MATCH(BT152,$BN$5:$BN$257,0),50)="Latão",('Densidade do AR'!$S$10*1000000),IF(INDEX($A$5:$BP$257,MATCH(BT152,$BN$5:$BN$257,0),50)="Alumínio",('Densidade do AR'!$S$4*1000000)))))))-(((-('Densidade do AR'!$M$4))+('Densidade do AR'!$T$15*1000000))/('Densidade do AR'!$S$14*1000000))))))</f>
        <v>-</v>
      </c>
      <c r="CQ152" s="739"/>
      <c r="CR152" s="739"/>
      <c r="CS152" s="745"/>
      <c r="CT152" s="91" t="str">
        <f t="shared" si="54"/>
        <v>-</v>
      </c>
      <c r="CU152" s="792"/>
      <c r="CV152" s="793"/>
      <c r="CW152" s="738" t="str">
        <f>IF(CU152="","-",(IF(INDEX($A$5:$BP$257,MATCH(CU152,$BN$5:$BN$257,0),50)="Aço Inoxidável",('Densidade do AR'!$S$8*1000000),IF(INDEX($A$5:$BP$257,MATCH(CU152,$BN$5:$BN$257,0),50)="Ferro Fundido",('Densidade do AR'!$S$12*1000000),IF(INDEX($A$5:$BP$257,MATCH(CU152,$BN$5:$BN$257,0),50)="Latão",('Densidade do AR'!$S$10*1000000),IF(INDEX($A$5:$BP$257,MATCH(CU152,$BN$5:$BN$257,0),50)="Alumínio",('Densidade do AR'!$S$4*1000000)))))))</f>
        <v>-</v>
      </c>
      <c r="CX152" s="739"/>
      <c r="CY152" s="739"/>
      <c r="CZ152" s="740"/>
      <c r="DA152" s="741" t="str">
        <f t="shared" si="55"/>
        <v>-</v>
      </c>
      <c r="DB152" s="742"/>
      <c r="DC152" s="742"/>
      <c r="DD152" s="743"/>
      <c r="DE152" s="741" t="str">
        <f t="shared" si="46"/>
        <v>-</v>
      </c>
      <c r="DF152" s="742"/>
      <c r="DG152" s="742"/>
      <c r="DH152" s="743"/>
      <c r="DI152" s="744" t="str">
        <f t="shared" si="56"/>
        <v>-</v>
      </c>
      <c r="DJ152" s="739"/>
      <c r="DK152" s="739"/>
      <c r="DL152" s="740"/>
      <c r="DM152" s="744" t="str">
        <f t="shared" si="47"/>
        <v>-</v>
      </c>
      <c r="DN152" s="739"/>
      <c r="DO152" s="739"/>
      <c r="DP152" s="740"/>
      <c r="DQ152" s="744" t="str">
        <f>IF(CU152="","-",INDEX($A$5:$BP$257,MATCH(CU152,$BN$5:$BN$257,0),39)*(IF(CU152="","-",(1+(((-('Densidade do AR'!$M$4))+('Densidade do AR'!$T$15*1000000))/(IF(INDEX($A$5:$BP$257,MATCH(CU152,$BN$5:$BN$257,0),50)="Aço Inoxidável",('Densidade do AR'!$S$8*1000000),IF(INDEX($A$5:$BP$257,MATCH(CU152,$BN$5:$BN$257,0),50)="Ferro Fundido",('Densidade do AR'!$S$12*1000000),IF(INDEX($A$5:$BP$257,MATCH(CU152,$BN$5:$BN$257,0),50)="Latão",('Densidade do AR'!$S$10*1000000),IF(INDEX($A$5:$BP$257,MATCH(CU152,$BN$5:$BN$257,0),50)="Alumínio",('Densidade do AR'!$S$4*1000000)))))))-(((-('Densidade do AR'!$M$4))+('Densidade do AR'!$T$15*1000000))/('Densidade do AR'!$S$14*1000000))))))</f>
        <v>-</v>
      </c>
      <c r="DR152" s="739"/>
      <c r="DS152" s="739"/>
      <c r="DT152" s="745"/>
      <c r="DU152" s="91" t="str">
        <f t="shared" si="57"/>
        <v>-</v>
      </c>
      <c r="DV152" s="792"/>
      <c r="DW152" s="793"/>
      <c r="DX152" s="738" t="str">
        <f>IF(DV152="","-",(IF(INDEX($A$5:$BP$257,MATCH(DV152,$BN$5:$BN$257,0),50)="Aço Inoxidável",('Densidade do AR'!$S$8*1000000),IF(INDEX($A$5:$BP$257,MATCH(DV152,$BN$5:$BN$257,0),50)="Ferro Fundido",('Densidade do AR'!$S$12*1000000),IF(INDEX($A$5:$BP$257,MATCH(DV152,$BN$5:$BN$257,0),50)="Latão",('Densidade do AR'!$S$10*1000000),IF(INDEX($A$5:$BP$257,MATCH(DV152,$BN$5:$BN$257,0),50)="Alumínio",('Densidade do AR'!$S$4*1000000)))))))</f>
        <v>-</v>
      </c>
      <c r="DY152" s="739"/>
      <c r="DZ152" s="739"/>
      <c r="EA152" s="740"/>
      <c r="EB152" s="741" t="str">
        <f t="shared" si="58"/>
        <v>-</v>
      </c>
      <c r="EC152" s="742"/>
      <c r="ED152" s="742"/>
      <c r="EE152" s="743"/>
      <c r="EF152" s="741" t="str">
        <f t="shared" si="48"/>
        <v>-</v>
      </c>
      <c r="EG152" s="742"/>
      <c r="EH152" s="742"/>
      <c r="EI152" s="743"/>
      <c r="EJ152" s="744" t="str">
        <f t="shared" si="59"/>
        <v>-</v>
      </c>
      <c r="EK152" s="739"/>
      <c r="EL152" s="739"/>
      <c r="EM152" s="740"/>
      <c r="EN152" s="744" t="str">
        <f t="shared" si="49"/>
        <v>-</v>
      </c>
      <c r="EO152" s="739"/>
      <c r="EP152" s="739"/>
      <c r="EQ152" s="740"/>
      <c r="ER152" s="744" t="str">
        <f>IF(DV152="","-",INDEX($A$5:$BP$257,MATCH(DV152,$BN$5:$BN$257,0),39)*(IF(DV152="","-",(1+(((-('Densidade do AR'!$M$4))+('Densidade do AR'!$T$15*1000000))/(IF(INDEX($A$5:$BP$257,MATCH(DV152,$BN$5:$BN$257,0),50)="Aço Inoxidável",('Densidade do AR'!$S$8*1000000),IF(INDEX($A$5:$BP$257,MATCH(DV152,$BN$5:$BN$257,0),50)="Ferro Fundido",('Densidade do AR'!$S$12*1000000),IF(INDEX($A$5:$BP$257,MATCH(DV152,$BN$5:$BN$257,0),50)="Latão",('Densidade do AR'!$S$10*1000000),IF(INDEX($A$5:$BP$257,MATCH(DV152,$BN$5:$BN$257,0),50)="Alumínio",('Densidade do AR'!$S$4*1000000)))))))-(((-('Densidade do AR'!$M$4))+('Densidade do AR'!$T$15*1000000))/('Densidade do AR'!$S$14*1000000))))))</f>
        <v>-</v>
      </c>
      <c r="ES152" s="739"/>
      <c r="ET152" s="739"/>
      <c r="EU152" s="745"/>
      <c r="EV152" s="91" t="str">
        <f t="shared" si="60"/>
        <v>-</v>
      </c>
      <c r="EW152" s="792"/>
      <c r="EX152" s="793"/>
      <c r="EY152" s="738" t="str">
        <f>IF(EW152="","-",(IF(INDEX($A$5:$BP$257,MATCH(EW152,$BN$5:$BN$257,0),50)="Aço Inoxidável",('Densidade do AR'!$S$8*1000000),IF(INDEX($A$5:$BP$257,MATCH(EW152,$BN$5:$BN$257,0),50)="Ferro Fundido",('Densidade do AR'!$S$12*1000000),IF(INDEX($A$5:$BP$257,MATCH(EW152,$BN$5:$BN$257,0),50)="Latão",('Densidade do AR'!$S$10*1000000),IF(INDEX($A$5:$BP$257,MATCH(EW152,$BN$5:$BN$257,0),50)="Alumínio",('Densidade do AR'!$S$4*1000000)))))))</f>
        <v>-</v>
      </c>
      <c r="EZ152" s="739"/>
      <c r="FA152" s="739"/>
      <c r="FB152" s="740"/>
      <c r="FC152" s="741" t="str">
        <f t="shared" si="61"/>
        <v>-</v>
      </c>
      <c r="FD152" s="742"/>
      <c r="FE152" s="742"/>
      <c r="FF152" s="743"/>
      <c r="FG152" s="741" t="str">
        <f t="shared" si="50"/>
        <v>-</v>
      </c>
      <c r="FH152" s="742"/>
      <c r="FI152" s="742"/>
      <c r="FJ152" s="743"/>
      <c r="FK152" s="744" t="str">
        <f t="shared" si="62"/>
        <v>-</v>
      </c>
      <c r="FL152" s="739"/>
      <c r="FM152" s="739"/>
      <c r="FN152" s="740"/>
      <c r="FO152" s="744" t="str">
        <f t="shared" si="51"/>
        <v>-</v>
      </c>
      <c r="FP152" s="739"/>
      <c r="FQ152" s="739"/>
      <c r="FR152" s="740"/>
      <c r="FS152" s="744" t="str">
        <f>IF(EW152="","-",INDEX($A$5:$BP$257,MATCH(EW152,$BN$5:$BN$257,0),39)*(IF(EW152="","-",(1+(((-('Densidade do AR'!$M$4))+('Densidade do AR'!$T$15*1000000))/(IF(INDEX($A$5:$BP$257,MATCH(EW152,$BN$5:$BN$257,0),50)="Aço Inoxidável",('Densidade do AR'!$S$8*1000000),IF(INDEX($A$5:$BP$257,MATCH(EW152,$BN$5:$BN$257,0),50)="Ferro Fundido",('Densidade do AR'!$S$12*1000000),IF(INDEX($A$5:$BP$257,MATCH(EW152,$BN$5:$BN$257,0),50)="Latão",('Densidade do AR'!$S$10*1000000),IF(INDEX($A$5:$BP$257,MATCH(EW152,$BN$5:$BN$257,0),50)="Alumínio",('Densidade do AR'!$S$4*1000000)))))))-(((-('Densidade do AR'!$M$4))+('Densidade do AR'!$T$15*1000000))/('Densidade do AR'!$S$14*1000000))))))</f>
        <v>-</v>
      </c>
      <c r="FT152" s="739"/>
      <c r="FU152" s="739"/>
      <c r="FV152" s="745"/>
      <c r="FW152" s="91" t="str">
        <f t="shared" si="63"/>
        <v>-</v>
      </c>
      <c r="FX152" s="135"/>
    </row>
    <row r="153" spans="1:180" ht="12.75" customHeight="1" x14ac:dyDescent="0.2">
      <c r="A153" s="717">
        <v>149</v>
      </c>
      <c r="B153" s="713"/>
      <c r="C153" s="708"/>
      <c r="D153" s="709"/>
      <c r="E153" s="709"/>
      <c r="F153" s="709"/>
      <c r="G153" s="710"/>
      <c r="H153" s="711"/>
      <c r="I153" s="712"/>
      <c r="J153" s="712"/>
      <c r="K153" s="713"/>
      <c r="L153" s="708"/>
      <c r="M153" s="709"/>
      <c r="N153" s="709"/>
      <c r="O153" s="709"/>
      <c r="P153" s="708"/>
      <c r="Q153" s="709"/>
      <c r="R153" s="709"/>
      <c r="S153" s="709"/>
      <c r="T153" s="710"/>
      <c r="U153" s="714"/>
      <c r="V153" s="715"/>
      <c r="W153" s="715"/>
      <c r="X153" s="715"/>
      <c r="Y153" s="715"/>
      <c r="Z153" s="715"/>
      <c r="AA153" s="716"/>
      <c r="AB153" s="850"/>
      <c r="AC153" s="851"/>
      <c r="AD153" s="851"/>
      <c r="AE153" s="851"/>
      <c r="AF153" s="851"/>
      <c r="AG153" s="851"/>
      <c r="AH153" s="851"/>
      <c r="AI153" s="851"/>
      <c r="AJ153" s="851"/>
      <c r="AK153" s="851"/>
      <c r="AL153" s="852"/>
      <c r="AM153" s="917"/>
      <c r="AN153" s="712"/>
      <c r="AO153" s="712"/>
      <c r="AP153" s="712"/>
      <c r="AQ153" s="712"/>
      <c r="AR153" s="712"/>
      <c r="AS153" s="713"/>
      <c r="AT153" s="917"/>
      <c r="AU153" s="712"/>
      <c r="AV153" s="712"/>
      <c r="AW153" s="713"/>
      <c r="AX153" s="917"/>
      <c r="AY153" s="712"/>
      <c r="AZ153" s="712"/>
      <c r="BA153" s="712"/>
      <c r="BB153" s="712"/>
      <c r="BC153" s="713"/>
      <c r="BD153" s="917"/>
      <c r="BE153" s="712"/>
      <c r="BF153" s="712"/>
      <c r="BG153" s="713"/>
      <c r="BH153" s="918"/>
      <c r="BI153" s="712"/>
      <c r="BJ153" s="712"/>
      <c r="BK153" s="712"/>
      <c r="BL153" s="910"/>
      <c r="BN153" s="878"/>
      <c r="BO153" s="709"/>
      <c r="BP153" s="884"/>
      <c r="BT153" s="794"/>
      <c r="BU153" s="795"/>
      <c r="BV153" s="784" t="str">
        <f>IF(BT153="","-",(IF(INDEX($A$5:$BP$257,MATCH(BT153,$BN$5:$BN$257,0),50)="Aço Inoxidável",('Densidade do AR'!$S$8*1000000),IF(INDEX($A$5:$BP$257,MATCH(BT153,$BN$5:$BN$257,0),50)="Ferro Fundido",('Densidade do AR'!$S$12*1000000),IF(INDEX($A$5:$BP$257,MATCH(BT153,$BN$5:$BN$257,0),50)="Latão",('Densidade do AR'!$S$10*1000000),IF(INDEX($A$5:$BP$257,MATCH(BT153,$BN$5:$BN$257,0),50)="Alumínio",('Densidade do AR'!$S$4*1000000)))))))</f>
        <v>-</v>
      </c>
      <c r="BW153" s="785"/>
      <c r="BX153" s="785"/>
      <c r="BY153" s="786"/>
      <c r="BZ153" s="787" t="str">
        <f t="shared" si="52"/>
        <v>-</v>
      </c>
      <c r="CA153" s="788"/>
      <c r="CB153" s="788"/>
      <c r="CC153" s="789"/>
      <c r="CD153" s="787" t="str">
        <f t="shared" si="44"/>
        <v>-</v>
      </c>
      <c r="CE153" s="788"/>
      <c r="CF153" s="788"/>
      <c r="CG153" s="789"/>
      <c r="CH153" s="790" t="str">
        <f t="shared" si="53"/>
        <v>-</v>
      </c>
      <c r="CI153" s="785"/>
      <c r="CJ153" s="785"/>
      <c r="CK153" s="786"/>
      <c r="CL153" s="790" t="str">
        <f t="shared" si="45"/>
        <v>-</v>
      </c>
      <c r="CM153" s="785"/>
      <c r="CN153" s="785"/>
      <c r="CO153" s="786"/>
      <c r="CP153" s="790" t="str">
        <f>IF(BT153="","-",INDEX($A$5:$BP$257,MATCH(BT153,$BN$5:$BN$257,0),39)*(IF(BT153="","-",(1+(((-('Densidade do AR'!$M$4))+('Densidade do AR'!$T$15*1000000))/(IF(INDEX($A$5:$BP$257,MATCH(BT153,$BN$5:$BN$257,0),50)="Aço Inoxidável",('Densidade do AR'!$S$8*1000000),IF(INDEX($A$5:$BP$257,MATCH(BT153,$BN$5:$BN$257,0),50)="Ferro Fundido",('Densidade do AR'!$S$12*1000000),IF(INDEX($A$5:$BP$257,MATCH(BT153,$BN$5:$BN$257,0),50)="Latão",('Densidade do AR'!$S$10*1000000),IF(INDEX($A$5:$BP$257,MATCH(BT153,$BN$5:$BN$257,0),50)="Alumínio",('Densidade do AR'!$S$4*1000000)))))))-(((-('Densidade do AR'!$M$4))+('Densidade do AR'!$T$15*1000000))/('Densidade do AR'!$S$14*1000000))))))</f>
        <v>-</v>
      </c>
      <c r="CQ153" s="785"/>
      <c r="CR153" s="785"/>
      <c r="CS153" s="791"/>
      <c r="CT153" s="91" t="str">
        <f t="shared" si="54"/>
        <v>-</v>
      </c>
      <c r="CU153" s="794"/>
      <c r="CV153" s="795"/>
      <c r="CW153" s="784" t="str">
        <f>IF(CU153="","-",(IF(INDEX($A$5:$BP$257,MATCH(CU153,$BN$5:$BN$257,0),50)="Aço Inoxidável",('Densidade do AR'!$S$8*1000000),IF(INDEX($A$5:$BP$257,MATCH(CU153,$BN$5:$BN$257,0),50)="Ferro Fundido",('Densidade do AR'!$S$12*1000000),IF(INDEX($A$5:$BP$257,MATCH(CU153,$BN$5:$BN$257,0),50)="Latão",('Densidade do AR'!$S$10*1000000),IF(INDEX($A$5:$BP$257,MATCH(CU153,$BN$5:$BN$257,0),50)="Alumínio",('Densidade do AR'!$S$4*1000000)))))))</f>
        <v>-</v>
      </c>
      <c r="CX153" s="785"/>
      <c r="CY153" s="785"/>
      <c r="CZ153" s="786"/>
      <c r="DA153" s="787" t="str">
        <f t="shared" si="55"/>
        <v>-</v>
      </c>
      <c r="DB153" s="788"/>
      <c r="DC153" s="788"/>
      <c r="DD153" s="789"/>
      <c r="DE153" s="787" t="str">
        <f t="shared" si="46"/>
        <v>-</v>
      </c>
      <c r="DF153" s="788"/>
      <c r="DG153" s="788"/>
      <c r="DH153" s="789"/>
      <c r="DI153" s="790" t="str">
        <f t="shared" si="56"/>
        <v>-</v>
      </c>
      <c r="DJ153" s="785"/>
      <c r="DK153" s="785"/>
      <c r="DL153" s="786"/>
      <c r="DM153" s="790" t="str">
        <f t="shared" si="47"/>
        <v>-</v>
      </c>
      <c r="DN153" s="785"/>
      <c r="DO153" s="785"/>
      <c r="DP153" s="786"/>
      <c r="DQ153" s="790" t="str">
        <f>IF(CU153="","-",INDEX($A$5:$BP$257,MATCH(CU153,$BN$5:$BN$257,0),39)*(IF(CU153="","-",(1+(((-('Densidade do AR'!$M$4))+('Densidade do AR'!$T$15*1000000))/(IF(INDEX($A$5:$BP$257,MATCH(CU153,$BN$5:$BN$257,0),50)="Aço Inoxidável",('Densidade do AR'!$S$8*1000000),IF(INDEX($A$5:$BP$257,MATCH(CU153,$BN$5:$BN$257,0),50)="Ferro Fundido",('Densidade do AR'!$S$12*1000000),IF(INDEX($A$5:$BP$257,MATCH(CU153,$BN$5:$BN$257,0),50)="Latão",('Densidade do AR'!$S$10*1000000),IF(INDEX($A$5:$BP$257,MATCH(CU153,$BN$5:$BN$257,0),50)="Alumínio",('Densidade do AR'!$S$4*1000000)))))))-(((-('Densidade do AR'!$M$4))+('Densidade do AR'!$T$15*1000000))/('Densidade do AR'!$S$14*1000000))))))</f>
        <v>-</v>
      </c>
      <c r="DR153" s="785"/>
      <c r="DS153" s="785"/>
      <c r="DT153" s="791"/>
      <c r="DU153" s="91" t="str">
        <f t="shared" si="57"/>
        <v>-</v>
      </c>
      <c r="DV153" s="794"/>
      <c r="DW153" s="795"/>
      <c r="DX153" s="784" t="str">
        <f>IF(DV153="","-",(IF(INDEX($A$5:$BP$257,MATCH(DV153,$BN$5:$BN$257,0),50)="Aço Inoxidável",('Densidade do AR'!$S$8*1000000),IF(INDEX($A$5:$BP$257,MATCH(DV153,$BN$5:$BN$257,0),50)="Ferro Fundido",('Densidade do AR'!$S$12*1000000),IF(INDEX($A$5:$BP$257,MATCH(DV153,$BN$5:$BN$257,0),50)="Latão",('Densidade do AR'!$S$10*1000000),IF(INDEX($A$5:$BP$257,MATCH(DV153,$BN$5:$BN$257,0),50)="Alumínio",('Densidade do AR'!$S$4*1000000)))))))</f>
        <v>-</v>
      </c>
      <c r="DY153" s="785"/>
      <c r="DZ153" s="785"/>
      <c r="EA153" s="786"/>
      <c r="EB153" s="787" t="str">
        <f t="shared" si="58"/>
        <v>-</v>
      </c>
      <c r="EC153" s="788"/>
      <c r="ED153" s="788"/>
      <c r="EE153" s="789"/>
      <c r="EF153" s="787" t="str">
        <f t="shared" si="48"/>
        <v>-</v>
      </c>
      <c r="EG153" s="788"/>
      <c r="EH153" s="788"/>
      <c r="EI153" s="789"/>
      <c r="EJ153" s="790" t="str">
        <f t="shared" si="59"/>
        <v>-</v>
      </c>
      <c r="EK153" s="785"/>
      <c r="EL153" s="785"/>
      <c r="EM153" s="786"/>
      <c r="EN153" s="790" t="str">
        <f t="shared" si="49"/>
        <v>-</v>
      </c>
      <c r="EO153" s="785"/>
      <c r="EP153" s="785"/>
      <c r="EQ153" s="786"/>
      <c r="ER153" s="790" t="str">
        <f>IF(DV153="","-",INDEX($A$5:$BP$257,MATCH(DV153,$BN$5:$BN$257,0),39)*(IF(DV153="","-",(1+(((-('Densidade do AR'!$M$4))+('Densidade do AR'!$T$15*1000000))/(IF(INDEX($A$5:$BP$257,MATCH(DV153,$BN$5:$BN$257,0),50)="Aço Inoxidável",('Densidade do AR'!$S$8*1000000),IF(INDEX($A$5:$BP$257,MATCH(DV153,$BN$5:$BN$257,0),50)="Ferro Fundido",('Densidade do AR'!$S$12*1000000),IF(INDEX($A$5:$BP$257,MATCH(DV153,$BN$5:$BN$257,0),50)="Latão",('Densidade do AR'!$S$10*1000000),IF(INDEX($A$5:$BP$257,MATCH(DV153,$BN$5:$BN$257,0),50)="Alumínio",('Densidade do AR'!$S$4*1000000)))))))-(((-('Densidade do AR'!$M$4))+('Densidade do AR'!$T$15*1000000))/('Densidade do AR'!$S$14*1000000))))))</f>
        <v>-</v>
      </c>
      <c r="ES153" s="785"/>
      <c r="ET153" s="785"/>
      <c r="EU153" s="791"/>
      <c r="EV153" s="91" t="str">
        <f t="shared" si="60"/>
        <v>-</v>
      </c>
      <c r="EW153" s="794"/>
      <c r="EX153" s="795"/>
      <c r="EY153" s="784" t="str">
        <f>IF(EW153="","-",(IF(INDEX($A$5:$BP$257,MATCH(EW153,$BN$5:$BN$257,0),50)="Aço Inoxidável",('Densidade do AR'!$S$8*1000000),IF(INDEX($A$5:$BP$257,MATCH(EW153,$BN$5:$BN$257,0),50)="Ferro Fundido",('Densidade do AR'!$S$12*1000000),IF(INDEX($A$5:$BP$257,MATCH(EW153,$BN$5:$BN$257,0),50)="Latão",('Densidade do AR'!$S$10*1000000),IF(INDEX($A$5:$BP$257,MATCH(EW153,$BN$5:$BN$257,0),50)="Alumínio",('Densidade do AR'!$S$4*1000000)))))))</f>
        <v>-</v>
      </c>
      <c r="EZ153" s="785"/>
      <c r="FA153" s="785"/>
      <c r="FB153" s="786"/>
      <c r="FC153" s="787" t="str">
        <f t="shared" si="61"/>
        <v>-</v>
      </c>
      <c r="FD153" s="788"/>
      <c r="FE153" s="788"/>
      <c r="FF153" s="789"/>
      <c r="FG153" s="787" t="str">
        <f t="shared" si="50"/>
        <v>-</v>
      </c>
      <c r="FH153" s="788"/>
      <c r="FI153" s="788"/>
      <c r="FJ153" s="789"/>
      <c r="FK153" s="790" t="str">
        <f t="shared" si="62"/>
        <v>-</v>
      </c>
      <c r="FL153" s="785"/>
      <c r="FM153" s="785"/>
      <c r="FN153" s="786"/>
      <c r="FO153" s="790" t="str">
        <f t="shared" si="51"/>
        <v>-</v>
      </c>
      <c r="FP153" s="785"/>
      <c r="FQ153" s="785"/>
      <c r="FR153" s="786"/>
      <c r="FS153" s="790" t="str">
        <f>IF(EW153="","-",INDEX($A$5:$BP$257,MATCH(EW153,$BN$5:$BN$257,0),39)*(IF(EW153="","-",(1+(((-('Densidade do AR'!$M$4))+('Densidade do AR'!$T$15*1000000))/(IF(INDEX($A$5:$BP$257,MATCH(EW153,$BN$5:$BN$257,0),50)="Aço Inoxidável",('Densidade do AR'!$S$8*1000000),IF(INDEX($A$5:$BP$257,MATCH(EW153,$BN$5:$BN$257,0),50)="Ferro Fundido",('Densidade do AR'!$S$12*1000000),IF(INDEX($A$5:$BP$257,MATCH(EW153,$BN$5:$BN$257,0),50)="Latão",('Densidade do AR'!$S$10*1000000),IF(INDEX($A$5:$BP$257,MATCH(EW153,$BN$5:$BN$257,0),50)="Alumínio",('Densidade do AR'!$S$4*1000000)))))))-(((-('Densidade do AR'!$M$4))+('Densidade do AR'!$T$15*1000000))/('Densidade do AR'!$S$14*1000000))))))</f>
        <v>-</v>
      </c>
      <c r="FT153" s="785"/>
      <c r="FU153" s="785"/>
      <c r="FV153" s="791"/>
      <c r="FW153" s="91" t="str">
        <f t="shared" si="63"/>
        <v>-</v>
      </c>
      <c r="FX153" s="135"/>
    </row>
    <row r="154" spans="1:180" ht="12.75" customHeight="1" x14ac:dyDescent="0.2">
      <c r="A154" s="718">
        <v>150</v>
      </c>
      <c r="B154" s="713"/>
      <c r="C154" s="719"/>
      <c r="D154" s="709"/>
      <c r="E154" s="709"/>
      <c r="F154" s="709"/>
      <c r="G154" s="710"/>
      <c r="H154" s="720"/>
      <c r="I154" s="712"/>
      <c r="J154" s="712"/>
      <c r="K154" s="713"/>
      <c r="L154" s="719"/>
      <c r="M154" s="709"/>
      <c r="N154" s="709"/>
      <c r="O154" s="709"/>
      <c r="P154" s="719"/>
      <c r="Q154" s="709"/>
      <c r="R154" s="709"/>
      <c r="S154" s="709"/>
      <c r="T154" s="710"/>
      <c r="U154" s="721"/>
      <c r="V154" s="722"/>
      <c r="W154" s="722"/>
      <c r="X154" s="722"/>
      <c r="Y154" s="722"/>
      <c r="Z154" s="722"/>
      <c r="AA154" s="723"/>
      <c r="AB154" s="853"/>
      <c r="AC154" s="854"/>
      <c r="AD154" s="854"/>
      <c r="AE154" s="854"/>
      <c r="AF154" s="854"/>
      <c r="AG154" s="854"/>
      <c r="AH154" s="854"/>
      <c r="AI154" s="854"/>
      <c r="AJ154" s="854"/>
      <c r="AK154" s="854"/>
      <c r="AL154" s="855"/>
      <c r="AM154" s="909"/>
      <c r="AN154" s="712"/>
      <c r="AO154" s="712"/>
      <c r="AP154" s="712"/>
      <c r="AQ154" s="712"/>
      <c r="AR154" s="712"/>
      <c r="AS154" s="713"/>
      <c r="AT154" s="909"/>
      <c r="AU154" s="712"/>
      <c r="AV154" s="712"/>
      <c r="AW154" s="713"/>
      <c r="AX154" s="908"/>
      <c r="AY154" s="712"/>
      <c r="AZ154" s="712"/>
      <c r="BA154" s="712"/>
      <c r="BB154" s="712"/>
      <c r="BC154" s="713"/>
      <c r="BD154" s="909"/>
      <c r="BE154" s="712"/>
      <c r="BF154" s="712"/>
      <c r="BG154" s="713"/>
      <c r="BH154" s="908"/>
      <c r="BI154" s="712"/>
      <c r="BJ154" s="712"/>
      <c r="BK154" s="712"/>
      <c r="BL154" s="910"/>
      <c r="BN154" s="881"/>
      <c r="BO154" s="709"/>
      <c r="BP154" s="884"/>
      <c r="BT154" s="792"/>
      <c r="BU154" s="793"/>
      <c r="BV154" s="738" t="str">
        <f>IF(BT154="","-",(IF(INDEX($A$5:$BP$257,MATCH(BT154,$BN$5:$BN$257,0),50)="Aço Inoxidável",('Densidade do AR'!$S$8*1000000),IF(INDEX($A$5:$BP$257,MATCH(BT154,$BN$5:$BN$257,0),50)="Ferro Fundido",('Densidade do AR'!$S$12*1000000),IF(INDEX($A$5:$BP$257,MATCH(BT154,$BN$5:$BN$257,0),50)="Latão",('Densidade do AR'!$S$10*1000000),IF(INDEX($A$5:$BP$257,MATCH(BT154,$BN$5:$BN$257,0),50)="Alumínio",('Densidade do AR'!$S$4*1000000)))))))</f>
        <v>-</v>
      </c>
      <c r="BW154" s="739"/>
      <c r="BX154" s="739"/>
      <c r="BY154" s="740"/>
      <c r="BZ154" s="741" t="str">
        <f t="shared" si="52"/>
        <v>-</v>
      </c>
      <c r="CA154" s="742"/>
      <c r="CB154" s="742"/>
      <c r="CC154" s="743"/>
      <c r="CD154" s="741" t="str">
        <f t="shared" si="44"/>
        <v>-</v>
      </c>
      <c r="CE154" s="742"/>
      <c r="CF154" s="742"/>
      <c r="CG154" s="743"/>
      <c r="CH154" s="744" t="str">
        <f t="shared" si="53"/>
        <v>-</v>
      </c>
      <c r="CI154" s="739"/>
      <c r="CJ154" s="739"/>
      <c r="CK154" s="740"/>
      <c r="CL154" s="744" t="str">
        <f t="shared" si="45"/>
        <v>-</v>
      </c>
      <c r="CM154" s="739"/>
      <c r="CN154" s="739"/>
      <c r="CO154" s="740"/>
      <c r="CP154" s="744" t="str">
        <f>IF(BT154="","-",INDEX($A$5:$BP$257,MATCH(BT154,$BN$5:$BN$257,0),39)*(IF(BT154="","-",(1+(((-('Densidade do AR'!$M$4))+('Densidade do AR'!$T$15*1000000))/(IF(INDEX($A$5:$BP$257,MATCH(BT154,$BN$5:$BN$257,0),50)="Aço Inoxidável",('Densidade do AR'!$S$8*1000000),IF(INDEX($A$5:$BP$257,MATCH(BT154,$BN$5:$BN$257,0),50)="Ferro Fundido",('Densidade do AR'!$S$12*1000000),IF(INDEX($A$5:$BP$257,MATCH(BT154,$BN$5:$BN$257,0),50)="Latão",('Densidade do AR'!$S$10*1000000),IF(INDEX($A$5:$BP$257,MATCH(BT154,$BN$5:$BN$257,0),50)="Alumínio",('Densidade do AR'!$S$4*1000000)))))))-(((-('Densidade do AR'!$M$4))+('Densidade do AR'!$T$15*1000000))/('Densidade do AR'!$S$14*1000000))))))</f>
        <v>-</v>
      </c>
      <c r="CQ154" s="739"/>
      <c r="CR154" s="739"/>
      <c r="CS154" s="745"/>
      <c r="CT154" s="91" t="str">
        <f t="shared" si="54"/>
        <v>-</v>
      </c>
      <c r="CU154" s="792"/>
      <c r="CV154" s="793"/>
      <c r="CW154" s="738" t="str">
        <f>IF(CU154="","-",(IF(INDEX($A$5:$BP$257,MATCH(CU154,$BN$5:$BN$257,0),50)="Aço Inoxidável",('Densidade do AR'!$S$8*1000000),IF(INDEX($A$5:$BP$257,MATCH(CU154,$BN$5:$BN$257,0),50)="Ferro Fundido",('Densidade do AR'!$S$12*1000000),IF(INDEX($A$5:$BP$257,MATCH(CU154,$BN$5:$BN$257,0),50)="Latão",('Densidade do AR'!$S$10*1000000),IF(INDEX($A$5:$BP$257,MATCH(CU154,$BN$5:$BN$257,0),50)="Alumínio",('Densidade do AR'!$S$4*1000000)))))))</f>
        <v>-</v>
      </c>
      <c r="CX154" s="739"/>
      <c r="CY154" s="739"/>
      <c r="CZ154" s="740"/>
      <c r="DA154" s="741" t="str">
        <f t="shared" si="55"/>
        <v>-</v>
      </c>
      <c r="DB154" s="742"/>
      <c r="DC154" s="742"/>
      <c r="DD154" s="743"/>
      <c r="DE154" s="741" t="str">
        <f t="shared" si="46"/>
        <v>-</v>
      </c>
      <c r="DF154" s="742"/>
      <c r="DG154" s="742"/>
      <c r="DH154" s="743"/>
      <c r="DI154" s="744" t="str">
        <f t="shared" si="56"/>
        <v>-</v>
      </c>
      <c r="DJ154" s="739"/>
      <c r="DK154" s="739"/>
      <c r="DL154" s="740"/>
      <c r="DM154" s="744" t="str">
        <f t="shared" si="47"/>
        <v>-</v>
      </c>
      <c r="DN154" s="739"/>
      <c r="DO154" s="739"/>
      <c r="DP154" s="740"/>
      <c r="DQ154" s="744" t="str">
        <f>IF(CU154="","-",INDEX($A$5:$BP$257,MATCH(CU154,$BN$5:$BN$257,0),39)*(IF(CU154="","-",(1+(((-('Densidade do AR'!$M$4))+('Densidade do AR'!$T$15*1000000))/(IF(INDEX($A$5:$BP$257,MATCH(CU154,$BN$5:$BN$257,0),50)="Aço Inoxidável",('Densidade do AR'!$S$8*1000000),IF(INDEX($A$5:$BP$257,MATCH(CU154,$BN$5:$BN$257,0),50)="Ferro Fundido",('Densidade do AR'!$S$12*1000000),IF(INDEX($A$5:$BP$257,MATCH(CU154,$BN$5:$BN$257,0),50)="Latão",('Densidade do AR'!$S$10*1000000),IF(INDEX($A$5:$BP$257,MATCH(CU154,$BN$5:$BN$257,0),50)="Alumínio",('Densidade do AR'!$S$4*1000000)))))))-(((-('Densidade do AR'!$M$4))+('Densidade do AR'!$T$15*1000000))/('Densidade do AR'!$S$14*1000000))))))</f>
        <v>-</v>
      </c>
      <c r="DR154" s="739"/>
      <c r="DS154" s="739"/>
      <c r="DT154" s="745"/>
      <c r="DU154" s="91" t="str">
        <f t="shared" si="57"/>
        <v>-</v>
      </c>
      <c r="DV154" s="792"/>
      <c r="DW154" s="793"/>
      <c r="DX154" s="738" t="str">
        <f>IF(DV154="","-",(IF(INDEX($A$5:$BP$257,MATCH(DV154,$BN$5:$BN$257,0),50)="Aço Inoxidável",('Densidade do AR'!$S$8*1000000),IF(INDEX($A$5:$BP$257,MATCH(DV154,$BN$5:$BN$257,0),50)="Ferro Fundido",('Densidade do AR'!$S$12*1000000),IF(INDEX($A$5:$BP$257,MATCH(DV154,$BN$5:$BN$257,0),50)="Latão",('Densidade do AR'!$S$10*1000000),IF(INDEX($A$5:$BP$257,MATCH(DV154,$BN$5:$BN$257,0),50)="Alumínio",('Densidade do AR'!$S$4*1000000)))))))</f>
        <v>-</v>
      </c>
      <c r="DY154" s="739"/>
      <c r="DZ154" s="739"/>
      <c r="EA154" s="740"/>
      <c r="EB154" s="741" t="str">
        <f t="shared" si="58"/>
        <v>-</v>
      </c>
      <c r="EC154" s="742"/>
      <c r="ED154" s="742"/>
      <c r="EE154" s="743"/>
      <c r="EF154" s="741" t="str">
        <f t="shared" si="48"/>
        <v>-</v>
      </c>
      <c r="EG154" s="742"/>
      <c r="EH154" s="742"/>
      <c r="EI154" s="743"/>
      <c r="EJ154" s="744" t="str">
        <f t="shared" si="59"/>
        <v>-</v>
      </c>
      <c r="EK154" s="739"/>
      <c r="EL154" s="739"/>
      <c r="EM154" s="740"/>
      <c r="EN154" s="744" t="str">
        <f t="shared" si="49"/>
        <v>-</v>
      </c>
      <c r="EO154" s="739"/>
      <c r="EP154" s="739"/>
      <c r="EQ154" s="740"/>
      <c r="ER154" s="744" t="str">
        <f>IF(DV154="","-",INDEX($A$5:$BP$257,MATCH(DV154,$BN$5:$BN$257,0),39)*(IF(DV154="","-",(1+(((-('Densidade do AR'!$M$4))+('Densidade do AR'!$T$15*1000000))/(IF(INDEX($A$5:$BP$257,MATCH(DV154,$BN$5:$BN$257,0),50)="Aço Inoxidável",('Densidade do AR'!$S$8*1000000),IF(INDEX($A$5:$BP$257,MATCH(DV154,$BN$5:$BN$257,0),50)="Ferro Fundido",('Densidade do AR'!$S$12*1000000),IF(INDEX($A$5:$BP$257,MATCH(DV154,$BN$5:$BN$257,0),50)="Latão",('Densidade do AR'!$S$10*1000000),IF(INDEX($A$5:$BP$257,MATCH(DV154,$BN$5:$BN$257,0),50)="Alumínio",('Densidade do AR'!$S$4*1000000)))))))-(((-('Densidade do AR'!$M$4))+('Densidade do AR'!$T$15*1000000))/('Densidade do AR'!$S$14*1000000))))))</f>
        <v>-</v>
      </c>
      <c r="ES154" s="739"/>
      <c r="ET154" s="739"/>
      <c r="EU154" s="745"/>
      <c r="EV154" s="91" t="str">
        <f t="shared" si="60"/>
        <v>-</v>
      </c>
      <c r="EW154" s="792"/>
      <c r="EX154" s="793"/>
      <c r="EY154" s="738" t="str">
        <f>IF(EW154="","-",(IF(INDEX($A$5:$BP$257,MATCH(EW154,$BN$5:$BN$257,0),50)="Aço Inoxidável",('Densidade do AR'!$S$8*1000000),IF(INDEX($A$5:$BP$257,MATCH(EW154,$BN$5:$BN$257,0),50)="Ferro Fundido",('Densidade do AR'!$S$12*1000000),IF(INDEX($A$5:$BP$257,MATCH(EW154,$BN$5:$BN$257,0),50)="Latão",('Densidade do AR'!$S$10*1000000),IF(INDEX($A$5:$BP$257,MATCH(EW154,$BN$5:$BN$257,0),50)="Alumínio",('Densidade do AR'!$S$4*1000000)))))))</f>
        <v>-</v>
      </c>
      <c r="EZ154" s="739"/>
      <c r="FA154" s="739"/>
      <c r="FB154" s="740"/>
      <c r="FC154" s="741" t="str">
        <f t="shared" si="61"/>
        <v>-</v>
      </c>
      <c r="FD154" s="742"/>
      <c r="FE154" s="742"/>
      <c r="FF154" s="743"/>
      <c r="FG154" s="741" t="str">
        <f t="shared" si="50"/>
        <v>-</v>
      </c>
      <c r="FH154" s="742"/>
      <c r="FI154" s="742"/>
      <c r="FJ154" s="743"/>
      <c r="FK154" s="744" t="str">
        <f t="shared" si="62"/>
        <v>-</v>
      </c>
      <c r="FL154" s="739"/>
      <c r="FM154" s="739"/>
      <c r="FN154" s="740"/>
      <c r="FO154" s="744" t="str">
        <f t="shared" si="51"/>
        <v>-</v>
      </c>
      <c r="FP154" s="739"/>
      <c r="FQ154" s="739"/>
      <c r="FR154" s="740"/>
      <c r="FS154" s="744" t="str">
        <f>IF(EW154="","-",INDEX($A$5:$BP$257,MATCH(EW154,$BN$5:$BN$257,0),39)*(IF(EW154="","-",(1+(((-('Densidade do AR'!$M$4))+('Densidade do AR'!$T$15*1000000))/(IF(INDEX($A$5:$BP$257,MATCH(EW154,$BN$5:$BN$257,0),50)="Aço Inoxidável",('Densidade do AR'!$S$8*1000000),IF(INDEX($A$5:$BP$257,MATCH(EW154,$BN$5:$BN$257,0),50)="Ferro Fundido",('Densidade do AR'!$S$12*1000000),IF(INDEX($A$5:$BP$257,MATCH(EW154,$BN$5:$BN$257,0),50)="Latão",('Densidade do AR'!$S$10*1000000),IF(INDEX($A$5:$BP$257,MATCH(EW154,$BN$5:$BN$257,0),50)="Alumínio",('Densidade do AR'!$S$4*1000000)))))))-(((-('Densidade do AR'!$M$4))+('Densidade do AR'!$T$15*1000000))/('Densidade do AR'!$S$14*1000000))))))</f>
        <v>-</v>
      </c>
      <c r="FT154" s="739"/>
      <c r="FU154" s="739"/>
      <c r="FV154" s="745"/>
      <c r="FW154" s="91" t="str">
        <f t="shared" si="63"/>
        <v>-</v>
      </c>
      <c r="FX154" s="135"/>
    </row>
    <row r="155" spans="1:180" ht="12.75" customHeight="1" x14ac:dyDescent="0.2">
      <c r="A155" s="717">
        <v>151</v>
      </c>
      <c r="B155" s="713"/>
      <c r="C155" s="708"/>
      <c r="D155" s="709"/>
      <c r="E155" s="709"/>
      <c r="F155" s="709"/>
      <c r="G155" s="710"/>
      <c r="H155" s="711"/>
      <c r="I155" s="712"/>
      <c r="J155" s="712"/>
      <c r="K155" s="713"/>
      <c r="L155" s="708"/>
      <c r="M155" s="709"/>
      <c r="N155" s="709"/>
      <c r="O155" s="709"/>
      <c r="P155" s="708"/>
      <c r="Q155" s="709"/>
      <c r="R155" s="709"/>
      <c r="S155" s="709"/>
      <c r="T155" s="710"/>
      <c r="U155" s="714"/>
      <c r="V155" s="715"/>
      <c r="W155" s="715"/>
      <c r="X155" s="715"/>
      <c r="Y155" s="715"/>
      <c r="Z155" s="715"/>
      <c r="AA155" s="716"/>
      <c r="AB155" s="850"/>
      <c r="AC155" s="851"/>
      <c r="AD155" s="851"/>
      <c r="AE155" s="851"/>
      <c r="AF155" s="851"/>
      <c r="AG155" s="851"/>
      <c r="AH155" s="851"/>
      <c r="AI155" s="851"/>
      <c r="AJ155" s="851"/>
      <c r="AK155" s="851"/>
      <c r="AL155" s="852"/>
      <c r="AM155" s="917"/>
      <c r="AN155" s="712"/>
      <c r="AO155" s="712"/>
      <c r="AP155" s="712"/>
      <c r="AQ155" s="712"/>
      <c r="AR155" s="712"/>
      <c r="AS155" s="713"/>
      <c r="AT155" s="917"/>
      <c r="AU155" s="712"/>
      <c r="AV155" s="712"/>
      <c r="AW155" s="713"/>
      <c r="AX155" s="917"/>
      <c r="AY155" s="712"/>
      <c r="AZ155" s="712"/>
      <c r="BA155" s="712"/>
      <c r="BB155" s="712"/>
      <c r="BC155" s="713"/>
      <c r="BD155" s="917"/>
      <c r="BE155" s="712"/>
      <c r="BF155" s="712"/>
      <c r="BG155" s="713"/>
      <c r="BH155" s="918"/>
      <c r="BI155" s="712"/>
      <c r="BJ155" s="712"/>
      <c r="BK155" s="712"/>
      <c r="BL155" s="910"/>
      <c r="BN155" s="878"/>
      <c r="BO155" s="709"/>
      <c r="BP155" s="884"/>
      <c r="BT155" s="794"/>
      <c r="BU155" s="795"/>
      <c r="BV155" s="784" t="str">
        <f>IF(BT155="","-",(IF(INDEX($A$5:$BP$257,MATCH(BT155,$BN$5:$BN$257,0),50)="Aço Inoxidável",('Densidade do AR'!$S$8*1000000),IF(INDEX($A$5:$BP$257,MATCH(BT155,$BN$5:$BN$257,0),50)="Ferro Fundido",('Densidade do AR'!$S$12*1000000),IF(INDEX($A$5:$BP$257,MATCH(BT155,$BN$5:$BN$257,0),50)="Latão",('Densidade do AR'!$S$10*1000000),IF(INDEX($A$5:$BP$257,MATCH(BT155,$BN$5:$BN$257,0),50)="Alumínio",('Densidade do AR'!$S$4*1000000)))))))</f>
        <v>-</v>
      </c>
      <c r="BW155" s="785"/>
      <c r="BX155" s="785"/>
      <c r="BY155" s="786"/>
      <c r="BZ155" s="787" t="str">
        <f t="shared" si="52"/>
        <v>-</v>
      </c>
      <c r="CA155" s="788"/>
      <c r="CB155" s="788"/>
      <c r="CC155" s="789"/>
      <c r="CD155" s="787" t="str">
        <f t="shared" si="44"/>
        <v>-</v>
      </c>
      <c r="CE155" s="788"/>
      <c r="CF155" s="788"/>
      <c r="CG155" s="789"/>
      <c r="CH155" s="790" t="str">
        <f t="shared" si="53"/>
        <v>-</v>
      </c>
      <c r="CI155" s="785"/>
      <c r="CJ155" s="785"/>
      <c r="CK155" s="786"/>
      <c r="CL155" s="790" t="str">
        <f t="shared" si="45"/>
        <v>-</v>
      </c>
      <c r="CM155" s="785"/>
      <c r="CN155" s="785"/>
      <c r="CO155" s="786"/>
      <c r="CP155" s="790" t="str">
        <f>IF(BT155="","-",INDEX($A$5:$BP$257,MATCH(BT155,$BN$5:$BN$257,0),39)*(IF(BT155="","-",(1+(((-('Densidade do AR'!$M$4))+('Densidade do AR'!$T$15*1000000))/(IF(INDEX($A$5:$BP$257,MATCH(BT155,$BN$5:$BN$257,0),50)="Aço Inoxidável",('Densidade do AR'!$S$8*1000000),IF(INDEX($A$5:$BP$257,MATCH(BT155,$BN$5:$BN$257,0),50)="Ferro Fundido",('Densidade do AR'!$S$12*1000000),IF(INDEX($A$5:$BP$257,MATCH(BT155,$BN$5:$BN$257,0),50)="Latão",('Densidade do AR'!$S$10*1000000),IF(INDEX($A$5:$BP$257,MATCH(BT155,$BN$5:$BN$257,0),50)="Alumínio",('Densidade do AR'!$S$4*1000000)))))))-(((-('Densidade do AR'!$M$4))+('Densidade do AR'!$T$15*1000000))/('Densidade do AR'!$S$14*1000000))))))</f>
        <v>-</v>
      </c>
      <c r="CQ155" s="785"/>
      <c r="CR155" s="785"/>
      <c r="CS155" s="791"/>
      <c r="CT155" s="91" t="str">
        <f t="shared" si="54"/>
        <v>-</v>
      </c>
      <c r="CU155" s="794"/>
      <c r="CV155" s="795"/>
      <c r="CW155" s="784" t="str">
        <f>IF(CU155="","-",(IF(INDEX($A$5:$BP$257,MATCH(CU155,$BN$5:$BN$257,0),50)="Aço Inoxidável",('Densidade do AR'!$S$8*1000000),IF(INDEX($A$5:$BP$257,MATCH(CU155,$BN$5:$BN$257,0),50)="Ferro Fundido",('Densidade do AR'!$S$12*1000000),IF(INDEX($A$5:$BP$257,MATCH(CU155,$BN$5:$BN$257,0),50)="Latão",('Densidade do AR'!$S$10*1000000),IF(INDEX($A$5:$BP$257,MATCH(CU155,$BN$5:$BN$257,0),50)="Alumínio",('Densidade do AR'!$S$4*1000000)))))))</f>
        <v>-</v>
      </c>
      <c r="CX155" s="785"/>
      <c r="CY155" s="785"/>
      <c r="CZ155" s="786"/>
      <c r="DA155" s="787" t="str">
        <f t="shared" si="55"/>
        <v>-</v>
      </c>
      <c r="DB155" s="788"/>
      <c r="DC155" s="788"/>
      <c r="DD155" s="789"/>
      <c r="DE155" s="787" t="str">
        <f t="shared" si="46"/>
        <v>-</v>
      </c>
      <c r="DF155" s="788"/>
      <c r="DG155" s="788"/>
      <c r="DH155" s="789"/>
      <c r="DI155" s="790" t="str">
        <f t="shared" si="56"/>
        <v>-</v>
      </c>
      <c r="DJ155" s="785"/>
      <c r="DK155" s="785"/>
      <c r="DL155" s="786"/>
      <c r="DM155" s="790" t="str">
        <f t="shared" si="47"/>
        <v>-</v>
      </c>
      <c r="DN155" s="785"/>
      <c r="DO155" s="785"/>
      <c r="DP155" s="786"/>
      <c r="DQ155" s="790" t="str">
        <f>IF(CU155="","-",INDEX($A$5:$BP$257,MATCH(CU155,$BN$5:$BN$257,0),39)*(IF(CU155="","-",(1+(((-('Densidade do AR'!$M$4))+('Densidade do AR'!$T$15*1000000))/(IF(INDEX($A$5:$BP$257,MATCH(CU155,$BN$5:$BN$257,0),50)="Aço Inoxidável",('Densidade do AR'!$S$8*1000000),IF(INDEX($A$5:$BP$257,MATCH(CU155,$BN$5:$BN$257,0),50)="Ferro Fundido",('Densidade do AR'!$S$12*1000000),IF(INDEX($A$5:$BP$257,MATCH(CU155,$BN$5:$BN$257,0),50)="Latão",('Densidade do AR'!$S$10*1000000),IF(INDEX($A$5:$BP$257,MATCH(CU155,$BN$5:$BN$257,0),50)="Alumínio",('Densidade do AR'!$S$4*1000000)))))))-(((-('Densidade do AR'!$M$4))+('Densidade do AR'!$T$15*1000000))/('Densidade do AR'!$S$14*1000000))))))</f>
        <v>-</v>
      </c>
      <c r="DR155" s="785"/>
      <c r="DS155" s="785"/>
      <c r="DT155" s="791"/>
      <c r="DU155" s="91" t="str">
        <f t="shared" si="57"/>
        <v>-</v>
      </c>
      <c r="DV155" s="794"/>
      <c r="DW155" s="795"/>
      <c r="DX155" s="784" t="str">
        <f>IF(DV155="","-",(IF(INDEX($A$5:$BP$257,MATCH(DV155,$BN$5:$BN$257,0),50)="Aço Inoxidável",('Densidade do AR'!$S$8*1000000),IF(INDEX($A$5:$BP$257,MATCH(DV155,$BN$5:$BN$257,0),50)="Ferro Fundido",('Densidade do AR'!$S$12*1000000),IF(INDEX($A$5:$BP$257,MATCH(DV155,$BN$5:$BN$257,0),50)="Latão",('Densidade do AR'!$S$10*1000000),IF(INDEX($A$5:$BP$257,MATCH(DV155,$BN$5:$BN$257,0),50)="Alumínio",('Densidade do AR'!$S$4*1000000)))))))</f>
        <v>-</v>
      </c>
      <c r="DY155" s="785"/>
      <c r="DZ155" s="785"/>
      <c r="EA155" s="786"/>
      <c r="EB155" s="787" t="str">
        <f t="shared" si="58"/>
        <v>-</v>
      </c>
      <c r="EC155" s="788"/>
      <c r="ED155" s="788"/>
      <c r="EE155" s="789"/>
      <c r="EF155" s="787" t="str">
        <f t="shared" si="48"/>
        <v>-</v>
      </c>
      <c r="EG155" s="788"/>
      <c r="EH155" s="788"/>
      <c r="EI155" s="789"/>
      <c r="EJ155" s="790" t="str">
        <f t="shared" si="59"/>
        <v>-</v>
      </c>
      <c r="EK155" s="785"/>
      <c r="EL155" s="785"/>
      <c r="EM155" s="786"/>
      <c r="EN155" s="790" t="str">
        <f t="shared" si="49"/>
        <v>-</v>
      </c>
      <c r="EO155" s="785"/>
      <c r="EP155" s="785"/>
      <c r="EQ155" s="786"/>
      <c r="ER155" s="790" t="str">
        <f>IF(DV155="","-",INDEX($A$5:$BP$257,MATCH(DV155,$BN$5:$BN$257,0),39)*(IF(DV155="","-",(1+(((-('Densidade do AR'!$M$4))+('Densidade do AR'!$T$15*1000000))/(IF(INDEX($A$5:$BP$257,MATCH(DV155,$BN$5:$BN$257,0),50)="Aço Inoxidável",('Densidade do AR'!$S$8*1000000),IF(INDEX($A$5:$BP$257,MATCH(DV155,$BN$5:$BN$257,0),50)="Ferro Fundido",('Densidade do AR'!$S$12*1000000),IF(INDEX($A$5:$BP$257,MATCH(DV155,$BN$5:$BN$257,0),50)="Latão",('Densidade do AR'!$S$10*1000000),IF(INDEX($A$5:$BP$257,MATCH(DV155,$BN$5:$BN$257,0),50)="Alumínio",('Densidade do AR'!$S$4*1000000)))))))-(((-('Densidade do AR'!$M$4))+('Densidade do AR'!$T$15*1000000))/('Densidade do AR'!$S$14*1000000))))))</f>
        <v>-</v>
      </c>
      <c r="ES155" s="785"/>
      <c r="ET155" s="785"/>
      <c r="EU155" s="791"/>
      <c r="EV155" s="91" t="str">
        <f t="shared" si="60"/>
        <v>-</v>
      </c>
      <c r="EW155" s="794"/>
      <c r="EX155" s="795"/>
      <c r="EY155" s="784" t="str">
        <f>IF(EW155="","-",(IF(INDEX($A$5:$BP$257,MATCH(EW155,$BN$5:$BN$257,0),50)="Aço Inoxidável",('Densidade do AR'!$S$8*1000000),IF(INDEX($A$5:$BP$257,MATCH(EW155,$BN$5:$BN$257,0),50)="Ferro Fundido",('Densidade do AR'!$S$12*1000000),IF(INDEX($A$5:$BP$257,MATCH(EW155,$BN$5:$BN$257,0),50)="Latão",('Densidade do AR'!$S$10*1000000),IF(INDEX($A$5:$BP$257,MATCH(EW155,$BN$5:$BN$257,0),50)="Alumínio",('Densidade do AR'!$S$4*1000000)))))))</f>
        <v>-</v>
      </c>
      <c r="EZ155" s="785"/>
      <c r="FA155" s="785"/>
      <c r="FB155" s="786"/>
      <c r="FC155" s="787" t="str">
        <f t="shared" si="61"/>
        <v>-</v>
      </c>
      <c r="FD155" s="788"/>
      <c r="FE155" s="788"/>
      <c r="FF155" s="789"/>
      <c r="FG155" s="787" t="str">
        <f t="shared" si="50"/>
        <v>-</v>
      </c>
      <c r="FH155" s="788"/>
      <c r="FI155" s="788"/>
      <c r="FJ155" s="789"/>
      <c r="FK155" s="790" t="str">
        <f t="shared" si="62"/>
        <v>-</v>
      </c>
      <c r="FL155" s="785"/>
      <c r="FM155" s="785"/>
      <c r="FN155" s="786"/>
      <c r="FO155" s="790" t="str">
        <f t="shared" si="51"/>
        <v>-</v>
      </c>
      <c r="FP155" s="785"/>
      <c r="FQ155" s="785"/>
      <c r="FR155" s="786"/>
      <c r="FS155" s="790" t="str">
        <f>IF(EW155="","-",INDEX($A$5:$BP$257,MATCH(EW155,$BN$5:$BN$257,0),39)*(IF(EW155="","-",(1+(((-('Densidade do AR'!$M$4))+('Densidade do AR'!$T$15*1000000))/(IF(INDEX($A$5:$BP$257,MATCH(EW155,$BN$5:$BN$257,0),50)="Aço Inoxidável",('Densidade do AR'!$S$8*1000000),IF(INDEX($A$5:$BP$257,MATCH(EW155,$BN$5:$BN$257,0),50)="Ferro Fundido",('Densidade do AR'!$S$12*1000000),IF(INDEX($A$5:$BP$257,MATCH(EW155,$BN$5:$BN$257,0),50)="Latão",('Densidade do AR'!$S$10*1000000),IF(INDEX($A$5:$BP$257,MATCH(EW155,$BN$5:$BN$257,0),50)="Alumínio",('Densidade do AR'!$S$4*1000000)))))))-(((-('Densidade do AR'!$M$4))+('Densidade do AR'!$T$15*1000000))/('Densidade do AR'!$S$14*1000000))))))</f>
        <v>-</v>
      </c>
      <c r="FT155" s="785"/>
      <c r="FU155" s="785"/>
      <c r="FV155" s="791"/>
      <c r="FW155" s="91" t="str">
        <f t="shared" si="63"/>
        <v>-</v>
      </c>
      <c r="FX155" s="135"/>
    </row>
    <row r="156" spans="1:180" ht="12.75" customHeight="1" x14ac:dyDescent="0.2">
      <c r="A156" s="718">
        <v>152</v>
      </c>
      <c r="B156" s="713"/>
      <c r="C156" s="719"/>
      <c r="D156" s="709"/>
      <c r="E156" s="709"/>
      <c r="F156" s="709"/>
      <c r="G156" s="710"/>
      <c r="H156" s="720"/>
      <c r="I156" s="712"/>
      <c r="J156" s="712"/>
      <c r="K156" s="713"/>
      <c r="L156" s="719"/>
      <c r="M156" s="709"/>
      <c r="N156" s="709"/>
      <c r="O156" s="709"/>
      <c r="P156" s="719"/>
      <c r="Q156" s="709"/>
      <c r="R156" s="709"/>
      <c r="S156" s="709"/>
      <c r="T156" s="710"/>
      <c r="U156" s="721"/>
      <c r="V156" s="722"/>
      <c r="W156" s="722"/>
      <c r="X156" s="722"/>
      <c r="Y156" s="722"/>
      <c r="Z156" s="722"/>
      <c r="AA156" s="723"/>
      <c r="AB156" s="853"/>
      <c r="AC156" s="854"/>
      <c r="AD156" s="854"/>
      <c r="AE156" s="854"/>
      <c r="AF156" s="854"/>
      <c r="AG156" s="854"/>
      <c r="AH156" s="854"/>
      <c r="AI156" s="854"/>
      <c r="AJ156" s="854"/>
      <c r="AK156" s="854"/>
      <c r="AL156" s="855"/>
      <c r="AM156" s="909"/>
      <c r="AN156" s="712"/>
      <c r="AO156" s="712"/>
      <c r="AP156" s="712"/>
      <c r="AQ156" s="712"/>
      <c r="AR156" s="712"/>
      <c r="AS156" s="713"/>
      <c r="AT156" s="909"/>
      <c r="AU156" s="712"/>
      <c r="AV156" s="712"/>
      <c r="AW156" s="713"/>
      <c r="AX156" s="908"/>
      <c r="AY156" s="712"/>
      <c r="AZ156" s="712"/>
      <c r="BA156" s="712"/>
      <c r="BB156" s="712"/>
      <c r="BC156" s="713"/>
      <c r="BD156" s="909"/>
      <c r="BE156" s="712"/>
      <c r="BF156" s="712"/>
      <c r="BG156" s="713"/>
      <c r="BH156" s="908"/>
      <c r="BI156" s="712"/>
      <c r="BJ156" s="712"/>
      <c r="BK156" s="712"/>
      <c r="BL156" s="910"/>
      <c r="BN156" s="881"/>
      <c r="BO156" s="709"/>
      <c r="BP156" s="884"/>
      <c r="BT156" s="792"/>
      <c r="BU156" s="793"/>
      <c r="BV156" s="738" t="str">
        <f>IF(BT156="","-",(IF(INDEX($A$5:$BP$257,MATCH(BT156,$BN$5:$BN$257,0),50)="Aço Inoxidável",('Densidade do AR'!$S$8*1000000),IF(INDEX($A$5:$BP$257,MATCH(BT156,$BN$5:$BN$257,0),50)="Ferro Fundido",('Densidade do AR'!$S$12*1000000),IF(INDEX($A$5:$BP$257,MATCH(BT156,$BN$5:$BN$257,0),50)="Latão",('Densidade do AR'!$S$10*1000000),IF(INDEX($A$5:$BP$257,MATCH(BT156,$BN$5:$BN$257,0),50)="Alumínio",('Densidade do AR'!$S$4*1000000)))))))</f>
        <v>-</v>
      </c>
      <c r="BW156" s="739"/>
      <c r="BX156" s="739"/>
      <c r="BY156" s="740"/>
      <c r="BZ156" s="741" t="str">
        <f t="shared" si="52"/>
        <v>-</v>
      </c>
      <c r="CA156" s="742"/>
      <c r="CB156" s="742"/>
      <c r="CC156" s="743"/>
      <c r="CD156" s="741" t="str">
        <f t="shared" si="44"/>
        <v>-</v>
      </c>
      <c r="CE156" s="742"/>
      <c r="CF156" s="742"/>
      <c r="CG156" s="743"/>
      <c r="CH156" s="744" t="str">
        <f t="shared" si="53"/>
        <v>-</v>
      </c>
      <c r="CI156" s="739"/>
      <c r="CJ156" s="739"/>
      <c r="CK156" s="740"/>
      <c r="CL156" s="744" t="str">
        <f t="shared" si="45"/>
        <v>-</v>
      </c>
      <c r="CM156" s="739"/>
      <c r="CN156" s="739"/>
      <c r="CO156" s="740"/>
      <c r="CP156" s="744" t="str">
        <f>IF(BT156="","-",INDEX($A$5:$BP$257,MATCH(BT156,$BN$5:$BN$257,0),39)*(IF(BT156="","-",(1+(((-('Densidade do AR'!$M$4))+('Densidade do AR'!$T$15*1000000))/(IF(INDEX($A$5:$BP$257,MATCH(BT156,$BN$5:$BN$257,0),50)="Aço Inoxidável",('Densidade do AR'!$S$8*1000000),IF(INDEX($A$5:$BP$257,MATCH(BT156,$BN$5:$BN$257,0),50)="Ferro Fundido",('Densidade do AR'!$S$12*1000000),IF(INDEX($A$5:$BP$257,MATCH(BT156,$BN$5:$BN$257,0),50)="Latão",('Densidade do AR'!$S$10*1000000),IF(INDEX($A$5:$BP$257,MATCH(BT156,$BN$5:$BN$257,0),50)="Alumínio",('Densidade do AR'!$S$4*1000000)))))))-(((-('Densidade do AR'!$M$4))+('Densidade do AR'!$T$15*1000000))/('Densidade do AR'!$S$14*1000000))))))</f>
        <v>-</v>
      </c>
      <c r="CQ156" s="739"/>
      <c r="CR156" s="739"/>
      <c r="CS156" s="745"/>
      <c r="CT156" s="91" t="str">
        <f t="shared" si="54"/>
        <v>-</v>
      </c>
      <c r="CU156" s="792"/>
      <c r="CV156" s="793"/>
      <c r="CW156" s="738" t="str">
        <f>IF(CU156="","-",(IF(INDEX($A$5:$BP$257,MATCH(CU156,$BN$5:$BN$257,0),50)="Aço Inoxidável",('Densidade do AR'!$S$8*1000000),IF(INDEX($A$5:$BP$257,MATCH(CU156,$BN$5:$BN$257,0),50)="Ferro Fundido",('Densidade do AR'!$S$12*1000000),IF(INDEX($A$5:$BP$257,MATCH(CU156,$BN$5:$BN$257,0),50)="Latão",('Densidade do AR'!$S$10*1000000),IF(INDEX($A$5:$BP$257,MATCH(CU156,$BN$5:$BN$257,0),50)="Alumínio",('Densidade do AR'!$S$4*1000000)))))))</f>
        <v>-</v>
      </c>
      <c r="CX156" s="739"/>
      <c r="CY156" s="739"/>
      <c r="CZ156" s="740"/>
      <c r="DA156" s="741" t="str">
        <f t="shared" si="55"/>
        <v>-</v>
      </c>
      <c r="DB156" s="742"/>
      <c r="DC156" s="742"/>
      <c r="DD156" s="743"/>
      <c r="DE156" s="741" t="str">
        <f t="shared" si="46"/>
        <v>-</v>
      </c>
      <c r="DF156" s="742"/>
      <c r="DG156" s="742"/>
      <c r="DH156" s="743"/>
      <c r="DI156" s="744" t="str">
        <f t="shared" si="56"/>
        <v>-</v>
      </c>
      <c r="DJ156" s="739"/>
      <c r="DK156" s="739"/>
      <c r="DL156" s="740"/>
      <c r="DM156" s="744" t="str">
        <f t="shared" si="47"/>
        <v>-</v>
      </c>
      <c r="DN156" s="739"/>
      <c r="DO156" s="739"/>
      <c r="DP156" s="740"/>
      <c r="DQ156" s="744" t="str">
        <f>IF(CU156="","-",INDEX($A$5:$BP$257,MATCH(CU156,$BN$5:$BN$257,0),39)*(IF(CU156="","-",(1+(((-('Densidade do AR'!$M$4))+('Densidade do AR'!$T$15*1000000))/(IF(INDEX($A$5:$BP$257,MATCH(CU156,$BN$5:$BN$257,0),50)="Aço Inoxidável",('Densidade do AR'!$S$8*1000000),IF(INDEX($A$5:$BP$257,MATCH(CU156,$BN$5:$BN$257,0),50)="Ferro Fundido",('Densidade do AR'!$S$12*1000000),IF(INDEX($A$5:$BP$257,MATCH(CU156,$BN$5:$BN$257,0),50)="Latão",('Densidade do AR'!$S$10*1000000),IF(INDEX($A$5:$BP$257,MATCH(CU156,$BN$5:$BN$257,0),50)="Alumínio",('Densidade do AR'!$S$4*1000000)))))))-(((-('Densidade do AR'!$M$4))+('Densidade do AR'!$T$15*1000000))/('Densidade do AR'!$S$14*1000000))))))</f>
        <v>-</v>
      </c>
      <c r="DR156" s="739"/>
      <c r="DS156" s="739"/>
      <c r="DT156" s="745"/>
      <c r="DU156" s="91" t="str">
        <f t="shared" si="57"/>
        <v>-</v>
      </c>
      <c r="DV156" s="792"/>
      <c r="DW156" s="793"/>
      <c r="DX156" s="738" t="str">
        <f>IF(DV156="","-",(IF(INDEX($A$5:$BP$257,MATCH(DV156,$BN$5:$BN$257,0),50)="Aço Inoxidável",('Densidade do AR'!$S$8*1000000),IF(INDEX($A$5:$BP$257,MATCH(DV156,$BN$5:$BN$257,0),50)="Ferro Fundido",('Densidade do AR'!$S$12*1000000),IF(INDEX($A$5:$BP$257,MATCH(DV156,$BN$5:$BN$257,0),50)="Latão",('Densidade do AR'!$S$10*1000000),IF(INDEX($A$5:$BP$257,MATCH(DV156,$BN$5:$BN$257,0),50)="Alumínio",('Densidade do AR'!$S$4*1000000)))))))</f>
        <v>-</v>
      </c>
      <c r="DY156" s="739"/>
      <c r="DZ156" s="739"/>
      <c r="EA156" s="740"/>
      <c r="EB156" s="741" t="str">
        <f t="shared" si="58"/>
        <v>-</v>
      </c>
      <c r="EC156" s="742"/>
      <c r="ED156" s="742"/>
      <c r="EE156" s="743"/>
      <c r="EF156" s="741" t="str">
        <f t="shared" si="48"/>
        <v>-</v>
      </c>
      <c r="EG156" s="742"/>
      <c r="EH156" s="742"/>
      <c r="EI156" s="743"/>
      <c r="EJ156" s="744" t="str">
        <f t="shared" si="59"/>
        <v>-</v>
      </c>
      <c r="EK156" s="739"/>
      <c r="EL156" s="739"/>
      <c r="EM156" s="740"/>
      <c r="EN156" s="744" t="str">
        <f t="shared" si="49"/>
        <v>-</v>
      </c>
      <c r="EO156" s="739"/>
      <c r="EP156" s="739"/>
      <c r="EQ156" s="740"/>
      <c r="ER156" s="744" t="str">
        <f>IF(DV156="","-",INDEX($A$5:$BP$257,MATCH(DV156,$BN$5:$BN$257,0),39)*(IF(DV156="","-",(1+(((-('Densidade do AR'!$M$4))+('Densidade do AR'!$T$15*1000000))/(IF(INDEX($A$5:$BP$257,MATCH(DV156,$BN$5:$BN$257,0),50)="Aço Inoxidável",('Densidade do AR'!$S$8*1000000),IF(INDEX($A$5:$BP$257,MATCH(DV156,$BN$5:$BN$257,0),50)="Ferro Fundido",('Densidade do AR'!$S$12*1000000),IF(INDEX($A$5:$BP$257,MATCH(DV156,$BN$5:$BN$257,0),50)="Latão",('Densidade do AR'!$S$10*1000000),IF(INDEX($A$5:$BP$257,MATCH(DV156,$BN$5:$BN$257,0),50)="Alumínio",('Densidade do AR'!$S$4*1000000)))))))-(((-('Densidade do AR'!$M$4))+('Densidade do AR'!$T$15*1000000))/('Densidade do AR'!$S$14*1000000))))))</f>
        <v>-</v>
      </c>
      <c r="ES156" s="739"/>
      <c r="ET156" s="739"/>
      <c r="EU156" s="745"/>
      <c r="EV156" s="91" t="str">
        <f t="shared" si="60"/>
        <v>-</v>
      </c>
      <c r="EW156" s="792"/>
      <c r="EX156" s="793"/>
      <c r="EY156" s="738" t="str">
        <f>IF(EW156="","-",(IF(INDEX($A$5:$BP$257,MATCH(EW156,$BN$5:$BN$257,0),50)="Aço Inoxidável",('Densidade do AR'!$S$8*1000000),IF(INDEX($A$5:$BP$257,MATCH(EW156,$BN$5:$BN$257,0),50)="Ferro Fundido",('Densidade do AR'!$S$12*1000000),IF(INDEX($A$5:$BP$257,MATCH(EW156,$BN$5:$BN$257,0),50)="Latão",('Densidade do AR'!$S$10*1000000),IF(INDEX($A$5:$BP$257,MATCH(EW156,$BN$5:$BN$257,0),50)="Alumínio",('Densidade do AR'!$S$4*1000000)))))))</f>
        <v>-</v>
      </c>
      <c r="EZ156" s="739"/>
      <c r="FA156" s="739"/>
      <c r="FB156" s="740"/>
      <c r="FC156" s="741" t="str">
        <f t="shared" si="61"/>
        <v>-</v>
      </c>
      <c r="FD156" s="742"/>
      <c r="FE156" s="742"/>
      <c r="FF156" s="743"/>
      <c r="FG156" s="741" t="str">
        <f t="shared" si="50"/>
        <v>-</v>
      </c>
      <c r="FH156" s="742"/>
      <c r="FI156" s="742"/>
      <c r="FJ156" s="743"/>
      <c r="FK156" s="744" t="str">
        <f t="shared" si="62"/>
        <v>-</v>
      </c>
      <c r="FL156" s="739"/>
      <c r="FM156" s="739"/>
      <c r="FN156" s="740"/>
      <c r="FO156" s="744" t="str">
        <f t="shared" si="51"/>
        <v>-</v>
      </c>
      <c r="FP156" s="739"/>
      <c r="FQ156" s="739"/>
      <c r="FR156" s="740"/>
      <c r="FS156" s="744" t="str">
        <f>IF(EW156="","-",INDEX($A$5:$BP$257,MATCH(EW156,$BN$5:$BN$257,0),39)*(IF(EW156="","-",(1+(((-('Densidade do AR'!$M$4))+('Densidade do AR'!$T$15*1000000))/(IF(INDEX($A$5:$BP$257,MATCH(EW156,$BN$5:$BN$257,0),50)="Aço Inoxidável",('Densidade do AR'!$S$8*1000000),IF(INDEX($A$5:$BP$257,MATCH(EW156,$BN$5:$BN$257,0),50)="Ferro Fundido",('Densidade do AR'!$S$12*1000000),IF(INDEX($A$5:$BP$257,MATCH(EW156,$BN$5:$BN$257,0),50)="Latão",('Densidade do AR'!$S$10*1000000),IF(INDEX($A$5:$BP$257,MATCH(EW156,$BN$5:$BN$257,0),50)="Alumínio",('Densidade do AR'!$S$4*1000000)))))))-(((-('Densidade do AR'!$M$4))+('Densidade do AR'!$T$15*1000000))/('Densidade do AR'!$S$14*1000000))))))</f>
        <v>-</v>
      </c>
      <c r="FT156" s="739"/>
      <c r="FU156" s="739"/>
      <c r="FV156" s="745"/>
      <c r="FW156" s="91" t="str">
        <f t="shared" si="63"/>
        <v>-</v>
      </c>
      <c r="FX156" s="135"/>
    </row>
    <row r="157" spans="1:180" ht="12.75" customHeight="1" x14ac:dyDescent="0.2">
      <c r="A157" s="717">
        <v>153</v>
      </c>
      <c r="B157" s="713"/>
      <c r="C157" s="708"/>
      <c r="D157" s="709"/>
      <c r="E157" s="709"/>
      <c r="F157" s="709"/>
      <c r="G157" s="710"/>
      <c r="H157" s="711"/>
      <c r="I157" s="712"/>
      <c r="J157" s="712"/>
      <c r="K157" s="713"/>
      <c r="L157" s="708"/>
      <c r="M157" s="709"/>
      <c r="N157" s="709"/>
      <c r="O157" s="709"/>
      <c r="P157" s="708"/>
      <c r="Q157" s="709"/>
      <c r="R157" s="709"/>
      <c r="S157" s="709"/>
      <c r="T157" s="710"/>
      <c r="U157" s="714"/>
      <c r="V157" s="715"/>
      <c r="W157" s="715"/>
      <c r="X157" s="715"/>
      <c r="Y157" s="715"/>
      <c r="Z157" s="715"/>
      <c r="AA157" s="716"/>
      <c r="AB157" s="850"/>
      <c r="AC157" s="851"/>
      <c r="AD157" s="851"/>
      <c r="AE157" s="851"/>
      <c r="AF157" s="851"/>
      <c r="AG157" s="851"/>
      <c r="AH157" s="851"/>
      <c r="AI157" s="851"/>
      <c r="AJ157" s="851"/>
      <c r="AK157" s="851"/>
      <c r="AL157" s="852"/>
      <c r="AM157" s="917"/>
      <c r="AN157" s="712"/>
      <c r="AO157" s="712"/>
      <c r="AP157" s="712"/>
      <c r="AQ157" s="712"/>
      <c r="AR157" s="712"/>
      <c r="AS157" s="713"/>
      <c r="AT157" s="917"/>
      <c r="AU157" s="712"/>
      <c r="AV157" s="712"/>
      <c r="AW157" s="713"/>
      <c r="AX157" s="917"/>
      <c r="AY157" s="712"/>
      <c r="AZ157" s="712"/>
      <c r="BA157" s="712"/>
      <c r="BB157" s="712"/>
      <c r="BC157" s="713"/>
      <c r="BD157" s="917"/>
      <c r="BE157" s="712"/>
      <c r="BF157" s="712"/>
      <c r="BG157" s="713"/>
      <c r="BH157" s="918"/>
      <c r="BI157" s="712"/>
      <c r="BJ157" s="712"/>
      <c r="BK157" s="712"/>
      <c r="BL157" s="910"/>
      <c r="BN157" s="878"/>
      <c r="BO157" s="709"/>
      <c r="BP157" s="884"/>
      <c r="BT157" s="794"/>
      <c r="BU157" s="795"/>
      <c r="BV157" s="784" t="str">
        <f>IF(BT157="","-",(IF(INDEX($A$5:$BP$257,MATCH(BT157,$BN$5:$BN$257,0),50)="Aço Inoxidável",('Densidade do AR'!$S$8*1000000),IF(INDEX($A$5:$BP$257,MATCH(BT157,$BN$5:$BN$257,0),50)="Ferro Fundido",('Densidade do AR'!$S$12*1000000),IF(INDEX($A$5:$BP$257,MATCH(BT157,$BN$5:$BN$257,0),50)="Latão",('Densidade do AR'!$S$10*1000000),IF(INDEX($A$5:$BP$257,MATCH(BT157,$BN$5:$BN$257,0),50)="Alumínio",('Densidade do AR'!$S$4*1000000)))))))</f>
        <v>-</v>
      </c>
      <c r="BW157" s="785"/>
      <c r="BX157" s="785"/>
      <c r="BY157" s="786"/>
      <c r="BZ157" s="787" t="str">
        <f t="shared" si="52"/>
        <v>-</v>
      </c>
      <c r="CA157" s="788"/>
      <c r="CB157" s="788"/>
      <c r="CC157" s="789"/>
      <c r="CD157" s="787" t="str">
        <f t="shared" si="44"/>
        <v>-</v>
      </c>
      <c r="CE157" s="788"/>
      <c r="CF157" s="788"/>
      <c r="CG157" s="789"/>
      <c r="CH157" s="790" t="str">
        <f t="shared" si="53"/>
        <v>-</v>
      </c>
      <c r="CI157" s="785"/>
      <c r="CJ157" s="785"/>
      <c r="CK157" s="786"/>
      <c r="CL157" s="790" t="str">
        <f t="shared" si="45"/>
        <v>-</v>
      </c>
      <c r="CM157" s="785"/>
      <c r="CN157" s="785"/>
      <c r="CO157" s="786"/>
      <c r="CP157" s="790" t="str">
        <f>IF(BT157="","-",INDEX($A$5:$BP$257,MATCH(BT157,$BN$5:$BN$257,0),39)*(IF(BT157="","-",(1+(((-('Densidade do AR'!$M$4))+('Densidade do AR'!$T$15*1000000))/(IF(INDEX($A$5:$BP$257,MATCH(BT157,$BN$5:$BN$257,0),50)="Aço Inoxidável",('Densidade do AR'!$S$8*1000000),IF(INDEX($A$5:$BP$257,MATCH(BT157,$BN$5:$BN$257,0),50)="Ferro Fundido",('Densidade do AR'!$S$12*1000000),IF(INDEX($A$5:$BP$257,MATCH(BT157,$BN$5:$BN$257,0),50)="Latão",('Densidade do AR'!$S$10*1000000),IF(INDEX($A$5:$BP$257,MATCH(BT157,$BN$5:$BN$257,0),50)="Alumínio",('Densidade do AR'!$S$4*1000000)))))))-(((-('Densidade do AR'!$M$4))+('Densidade do AR'!$T$15*1000000))/('Densidade do AR'!$S$14*1000000))))))</f>
        <v>-</v>
      </c>
      <c r="CQ157" s="785"/>
      <c r="CR157" s="785"/>
      <c r="CS157" s="791"/>
      <c r="CT157" s="91" t="str">
        <f t="shared" si="54"/>
        <v>-</v>
      </c>
      <c r="CU157" s="794"/>
      <c r="CV157" s="795"/>
      <c r="CW157" s="784" t="str">
        <f>IF(CU157="","-",(IF(INDEX($A$5:$BP$257,MATCH(CU157,$BN$5:$BN$257,0),50)="Aço Inoxidável",('Densidade do AR'!$S$8*1000000),IF(INDEX($A$5:$BP$257,MATCH(CU157,$BN$5:$BN$257,0),50)="Ferro Fundido",('Densidade do AR'!$S$12*1000000),IF(INDEX($A$5:$BP$257,MATCH(CU157,$BN$5:$BN$257,0),50)="Latão",('Densidade do AR'!$S$10*1000000),IF(INDEX($A$5:$BP$257,MATCH(CU157,$BN$5:$BN$257,0),50)="Alumínio",('Densidade do AR'!$S$4*1000000)))))))</f>
        <v>-</v>
      </c>
      <c r="CX157" s="785"/>
      <c r="CY157" s="785"/>
      <c r="CZ157" s="786"/>
      <c r="DA157" s="787" t="str">
        <f t="shared" si="55"/>
        <v>-</v>
      </c>
      <c r="DB157" s="788"/>
      <c r="DC157" s="788"/>
      <c r="DD157" s="789"/>
      <c r="DE157" s="787" t="str">
        <f t="shared" si="46"/>
        <v>-</v>
      </c>
      <c r="DF157" s="788"/>
      <c r="DG157" s="788"/>
      <c r="DH157" s="789"/>
      <c r="DI157" s="790" t="str">
        <f t="shared" si="56"/>
        <v>-</v>
      </c>
      <c r="DJ157" s="785"/>
      <c r="DK157" s="785"/>
      <c r="DL157" s="786"/>
      <c r="DM157" s="790" t="str">
        <f t="shared" si="47"/>
        <v>-</v>
      </c>
      <c r="DN157" s="785"/>
      <c r="DO157" s="785"/>
      <c r="DP157" s="786"/>
      <c r="DQ157" s="790" t="str">
        <f>IF(CU157="","-",INDEX($A$5:$BP$257,MATCH(CU157,$BN$5:$BN$257,0),39)*(IF(CU157="","-",(1+(((-('Densidade do AR'!$M$4))+('Densidade do AR'!$T$15*1000000))/(IF(INDEX($A$5:$BP$257,MATCH(CU157,$BN$5:$BN$257,0),50)="Aço Inoxidável",('Densidade do AR'!$S$8*1000000),IF(INDEX($A$5:$BP$257,MATCH(CU157,$BN$5:$BN$257,0),50)="Ferro Fundido",('Densidade do AR'!$S$12*1000000),IF(INDEX($A$5:$BP$257,MATCH(CU157,$BN$5:$BN$257,0),50)="Latão",('Densidade do AR'!$S$10*1000000),IF(INDEX($A$5:$BP$257,MATCH(CU157,$BN$5:$BN$257,0),50)="Alumínio",('Densidade do AR'!$S$4*1000000)))))))-(((-('Densidade do AR'!$M$4))+('Densidade do AR'!$T$15*1000000))/('Densidade do AR'!$S$14*1000000))))))</f>
        <v>-</v>
      </c>
      <c r="DR157" s="785"/>
      <c r="DS157" s="785"/>
      <c r="DT157" s="791"/>
      <c r="DU157" s="91" t="str">
        <f t="shared" si="57"/>
        <v>-</v>
      </c>
      <c r="DV157" s="794"/>
      <c r="DW157" s="795"/>
      <c r="DX157" s="784" t="str">
        <f>IF(DV157="","-",(IF(INDEX($A$5:$BP$257,MATCH(DV157,$BN$5:$BN$257,0),50)="Aço Inoxidável",('Densidade do AR'!$S$8*1000000),IF(INDEX($A$5:$BP$257,MATCH(DV157,$BN$5:$BN$257,0),50)="Ferro Fundido",('Densidade do AR'!$S$12*1000000),IF(INDEX($A$5:$BP$257,MATCH(DV157,$BN$5:$BN$257,0),50)="Latão",('Densidade do AR'!$S$10*1000000),IF(INDEX($A$5:$BP$257,MATCH(DV157,$BN$5:$BN$257,0),50)="Alumínio",('Densidade do AR'!$S$4*1000000)))))))</f>
        <v>-</v>
      </c>
      <c r="DY157" s="785"/>
      <c r="DZ157" s="785"/>
      <c r="EA157" s="786"/>
      <c r="EB157" s="787" t="str">
        <f t="shared" si="58"/>
        <v>-</v>
      </c>
      <c r="EC157" s="788"/>
      <c r="ED157" s="788"/>
      <c r="EE157" s="789"/>
      <c r="EF157" s="787" t="str">
        <f t="shared" si="48"/>
        <v>-</v>
      </c>
      <c r="EG157" s="788"/>
      <c r="EH157" s="788"/>
      <c r="EI157" s="789"/>
      <c r="EJ157" s="790" t="str">
        <f t="shared" si="59"/>
        <v>-</v>
      </c>
      <c r="EK157" s="785"/>
      <c r="EL157" s="785"/>
      <c r="EM157" s="786"/>
      <c r="EN157" s="790" t="str">
        <f t="shared" si="49"/>
        <v>-</v>
      </c>
      <c r="EO157" s="785"/>
      <c r="EP157" s="785"/>
      <c r="EQ157" s="786"/>
      <c r="ER157" s="790" t="str">
        <f>IF(DV157="","-",INDEX($A$5:$BP$257,MATCH(DV157,$BN$5:$BN$257,0),39)*(IF(DV157="","-",(1+(((-('Densidade do AR'!$M$4))+('Densidade do AR'!$T$15*1000000))/(IF(INDEX($A$5:$BP$257,MATCH(DV157,$BN$5:$BN$257,0),50)="Aço Inoxidável",('Densidade do AR'!$S$8*1000000),IF(INDEX($A$5:$BP$257,MATCH(DV157,$BN$5:$BN$257,0),50)="Ferro Fundido",('Densidade do AR'!$S$12*1000000),IF(INDEX($A$5:$BP$257,MATCH(DV157,$BN$5:$BN$257,0),50)="Latão",('Densidade do AR'!$S$10*1000000),IF(INDEX($A$5:$BP$257,MATCH(DV157,$BN$5:$BN$257,0),50)="Alumínio",('Densidade do AR'!$S$4*1000000)))))))-(((-('Densidade do AR'!$M$4))+('Densidade do AR'!$T$15*1000000))/('Densidade do AR'!$S$14*1000000))))))</f>
        <v>-</v>
      </c>
      <c r="ES157" s="785"/>
      <c r="ET157" s="785"/>
      <c r="EU157" s="791"/>
      <c r="EV157" s="91" t="str">
        <f t="shared" si="60"/>
        <v>-</v>
      </c>
      <c r="EW157" s="794"/>
      <c r="EX157" s="795"/>
      <c r="EY157" s="784" t="str">
        <f>IF(EW157="","-",(IF(INDEX($A$5:$BP$257,MATCH(EW157,$BN$5:$BN$257,0),50)="Aço Inoxidável",('Densidade do AR'!$S$8*1000000),IF(INDEX($A$5:$BP$257,MATCH(EW157,$BN$5:$BN$257,0),50)="Ferro Fundido",('Densidade do AR'!$S$12*1000000),IF(INDEX($A$5:$BP$257,MATCH(EW157,$BN$5:$BN$257,0),50)="Latão",('Densidade do AR'!$S$10*1000000),IF(INDEX($A$5:$BP$257,MATCH(EW157,$BN$5:$BN$257,0),50)="Alumínio",('Densidade do AR'!$S$4*1000000)))))))</f>
        <v>-</v>
      </c>
      <c r="EZ157" s="785"/>
      <c r="FA157" s="785"/>
      <c r="FB157" s="786"/>
      <c r="FC157" s="787" t="str">
        <f t="shared" si="61"/>
        <v>-</v>
      </c>
      <c r="FD157" s="788"/>
      <c r="FE157" s="788"/>
      <c r="FF157" s="789"/>
      <c r="FG157" s="787" t="str">
        <f t="shared" si="50"/>
        <v>-</v>
      </c>
      <c r="FH157" s="788"/>
      <c r="FI157" s="788"/>
      <c r="FJ157" s="789"/>
      <c r="FK157" s="790" t="str">
        <f t="shared" si="62"/>
        <v>-</v>
      </c>
      <c r="FL157" s="785"/>
      <c r="FM157" s="785"/>
      <c r="FN157" s="786"/>
      <c r="FO157" s="790" t="str">
        <f t="shared" si="51"/>
        <v>-</v>
      </c>
      <c r="FP157" s="785"/>
      <c r="FQ157" s="785"/>
      <c r="FR157" s="786"/>
      <c r="FS157" s="790" t="str">
        <f>IF(EW157="","-",INDEX($A$5:$BP$257,MATCH(EW157,$BN$5:$BN$257,0),39)*(IF(EW157="","-",(1+(((-('Densidade do AR'!$M$4))+('Densidade do AR'!$T$15*1000000))/(IF(INDEX($A$5:$BP$257,MATCH(EW157,$BN$5:$BN$257,0),50)="Aço Inoxidável",('Densidade do AR'!$S$8*1000000),IF(INDEX($A$5:$BP$257,MATCH(EW157,$BN$5:$BN$257,0),50)="Ferro Fundido",('Densidade do AR'!$S$12*1000000),IF(INDEX($A$5:$BP$257,MATCH(EW157,$BN$5:$BN$257,0),50)="Latão",('Densidade do AR'!$S$10*1000000),IF(INDEX($A$5:$BP$257,MATCH(EW157,$BN$5:$BN$257,0),50)="Alumínio",('Densidade do AR'!$S$4*1000000)))))))-(((-('Densidade do AR'!$M$4))+('Densidade do AR'!$T$15*1000000))/('Densidade do AR'!$S$14*1000000))))))</f>
        <v>-</v>
      </c>
      <c r="FT157" s="785"/>
      <c r="FU157" s="785"/>
      <c r="FV157" s="791"/>
      <c r="FW157" s="91" t="str">
        <f t="shared" si="63"/>
        <v>-</v>
      </c>
      <c r="FX157" s="135"/>
    </row>
    <row r="158" spans="1:180" ht="12.75" customHeight="1" x14ac:dyDescent="0.2">
      <c r="A158" s="718">
        <v>154</v>
      </c>
      <c r="B158" s="713"/>
      <c r="C158" s="719"/>
      <c r="D158" s="709"/>
      <c r="E158" s="709"/>
      <c r="F158" s="709"/>
      <c r="G158" s="710"/>
      <c r="H158" s="720"/>
      <c r="I158" s="712"/>
      <c r="J158" s="712"/>
      <c r="K158" s="713"/>
      <c r="L158" s="719"/>
      <c r="M158" s="709"/>
      <c r="N158" s="709"/>
      <c r="O158" s="709"/>
      <c r="P158" s="719"/>
      <c r="Q158" s="709"/>
      <c r="R158" s="709"/>
      <c r="S158" s="709"/>
      <c r="T158" s="710"/>
      <c r="U158" s="721"/>
      <c r="V158" s="722"/>
      <c r="W158" s="722"/>
      <c r="X158" s="722"/>
      <c r="Y158" s="722"/>
      <c r="Z158" s="722"/>
      <c r="AA158" s="723"/>
      <c r="AB158" s="853"/>
      <c r="AC158" s="854"/>
      <c r="AD158" s="854"/>
      <c r="AE158" s="854"/>
      <c r="AF158" s="854"/>
      <c r="AG158" s="854"/>
      <c r="AH158" s="854"/>
      <c r="AI158" s="854"/>
      <c r="AJ158" s="854"/>
      <c r="AK158" s="854"/>
      <c r="AL158" s="855"/>
      <c r="AM158" s="909"/>
      <c r="AN158" s="712"/>
      <c r="AO158" s="712"/>
      <c r="AP158" s="712"/>
      <c r="AQ158" s="712"/>
      <c r="AR158" s="712"/>
      <c r="AS158" s="713"/>
      <c r="AT158" s="909"/>
      <c r="AU158" s="712"/>
      <c r="AV158" s="712"/>
      <c r="AW158" s="713"/>
      <c r="AX158" s="908"/>
      <c r="AY158" s="712"/>
      <c r="AZ158" s="712"/>
      <c r="BA158" s="712"/>
      <c r="BB158" s="712"/>
      <c r="BC158" s="713"/>
      <c r="BD158" s="909"/>
      <c r="BE158" s="712"/>
      <c r="BF158" s="712"/>
      <c r="BG158" s="713"/>
      <c r="BH158" s="908"/>
      <c r="BI158" s="712"/>
      <c r="BJ158" s="712"/>
      <c r="BK158" s="712"/>
      <c r="BL158" s="910"/>
      <c r="BN158" s="881"/>
      <c r="BO158" s="709"/>
      <c r="BP158" s="884"/>
      <c r="BT158" s="792"/>
      <c r="BU158" s="793"/>
      <c r="BV158" s="738" t="str">
        <f>IF(BT158="","-",(IF(INDEX($A$5:$BP$257,MATCH(BT158,$BN$5:$BN$257,0),50)="Aço Inoxidável",('Densidade do AR'!$S$8*1000000),IF(INDEX($A$5:$BP$257,MATCH(BT158,$BN$5:$BN$257,0),50)="Ferro Fundido",('Densidade do AR'!$S$12*1000000),IF(INDEX($A$5:$BP$257,MATCH(BT158,$BN$5:$BN$257,0),50)="Latão",('Densidade do AR'!$S$10*1000000),IF(INDEX($A$5:$BP$257,MATCH(BT158,$BN$5:$BN$257,0),50)="Alumínio",('Densidade do AR'!$S$4*1000000)))))))</f>
        <v>-</v>
      </c>
      <c r="BW158" s="739"/>
      <c r="BX158" s="739"/>
      <c r="BY158" s="740"/>
      <c r="BZ158" s="741" t="str">
        <f t="shared" si="52"/>
        <v>-</v>
      </c>
      <c r="CA158" s="742"/>
      <c r="CB158" s="742"/>
      <c r="CC158" s="743"/>
      <c r="CD158" s="741" t="str">
        <f t="shared" si="44"/>
        <v>-</v>
      </c>
      <c r="CE158" s="742"/>
      <c r="CF158" s="742"/>
      <c r="CG158" s="743"/>
      <c r="CH158" s="744" t="str">
        <f t="shared" si="53"/>
        <v>-</v>
      </c>
      <c r="CI158" s="739"/>
      <c r="CJ158" s="739"/>
      <c r="CK158" s="740"/>
      <c r="CL158" s="744" t="str">
        <f t="shared" si="45"/>
        <v>-</v>
      </c>
      <c r="CM158" s="739"/>
      <c r="CN158" s="739"/>
      <c r="CO158" s="740"/>
      <c r="CP158" s="744" t="str">
        <f>IF(BT158="","-",INDEX($A$5:$BP$257,MATCH(BT158,$BN$5:$BN$257,0),39)*(IF(BT158="","-",(1+(((-('Densidade do AR'!$M$4))+('Densidade do AR'!$T$15*1000000))/(IF(INDEX($A$5:$BP$257,MATCH(BT158,$BN$5:$BN$257,0),50)="Aço Inoxidável",('Densidade do AR'!$S$8*1000000),IF(INDEX($A$5:$BP$257,MATCH(BT158,$BN$5:$BN$257,0),50)="Ferro Fundido",('Densidade do AR'!$S$12*1000000),IF(INDEX($A$5:$BP$257,MATCH(BT158,$BN$5:$BN$257,0),50)="Latão",('Densidade do AR'!$S$10*1000000),IF(INDEX($A$5:$BP$257,MATCH(BT158,$BN$5:$BN$257,0),50)="Alumínio",('Densidade do AR'!$S$4*1000000)))))))-(((-('Densidade do AR'!$M$4))+('Densidade do AR'!$T$15*1000000))/('Densidade do AR'!$S$14*1000000))))))</f>
        <v>-</v>
      </c>
      <c r="CQ158" s="739"/>
      <c r="CR158" s="739"/>
      <c r="CS158" s="745"/>
      <c r="CT158" s="91" t="str">
        <f t="shared" si="54"/>
        <v>-</v>
      </c>
      <c r="CU158" s="792"/>
      <c r="CV158" s="793"/>
      <c r="CW158" s="738" t="str">
        <f>IF(CU158="","-",(IF(INDEX($A$5:$BP$257,MATCH(CU158,$BN$5:$BN$257,0),50)="Aço Inoxidável",('Densidade do AR'!$S$8*1000000),IF(INDEX($A$5:$BP$257,MATCH(CU158,$BN$5:$BN$257,0),50)="Ferro Fundido",('Densidade do AR'!$S$12*1000000),IF(INDEX($A$5:$BP$257,MATCH(CU158,$BN$5:$BN$257,0),50)="Latão",('Densidade do AR'!$S$10*1000000),IF(INDEX($A$5:$BP$257,MATCH(CU158,$BN$5:$BN$257,0),50)="Alumínio",('Densidade do AR'!$S$4*1000000)))))))</f>
        <v>-</v>
      </c>
      <c r="CX158" s="739"/>
      <c r="CY158" s="739"/>
      <c r="CZ158" s="740"/>
      <c r="DA158" s="741" t="str">
        <f t="shared" si="55"/>
        <v>-</v>
      </c>
      <c r="DB158" s="742"/>
      <c r="DC158" s="742"/>
      <c r="DD158" s="743"/>
      <c r="DE158" s="741" t="str">
        <f t="shared" si="46"/>
        <v>-</v>
      </c>
      <c r="DF158" s="742"/>
      <c r="DG158" s="742"/>
      <c r="DH158" s="743"/>
      <c r="DI158" s="744" t="str">
        <f t="shared" si="56"/>
        <v>-</v>
      </c>
      <c r="DJ158" s="739"/>
      <c r="DK158" s="739"/>
      <c r="DL158" s="740"/>
      <c r="DM158" s="744" t="str">
        <f t="shared" si="47"/>
        <v>-</v>
      </c>
      <c r="DN158" s="739"/>
      <c r="DO158" s="739"/>
      <c r="DP158" s="740"/>
      <c r="DQ158" s="744" t="str">
        <f>IF(CU158="","-",INDEX($A$5:$BP$257,MATCH(CU158,$BN$5:$BN$257,0),39)*(IF(CU158="","-",(1+(((-('Densidade do AR'!$M$4))+('Densidade do AR'!$T$15*1000000))/(IF(INDEX($A$5:$BP$257,MATCH(CU158,$BN$5:$BN$257,0),50)="Aço Inoxidável",('Densidade do AR'!$S$8*1000000),IF(INDEX($A$5:$BP$257,MATCH(CU158,$BN$5:$BN$257,0),50)="Ferro Fundido",('Densidade do AR'!$S$12*1000000),IF(INDEX($A$5:$BP$257,MATCH(CU158,$BN$5:$BN$257,0),50)="Latão",('Densidade do AR'!$S$10*1000000),IF(INDEX($A$5:$BP$257,MATCH(CU158,$BN$5:$BN$257,0),50)="Alumínio",('Densidade do AR'!$S$4*1000000)))))))-(((-('Densidade do AR'!$M$4))+('Densidade do AR'!$T$15*1000000))/('Densidade do AR'!$S$14*1000000))))))</f>
        <v>-</v>
      </c>
      <c r="DR158" s="739"/>
      <c r="DS158" s="739"/>
      <c r="DT158" s="745"/>
      <c r="DU158" s="91" t="str">
        <f t="shared" si="57"/>
        <v>-</v>
      </c>
      <c r="DV158" s="792"/>
      <c r="DW158" s="793"/>
      <c r="DX158" s="738" t="str">
        <f>IF(DV158="","-",(IF(INDEX($A$5:$BP$257,MATCH(DV158,$BN$5:$BN$257,0),50)="Aço Inoxidável",('Densidade do AR'!$S$8*1000000),IF(INDEX($A$5:$BP$257,MATCH(DV158,$BN$5:$BN$257,0),50)="Ferro Fundido",('Densidade do AR'!$S$12*1000000),IF(INDEX($A$5:$BP$257,MATCH(DV158,$BN$5:$BN$257,0),50)="Latão",('Densidade do AR'!$S$10*1000000),IF(INDEX($A$5:$BP$257,MATCH(DV158,$BN$5:$BN$257,0),50)="Alumínio",('Densidade do AR'!$S$4*1000000)))))))</f>
        <v>-</v>
      </c>
      <c r="DY158" s="739"/>
      <c r="DZ158" s="739"/>
      <c r="EA158" s="740"/>
      <c r="EB158" s="741" t="str">
        <f t="shared" si="58"/>
        <v>-</v>
      </c>
      <c r="EC158" s="742"/>
      <c r="ED158" s="742"/>
      <c r="EE158" s="743"/>
      <c r="EF158" s="741" t="str">
        <f t="shared" si="48"/>
        <v>-</v>
      </c>
      <c r="EG158" s="742"/>
      <c r="EH158" s="742"/>
      <c r="EI158" s="743"/>
      <c r="EJ158" s="744" t="str">
        <f t="shared" si="59"/>
        <v>-</v>
      </c>
      <c r="EK158" s="739"/>
      <c r="EL158" s="739"/>
      <c r="EM158" s="740"/>
      <c r="EN158" s="744" t="str">
        <f t="shared" si="49"/>
        <v>-</v>
      </c>
      <c r="EO158" s="739"/>
      <c r="EP158" s="739"/>
      <c r="EQ158" s="740"/>
      <c r="ER158" s="744" t="str">
        <f>IF(DV158="","-",INDEX($A$5:$BP$257,MATCH(DV158,$BN$5:$BN$257,0),39)*(IF(DV158="","-",(1+(((-('Densidade do AR'!$M$4))+('Densidade do AR'!$T$15*1000000))/(IF(INDEX($A$5:$BP$257,MATCH(DV158,$BN$5:$BN$257,0),50)="Aço Inoxidável",('Densidade do AR'!$S$8*1000000),IF(INDEX($A$5:$BP$257,MATCH(DV158,$BN$5:$BN$257,0),50)="Ferro Fundido",('Densidade do AR'!$S$12*1000000),IF(INDEX($A$5:$BP$257,MATCH(DV158,$BN$5:$BN$257,0),50)="Latão",('Densidade do AR'!$S$10*1000000),IF(INDEX($A$5:$BP$257,MATCH(DV158,$BN$5:$BN$257,0),50)="Alumínio",('Densidade do AR'!$S$4*1000000)))))))-(((-('Densidade do AR'!$M$4))+('Densidade do AR'!$T$15*1000000))/('Densidade do AR'!$S$14*1000000))))))</f>
        <v>-</v>
      </c>
      <c r="ES158" s="739"/>
      <c r="ET158" s="739"/>
      <c r="EU158" s="745"/>
      <c r="EV158" s="91" t="str">
        <f t="shared" si="60"/>
        <v>-</v>
      </c>
      <c r="EW158" s="792"/>
      <c r="EX158" s="793"/>
      <c r="EY158" s="738" t="str">
        <f>IF(EW158="","-",(IF(INDEX($A$5:$BP$257,MATCH(EW158,$BN$5:$BN$257,0),50)="Aço Inoxidável",('Densidade do AR'!$S$8*1000000),IF(INDEX($A$5:$BP$257,MATCH(EW158,$BN$5:$BN$257,0),50)="Ferro Fundido",('Densidade do AR'!$S$12*1000000),IF(INDEX($A$5:$BP$257,MATCH(EW158,$BN$5:$BN$257,0),50)="Latão",('Densidade do AR'!$S$10*1000000),IF(INDEX($A$5:$BP$257,MATCH(EW158,$BN$5:$BN$257,0),50)="Alumínio",('Densidade do AR'!$S$4*1000000)))))))</f>
        <v>-</v>
      </c>
      <c r="EZ158" s="739"/>
      <c r="FA158" s="739"/>
      <c r="FB158" s="740"/>
      <c r="FC158" s="741" t="str">
        <f t="shared" si="61"/>
        <v>-</v>
      </c>
      <c r="FD158" s="742"/>
      <c r="FE158" s="742"/>
      <c r="FF158" s="743"/>
      <c r="FG158" s="741" t="str">
        <f t="shared" si="50"/>
        <v>-</v>
      </c>
      <c r="FH158" s="742"/>
      <c r="FI158" s="742"/>
      <c r="FJ158" s="743"/>
      <c r="FK158" s="744" t="str">
        <f t="shared" si="62"/>
        <v>-</v>
      </c>
      <c r="FL158" s="739"/>
      <c r="FM158" s="739"/>
      <c r="FN158" s="740"/>
      <c r="FO158" s="744" t="str">
        <f t="shared" si="51"/>
        <v>-</v>
      </c>
      <c r="FP158" s="739"/>
      <c r="FQ158" s="739"/>
      <c r="FR158" s="740"/>
      <c r="FS158" s="744" t="str">
        <f>IF(EW158="","-",INDEX($A$5:$BP$257,MATCH(EW158,$BN$5:$BN$257,0),39)*(IF(EW158="","-",(1+(((-('Densidade do AR'!$M$4))+('Densidade do AR'!$T$15*1000000))/(IF(INDEX($A$5:$BP$257,MATCH(EW158,$BN$5:$BN$257,0),50)="Aço Inoxidável",('Densidade do AR'!$S$8*1000000),IF(INDEX($A$5:$BP$257,MATCH(EW158,$BN$5:$BN$257,0),50)="Ferro Fundido",('Densidade do AR'!$S$12*1000000),IF(INDEX($A$5:$BP$257,MATCH(EW158,$BN$5:$BN$257,0),50)="Latão",('Densidade do AR'!$S$10*1000000),IF(INDEX($A$5:$BP$257,MATCH(EW158,$BN$5:$BN$257,0),50)="Alumínio",('Densidade do AR'!$S$4*1000000)))))))-(((-('Densidade do AR'!$M$4))+('Densidade do AR'!$T$15*1000000))/('Densidade do AR'!$S$14*1000000))))))</f>
        <v>-</v>
      </c>
      <c r="FT158" s="739"/>
      <c r="FU158" s="739"/>
      <c r="FV158" s="745"/>
      <c r="FW158" s="91" t="str">
        <f t="shared" si="63"/>
        <v>-</v>
      </c>
      <c r="FX158" s="135"/>
    </row>
    <row r="159" spans="1:180" ht="12.75" customHeight="1" x14ac:dyDescent="0.2">
      <c r="A159" s="717">
        <v>155</v>
      </c>
      <c r="B159" s="713"/>
      <c r="C159" s="708"/>
      <c r="D159" s="709"/>
      <c r="E159" s="709"/>
      <c r="F159" s="709"/>
      <c r="G159" s="710"/>
      <c r="H159" s="711"/>
      <c r="I159" s="712"/>
      <c r="J159" s="712"/>
      <c r="K159" s="713"/>
      <c r="L159" s="708"/>
      <c r="M159" s="709"/>
      <c r="N159" s="709"/>
      <c r="O159" s="709"/>
      <c r="P159" s="708"/>
      <c r="Q159" s="709"/>
      <c r="R159" s="709"/>
      <c r="S159" s="709"/>
      <c r="T159" s="710"/>
      <c r="U159" s="714"/>
      <c r="V159" s="715"/>
      <c r="W159" s="715"/>
      <c r="X159" s="715"/>
      <c r="Y159" s="715"/>
      <c r="Z159" s="715"/>
      <c r="AA159" s="716"/>
      <c r="AB159" s="850"/>
      <c r="AC159" s="851"/>
      <c r="AD159" s="851"/>
      <c r="AE159" s="851"/>
      <c r="AF159" s="851"/>
      <c r="AG159" s="851"/>
      <c r="AH159" s="851"/>
      <c r="AI159" s="851"/>
      <c r="AJ159" s="851"/>
      <c r="AK159" s="851"/>
      <c r="AL159" s="852"/>
      <c r="AM159" s="917"/>
      <c r="AN159" s="712"/>
      <c r="AO159" s="712"/>
      <c r="AP159" s="712"/>
      <c r="AQ159" s="712"/>
      <c r="AR159" s="712"/>
      <c r="AS159" s="713"/>
      <c r="AT159" s="917"/>
      <c r="AU159" s="712"/>
      <c r="AV159" s="712"/>
      <c r="AW159" s="713"/>
      <c r="AX159" s="917"/>
      <c r="AY159" s="712"/>
      <c r="AZ159" s="712"/>
      <c r="BA159" s="712"/>
      <c r="BB159" s="712"/>
      <c r="BC159" s="713"/>
      <c r="BD159" s="917"/>
      <c r="BE159" s="712"/>
      <c r="BF159" s="712"/>
      <c r="BG159" s="713"/>
      <c r="BH159" s="918"/>
      <c r="BI159" s="712"/>
      <c r="BJ159" s="712"/>
      <c r="BK159" s="712"/>
      <c r="BL159" s="910"/>
      <c r="BN159" s="878"/>
      <c r="BO159" s="709"/>
      <c r="BP159" s="884"/>
      <c r="BT159" s="794"/>
      <c r="BU159" s="795"/>
      <c r="BV159" s="784" t="str">
        <f>IF(BT159="","-",(IF(INDEX($A$5:$BP$257,MATCH(BT159,$BN$5:$BN$257,0),50)="Aço Inoxidável",('Densidade do AR'!$S$8*1000000),IF(INDEX($A$5:$BP$257,MATCH(BT159,$BN$5:$BN$257,0),50)="Ferro Fundido",('Densidade do AR'!$S$12*1000000),IF(INDEX($A$5:$BP$257,MATCH(BT159,$BN$5:$BN$257,0),50)="Latão",('Densidade do AR'!$S$10*1000000),IF(INDEX($A$5:$BP$257,MATCH(BT159,$BN$5:$BN$257,0),50)="Alumínio",('Densidade do AR'!$S$4*1000000)))))))</f>
        <v>-</v>
      </c>
      <c r="BW159" s="785"/>
      <c r="BX159" s="785"/>
      <c r="BY159" s="786"/>
      <c r="BZ159" s="787" t="str">
        <f t="shared" si="52"/>
        <v>-</v>
      </c>
      <c r="CA159" s="788"/>
      <c r="CB159" s="788"/>
      <c r="CC159" s="789"/>
      <c r="CD159" s="787" t="str">
        <f t="shared" si="44"/>
        <v>-</v>
      </c>
      <c r="CE159" s="788"/>
      <c r="CF159" s="788"/>
      <c r="CG159" s="789"/>
      <c r="CH159" s="790" t="str">
        <f t="shared" si="53"/>
        <v>-</v>
      </c>
      <c r="CI159" s="785"/>
      <c r="CJ159" s="785"/>
      <c r="CK159" s="786"/>
      <c r="CL159" s="790" t="str">
        <f t="shared" si="45"/>
        <v>-</v>
      </c>
      <c r="CM159" s="785"/>
      <c r="CN159" s="785"/>
      <c r="CO159" s="786"/>
      <c r="CP159" s="790" t="str">
        <f>IF(BT159="","-",INDEX($A$5:$BP$257,MATCH(BT159,$BN$5:$BN$257,0),39)*(IF(BT159="","-",(1+(((-('Densidade do AR'!$M$4))+('Densidade do AR'!$T$15*1000000))/(IF(INDEX($A$5:$BP$257,MATCH(BT159,$BN$5:$BN$257,0),50)="Aço Inoxidável",('Densidade do AR'!$S$8*1000000),IF(INDEX($A$5:$BP$257,MATCH(BT159,$BN$5:$BN$257,0),50)="Ferro Fundido",('Densidade do AR'!$S$12*1000000),IF(INDEX($A$5:$BP$257,MATCH(BT159,$BN$5:$BN$257,0),50)="Latão",('Densidade do AR'!$S$10*1000000),IF(INDEX($A$5:$BP$257,MATCH(BT159,$BN$5:$BN$257,0),50)="Alumínio",('Densidade do AR'!$S$4*1000000)))))))-(((-('Densidade do AR'!$M$4))+('Densidade do AR'!$T$15*1000000))/('Densidade do AR'!$S$14*1000000))))))</f>
        <v>-</v>
      </c>
      <c r="CQ159" s="785"/>
      <c r="CR159" s="785"/>
      <c r="CS159" s="791"/>
      <c r="CT159" s="91" t="str">
        <f t="shared" si="54"/>
        <v>-</v>
      </c>
      <c r="CU159" s="794"/>
      <c r="CV159" s="795"/>
      <c r="CW159" s="784" t="str">
        <f>IF(CU159="","-",(IF(INDEX($A$5:$BP$257,MATCH(CU159,$BN$5:$BN$257,0),50)="Aço Inoxidável",('Densidade do AR'!$S$8*1000000),IF(INDEX($A$5:$BP$257,MATCH(CU159,$BN$5:$BN$257,0),50)="Ferro Fundido",('Densidade do AR'!$S$12*1000000),IF(INDEX($A$5:$BP$257,MATCH(CU159,$BN$5:$BN$257,0),50)="Latão",('Densidade do AR'!$S$10*1000000),IF(INDEX($A$5:$BP$257,MATCH(CU159,$BN$5:$BN$257,0),50)="Alumínio",('Densidade do AR'!$S$4*1000000)))))))</f>
        <v>-</v>
      </c>
      <c r="CX159" s="785"/>
      <c r="CY159" s="785"/>
      <c r="CZ159" s="786"/>
      <c r="DA159" s="787" t="str">
        <f t="shared" si="55"/>
        <v>-</v>
      </c>
      <c r="DB159" s="788"/>
      <c r="DC159" s="788"/>
      <c r="DD159" s="789"/>
      <c r="DE159" s="787" t="str">
        <f t="shared" si="46"/>
        <v>-</v>
      </c>
      <c r="DF159" s="788"/>
      <c r="DG159" s="788"/>
      <c r="DH159" s="789"/>
      <c r="DI159" s="790" t="str">
        <f t="shared" si="56"/>
        <v>-</v>
      </c>
      <c r="DJ159" s="785"/>
      <c r="DK159" s="785"/>
      <c r="DL159" s="786"/>
      <c r="DM159" s="790" t="str">
        <f t="shared" si="47"/>
        <v>-</v>
      </c>
      <c r="DN159" s="785"/>
      <c r="DO159" s="785"/>
      <c r="DP159" s="786"/>
      <c r="DQ159" s="790" t="str">
        <f>IF(CU159="","-",INDEX($A$5:$BP$257,MATCH(CU159,$BN$5:$BN$257,0),39)*(IF(CU159="","-",(1+(((-('Densidade do AR'!$M$4))+('Densidade do AR'!$T$15*1000000))/(IF(INDEX($A$5:$BP$257,MATCH(CU159,$BN$5:$BN$257,0),50)="Aço Inoxidável",('Densidade do AR'!$S$8*1000000),IF(INDEX($A$5:$BP$257,MATCH(CU159,$BN$5:$BN$257,0),50)="Ferro Fundido",('Densidade do AR'!$S$12*1000000),IF(INDEX($A$5:$BP$257,MATCH(CU159,$BN$5:$BN$257,0),50)="Latão",('Densidade do AR'!$S$10*1000000),IF(INDEX($A$5:$BP$257,MATCH(CU159,$BN$5:$BN$257,0),50)="Alumínio",('Densidade do AR'!$S$4*1000000)))))))-(((-('Densidade do AR'!$M$4))+('Densidade do AR'!$T$15*1000000))/('Densidade do AR'!$S$14*1000000))))))</f>
        <v>-</v>
      </c>
      <c r="DR159" s="785"/>
      <c r="DS159" s="785"/>
      <c r="DT159" s="791"/>
      <c r="DU159" s="91" t="str">
        <f t="shared" si="57"/>
        <v>-</v>
      </c>
      <c r="DV159" s="794"/>
      <c r="DW159" s="795"/>
      <c r="DX159" s="784" t="str">
        <f>IF(DV159="","-",(IF(INDEX($A$5:$BP$257,MATCH(DV159,$BN$5:$BN$257,0),50)="Aço Inoxidável",('Densidade do AR'!$S$8*1000000),IF(INDEX($A$5:$BP$257,MATCH(DV159,$BN$5:$BN$257,0),50)="Ferro Fundido",('Densidade do AR'!$S$12*1000000),IF(INDEX($A$5:$BP$257,MATCH(DV159,$BN$5:$BN$257,0),50)="Latão",('Densidade do AR'!$S$10*1000000),IF(INDEX($A$5:$BP$257,MATCH(DV159,$BN$5:$BN$257,0),50)="Alumínio",('Densidade do AR'!$S$4*1000000)))))))</f>
        <v>-</v>
      </c>
      <c r="DY159" s="785"/>
      <c r="DZ159" s="785"/>
      <c r="EA159" s="786"/>
      <c r="EB159" s="787" t="str">
        <f t="shared" si="58"/>
        <v>-</v>
      </c>
      <c r="EC159" s="788"/>
      <c r="ED159" s="788"/>
      <c r="EE159" s="789"/>
      <c r="EF159" s="787" t="str">
        <f t="shared" si="48"/>
        <v>-</v>
      </c>
      <c r="EG159" s="788"/>
      <c r="EH159" s="788"/>
      <c r="EI159" s="789"/>
      <c r="EJ159" s="790" t="str">
        <f t="shared" si="59"/>
        <v>-</v>
      </c>
      <c r="EK159" s="785"/>
      <c r="EL159" s="785"/>
      <c r="EM159" s="786"/>
      <c r="EN159" s="790" t="str">
        <f t="shared" si="49"/>
        <v>-</v>
      </c>
      <c r="EO159" s="785"/>
      <c r="EP159" s="785"/>
      <c r="EQ159" s="786"/>
      <c r="ER159" s="790" t="str">
        <f>IF(DV159="","-",INDEX($A$5:$BP$257,MATCH(DV159,$BN$5:$BN$257,0),39)*(IF(DV159="","-",(1+(((-('Densidade do AR'!$M$4))+('Densidade do AR'!$T$15*1000000))/(IF(INDEX($A$5:$BP$257,MATCH(DV159,$BN$5:$BN$257,0),50)="Aço Inoxidável",('Densidade do AR'!$S$8*1000000),IF(INDEX($A$5:$BP$257,MATCH(DV159,$BN$5:$BN$257,0),50)="Ferro Fundido",('Densidade do AR'!$S$12*1000000),IF(INDEX($A$5:$BP$257,MATCH(DV159,$BN$5:$BN$257,0),50)="Latão",('Densidade do AR'!$S$10*1000000),IF(INDEX($A$5:$BP$257,MATCH(DV159,$BN$5:$BN$257,0),50)="Alumínio",('Densidade do AR'!$S$4*1000000)))))))-(((-('Densidade do AR'!$M$4))+('Densidade do AR'!$T$15*1000000))/('Densidade do AR'!$S$14*1000000))))))</f>
        <v>-</v>
      </c>
      <c r="ES159" s="785"/>
      <c r="ET159" s="785"/>
      <c r="EU159" s="791"/>
      <c r="EV159" s="91" t="str">
        <f t="shared" si="60"/>
        <v>-</v>
      </c>
      <c r="EW159" s="794"/>
      <c r="EX159" s="795"/>
      <c r="EY159" s="784" t="str">
        <f>IF(EW159="","-",(IF(INDEX($A$5:$BP$257,MATCH(EW159,$BN$5:$BN$257,0),50)="Aço Inoxidável",('Densidade do AR'!$S$8*1000000),IF(INDEX($A$5:$BP$257,MATCH(EW159,$BN$5:$BN$257,0),50)="Ferro Fundido",('Densidade do AR'!$S$12*1000000),IF(INDEX($A$5:$BP$257,MATCH(EW159,$BN$5:$BN$257,0),50)="Latão",('Densidade do AR'!$S$10*1000000),IF(INDEX($A$5:$BP$257,MATCH(EW159,$BN$5:$BN$257,0),50)="Alumínio",('Densidade do AR'!$S$4*1000000)))))))</f>
        <v>-</v>
      </c>
      <c r="EZ159" s="785"/>
      <c r="FA159" s="785"/>
      <c r="FB159" s="786"/>
      <c r="FC159" s="787" t="str">
        <f t="shared" si="61"/>
        <v>-</v>
      </c>
      <c r="FD159" s="788"/>
      <c r="FE159" s="788"/>
      <c r="FF159" s="789"/>
      <c r="FG159" s="787" t="str">
        <f t="shared" si="50"/>
        <v>-</v>
      </c>
      <c r="FH159" s="788"/>
      <c r="FI159" s="788"/>
      <c r="FJ159" s="789"/>
      <c r="FK159" s="790" t="str">
        <f t="shared" si="62"/>
        <v>-</v>
      </c>
      <c r="FL159" s="785"/>
      <c r="FM159" s="785"/>
      <c r="FN159" s="786"/>
      <c r="FO159" s="790" t="str">
        <f t="shared" si="51"/>
        <v>-</v>
      </c>
      <c r="FP159" s="785"/>
      <c r="FQ159" s="785"/>
      <c r="FR159" s="786"/>
      <c r="FS159" s="790" t="str">
        <f>IF(EW159="","-",INDEX($A$5:$BP$257,MATCH(EW159,$BN$5:$BN$257,0),39)*(IF(EW159="","-",(1+(((-('Densidade do AR'!$M$4))+('Densidade do AR'!$T$15*1000000))/(IF(INDEX($A$5:$BP$257,MATCH(EW159,$BN$5:$BN$257,0),50)="Aço Inoxidável",('Densidade do AR'!$S$8*1000000),IF(INDEX($A$5:$BP$257,MATCH(EW159,$BN$5:$BN$257,0),50)="Ferro Fundido",('Densidade do AR'!$S$12*1000000),IF(INDEX($A$5:$BP$257,MATCH(EW159,$BN$5:$BN$257,0),50)="Latão",('Densidade do AR'!$S$10*1000000),IF(INDEX($A$5:$BP$257,MATCH(EW159,$BN$5:$BN$257,0),50)="Alumínio",('Densidade do AR'!$S$4*1000000)))))))-(((-('Densidade do AR'!$M$4))+('Densidade do AR'!$T$15*1000000))/('Densidade do AR'!$S$14*1000000))))))</f>
        <v>-</v>
      </c>
      <c r="FT159" s="785"/>
      <c r="FU159" s="785"/>
      <c r="FV159" s="791"/>
      <c r="FW159" s="91" t="str">
        <f t="shared" si="63"/>
        <v>-</v>
      </c>
      <c r="FX159" s="135"/>
    </row>
    <row r="160" spans="1:180" ht="12.75" customHeight="1" x14ac:dyDescent="0.2">
      <c r="A160" s="718">
        <v>156</v>
      </c>
      <c r="B160" s="713"/>
      <c r="C160" s="719"/>
      <c r="D160" s="709"/>
      <c r="E160" s="709"/>
      <c r="F160" s="709"/>
      <c r="G160" s="710"/>
      <c r="H160" s="720"/>
      <c r="I160" s="712"/>
      <c r="J160" s="712"/>
      <c r="K160" s="713"/>
      <c r="L160" s="719"/>
      <c r="M160" s="709"/>
      <c r="N160" s="709"/>
      <c r="O160" s="709"/>
      <c r="P160" s="719"/>
      <c r="Q160" s="709"/>
      <c r="R160" s="709"/>
      <c r="S160" s="709"/>
      <c r="T160" s="710"/>
      <c r="U160" s="721"/>
      <c r="V160" s="722"/>
      <c r="W160" s="722"/>
      <c r="X160" s="722"/>
      <c r="Y160" s="722"/>
      <c r="Z160" s="722"/>
      <c r="AA160" s="723"/>
      <c r="AB160" s="853"/>
      <c r="AC160" s="854"/>
      <c r="AD160" s="854"/>
      <c r="AE160" s="854"/>
      <c r="AF160" s="854"/>
      <c r="AG160" s="854"/>
      <c r="AH160" s="854"/>
      <c r="AI160" s="854"/>
      <c r="AJ160" s="854"/>
      <c r="AK160" s="854"/>
      <c r="AL160" s="855"/>
      <c r="AM160" s="909"/>
      <c r="AN160" s="712"/>
      <c r="AO160" s="712"/>
      <c r="AP160" s="712"/>
      <c r="AQ160" s="712"/>
      <c r="AR160" s="712"/>
      <c r="AS160" s="713"/>
      <c r="AT160" s="909"/>
      <c r="AU160" s="712"/>
      <c r="AV160" s="712"/>
      <c r="AW160" s="713"/>
      <c r="AX160" s="908"/>
      <c r="AY160" s="712"/>
      <c r="AZ160" s="712"/>
      <c r="BA160" s="712"/>
      <c r="BB160" s="712"/>
      <c r="BC160" s="713"/>
      <c r="BD160" s="909"/>
      <c r="BE160" s="712"/>
      <c r="BF160" s="712"/>
      <c r="BG160" s="713"/>
      <c r="BH160" s="908"/>
      <c r="BI160" s="712"/>
      <c r="BJ160" s="712"/>
      <c r="BK160" s="712"/>
      <c r="BL160" s="910"/>
      <c r="BN160" s="881"/>
      <c r="BO160" s="709"/>
      <c r="BP160" s="884"/>
      <c r="BT160" s="792"/>
      <c r="BU160" s="793"/>
      <c r="BV160" s="738" t="str">
        <f>IF(BT160="","-",(IF(INDEX($A$5:$BP$257,MATCH(BT160,$BN$5:$BN$257,0),50)="Aço Inoxidável",('Densidade do AR'!$S$8*1000000),IF(INDEX($A$5:$BP$257,MATCH(BT160,$BN$5:$BN$257,0),50)="Ferro Fundido",('Densidade do AR'!$S$12*1000000),IF(INDEX($A$5:$BP$257,MATCH(BT160,$BN$5:$BN$257,0),50)="Latão",('Densidade do AR'!$S$10*1000000),IF(INDEX($A$5:$BP$257,MATCH(BT160,$BN$5:$BN$257,0),50)="Alumínio",('Densidade do AR'!$S$4*1000000)))))))</f>
        <v>-</v>
      </c>
      <c r="BW160" s="739"/>
      <c r="BX160" s="739"/>
      <c r="BY160" s="740"/>
      <c r="BZ160" s="741" t="str">
        <f t="shared" si="52"/>
        <v>-</v>
      </c>
      <c r="CA160" s="742"/>
      <c r="CB160" s="742"/>
      <c r="CC160" s="743"/>
      <c r="CD160" s="741" t="str">
        <f t="shared" si="44"/>
        <v>-</v>
      </c>
      <c r="CE160" s="742"/>
      <c r="CF160" s="742"/>
      <c r="CG160" s="743"/>
      <c r="CH160" s="744" t="str">
        <f t="shared" si="53"/>
        <v>-</v>
      </c>
      <c r="CI160" s="739"/>
      <c r="CJ160" s="739"/>
      <c r="CK160" s="740"/>
      <c r="CL160" s="744" t="str">
        <f t="shared" si="45"/>
        <v>-</v>
      </c>
      <c r="CM160" s="739"/>
      <c r="CN160" s="739"/>
      <c r="CO160" s="740"/>
      <c r="CP160" s="744" t="str">
        <f>IF(BT160="","-",INDEX($A$5:$BP$257,MATCH(BT160,$BN$5:$BN$257,0),39)*(IF(BT160="","-",(1+(((-('Densidade do AR'!$M$4))+('Densidade do AR'!$T$15*1000000))/(IF(INDEX($A$5:$BP$257,MATCH(BT160,$BN$5:$BN$257,0),50)="Aço Inoxidável",('Densidade do AR'!$S$8*1000000),IF(INDEX($A$5:$BP$257,MATCH(BT160,$BN$5:$BN$257,0),50)="Ferro Fundido",('Densidade do AR'!$S$12*1000000),IF(INDEX($A$5:$BP$257,MATCH(BT160,$BN$5:$BN$257,0),50)="Latão",('Densidade do AR'!$S$10*1000000),IF(INDEX($A$5:$BP$257,MATCH(BT160,$BN$5:$BN$257,0),50)="Alumínio",('Densidade do AR'!$S$4*1000000)))))))-(((-('Densidade do AR'!$M$4))+('Densidade do AR'!$T$15*1000000))/('Densidade do AR'!$S$14*1000000))))))</f>
        <v>-</v>
      </c>
      <c r="CQ160" s="739"/>
      <c r="CR160" s="739"/>
      <c r="CS160" s="745"/>
      <c r="CT160" s="91" t="str">
        <f t="shared" si="54"/>
        <v>-</v>
      </c>
      <c r="CU160" s="792"/>
      <c r="CV160" s="793"/>
      <c r="CW160" s="738" t="str">
        <f>IF(CU160="","-",(IF(INDEX($A$5:$BP$257,MATCH(CU160,$BN$5:$BN$257,0),50)="Aço Inoxidável",('Densidade do AR'!$S$8*1000000),IF(INDEX($A$5:$BP$257,MATCH(CU160,$BN$5:$BN$257,0),50)="Ferro Fundido",('Densidade do AR'!$S$12*1000000),IF(INDEX($A$5:$BP$257,MATCH(CU160,$BN$5:$BN$257,0),50)="Latão",('Densidade do AR'!$S$10*1000000),IF(INDEX($A$5:$BP$257,MATCH(CU160,$BN$5:$BN$257,0),50)="Alumínio",('Densidade do AR'!$S$4*1000000)))))))</f>
        <v>-</v>
      </c>
      <c r="CX160" s="739"/>
      <c r="CY160" s="739"/>
      <c r="CZ160" s="740"/>
      <c r="DA160" s="741" t="str">
        <f t="shared" si="55"/>
        <v>-</v>
      </c>
      <c r="DB160" s="742"/>
      <c r="DC160" s="742"/>
      <c r="DD160" s="743"/>
      <c r="DE160" s="741" t="str">
        <f t="shared" si="46"/>
        <v>-</v>
      </c>
      <c r="DF160" s="742"/>
      <c r="DG160" s="742"/>
      <c r="DH160" s="743"/>
      <c r="DI160" s="744" t="str">
        <f t="shared" si="56"/>
        <v>-</v>
      </c>
      <c r="DJ160" s="739"/>
      <c r="DK160" s="739"/>
      <c r="DL160" s="740"/>
      <c r="DM160" s="744" t="str">
        <f t="shared" si="47"/>
        <v>-</v>
      </c>
      <c r="DN160" s="739"/>
      <c r="DO160" s="739"/>
      <c r="DP160" s="740"/>
      <c r="DQ160" s="744" t="str">
        <f>IF(CU160="","-",INDEX($A$5:$BP$257,MATCH(CU160,$BN$5:$BN$257,0),39)*(IF(CU160="","-",(1+(((-('Densidade do AR'!$M$4))+('Densidade do AR'!$T$15*1000000))/(IF(INDEX($A$5:$BP$257,MATCH(CU160,$BN$5:$BN$257,0),50)="Aço Inoxidável",('Densidade do AR'!$S$8*1000000),IF(INDEX($A$5:$BP$257,MATCH(CU160,$BN$5:$BN$257,0),50)="Ferro Fundido",('Densidade do AR'!$S$12*1000000),IF(INDEX($A$5:$BP$257,MATCH(CU160,$BN$5:$BN$257,0),50)="Latão",('Densidade do AR'!$S$10*1000000),IF(INDEX($A$5:$BP$257,MATCH(CU160,$BN$5:$BN$257,0),50)="Alumínio",('Densidade do AR'!$S$4*1000000)))))))-(((-('Densidade do AR'!$M$4))+('Densidade do AR'!$T$15*1000000))/('Densidade do AR'!$S$14*1000000))))))</f>
        <v>-</v>
      </c>
      <c r="DR160" s="739"/>
      <c r="DS160" s="739"/>
      <c r="DT160" s="745"/>
      <c r="DU160" s="91" t="str">
        <f t="shared" si="57"/>
        <v>-</v>
      </c>
      <c r="DV160" s="792"/>
      <c r="DW160" s="793"/>
      <c r="DX160" s="738" t="str">
        <f>IF(DV160="","-",(IF(INDEX($A$5:$BP$257,MATCH(DV160,$BN$5:$BN$257,0),50)="Aço Inoxidável",('Densidade do AR'!$S$8*1000000),IF(INDEX($A$5:$BP$257,MATCH(DV160,$BN$5:$BN$257,0),50)="Ferro Fundido",('Densidade do AR'!$S$12*1000000),IF(INDEX($A$5:$BP$257,MATCH(DV160,$BN$5:$BN$257,0),50)="Latão",('Densidade do AR'!$S$10*1000000),IF(INDEX($A$5:$BP$257,MATCH(DV160,$BN$5:$BN$257,0),50)="Alumínio",('Densidade do AR'!$S$4*1000000)))))))</f>
        <v>-</v>
      </c>
      <c r="DY160" s="739"/>
      <c r="DZ160" s="739"/>
      <c r="EA160" s="740"/>
      <c r="EB160" s="741" t="str">
        <f t="shared" si="58"/>
        <v>-</v>
      </c>
      <c r="EC160" s="742"/>
      <c r="ED160" s="742"/>
      <c r="EE160" s="743"/>
      <c r="EF160" s="741" t="str">
        <f t="shared" si="48"/>
        <v>-</v>
      </c>
      <c r="EG160" s="742"/>
      <c r="EH160" s="742"/>
      <c r="EI160" s="743"/>
      <c r="EJ160" s="744" t="str">
        <f t="shared" si="59"/>
        <v>-</v>
      </c>
      <c r="EK160" s="739"/>
      <c r="EL160" s="739"/>
      <c r="EM160" s="740"/>
      <c r="EN160" s="744" t="str">
        <f t="shared" si="49"/>
        <v>-</v>
      </c>
      <c r="EO160" s="739"/>
      <c r="EP160" s="739"/>
      <c r="EQ160" s="740"/>
      <c r="ER160" s="744" t="str">
        <f>IF(DV160="","-",INDEX($A$5:$BP$257,MATCH(DV160,$BN$5:$BN$257,0),39)*(IF(DV160="","-",(1+(((-('Densidade do AR'!$M$4))+('Densidade do AR'!$T$15*1000000))/(IF(INDEX($A$5:$BP$257,MATCH(DV160,$BN$5:$BN$257,0),50)="Aço Inoxidável",('Densidade do AR'!$S$8*1000000),IF(INDEX($A$5:$BP$257,MATCH(DV160,$BN$5:$BN$257,0),50)="Ferro Fundido",('Densidade do AR'!$S$12*1000000),IF(INDEX($A$5:$BP$257,MATCH(DV160,$BN$5:$BN$257,0),50)="Latão",('Densidade do AR'!$S$10*1000000),IF(INDEX($A$5:$BP$257,MATCH(DV160,$BN$5:$BN$257,0),50)="Alumínio",('Densidade do AR'!$S$4*1000000)))))))-(((-('Densidade do AR'!$M$4))+('Densidade do AR'!$T$15*1000000))/('Densidade do AR'!$S$14*1000000))))))</f>
        <v>-</v>
      </c>
      <c r="ES160" s="739"/>
      <c r="ET160" s="739"/>
      <c r="EU160" s="745"/>
      <c r="EV160" s="91" t="str">
        <f t="shared" si="60"/>
        <v>-</v>
      </c>
      <c r="EW160" s="792"/>
      <c r="EX160" s="793"/>
      <c r="EY160" s="738" t="str">
        <f>IF(EW160="","-",(IF(INDEX($A$5:$BP$257,MATCH(EW160,$BN$5:$BN$257,0),50)="Aço Inoxidável",('Densidade do AR'!$S$8*1000000),IF(INDEX($A$5:$BP$257,MATCH(EW160,$BN$5:$BN$257,0),50)="Ferro Fundido",('Densidade do AR'!$S$12*1000000),IF(INDEX($A$5:$BP$257,MATCH(EW160,$BN$5:$BN$257,0),50)="Latão",('Densidade do AR'!$S$10*1000000),IF(INDEX($A$5:$BP$257,MATCH(EW160,$BN$5:$BN$257,0),50)="Alumínio",('Densidade do AR'!$S$4*1000000)))))))</f>
        <v>-</v>
      </c>
      <c r="EZ160" s="739"/>
      <c r="FA160" s="739"/>
      <c r="FB160" s="740"/>
      <c r="FC160" s="741" t="str">
        <f t="shared" si="61"/>
        <v>-</v>
      </c>
      <c r="FD160" s="742"/>
      <c r="FE160" s="742"/>
      <c r="FF160" s="743"/>
      <c r="FG160" s="741" t="str">
        <f t="shared" si="50"/>
        <v>-</v>
      </c>
      <c r="FH160" s="742"/>
      <c r="FI160" s="742"/>
      <c r="FJ160" s="743"/>
      <c r="FK160" s="744" t="str">
        <f t="shared" si="62"/>
        <v>-</v>
      </c>
      <c r="FL160" s="739"/>
      <c r="FM160" s="739"/>
      <c r="FN160" s="740"/>
      <c r="FO160" s="744" t="str">
        <f t="shared" si="51"/>
        <v>-</v>
      </c>
      <c r="FP160" s="739"/>
      <c r="FQ160" s="739"/>
      <c r="FR160" s="740"/>
      <c r="FS160" s="744" t="str">
        <f>IF(EW160="","-",INDEX($A$5:$BP$257,MATCH(EW160,$BN$5:$BN$257,0),39)*(IF(EW160="","-",(1+(((-('Densidade do AR'!$M$4))+('Densidade do AR'!$T$15*1000000))/(IF(INDEX($A$5:$BP$257,MATCH(EW160,$BN$5:$BN$257,0),50)="Aço Inoxidável",('Densidade do AR'!$S$8*1000000),IF(INDEX($A$5:$BP$257,MATCH(EW160,$BN$5:$BN$257,0),50)="Ferro Fundido",('Densidade do AR'!$S$12*1000000),IF(INDEX($A$5:$BP$257,MATCH(EW160,$BN$5:$BN$257,0),50)="Latão",('Densidade do AR'!$S$10*1000000),IF(INDEX($A$5:$BP$257,MATCH(EW160,$BN$5:$BN$257,0),50)="Alumínio",('Densidade do AR'!$S$4*1000000)))))))-(((-('Densidade do AR'!$M$4))+('Densidade do AR'!$T$15*1000000))/('Densidade do AR'!$S$14*1000000))))))</f>
        <v>-</v>
      </c>
      <c r="FT160" s="739"/>
      <c r="FU160" s="739"/>
      <c r="FV160" s="745"/>
      <c r="FW160" s="91" t="str">
        <f t="shared" si="63"/>
        <v>-</v>
      </c>
      <c r="FX160" s="135"/>
    </row>
    <row r="161" spans="1:180" ht="12.75" customHeight="1" x14ac:dyDescent="0.2">
      <c r="A161" s="717">
        <v>157</v>
      </c>
      <c r="B161" s="713"/>
      <c r="C161" s="708"/>
      <c r="D161" s="709"/>
      <c r="E161" s="709"/>
      <c r="F161" s="709"/>
      <c r="G161" s="710"/>
      <c r="H161" s="711"/>
      <c r="I161" s="712"/>
      <c r="J161" s="712"/>
      <c r="K161" s="713"/>
      <c r="L161" s="708"/>
      <c r="M161" s="709"/>
      <c r="N161" s="709"/>
      <c r="O161" s="709"/>
      <c r="P161" s="708"/>
      <c r="Q161" s="709"/>
      <c r="R161" s="709"/>
      <c r="S161" s="709"/>
      <c r="T161" s="710"/>
      <c r="U161" s="714"/>
      <c r="V161" s="715"/>
      <c r="W161" s="715"/>
      <c r="X161" s="715"/>
      <c r="Y161" s="715"/>
      <c r="Z161" s="715"/>
      <c r="AA161" s="716"/>
      <c r="AB161" s="850"/>
      <c r="AC161" s="851"/>
      <c r="AD161" s="851"/>
      <c r="AE161" s="851"/>
      <c r="AF161" s="851"/>
      <c r="AG161" s="851"/>
      <c r="AH161" s="851"/>
      <c r="AI161" s="851"/>
      <c r="AJ161" s="851"/>
      <c r="AK161" s="851"/>
      <c r="AL161" s="852"/>
      <c r="AM161" s="917"/>
      <c r="AN161" s="712"/>
      <c r="AO161" s="712"/>
      <c r="AP161" s="712"/>
      <c r="AQ161" s="712"/>
      <c r="AR161" s="712"/>
      <c r="AS161" s="713"/>
      <c r="AT161" s="917"/>
      <c r="AU161" s="712"/>
      <c r="AV161" s="712"/>
      <c r="AW161" s="713"/>
      <c r="AX161" s="917"/>
      <c r="AY161" s="712"/>
      <c r="AZ161" s="712"/>
      <c r="BA161" s="712"/>
      <c r="BB161" s="712"/>
      <c r="BC161" s="713"/>
      <c r="BD161" s="917"/>
      <c r="BE161" s="712"/>
      <c r="BF161" s="712"/>
      <c r="BG161" s="713"/>
      <c r="BH161" s="918"/>
      <c r="BI161" s="712"/>
      <c r="BJ161" s="712"/>
      <c r="BK161" s="712"/>
      <c r="BL161" s="910"/>
      <c r="BN161" s="878"/>
      <c r="BO161" s="709"/>
      <c r="BP161" s="884"/>
      <c r="BT161" s="794"/>
      <c r="BU161" s="795"/>
      <c r="BV161" s="784" t="str">
        <f>IF(BT161="","-",(IF(INDEX($A$5:$BP$257,MATCH(BT161,$BN$5:$BN$257,0),50)="Aço Inoxidável",('Densidade do AR'!$S$8*1000000),IF(INDEX($A$5:$BP$257,MATCH(BT161,$BN$5:$BN$257,0),50)="Ferro Fundido",('Densidade do AR'!$S$12*1000000),IF(INDEX($A$5:$BP$257,MATCH(BT161,$BN$5:$BN$257,0),50)="Latão",('Densidade do AR'!$S$10*1000000),IF(INDEX($A$5:$BP$257,MATCH(BT161,$BN$5:$BN$257,0),50)="Alumínio",('Densidade do AR'!$S$4*1000000)))))))</f>
        <v>-</v>
      </c>
      <c r="BW161" s="785"/>
      <c r="BX161" s="785"/>
      <c r="BY161" s="786"/>
      <c r="BZ161" s="787" t="str">
        <f t="shared" si="52"/>
        <v>-</v>
      </c>
      <c r="CA161" s="788"/>
      <c r="CB161" s="788"/>
      <c r="CC161" s="789"/>
      <c r="CD161" s="787" t="str">
        <f t="shared" si="44"/>
        <v>-</v>
      </c>
      <c r="CE161" s="788"/>
      <c r="CF161" s="788"/>
      <c r="CG161" s="789"/>
      <c r="CH161" s="790" t="str">
        <f t="shared" si="53"/>
        <v>-</v>
      </c>
      <c r="CI161" s="785"/>
      <c r="CJ161" s="785"/>
      <c r="CK161" s="786"/>
      <c r="CL161" s="790" t="str">
        <f t="shared" si="45"/>
        <v>-</v>
      </c>
      <c r="CM161" s="785"/>
      <c r="CN161" s="785"/>
      <c r="CO161" s="786"/>
      <c r="CP161" s="790" t="str">
        <f>IF(BT161="","-",INDEX($A$5:$BP$257,MATCH(BT161,$BN$5:$BN$257,0),39)*(IF(BT161="","-",(1+(((-('Densidade do AR'!$M$4))+('Densidade do AR'!$T$15*1000000))/(IF(INDEX($A$5:$BP$257,MATCH(BT161,$BN$5:$BN$257,0),50)="Aço Inoxidável",('Densidade do AR'!$S$8*1000000),IF(INDEX($A$5:$BP$257,MATCH(BT161,$BN$5:$BN$257,0),50)="Ferro Fundido",('Densidade do AR'!$S$12*1000000),IF(INDEX($A$5:$BP$257,MATCH(BT161,$BN$5:$BN$257,0),50)="Latão",('Densidade do AR'!$S$10*1000000),IF(INDEX($A$5:$BP$257,MATCH(BT161,$BN$5:$BN$257,0),50)="Alumínio",('Densidade do AR'!$S$4*1000000)))))))-(((-('Densidade do AR'!$M$4))+('Densidade do AR'!$T$15*1000000))/('Densidade do AR'!$S$14*1000000))))))</f>
        <v>-</v>
      </c>
      <c r="CQ161" s="785"/>
      <c r="CR161" s="785"/>
      <c r="CS161" s="791"/>
      <c r="CT161" s="91" t="str">
        <f t="shared" si="54"/>
        <v>-</v>
      </c>
      <c r="CU161" s="794"/>
      <c r="CV161" s="795"/>
      <c r="CW161" s="784" t="str">
        <f>IF(CU161="","-",(IF(INDEX($A$5:$BP$257,MATCH(CU161,$BN$5:$BN$257,0),50)="Aço Inoxidável",('Densidade do AR'!$S$8*1000000),IF(INDEX($A$5:$BP$257,MATCH(CU161,$BN$5:$BN$257,0),50)="Ferro Fundido",('Densidade do AR'!$S$12*1000000),IF(INDEX($A$5:$BP$257,MATCH(CU161,$BN$5:$BN$257,0),50)="Latão",('Densidade do AR'!$S$10*1000000),IF(INDEX($A$5:$BP$257,MATCH(CU161,$BN$5:$BN$257,0),50)="Alumínio",('Densidade do AR'!$S$4*1000000)))))))</f>
        <v>-</v>
      </c>
      <c r="CX161" s="785"/>
      <c r="CY161" s="785"/>
      <c r="CZ161" s="786"/>
      <c r="DA161" s="787" t="str">
        <f t="shared" si="55"/>
        <v>-</v>
      </c>
      <c r="DB161" s="788"/>
      <c r="DC161" s="788"/>
      <c r="DD161" s="789"/>
      <c r="DE161" s="787" t="str">
        <f t="shared" si="46"/>
        <v>-</v>
      </c>
      <c r="DF161" s="788"/>
      <c r="DG161" s="788"/>
      <c r="DH161" s="789"/>
      <c r="DI161" s="790" t="str">
        <f t="shared" si="56"/>
        <v>-</v>
      </c>
      <c r="DJ161" s="785"/>
      <c r="DK161" s="785"/>
      <c r="DL161" s="786"/>
      <c r="DM161" s="790" t="str">
        <f t="shared" si="47"/>
        <v>-</v>
      </c>
      <c r="DN161" s="785"/>
      <c r="DO161" s="785"/>
      <c r="DP161" s="786"/>
      <c r="DQ161" s="790" t="str">
        <f>IF(CU161="","-",INDEX($A$5:$BP$257,MATCH(CU161,$BN$5:$BN$257,0),39)*(IF(CU161="","-",(1+(((-('Densidade do AR'!$M$4))+('Densidade do AR'!$T$15*1000000))/(IF(INDEX($A$5:$BP$257,MATCH(CU161,$BN$5:$BN$257,0),50)="Aço Inoxidável",('Densidade do AR'!$S$8*1000000),IF(INDEX($A$5:$BP$257,MATCH(CU161,$BN$5:$BN$257,0),50)="Ferro Fundido",('Densidade do AR'!$S$12*1000000),IF(INDEX($A$5:$BP$257,MATCH(CU161,$BN$5:$BN$257,0),50)="Latão",('Densidade do AR'!$S$10*1000000),IF(INDEX($A$5:$BP$257,MATCH(CU161,$BN$5:$BN$257,0),50)="Alumínio",('Densidade do AR'!$S$4*1000000)))))))-(((-('Densidade do AR'!$M$4))+('Densidade do AR'!$T$15*1000000))/('Densidade do AR'!$S$14*1000000))))))</f>
        <v>-</v>
      </c>
      <c r="DR161" s="785"/>
      <c r="DS161" s="785"/>
      <c r="DT161" s="791"/>
      <c r="DU161" s="91" t="str">
        <f t="shared" si="57"/>
        <v>-</v>
      </c>
      <c r="DV161" s="794"/>
      <c r="DW161" s="795"/>
      <c r="DX161" s="784" t="str">
        <f>IF(DV161="","-",(IF(INDEX($A$5:$BP$257,MATCH(DV161,$BN$5:$BN$257,0),50)="Aço Inoxidável",('Densidade do AR'!$S$8*1000000),IF(INDEX($A$5:$BP$257,MATCH(DV161,$BN$5:$BN$257,0),50)="Ferro Fundido",('Densidade do AR'!$S$12*1000000),IF(INDEX($A$5:$BP$257,MATCH(DV161,$BN$5:$BN$257,0),50)="Latão",('Densidade do AR'!$S$10*1000000),IF(INDEX($A$5:$BP$257,MATCH(DV161,$BN$5:$BN$257,0),50)="Alumínio",('Densidade do AR'!$S$4*1000000)))))))</f>
        <v>-</v>
      </c>
      <c r="DY161" s="785"/>
      <c r="DZ161" s="785"/>
      <c r="EA161" s="786"/>
      <c r="EB161" s="787" t="str">
        <f t="shared" si="58"/>
        <v>-</v>
      </c>
      <c r="EC161" s="788"/>
      <c r="ED161" s="788"/>
      <c r="EE161" s="789"/>
      <c r="EF161" s="787" t="str">
        <f t="shared" si="48"/>
        <v>-</v>
      </c>
      <c r="EG161" s="788"/>
      <c r="EH161" s="788"/>
      <c r="EI161" s="789"/>
      <c r="EJ161" s="790" t="str">
        <f t="shared" si="59"/>
        <v>-</v>
      </c>
      <c r="EK161" s="785"/>
      <c r="EL161" s="785"/>
      <c r="EM161" s="786"/>
      <c r="EN161" s="790" t="str">
        <f t="shared" si="49"/>
        <v>-</v>
      </c>
      <c r="EO161" s="785"/>
      <c r="EP161" s="785"/>
      <c r="EQ161" s="786"/>
      <c r="ER161" s="790" t="str">
        <f>IF(DV161="","-",INDEX($A$5:$BP$257,MATCH(DV161,$BN$5:$BN$257,0),39)*(IF(DV161="","-",(1+(((-('Densidade do AR'!$M$4))+('Densidade do AR'!$T$15*1000000))/(IF(INDEX($A$5:$BP$257,MATCH(DV161,$BN$5:$BN$257,0),50)="Aço Inoxidável",('Densidade do AR'!$S$8*1000000),IF(INDEX($A$5:$BP$257,MATCH(DV161,$BN$5:$BN$257,0),50)="Ferro Fundido",('Densidade do AR'!$S$12*1000000),IF(INDEX($A$5:$BP$257,MATCH(DV161,$BN$5:$BN$257,0),50)="Latão",('Densidade do AR'!$S$10*1000000),IF(INDEX($A$5:$BP$257,MATCH(DV161,$BN$5:$BN$257,0),50)="Alumínio",('Densidade do AR'!$S$4*1000000)))))))-(((-('Densidade do AR'!$M$4))+('Densidade do AR'!$T$15*1000000))/('Densidade do AR'!$S$14*1000000))))))</f>
        <v>-</v>
      </c>
      <c r="ES161" s="785"/>
      <c r="ET161" s="785"/>
      <c r="EU161" s="791"/>
      <c r="EV161" s="91" t="str">
        <f t="shared" si="60"/>
        <v>-</v>
      </c>
      <c r="EW161" s="794"/>
      <c r="EX161" s="795"/>
      <c r="EY161" s="784" t="str">
        <f>IF(EW161="","-",(IF(INDEX($A$5:$BP$257,MATCH(EW161,$BN$5:$BN$257,0),50)="Aço Inoxidável",('Densidade do AR'!$S$8*1000000),IF(INDEX($A$5:$BP$257,MATCH(EW161,$BN$5:$BN$257,0),50)="Ferro Fundido",('Densidade do AR'!$S$12*1000000),IF(INDEX($A$5:$BP$257,MATCH(EW161,$BN$5:$BN$257,0),50)="Latão",('Densidade do AR'!$S$10*1000000),IF(INDEX($A$5:$BP$257,MATCH(EW161,$BN$5:$BN$257,0),50)="Alumínio",('Densidade do AR'!$S$4*1000000)))))))</f>
        <v>-</v>
      </c>
      <c r="EZ161" s="785"/>
      <c r="FA161" s="785"/>
      <c r="FB161" s="786"/>
      <c r="FC161" s="787" t="str">
        <f t="shared" si="61"/>
        <v>-</v>
      </c>
      <c r="FD161" s="788"/>
      <c r="FE161" s="788"/>
      <c r="FF161" s="789"/>
      <c r="FG161" s="787" t="str">
        <f t="shared" si="50"/>
        <v>-</v>
      </c>
      <c r="FH161" s="788"/>
      <c r="FI161" s="788"/>
      <c r="FJ161" s="789"/>
      <c r="FK161" s="790" t="str">
        <f t="shared" si="62"/>
        <v>-</v>
      </c>
      <c r="FL161" s="785"/>
      <c r="FM161" s="785"/>
      <c r="FN161" s="786"/>
      <c r="FO161" s="790" t="str">
        <f t="shared" si="51"/>
        <v>-</v>
      </c>
      <c r="FP161" s="785"/>
      <c r="FQ161" s="785"/>
      <c r="FR161" s="786"/>
      <c r="FS161" s="790" t="str">
        <f>IF(EW161="","-",INDEX($A$5:$BP$257,MATCH(EW161,$BN$5:$BN$257,0),39)*(IF(EW161="","-",(1+(((-('Densidade do AR'!$M$4))+('Densidade do AR'!$T$15*1000000))/(IF(INDEX($A$5:$BP$257,MATCH(EW161,$BN$5:$BN$257,0),50)="Aço Inoxidável",('Densidade do AR'!$S$8*1000000),IF(INDEX($A$5:$BP$257,MATCH(EW161,$BN$5:$BN$257,0),50)="Ferro Fundido",('Densidade do AR'!$S$12*1000000),IF(INDEX($A$5:$BP$257,MATCH(EW161,$BN$5:$BN$257,0),50)="Latão",('Densidade do AR'!$S$10*1000000),IF(INDEX($A$5:$BP$257,MATCH(EW161,$BN$5:$BN$257,0),50)="Alumínio",('Densidade do AR'!$S$4*1000000)))))))-(((-('Densidade do AR'!$M$4))+('Densidade do AR'!$T$15*1000000))/('Densidade do AR'!$S$14*1000000))))))</f>
        <v>-</v>
      </c>
      <c r="FT161" s="785"/>
      <c r="FU161" s="785"/>
      <c r="FV161" s="791"/>
      <c r="FW161" s="91" t="str">
        <f t="shared" si="63"/>
        <v>-</v>
      </c>
      <c r="FX161" s="135"/>
    </row>
    <row r="162" spans="1:180" ht="12.75" customHeight="1" x14ac:dyDescent="0.2">
      <c r="A162" s="718">
        <v>158</v>
      </c>
      <c r="B162" s="713"/>
      <c r="C162" s="719"/>
      <c r="D162" s="709"/>
      <c r="E162" s="709"/>
      <c r="F162" s="709"/>
      <c r="G162" s="710"/>
      <c r="H162" s="720"/>
      <c r="I162" s="712"/>
      <c r="J162" s="712"/>
      <c r="K162" s="713"/>
      <c r="L162" s="719"/>
      <c r="M162" s="709"/>
      <c r="N162" s="709"/>
      <c r="O162" s="709"/>
      <c r="P162" s="719"/>
      <c r="Q162" s="709"/>
      <c r="R162" s="709"/>
      <c r="S162" s="709"/>
      <c r="T162" s="710"/>
      <c r="U162" s="721"/>
      <c r="V162" s="722"/>
      <c r="W162" s="722"/>
      <c r="X162" s="722"/>
      <c r="Y162" s="722"/>
      <c r="Z162" s="722"/>
      <c r="AA162" s="723"/>
      <c r="AB162" s="853"/>
      <c r="AC162" s="854"/>
      <c r="AD162" s="854"/>
      <c r="AE162" s="854"/>
      <c r="AF162" s="854"/>
      <c r="AG162" s="854"/>
      <c r="AH162" s="854"/>
      <c r="AI162" s="854"/>
      <c r="AJ162" s="854"/>
      <c r="AK162" s="854"/>
      <c r="AL162" s="855"/>
      <c r="AM162" s="909"/>
      <c r="AN162" s="712"/>
      <c r="AO162" s="712"/>
      <c r="AP162" s="712"/>
      <c r="AQ162" s="712"/>
      <c r="AR162" s="712"/>
      <c r="AS162" s="713"/>
      <c r="AT162" s="909"/>
      <c r="AU162" s="712"/>
      <c r="AV162" s="712"/>
      <c r="AW162" s="713"/>
      <c r="AX162" s="908"/>
      <c r="AY162" s="712"/>
      <c r="AZ162" s="712"/>
      <c r="BA162" s="712"/>
      <c r="BB162" s="712"/>
      <c r="BC162" s="713"/>
      <c r="BD162" s="909"/>
      <c r="BE162" s="712"/>
      <c r="BF162" s="712"/>
      <c r="BG162" s="713"/>
      <c r="BH162" s="908"/>
      <c r="BI162" s="712"/>
      <c r="BJ162" s="712"/>
      <c r="BK162" s="712"/>
      <c r="BL162" s="910"/>
      <c r="BN162" s="881"/>
      <c r="BO162" s="709"/>
      <c r="BP162" s="884"/>
      <c r="BT162" s="819"/>
      <c r="BU162" s="820"/>
      <c r="BV162" s="738" t="str">
        <f>IF(BT162="","-",(IF(INDEX($A$5:$BP$257,MATCH(BT162,$BN$5:$BN$257,0),50)="Aço Inoxidável",('Densidade do AR'!$S$8*1000000),IF(INDEX($A$5:$BP$257,MATCH(BT162,$BN$5:$BN$257,0),50)="Ferro Fundido",('Densidade do AR'!$S$12*1000000),IF(INDEX($A$5:$BP$257,MATCH(BT162,$BN$5:$BN$257,0),50)="Latão",('Densidade do AR'!$S$10*1000000),IF(INDEX($A$5:$BP$257,MATCH(BT162,$BN$5:$BN$257,0),50)="Alumínio",('Densidade do AR'!$S$4*1000000)))))))</f>
        <v>-</v>
      </c>
      <c r="BW162" s="739"/>
      <c r="BX162" s="739"/>
      <c r="BY162" s="740"/>
      <c r="BZ162" s="741" t="str">
        <f t="shared" si="52"/>
        <v>-</v>
      </c>
      <c r="CA162" s="742"/>
      <c r="CB162" s="742"/>
      <c r="CC162" s="743"/>
      <c r="CD162" s="741" t="str">
        <f t="shared" si="44"/>
        <v>-</v>
      </c>
      <c r="CE162" s="742"/>
      <c r="CF162" s="742"/>
      <c r="CG162" s="743"/>
      <c r="CH162" s="744" t="str">
        <f t="shared" si="53"/>
        <v>-</v>
      </c>
      <c r="CI162" s="739"/>
      <c r="CJ162" s="739"/>
      <c r="CK162" s="740"/>
      <c r="CL162" s="744" t="str">
        <f t="shared" si="45"/>
        <v>-</v>
      </c>
      <c r="CM162" s="739"/>
      <c r="CN162" s="739"/>
      <c r="CO162" s="740"/>
      <c r="CP162" s="744" t="str">
        <f>IF(BT162="","-",INDEX($A$5:$BP$257,MATCH(BT162,$BN$5:$BN$257,0),39)*(IF(BT162="","-",(1+(((-('Densidade do AR'!$M$4))+('Densidade do AR'!$T$15*1000000))/(IF(INDEX($A$5:$BP$257,MATCH(BT162,$BN$5:$BN$257,0),50)="Aço Inoxidável",('Densidade do AR'!$S$8*1000000),IF(INDEX($A$5:$BP$257,MATCH(BT162,$BN$5:$BN$257,0),50)="Ferro Fundido",('Densidade do AR'!$S$12*1000000),IF(INDEX($A$5:$BP$257,MATCH(BT162,$BN$5:$BN$257,0),50)="Latão",('Densidade do AR'!$S$10*1000000),IF(INDEX($A$5:$BP$257,MATCH(BT162,$BN$5:$BN$257,0),50)="Alumínio",('Densidade do AR'!$S$4*1000000)))))))-(((-('Densidade do AR'!$M$4))+('Densidade do AR'!$T$15*1000000))/('Densidade do AR'!$S$14*1000000))))))</f>
        <v>-</v>
      </c>
      <c r="CQ162" s="739"/>
      <c r="CR162" s="739"/>
      <c r="CS162" s="745"/>
      <c r="CT162" s="91" t="str">
        <f t="shared" si="54"/>
        <v>-</v>
      </c>
      <c r="CU162" s="819"/>
      <c r="CV162" s="820"/>
      <c r="CW162" s="738" t="str">
        <f>IF(CU162="","-",(IF(INDEX($A$5:$BP$257,MATCH(CU162,$BN$5:$BN$257,0),50)="Aço Inoxidável",('Densidade do AR'!$S$8*1000000),IF(INDEX($A$5:$BP$257,MATCH(CU162,$BN$5:$BN$257,0),50)="Ferro Fundido",('Densidade do AR'!$S$12*1000000),IF(INDEX($A$5:$BP$257,MATCH(CU162,$BN$5:$BN$257,0),50)="Latão",('Densidade do AR'!$S$10*1000000),IF(INDEX($A$5:$BP$257,MATCH(CU162,$BN$5:$BN$257,0),50)="Alumínio",('Densidade do AR'!$S$4*1000000)))))))</f>
        <v>-</v>
      </c>
      <c r="CX162" s="739"/>
      <c r="CY162" s="739"/>
      <c r="CZ162" s="740"/>
      <c r="DA162" s="741" t="str">
        <f t="shared" si="55"/>
        <v>-</v>
      </c>
      <c r="DB162" s="742"/>
      <c r="DC162" s="742"/>
      <c r="DD162" s="743"/>
      <c r="DE162" s="741" t="str">
        <f t="shared" si="46"/>
        <v>-</v>
      </c>
      <c r="DF162" s="742"/>
      <c r="DG162" s="742"/>
      <c r="DH162" s="743"/>
      <c r="DI162" s="744" t="str">
        <f t="shared" si="56"/>
        <v>-</v>
      </c>
      <c r="DJ162" s="739"/>
      <c r="DK162" s="739"/>
      <c r="DL162" s="740"/>
      <c r="DM162" s="744" t="str">
        <f t="shared" si="47"/>
        <v>-</v>
      </c>
      <c r="DN162" s="739"/>
      <c r="DO162" s="739"/>
      <c r="DP162" s="740"/>
      <c r="DQ162" s="744" t="str">
        <f>IF(CU162="","-",INDEX($A$5:$BP$257,MATCH(CU162,$BN$5:$BN$257,0),39)*(IF(CU162="","-",(1+(((-('Densidade do AR'!$M$4))+('Densidade do AR'!$T$15*1000000))/(IF(INDEX($A$5:$BP$257,MATCH(CU162,$BN$5:$BN$257,0),50)="Aço Inoxidável",('Densidade do AR'!$S$8*1000000),IF(INDEX($A$5:$BP$257,MATCH(CU162,$BN$5:$BN$257,0),50)="Ferro Fundido",('Densidade do AR'!$S$12*1000000),IF(INDEX($A$5:$BP$257,MATCH(CU162,$BN$5:$BN$257,0),50)="Latão",('Densidade do AR'!$S$10*1000000),IF(INDEX($A$5:$BP$257,MATCH(CU162,$BN$5:$BN$257,0),50)="Alumínio",('Densidade do AR'!$S$4*1000000)))))))-(((-('Densidade do AR'!$M$4))+('Densidade do AR'!$T$15*1000000))/('Densidade do AR'!$S$14*1000000))))))</f>
        <v>-</v>
      </c>
      <c r="DR162" s="739"/>
      <c r="DS162" s="739"/>
      <c r="DT162" s="745"/>
      <c r="DU162" s="91" t="str">
        <f t="shared" si="57"/>
        <v>-</v>
      </c>
      <c r="DV162" s="819"/>
      <c r="DW162" s="820"/>
      <c r="DX162" s="738" t="str">
        <f>IF(DV162="","-",(IF(INDEX($A$5:$BP$257,MATCH(DV162,$BN$5:$BN$257,0),50)="Aço Inoxidável",('Densidade do AR'!$S$8*1000000),IF(INDEX($A$5:$BP$257,MATCH(DV162,$BN$5:$BN$257,0),50)="Ferro Fundido",('Densidade do AR'!$S$12*1000000),IF(INDEX($A$5:$BP$257,MATCH(DV162,$BN$5:$BN$257,0),50)="Latão",('Densidade do AR'!$S$10*1000000),IF(INDEX($A$5:$BP$257,MATCH(DV162,$BN$5:$BN$257,0),50)="Alumínio",('Densidade do AR'!$S$4*1000000)))))))</f>
        <v>-</v>
      </c>
      <c r="DY162" s="739"/>
      <c r="DZ162" s="739"/>
      <c r="EA162" s="740"/>
      <c r="EB162" s="741" t="str">
        <f t="shared" si="58"/>
        <v>-</v>
      </c>
      <c r="EC162" s="742"/>
      <c r="ED162" s="742"/>
      <c r="EE162" s="743"/>
      <c r="EF162" s="741" t="str">
        <f t="shared" si="48"/>
        <v>-</v>
      </c>
      <c r="EG162" s="742"/>
      <c r="EH162" s="742"/>
      <c r="EI162" s="743"/>
      <c r="EJ162" s="744" t="str">
        <f t="shared" si="59"/>
        <v>-</v>
      </c>
      <c r="EK162" s="739"/>
      <c r="EL162" s="739"/>
      <c r="EM162" s="740"/>
      <c r="EN162" s="744" t="str">
        <f t="shared" si="49"/>
        <v>-</v>
      </c>
      <c r="EO162" s="739"/>
      <c r="EP162" s="739"/>
      <c r="EQ162" s="740"/>
      <c r="ER162" s="744" t="str">
        <f>IF(DV162="","-",INDEX($A$5:$BP$257,MATCH(DV162,$BN$5:$BN$257,0),39)*(IF(DV162="","-",(1+(((-('Densidade do AR'!$M$4))+('Densidade do AR'!$T$15*1000000))/(IF(INDEX($A$5:$BP$257,MATCH(DV162,$BN$5:$BN$257,0),50)="Aço Inoxidável",('Densidade do AR'!$S$8*1000000),IF(INDEX($A$5:$BP$257,MATCH(DV162,$BN$5:$BN$257,0),50)="Ferro Fundido",('Densidade do AR'!$S$12*1000000),IF(INDEX($A$5:$BP$257,MATCH(DV162,$BN$5:$BN$257,0),50)="Latão",('Densidade do AR'!$S$10*1000000),IF(INDEX($A$5:$BP$257,MATCH(DV162,$BN$5:$BN$257,0),50)="Alumínio",('Densidade do AR'!$S$4*1000000)))))))-(((-('Densidade do AR'!$M$4))+('Densidade do AR'!$T$15*1000000))/('Densidade do AR'!$S$14*1000000))))))</f>
        <v>-</v>
      </c>
      <c r="ES162" s="739"/>
      <c r="ET162" s="739"/>
      <c r="EU162" s="745"/>
      <c r="EV162" s="91" t="str">
        <f t="shared" si="60"/>
        <v>-</v>
      </c>
      <c r="EW162" s="819"/>
      <c r="EX162" s="820"/>
      <c r="EY162" s="738" t="str">
        <f>IF(EW162="","-",(IF(INDEX($A$5:$BP$257,MATCH(EW162,$BN$5:$BN$257,0),50)="Aço Inoxidável",('Densidade do AR'!$S$8*1000000),IF(INDEX($A$5:$BP$257,MATCH(EW162,$BN$5:$BN$257,0),50)="Ferro Fundido",('Densidade do AR'!$S$12*1000000),IF(INDEX($A$5:$BP$257,MATCH(EW162,$BN$5:$BN$257,0),50)="Latão",('Densidade do AR'!$S$10*1000000),IF(INDEX($A$5:$BP$257,MATCH(EW162,$BN$5:$BN$257,0),50)="Alumínio",('Densidade do AR'!$S$4*1000000)))))))</f>
        <v>-</v>
      </c>
      <c r="EZ162" s="739"/>
      <c r="FA162" s="739"/>
      <c r="FB162" s="740"/>
      <c r="FC162" s="741" t="str">
        <f t="shared" si="61"/>
        <v>-</v>
      </c>
      <c r="FD162" s="742"/>
      <c r="FE162" s="742"/>
      <c r="FF162" s="743"/>
      <c r="FG162" s="741" t="str">
        <f t="shared" si="50"/>
        <v>-</v>
      </c>
      <c r="FH162" s="742"/>
      <c r="FI162" s="742"/>
      <c r="FJ162" s="743"/>
      <c r="FK162" s="744" t="str">
        <f t="shared" si="62"/>
        <v>-</v>
      </c>
      <c r="FL162" s="739"/>
      <c r="FM162" s="739"/>
      <c r="FN162" s="740"/>
      <c r="FO162" s="744" t="str">
        <f t="shared" si="51"/>
        <v>-</v>
      </c>
      <c r="FP162" s="739"/>
      <c r="FQ162" s="739"/>
      <c r="FR162" s="740"/>
      <c r="FS162" s="744" t="str">
        <f>IF(EW162="","-",INDEX($A$5:$BP$257,MATCH(EW162,$BN$5:$BN$257,0),39)*(IF(EW162="","-",(1+(((-('Densidade do AR'!$M$4))+('Densidade do AR'!$T$15*1000000))/(IF(INDEX($A$5:$BP$257,MATCH(EW162,$BN$5:$BN$257,0),50)="Aço Inoxidável",('Densidade do AR'!$S$8*1000000),IF(INDEX($A$5:$BP$257,MATCH(EW162,$BN$5:$BN$257,0),50)="Ferro Fundido",('Densidade do AR'!$S$12*1000000),IF(INDEX($A$5:$BP$257,MATCH(EW162,$BN$5:$BN$257,0),50)="Latão",('Densidade do AR'!$S$10*1000000),IF(INDEX($A$5:$BP$257,MATCH(EW162,$BN$5:$BN$257,0),50)="Alumínio",('Densidade do AR'!$S$4*1000000)))))))-(((-('Densidade do AR'!$M$4))+('Densidade do AR'!$T$15*1000000))/('Densidade do AR'!$S$14*1000000))))))</f>
        <v>-</v>
      </c>
      <c r="FT162" s="739"/>
      <c r="FU162" s="739"/>
      <c r="FV162" s="745"/>
      <c r="FW162" s="91" t="str">
        <f t="shared" si="63"/>
        <v>-</v>
      </c>
      <c r="FX162" s="135"/>
    </row>
    <row r="163" spans="1:180" ht="12.75" customHeight="1" x14ac:dyDescent="0.2">
      <c r="A163" s="717">
        <v>159</v>
      </c>
      <c r="B163" s="713"/>
      <c r="C163" s="708"/>
      <c r="D163" s="709"/>
      <c r="E163" s="709"/>
      <c r="F163" s="709"/>
      <c r="G163" s="710"/>
      <c r="H163" s="711"/>
      <c r="I163" s="712"/>
      <c r="J163" s="712"/>
      <c r="K163" s="713"/>
      <c r="L163" s="708"/>
      <c r="M163" s="709"/>
      <c r="N163" s="709"/>
      <c r="O163" s="709"/>
      <c r="P163" s="708"/>
      <c r="Q163" s="709"/>
      <c r="R163" s="709"/>
      <c r="S163" s="709"/>
      <c r="T163" s="710"/>
      <c r="U163" s="714"/>
      <c r="V163" s="715"/>
      <c r="W163" s="715"/>
      <c r="X163" s="715"/>
      <c r="Y163" s="715"/>
      <c r="Z163" s="715"/>
      <c r="AA163" s="716"/>
      <c r="AB163" s="850"/>
      <c r="AC163" s="851"/>
      <c r="AD163" s="851"/>
      <c r="AE163" s="851"/>
      <c r="AF163" s="851"/>
      <c r="AG163" s="851"/>
      <c r="AH163" s="851"/>
      <c r="AI163" s="851"/>
      <c r="AJ163" s="851"/>
      <c r="AK163" s="851"/>
      <c r="AL163" s="852"/>
      <c r="AM163" s="917"/>
      <c r="AN163" s="712"/>
      <c r="AO163" s="712"/>
      <c r="AP163" s="712"/>
      <c r="AQ163" s="712"/>
      <c r="AR163" s="712"/>
      <c r="AS163" s="713"/>
      <c r="AT163" s="917"/>
      <c r="AU163" s="712"/>
      <c r="AV163" s="712"/>
      <c r="AW163" s="713"/>
      <c r="AX163" s="917"/>
      <c r="AY163" s="712"/>
      <c r="AZ163" s="712"/>
      <c r="BA163" s="712"/>
      <c r="BB163" s="712"/>
      <c r="BC163" s="713"/>
      <c r="BD163" s="917"/>
      <c r="BE163" s="712"/>
      <c r="BF163" s="712"/>
      <c r="BG163" s="713"/>
      <c r="BH163" s="918"/>
      <c r="BI163" s="712"/>
      <c r="BJ163" s="712"/>
      <c r="BK163" s="712"/>
      <c r="BL163" s="910"/>
      <c r="BN163" s="878"/>
      <c r="BO163" s="709"/>
      <c r="BP163" s="884"/>
      <c r="BT163" s="794"/>
      <c r="BU163" s="795"/>
      <c r="BV163" s="784" t="str">
        <f>IF(BT163="","-",(IF(INDEX($A$5:$BP$257,MATCH(BT163,$BN$5:$BN$257,0),50)="Aço Inoxidável",('Densidade do AR'!$S$8*1000000),IF(INDEX($A$5:$BP$257,MATCH(BT163,$BN$5:$BN$257,0),50)="Ferro Fundido",('Densidade do AR'!$S$12*1000000),IF(INDEX($A$5:$BP$257,MATCH(BT163,$BN$5:$BN$257,0),50)="Latão",('Densidade do AR'!$S$10*1000000),IF(INDEX($A$5:$BP$257,MATCH(BT163,$BN$5:$BN$257,0),50)="Alumínio",('Densidade do AR'!$S$4*1000000)))))))</f>
        <v>-</v>
      </c>
      <c r="BW163" s="785"/>
      <c r="BX163" s="785"/>
      <c r="BY163" s="786"/>
      <c r="BZ163" s="787" t="str">
        <f t="shared" si="52"/>
        <v>-</v>
      </c>
      <c r="CA163" s="788"/>
      <c r="CB163" s="788"/>
      <c r="CC163" s="789"/>
      <c r="CD163" s="787" t="str">
        <f t="shared" si="44"/>
        <v>-</v>
      </c>
      <c r="CE163" s="788"/>
      <c r="CF163" s="788"/>
      <c r="CG163" s="789"/>
      <c r="CH163" s="790" t="str">
        <f t="shared" si="53"/>
        <v>-</v>
      </c>
      <c r="CI163" s="785"/>
      <c r="CJ163" s="785"/>
      <c r="CK163" s="786"/>
      <c r="CL163" s="790" t="str">
        <f t="shared" si="45"/>
        <v>-</v>
      </c>
      <c r="CM163" s="785"/>
      <c r="CN163" s="785"/>
      <c r="CO163" s="786"/>
      <c r="CP163" s="790" t="str">
        <f>IF(BT163="","-",INDEX($A$5:$BP$257,MATCH(BT163,$BN$5:$BN$257,0),39)*(IF(BT163="","-",(1+(((-('Densidade do AR'!$M$4))+('Densidade do AR'!$T$15*1000000))/(IF(INDEX($A$5:$BP$257,MATCH(BT163,$BN$5:$BN$257,0),50)="Aço Inoxidável",('Densidade do AR'!$S$8*1000000),IF(INDEX($A$5:$BP$257,MATCH(BT163,$BN$5:$BN$257,0),50)="Ferro Fundido",('Densidade do AR'!$S$12*1000000),IF(INDEX($A$5:$BP$257,MATCH(BT163,$BN$5:$BN$257,0),50)="Latão",('Densidade do AR'!$S$10*1000000),IF(INDEX($A$5:$BP$257,MATCH(BT163,$BN$5:$BN$257,0),50)="Alumínio",('Densidade do AR'!$S$4*1000000)))))))-(((-('Densidade do AR'!$M$4))+('Densidade do AR'!$T$15*1000000))/('Densidade do AR'!$S$14*1000000))))))</f>
        <v>-</v>
      </c>
      <c r="CQ163" s="785"/>
      <c r="CR163" s="785"/>
      <c r="CS163" s="791"/>
      <c r="CT163" s="91" t="str">
        <f t="shared" si="54"/>
        <v>-</v>
      </c>
      <c r="CU163" s="794"/>
      <c r="CV163" s="795"/>
      <c r="CW163" s="784" t="str">
        <f>IF(CU163="","-",(IF(INDEX($A$5:$BP$257,MATCH(CU163,$BN$5:$BN$257,0),50)="Aço Inoxidável",('Densidade do AR'!$S$8*1000000),IF(INDEX($A$5:$BP$257,MATCH(CU163,$BN$5:$BN$257,0),50)="Ferro Fundido",('Densidade do AR'!$S$12*1000000),IF(INDEX($A$5:$BP$257,MATCH(CU163,$BN$5:$BN$257,0),50)="Latão",('Densidade do AR'!$S$10*1000000),IF(INDEX($A$5:$BP$257,MATCH(CU163,$BN$5:$BN$257,0),50)="Alumínio",('Densidade do AR'!$S$4*1000000)))))))</f>
        <v>-</v>
      </c>
      <c r="CX163" s="785"/>
      <c r="CY163" s="785"/>
      <c r="CZ163" s="786"/>
      <c r="DA163" s="787" t="str">
        <f t="shared" si="55"/>
        <v>-</v>
      </c>
      <c r="DB163" s="788"/>
      <c r="DC163" s="788"/>
      <c r="DD163" s="789"/>
      <c r="DE163" s="787" t="str">
        <f t="shared" si="46"/>
        <v>-</v>
      </c>
      <c r="DF163" s="788"/>
      <c r="DG163" s="788"/>
      <c r="DH163" s="789"/>
      <c r="DI163" s="790" t="str">
        <f t="shared" si="56"/>
        <v>-</v>
      </c>
      <c r="DJ163" s="785"/>
      <c r="DK163" s="785"/>
      <c r="DL163" s="786"/>
      <c r="DM163" s="790" t="str">
        <f t="shared" si="47"/>
        <v>-</v>
      </c>
      <c r="DN163" s="785"/>
      <c r="DO163" s="785"/>
      <c r="DP163" s="786"/>
      <c r="DQ163" s="790" t="str">
        <f>IF(CU163="","-",INDEX($A$5:$BP$257,MATCH(CU163,$BN$5:$BN$257,0),39)*(IF(CU163="","-",(1+(((-('Densidade do AR'!$M$4))+('Densidade do AR'!$T$15*1000000))/(IF(INDEX($A$5:$BP$257,MATCH(CU163,$BN$5:$BN$257,0),50)="Aço Inoxidável",('Densidade do AR'!$S$8*1000000),IF(INDEX($A$5:$BP$257,MATCH(CU163,$BN$5:$BN$257,0),50)="Ferro Fundido",('Densidade do AR'!$S$12*1000000),IF(INDEX($A$5:$BP$257,MATCH(CU163,$BN$5:$BN$257,0),50)="Latão",('Densidade do AR'!$S$10*1000000),IF(INDEX($A$5:$BP$257,MATCH(CU163,$BN$5:$BN$257,0),50)="Alumínio",('Densidade do AR'!$S$4*1000000)))))))-(((-('Densidade do AR'!$M$4))+('Densidade do AR'!$T$15*1000000))/('Densidade do AR'!$S$14*1000000))))))</f>
        <v>-</v>
      </c>
      <c r="DR163" s="785"/>
      <c r="DS163" s="785"/>
      <c r="DT163" s="791"/>
      <c r="DU163" s="91" t="str">
        <f t="shared" si="57"/>
        <v>-</v>
      </c>
      <c r="DV163" s="794"/>
      <c r="DW163" s="795"/>
      <c r="DX163" s="784" t="str">
        <f>IF(DV163="","-",(IF(INDEX($A$5:$BP$257,MATCH(DV163,$BN$5:$BN$257,0),50)="Aço Inoxidável",('Densidade do AR'!$S$8*1000000),IF(INDEX($A$5:$BP$257,MATCH(DV163,$BN$5:$BN$257,0),50)="Ferro Fundido",('Densidade do AR'!$S$12*1000000),IF(INDEX($A$5:$BP$257,MATCH(DV163,$BN$5:$BN$257,0),50)="Latão",('Densidade do AR'!$S$10*1000000),IF(INDEX($A$5:$BP$257,MATCH(DV163,$BN$5:$BN$257,0),50)="Alumínio",('Densidade do AR'!$S$4*1000000)))))))</f>
        <v>-</v>
      </c>
      <c r="DY163" s="785"/>
      <c r="DZ163" s="785"/>
      <c r="EA163" s="786"/>
      <c r="EB163" s="787" t="str">
        <f t="shared" si="58"/>
        <v>-</v>
      </c>
      <c r="EC163" s="788"/>
      <c r="ED163" s="788"/>
      <c r="EE163" s="789"/>
      <c r="EF163" s="787" t="str">
        <f t="shared" si="48"/>
        <v>-</v>
      </c>
      <c r="EG163" s="788"/>
      <c r="EH163" s="788"/>
      <c r="EI163" s="789"/>
      <c r="EJ163" s="790" t="str">
        <f t="shared" si="59"/>
        <v>-</v>
      </c>
      <c r="EK163" s="785"/>
      <c r="EL163" s="785"/>
      <c r="EM163" s="786"/>
      <c r="EN163" s="790" t="str">
        <f t="shared" si="49"/>
        <v>-</v>
      </c>
      <c r="EO163" s="785"/>
      <c r="EP163" s="785"/>
      <c r="EQ163" s="786"/>
      <c r="ER163" s="790" t="str">
        <f>IF(DV163="","-",INDEX($A$5:$BP$257,MATCH(DV163,$BN$5:$BN$257,0),39)*(IF(DV163="","-",(1+(((-('Densidade do AR'!$M$4))+('Densidade do AR'!$T$15*1000000))/(IF(INDEX($A$5:$BP$257,MATCH(DV163,$BN$5:$BN$257,0),50)="Aço Inoxidável",('Densidade do AR'!$S$8*1000000),IF(INDEX($A$5:$BP$257,MATCH(DV163,$BN$5:$BN$257,0),50)="Ferro Fundido",('Densidade do AR'!$S$12*1000000),IF(INDEX($A$5:$BP$257,MATCH(DV163,$BN$5:$BN$257,0),50)="Latão",('Densidade do AR'!$S$10*1000000),IF(INDEX($A$5:$BP$257,MATCH(DV163,$BN$5:$BN$257,0),50)="Alumínio",('Densidade do AR'!$S$4*1000000)))))))-(((-('Densidade do AR'!$M$4))+('Densidade do AR'!$T$15*1000000))/('Densidade do AR'!$S$14*1000000))))))</f>
        <v>-</v>
      </c>
      <c r="ES163" s="785"/>
      <c r="ET163" s="785"/>
      <c r="EU163" s="791"/>
      <c r="EV163" s="91" t="str">
        <f t="shared" si="60"/>
        <v>-</v>
      </c>
      <c r="EW163" s="794"/>
      <c r="EX163" s="795"/>
      <c r="EY163" s="784" t="str">
        <f>IF(EW163="","-",(IF(INDEX($A$5:$BP$257,MATCH(EW163,$BN$5:$BN$257,0),50)="Aço Inoxidável",('Densidade do AR'!$S$8*1000000),IF(INDEX($A$5:$BP$257,MATCH(EW163,$BN$5:$BN$257,0),50)="Ferro Fundido",('Densidade do AR'!$S$12*1000000),IF(INDEX($A$5:$BP$257,MATCH(EW163,$BN$5:$BN$257,0),50)="Latão",('Densidade do AR'!$S$10*1000000),IF(INDEX($A$5:$BP$257,MATCH(EW163,$BN$5:$BN$257,0),50)="Alumínio",('Densidade do AR'!$S$4*1000000)))))))</f>
        <v>-</v>
      </c>
      <c r="EZ163" s="785"/>
      <c r="FA163" s="785"/>
      <c r="FB163" s="786"/>
      <c r="FC163" s="787" t="str">
        <f t="shared" si="61"/>
        <v>-</v>
      </c>
      <c r="FD163" s="788"/>
      <c r="FE163" s="788"/>
      <c r="FF163" s="789"/>
      <c r="FG163" s="787" t="str">
        <f t="shared" si="50"/>
        <v>-</v>
      </c>
      <c r="FH163" s="788"/>
      <c r="FI163" s="788"/>
      <c r="FJ163" s="789"/>
      <c r="FK163" s="790" t="str">
        <f t="shared" si="62"/>
        <v>-</v>
      </c>
      <c r="FL163" s="785"/>
      <c r="FM163" s="785"/>
      <c r="FN163" s="786"/>
      <c r="FO163" s="790" t="str">
        <f t="shared" si="51"/>
        <v>-</v>
      </c>
      <c r="FP163" s="785"/>
      <c r="FQ163" s="785"/>
      <c r="FR163" s="786"/>
      <c r="FS163" s="790" t="str">
        <f>IF(EW163="","-",INDEX($A$5:$BP$257,MATCH(EW163,$BN$5:$BN$257,0),39)*(IF(EW163="","-",(1+(((-('Densidade do AR'!$M$4))+('Densidade do AR'!$T$15*1000000))/(IF(INDEX($A$5:$BP$257,MATCH(EW163,$BN$5:$BN$257,0),50)="Aço Inoxidável",('Densidade do AR'!$S$8*1000000),IF(INDEX($A$5:$BP$257,MATCH(EW163,$BN$5:$BN$257,0),50)="Ferro Fundido",('Densidade do AR'!$S$12*1000000),IF(INDEX($A$5:$BP$257,MATCH(EW163,$BN$5:$BN$257,0),50)="Latão",('Densidade do AR'!$S$10*1000000),IF(INDEX($A$5:$BP$257,MATCH(EW163,$BN$5:$BN$257,0),50)="Alumínio",('Densidade do AR'!$S$4*1000000)))))))-(((-('Densidade do AR'!$M$4))+('Densidade do AR'!$T$15*1000000))/('Densidade do AR'!$S$14*1000000))))))</f>
        <v>-</v>
      </c>
      <c r="FT163" s="785"/>
      <c r="FU163" s="785"/>
      <c r="FV163" s="791"/>
      <c r="FW163" s="91" t="str">
        <f t="shared" si="63"/>
        <v>-</v>
      </c>
      <c r="FX163" s="135"/>
    </row>
    <row r="164" spans="1:180" ht="12.75" customHeight="1" x14ac:dyDescent="0.2">
      <c r="A164" s="718">
        <v>160</v>
      </c>
      <c r="B164" s="713"/>
      <c r="C164" s="719"/>
      <c r="D164" s="709"/>
      <c r="E164" s="709"/>
      <c r="F164" s="709"/>
      <c r="G164" s="710"/>
      <c r="H164" s="720"/>
      <c r="I164" s="712"/>
      <c r="J164" s="712"/>
      <c r="K164" s="713"/>
      <c r="L164" s="719"/>
      <c r="M164" s="709"/>
      <c r="N164" s="709"/>
      <c r="O164" s="709"/>
      <c r="P164" s="719"/>
      <c r="Q164" s="709"/>
      <c r="R164" s="709"/>
      <c r="S164" s="709"/>
      <c r="T164" s="710"/>
      <c r="U164" s="721"/>
      <c r="V164" s="722"/>
      <c r="W164" s="722"/>
      <c r="X164" s="722"/>
      <c r="Y164" s="722"/>
      <c r="Z164" s="722"/>
      <c r="AA164" s="723"/>
      <c r="AB164" s="853"/>
      <c r="AC164" s="854"/>
      <c r="AD164" s="854"/>
      <c r="AE164" s="854"/>
      <c r="AF164" s="854"/>
      <c r="AG164" s="854"/>
      <c r="AH164" s="854"/>
      <c r="AI164" s="854"/>
      <c r="AJ164" s="854"/>
      <c r="AK164" s="854"/>
      <c r="AL164" s="855"/>
      <c r="AM164" s="909"/>
      <c r="AN164" s="712"/>
      <c r="AO164" s="712"/>
      <c r="AP164" s="712"/>
      <c r="AQ164" s="712"/>
      <c r="AR164" s="712"/>
      <c r="AS164" s="713"/>
      <c r="AT164" s="909"/>
      <c r="AU164" s="712"/>
      <c r="AV164" s="712"/>
      <c r="AW164" s="713"/>
      <c r="AX164" s="908"/>
      <c r="AY164" s="712"/>
      <c r="AZ164" s="712"/>
      <c r="BA164" s="712"/>
      <c r="BB164" s="712"/>
      <c r="BC164" s="713"/>
      <c r="BD164" s="909"/>
      <c r="BE164" s="712"/>
      <c r="BF164" s="712"/>
      <c r="BG164" s="713"/>
      <c r="BH164" s="908"/>
      <c r="BI164" s="712"/>
      <c r="BJ164" s="712"/>
      <c r="BK164" s="712"/>
      <c r="BL164" s="910"/>
      <c r="BN164" s="881"/>
      <c r="BO164" s="709"/>
      <c r="BP164" s="884"/>
      <c r="BT164" s="792"/>
      <c r="BU164" s="793"/>
      <c r="BV164" s="738" t="str">
        <f>IF(BT164="","-",(IF(INDEX($A$5:$BP$257,MATCH(BT164,$BN$5:$BN$257,0),50)="Aço Inoxidável",('Densidade do AR'!$S$8*1000000),IF(INDEX($A$5:$BP$257,MATCH(BT164,$BN$5:$BN$257,0),50)="Ferro Fundido",('Densidade do AR'!$S$12*1000000),IF(INDEX($A$5:$BP$257,MATCH(BT164,$BN$5:$BN$257,0),50)="Latão",('Densidade do AR'!$S$10*1000000),IF(INDEX($A$5:$BP$257,MATCH(BT164,$BN$5:$BN$257,0),50)="Alumínio",('Densidade do AR'!$S$4*1000000)))))))</f>
        <v>-</v>
      </c>
      <c r="BW164" s="739"/>
      <c r="BX164" s="739"/>
      <c r="BY164" s="740"/>
      <c r="BZ164" s="741" t="str">
        <f t="shared" si="52"/>
        <v>-</v>
      </c>
      <c r="CA164" s="742"/>
      <c r="CB164" s="742"/>
      <c r="CC164" s="743"/>
      <c r="CD164" s="741" t="str">
        <f t="shared" si="44"/>
        <v>-</v>
      </c>
      <c r="CE164" s="742"/>
      <c r="CF164" s="742"/>
      <c r="CG164" s="743"/>
      <c r="CH164" s="744" t="str">
        <f t="shared" si="53"/>
        <v>-</v>
      </c>
      <c r="CI164" s="739"/>
      <c r="CJ164" s="739"/>
      <c r="CK164" s="740"/>
      <c r="CL164" s="744" t="str">
        <f t="shared" si="45"/>
        <v>-</v>
      </c>
      <c r="CM164" s="739"/>
      <c r="CN164" s="739"/>
      <c r="CO164" s="740"/>
      <c r="CP164" s="744" t="str">
        <f>IF(BT164="","-",INDEX($A$5:$BP$257,MATCH(BT164,$BN$5:$BN$257,0),39)*(IF(BT164="","-",(1+(((-('Densidade do AR'!$M$4))+('Densidade do AR'!$T$15*1000000))/(IF(INDEX($A$5:$BP$257,MATCH(BT164,$BN$5:$BN$257,0),50)="Aço Inoxidável",('Densidade do AR'!$S$8*1000000),IF(INDEX($A$5:$BP$257,MATCH(BT164,$BN$5:$BN$257,0),50)="Ferro Fundido",('Densidade do AR'!$S$12*1000000),IF(INDEX($A$5:$BP$257,MATCH(BT164,$BN$5:$BN$257,0),50)="Latão",('Densidade do AR'!$S$10*1000000),IF(INDEX($A$5:$BP$257,MATCH(BT164,$BN$5:$BN$257,0),50)="Alumínio",('Densidade do AR'!$S$4*1000000)))))))-(((-('Densidade do AR'!$M$4))+('Densidade do AR'!$T$15*1000000))/('Densidade do AR'!$S$14*1000000))))))</f>
        <v>-</v>
      </c>
      <c r="CQ164" s="739"/>
      <c r="CR164" s="739"/>
      <c r="CS164" s="745"/>
      <c r="CT164" s="91" t="str">
        <f t="shared" si="54"/>
        <v>-</v>
      </c>
      <c r="CU164" s="792"/>
      <c r="CV164" s="793"/>
      <c r="CW164" s="738" t="str">
        <f>IF(CU164="","-",(IF(INDEX($A$5:$BP$257,MATCH(CU164,$BN$5:$BN$257,0),50)="Aço Inoxidável",('Densidade do AR'!$S$8*1000000),IF(INDEX($A$5:$BP$257,MATCH(CU164,$BN$5:$BN$257,0),50)="Ferro Fundido",('Densidade do AR'!$S$12*1000000),IF(INDEX($A$5:$BP$257,MATCH(CU164,$BN$5:$BN$257,0),50)="Latão",('Densidade do AR'!$S$10*1000000),IF(INDEX($A$5:$BP$257,MATCH(CU164,$BN$5:$BN$257,0),50)="Alumínio",('Densidade do AR'!$S$4*1000000)))))))</f>
        <v>-</v>
      </c>
      <c r="CX164" s="739"/>
      <c r="CY164" s="739"/>
      <c r="CZ164" s="740"/>
      <c r="DA164" s="741" t="str">
        <f t="shared" si="55"/>
        <v>-</v>
      </c>
      <c r="DB164" s="742"/>
      <c r="DC164" s="742"/>
      <c r="DD164" s="743"/>
      <c r="DE164" s="741" t="str">
        <f t="shared" si="46"/>
        <v>-</v>
      </c>
      <c r="DF164" s="742"/>
      <c r="DG164" s="742"/>
      <c r="DH164" s="743"/>
      <c r="DI164" s="744" t="str">
        <f t="shared" si="56"/>
        <v>-</v>
      </c>
      <c r="DJ164" s="739"/>
      <c r="DK164" s="739"/>
      <c r="DL164" s="740"/>
      <c r="DM164" s="744" t="str">
        <f t="shared" si="47"/>
        <v>-</v>
      </c>
      <c r="DN164" s="739"/>
      <c r="DO164" s="739"/>
      <c r="DP164" s="740"/>
      <c r="DQ164" s="744" t="str">
        <f>IF(CU164="","-",INDEX($A$5:$BP$257,MATCH(CU164,$BN$5:$BN$257,0),39)*(IF(CU164="","-",(1+(((-('Densidade do AR'!$M$4))+('Densidade do AR'!$T$15*1000000))/(IF(INDEX($A$5:$BP$257,MATCH(CU164,$BN$5:$BN$257,0),50)="Aço Inoxidável",('Densidade do AR'!$S$8*1000000),IF(INDEX($A$5:$BP$257,MATCH(CU164,$BN$5:$BN$257,0),50)="Ferro Fundido",('Densidade do AR'!$S$12*1000000),IF(INDEX($A$5:$BP$257,MATCH(CU164,$BN$5:$BN$257,0),50)="Latão",('Densidade do AR'!$S$10*1000000),IF(INDEX($A$5:$BP$257,MATCH(CU164,$BN$5:$BN$257,0),50)="Alumínio",('Densidade do AR'!$S$4*1000000)))))))-(((-('Densidade do AR'!$M$4))+('Densidade do AR'!$T$15*1000000))/('Densidade do AR'!$S$14*1000000))))))</f>
        <v>-</v>
      </c>
      <c r="DR164" s="739"/>
      <c r="DS164" s="739"/>
      <c r="DT164" s="745"/>
      <c r="DU164" s="91" t="str">
        <f t="shared" si="57"/>
        <v>-</v>
      </c>
      <c r="DV164" s="792"/>
      <c r="DW164" s="793"/>
      <c r="DX164" s="738" t="str">
        <f>IF(DV164="","-",(IF(INDEX($A$5:$BP$257,MATCH(DV164,$BN$5:$BN$257,0),50)="Aço Inoxidável",('Densidade do AR'!$S$8*1000000),IF(INDEX($A$5:$BP$257,MATCH(DV164,$BN$5:$BN$257,0),50)="Ferro Fundido",('Densidade do AR'!$S$12*1000000),IF(INDEX($A$5:$BP$257,MATCH(DV164,$BN$5:$BN$257,0),50)="Latão",('Densidade do AR'!$S$10*1000000),IF(INDEX($A$5:$BP$257,MATCH(DV164,$BN$5:$BN$257,0),50)="Alumínio",('Densidade do AR'!$S$4*1000000)))))))</f>
        <v>-</v>
      </c>
      <c r="DY164" s="739"/>
      <c r="DZ164" s="739"/>
      <c r="EA164" s="740"/>
      <c r="EB164" s="741" t="str">
        <f t="shared" si="58"/>
        <v>-</v>
      </c>
      <c r="EC164" s="742"/>
      <c r="ED164" s="742"/>
      <c r="EE164" s="743"/>
      <c r="EF164" s="741" t="str">
        <f t="shared" si="48"/>
        <v>-</v>
      </c>
      <c r="EG164" s="742"/>
      <c r="EH164" s="742"/>
      <c r="EI164" s="743"/>
      <c r="EJ164" s="744" t="str">
        <f t="shared" si="59"/>
        <v>-</v>
      </c>
      <c r="EK164" s="739"/>
      <c r="EL164" s="739"/>
      <c r="EM164" s="740"/>
      <c r="EN164" s="744" t="str">
        <f t="shared" si="49"/>
        <v>-</v>
      </c>
      <c r="EO164" s="739"/>
      <c r="EP164" s="739"/>
      <c r="EQ164" s="740"/>
      <c r="ER164" s="744" t="str">
        <f>IF(DV164="","-",INDEX($A$5:$BP$257,MATCH(DV164,$BN$5:$BN$257,0),39)*(IF(DV164="","-",(1+(((-('Densidade do AR'!$M$4))+('Densidade do AR'!$T$15*1000000))/(IF(INDEX($A$5:$BP$257,MATCH(DV164,$BN$5:$BN$257,0),50)="Aço Inoxidável",('Densidade do AR'!$S$8*1000000),IF(INDEX($A$5:$BP$257,MATCH(DV164,$BN$5:$BN$257,0),50)="Ferro Fundido",('Densidade do AR'!$S$12*1000000),IF(INDEX($A$5:$BP$257,MATCH(DV164,$BN$5:$BN$257,0),50)="Latão",('Densidade do AR'!$S$10*1000000),IF(INDEX($A$5:$BP$257,MATCH(DV164,$BN$5:$BN$257,0),50)="Alumínio",('Densidade do AR'!$S$4*1000000)))))))-(((-('Densidade do AR'!$M$4))+('Densidade do AR'!$T$15*1000000))/('Densidade do AR'!$S$14*1000000))))))</f>
        <v>-</v>
      </c>
      <c r="ES164" s="739"/>
      <c r="ET164" s="739"/>
      <c r="EU164" s="745"/>
      <c r="EV164" s="91" t="str">
        <f t="shared" si="60"/>
        <v>-</v>
      </c>
      <c r="EW164" s="792"/>
      <c r="EX164" s="793"/>
      <c r="EY164" s="738" t="str">
        <f>IF(EW164="","-",(IF(INDEX($A$5:$BP$257,MATCH(EW164,$BN$5:$BN$257,0),50)="Aço Inoxidável",('Densidade do AR'!$S$8*1000000),IF(INDEX($A$5:$BP$257,MATCH(EW164,$BN$5:$BN$257,0),50)="Ferro Fundido",('Densidade do AR'!$S$12*1000000),IF(INDEX($A$5:$BP$257,MATCH(EW164,$BN$5:$BN$257,0),50)="Latão",('Densidade do AR'!$S$10*1000000),IF(INDEX($A$5:$BP$257,MATCH(EW164,$BN$5:$BN$257,0),50)="Alumínio",('Densidade do AR'!$S$4*1000000)))))))</f>
        <v>-</v>
      </c>
      <c r="EZ164" s="739"/>
      <c r="FA164" s="739"/>
      <c r="FB164" s="740"/>
      <c r="FC164" s="741" t="str">
        <f t="shared" si="61"/>
        <v>-</v>
      </c>
      <c r="FD164" s="742"/>
      <c r="FE164" s="742"/>
      <c r="FF164" s="743"/>
      <c r="FG164" s="741" t="str">
        <f t="shared" si="50"/>
        <v>-</v>
      </c>
      <c r="FH164" s="742"/>
      <c r="FI164" s="742"/>
      <c r="FJ164" s="743"/>
      <c r="FK164" s="744" t="str">
        <f t="shared" si="62"/>
        <v>-</v>
      </c>
      <c r="FL164" s="739"/>
      <c r="FM164" s="739"/>
      <c r="FN164" s="740"/>
      <c r="FO164" s="744" t="str">
        <f t="shared" si="51"/>
        <v>-</v>
      </c>
      <c r="FP164" s="739"/>
      <c r="FQ164" s="739"/>
      <c r="FR164" s="740"/>
      <c r="FS164" s="744" t="str">
        <f>IF(EW164="","-",INDEX($A$5:$BP$257,MATCH(EW164,$BN$5:$BN$257,0),39)*(IF(EW164="","-",(1+(((-('Densidade do AR'!$M$4))+('Densidade do AR'!$T$15*1000000))/(IF(INDEX($A$5:$BP$257,MATCH(EW164,$BN$5:$BN$257,0),50)="Aço Inoxidável",('Densidade do AR'!$S$8*1000000),IF(INDEX($A$5:$BP$257,MATCH(EW164,$BN$5:$BN$257,0),50)="Ferro Fundido",('Densidade do AR'!$S$12*1000000),IF(INDEX($A$5:$BP$257,MATCH(EW164,$BN$5:$BN$257,0),50)="Latão",('Densidade do AR'!$S$10*1000000),IF(INDEX($A$5:$BP$257,MATCH(EW164,$BN$5:$BN$257,0),50)="Alumínio",('Densidade do AR'!$S$4*1000000)))))))-(((-('Densidade do AR'!$M$4))+('Densidade do AR'!$T$15*1000000))/('Densidade do AR'!$S$14*1000000))))))</f>
        <v>-</v>
      </c>
      <c r="FT164" s="739"/>
      <c r="FU164" s="739"/>
      <c r="FV164" s="745"/>
      <c r="FW164" s="91" t="str">
        <f t="shared" si="63"/>
        <v>-</v>
      </c>
      <c r="FX164" s="135"/>
    </row>
    <row r="165" spans="1:180" ht="12.75" customHeight="1" x14ac:dyDescent="0.2">
      <c r="A165" s="717">
        <v>161</v>
      </c>
      <c r="B165" s="713"/>
      <c r="C165" s="708"/>
      <c r="D165" s="709"/>
      <c r="E165" s="709"/>
      <c r="F165" s="709"/>
      <c r="G165" s="710"/>
      <c r="H165" s="711"/>
      <c r="I165" s="712"/>
      <c r="J165" s="712"/>
      <c r="K165" s="713"/>
      <c r="L165" s="708"/>
      <c r="M165" s="709"/>
      <c r="N165" s="709"/>
      <c r="O165" s="709"/>
      <c r="P165" s="708"/>
      <c r="Q165" s="709"/>
      <c r="R165" s="709"/>
      <c r="S165" s="709"/>
      <c r="T165" s="710"/>
      <c r="U165" s="714"/>
      <c r="V165" s="715"/>
      <c r="W165" s="715"/>
      <c r="X165" s="715"/>
      <c r="Y165" s="715"/>
      <c r="Z165" s="715"/>
      <c r="AA165" s="716"/>
      <c r="AB165" s="850"/>
      <c r="AC165" s="851"/>
      <c r="AD165" s="851"/>
      <c r="AE165" s="851"/>
      <c r="AF165" s="851"/>
      <c r="AG165" s="851"/>
      <c r="AH165" s="851"/>
      <c r="AI165" s="851"/>
      <c r="AJ165" s="851"/>
      <c r="AK165" s="851"/>
      <c r="AL165" s="852"/>
      <c r="AM165" s="917"/>
      <c r="AN165" s="712"/>
      <c r="AO165" s="712"/>
      <c r="AP165" s="712"/>
      <c r="AQ165" s="712"/>
      <c r="AR165" s="712"/>
      <c r="AS165" s="713"/>
      <c r="AT165" s="917"/>
      <c r="AU165" s="712"/>
      <c r="AV165" s="712"/>
      <c r="AW165" s="713"/>
      <c r="AX165" s="917"/>
      <c r="AY165" s="712"/>
      <c r="AZ165" s="712"/>
      <c r="BA165" s="712"/>
      <c r="BB165" s="712"/>
      <c r="BC165" s="713"/>
      <c r="BD165" s="917"/>
      <c r="BE165" s="712"/>
      <c r="BF165" s="712"/>
      <c r="BG165" s="713"/>
      <c r="BH165" s="918"/>
      <c r="BI165" s="712"/>
      <c r="BJ165" s="712"/>
      <c r="BK165" s="712"/>
      <c r="BL165" s="910"/>
      <c r="BN165" s="878"/>
      <c r="BO165" s="709"/>
      <c r="BP165" s="884"/>
      <c r="BT165" s="794"/>
      <c r="BU165" s="795"/>
      <c r="BV165" s="784" t="str">
        <f>IF(BT165="","-",(IF(INDEX($A$5:$BP$257,MATCH(BT165,$BN$5:$BN$257,0),50)="Aço Inoxidável",('Densidade do AR'!$S$8*1000000),IF(INDEX($A$5:$BP$257,MATCH(BT165,$BN$5:$BN$257,0),50)="Ferro Fundido",('Densidade do AR'!$S$12*1000000),IF(INDEX($A$5:$BP$257,MATCH(BT165,$BN$5:$BN$257,0),50)="Latão",('Densidade do AR'!$S$10*1000000),IF(INDEX($A$5:$BP$257,MATCH(BT165,$BN$5:$BN$257,0),50)="Alumínio",('Densidade do AR'!$S$4*1000000)))))))</f>
        <v>-</v>
      </c>
      <c r="BW165" s="785"/>
      <c r="BX165" s="785"/>
      <c r="BY165" s="786"/>
      <c r="BZ165" s="787" t="str">
        <f t="shared" si="52"/>
        <v>-</v>
      </c>
      <c r="CA165" s="788"/>
      <c r="CB165" s="788"/>
      <c r="CC165" s="789"/>
      <c r="CD165" s="787" t="str">
        <f t="shared" si="44"/>
        <v>-</v>
      </c>
      <c r="CE165" s="788"/>
      <c r="CF165" s="788"/>
      <c r="CG165" s="789"/>
      <c r="CH165" s="790" t="str">
        <f t="shared" si="53"/>
        <v>-</v>
      </c>
      <c r="CI165" s="785"/>
      <c r="CJ165" s="785"/>
      <c r="CK165" s="786"/>
      <c r="CL165" s="790" t="str">
        <f t="shared" si="45"/>
        <v>-</v>
      </c>
      <c r="CM165" s="785"/>
      <c r="CN165" s="785"/>
      <c r="CO165" s="786"/>
      <c r="CP165" s="790" t="str">
        <f>IF(BT165="","-",INDEX($A$5:$BP$257,MATCH(BT165,$BN$5:$BN$257,0),39)*(IF(BT165="","-",(1+(((-('Densidade do AR'!$M$4))+('Densidade do AR'!$T$15*1000000))/(IF(INDEX($A$5:$BP$257,MATCH(BT165,$BN$5:$BN$257,0),50)="Aço Inoxidável",('Densidade do AR'!$S$8*1000000),IF(INDEX($A$5:$BP$257,MATCH(BT165,$BN$5:$BN$257,0),50)="Ferro Fundido",('Densidade do AR'!$S$12*1000000),IF(INDEX($A$5:$BP$257,MATCH(BT165,$BN$5:$BN$257,0),50)="Latão",('Densidade do AR'!$S$10*1000000),IF(INDEX($A$5:$BP$257,MATCH(BT165,$BN$5:$BN$257,0),50)="Alumínio",('Densidade do AR'!$S$4*1000000)))))))-(((-('Densidade do AR'!$M$4))+('Densidade do AR'!$T$15*1000000))/('Densidade do AR'!$S$14*1000000))))))</f>
        <v>-</v>
      </c>
      <c r="CQ165" s="785"/>
      <c r="CR165" s="785"/>
      <c r="CS165" s="791"/>
      <c r="CT165" s="91" t="str">
        <f t="shared" si="54"/>
        <v>-</v>
      </c>
      <c r="CU165" s="794"/>
      <c r="CV165" s="795"/>
      <c r="CW165" s="784" t="str">
        <f>IF(CU165="","-",(IF(INDEX($A$5:$BP$257,MATCH(CU165,$BN$5:$BN$257,0),50)="Aço Inoxidável",('Densidade do AR'!$S$8*1000000),IF(INDEX($A$5:$BP$257,MATCH(CU165,$BN$5:$BN$257,0),50)="Ferro Fundido",('Densidade do AR'!$S$12*1000000),IF(INDEX($A$5:$BP$257,MATCH(CU165,$BN$5:$BN$257,0),50)="Latão",('Densidade do AR'!$S$10*1000000),IF(INDEX($A$5:$BP$257,MATCH(CU165,$BN$5:$BN$257,0),50)="Alumínio",('Densidade do AR'!$S$4*1000000)))))))</f>
        <v>-</v>
      </c>
      <c r="CX165" s="785"/>
      <c r="CY165" s="785"/>
      <c r="CZ165" s="786"/>
      <c r="DA165" s="787" t="str">
        <f t="shared" si="55"/>
        <v>-</v>
      </c>
      <c r="DB165" s="788"/>
      <c r="DC165" s="788"/>
      <c r="DD165" s="789"/>
      <c r="DE165" s="787" t="str">
        <f t="shared" si="46"/>
        <v>-</v>
      </c>
      <c r="DF165" s="788"/>
      <c r="DG165" s="788"/>
      <c r="DH165" s="789"/>
      <c r="DI165" s="790" t="str">
        <f t="shared" si="56"/>
        <v>-</v>
      </c>
      <c r="DJ165" s="785"/>
      <c r="DK165" s="785"/>
      <c r="DL165" s="786"/>
      <c r="DM165" s="790" t="str">
        <f t="shared" si="47"/>
        <v>-</v>
      </c>
      <c r="DN165" s="785"/>
      <c r="DO165" s="785"/>
      <c r="DP165" s="786"/>
      <c r="DQ165" s="790" t="str">
        <f>IF(CU165="","-",INDEX($A$5:$BP$257,MATCH(CU165,$BN$5:$BN$257,0),39)*(IF(CU165="","-",(1+(((-('Densidade do AR'!$M$4))+('Densidade do AR'!$T$15*1000000))/(IF(INDEX($A$5:$BP$257,MATCH(CU165,$BN$5:$BN$257,0),50)="Aço Inoxidável",('Densidade do AR'!$S$8*1000000),IF(INDEX($A$5:$BP$257,MATCH(CU165,$BN$5:$BN$257,0),50)="Ferro Fundido",('Densidade do AR'!$S$12*1000000),IF(INDEX($A$5:$BP$257,MATCH(CU165,$BN$5:$BN$257,0),50)="Latão",('Densidade do AR'!$S$10*1000000),IF(INDEX($A$5:$BP$257,MATCH(CU165,$BN$5:$BN$257,0),50)="Alumínio",('Densidade do AR'!$S$4*1000000)))))))-(((-('Densidade do AR'!$M$4))+('Densidade do AR'!$T$15*1000000))/('Densidade do AR'!$S$14*1000000))))))</f>
        <v>-</v>
      </c>
      <c r="DR165" s="785"/>
      <c r="DS165" s="785"/>
      <c r="DT165" s="791"/>
      <c r="DU165" s="91" t="str">
        <f t="shared" si="57"/>
        <v>-</v>
      </c>
      <c r="DV165" s="794"/>
      <c r="DW165" s="795"/>
      <c r="DX165" s="784" t="str">
        <f>IF(DV165="","-",(IF(INDEX($A$5:$BP$257,MATCH(DV165,$BN$5:$BN$257,0),50)="Aço Inoxidável",('Densidade do AR'!$S$8*1000000),IF(INDEX($A$5:$BP$257,MATCH(DV165,$BN$5:$BN$257,0),50)="Ferro Fundido",('Densidade do AR'!$S$12*1000000),IF(INDEX($A$5:$BP$257,MATCH(DV165,$BN$5:$BN$257,0),50)="Latão",('Densidade do AR'!$S$10*1000000),IF(INDEX($A$5:$BP$257,MATCH(DV165,$BN$5:$BN$257,0),50)="Alumínio",('Densidade do AR'!$S$4*1000000)))))))</f>
        <v>-</v>
      </c>
      <c r="DY165" s="785"/>
      <c r="DZ165" s="785"/>
      <c r="EA165" s="786"/>
      <c r="EB165" s="787" t="str">
        <f t="shared" si="58"/>
        <v>-</v>
      </c>
      <c r="EC165" s="788"/>
      <c r="ED165" s="788"/>
      <c r="EE165" s="789"/>
      <c r="EF165" s="787" t="str">
        <f t="shared" si="48"/>
        <v>-</v>
      </c>
      <c r="EG165" s="788"/>
      <c r="EH165" s="788"/>
      <c r="EI165" s="789"/>
      <c r="EJ165" s="790" t="str">
        <f t="shared" si="59"/>
        <v>-</v>
      </c>
      <c r="EK165" s="785"/>
      <c r="EL165" s="785"/>
      <c r="EM165" s="786"/>
      <c r="EN165" s="790" t="str">
        <f t="shared" si="49"/>
        <v>-</v>
      </c>
      <c r="EO165" s="785"/>
      <c r="EP165" s="785"/>
      <c r="EQ165" s="786"/>
      <c r="ER165" s="790" t="str">
        <f>IF(DV165="","-",INDEX($A$5:$BP$257,MATCH(DV165,$BN$5:$BN$257,0),39)*(IF(DV165="","-",(1+(((-('Densidade do AR'!$M$4))+('Densidade do AR'!$T$15*1000000))/(IF(INDEX($A$5:$BP$257,MATCH(DV165,$BN$5:$BN$257,0),50)="Aço Inoxidável",('Densidade do AR'!$S$8*1000000),IF(INDEX($A$5:$BP$257,MATCH(DV165,$BN$5:$BN$257,0),50)="Ferro Fundido",('Densidade do AR'!$S$12*1000000),IF(INDEX($A$5:$BP$257,MATCH(DV165,$BN$5:$BN$257,0),50)="Latão",('Densidade do AR'!$S$10*1000000),IF(INDEX($A$5:$BP$257,MATCH(DV165,$BN$5:$BN$257,0),50)="Alumínio",('Densidade do AR'!$S$4*1000000)))))))-(((-('Densidade do AR'!$M$4))+('Densidade do AR'!$T$15*1000000))/('Densidade do AR'!$S$14*1000000))))))</f>
        <v>-</v>
      </c>
      <c r="ES165" s="785"/>
      <c r="ET165" s="785"/>
      <c r="EU165" s="791"/>
      <c r="EV165" s="91" t="str">
        <f t="shared" si="60"/>
        <v>-</v>
      </c>
      <c r="EW165" s="794"/>
      <c r="EX165" s="795"/>
      <c r="EY165" s="784" t="str">
        <f>IF(EW165="","-",(IF(INDEX($A$5:$BP$257,MATCH(EW165,$BN$5:$BN$257,0),50)="Aço Inoxidável",('Densidade do AR'!$S$8*1000000),IF(INDEX($A$5:$BP$257,MATCH(EW165,$BN$5:$BN$257,0),50)="Ferro Fundido",('Densidade do AR'!$S$12*1000000),IF(INDEX($A$5:$BP$257,MATCH(EW165,$BN$5:$BN$257,0),50)="Latão",('Densidade do AR'!$S$10*1000000),IF(INDEX($A$5:$BP$257,MATCH(EW165,$BN$5:$BN$257,0),50)="Alumínio",('Densidade do AR'!$S$4*1000000)))))))</f>
        <v>-</v>
      </c>
      <c r="EZ165" s="785"/>
      <c r="FA165" s="785"/>
      <c r="FB165" s="786"/>
      <c r="FC165" s="787" t="str">
        <f t="shared" si="61"/>
        <v>-</v>
      </c>
      <c r="FD165" s="788"/>
      <c r="FE165" s="788"/>
      <c r="FF165" s="789"/>
      <c r="FG165" s="787" t="str">
        <f t="shared" si="50"/>
        <v>-</v>
      </c>
      <c r="FH165" s="788"/>
      <c r="FI165" s="788"/>
      <c r="FJ165" s="789"/>
      <c r="FK165" s="790" t="str">
        <f t="shared" si="62"/>
        <v>-</v>
      </c>
      <c r="FL165" s="785"/>
      <c r="FM165" s="785"/>
      <c r="FN165" s="786"/>
      <c r="FO165" s="790" t="str">
        <f t="shared" si="51"/>
        <v>-</v>
      </c>
      <c r="FP165" s="785"/>
      <c r="FQ165" s="785"/>
      <c r="FR165" s="786"/>
      <c r="FS165" s="790" t="str">
        <f>IF(EW165="","-",INDEX($A$5:$BP$257,MATCH(EW165,$BN$5:$BN$257,0),39)*(IF(EW165="","-",(1+(((-('Densidade do AR'!$M$4))+('Densidade do AR'!$T$15*1000000))/(IF(INDEX($A$5:$BP$257,MATCH(EW165,$BN$5:$BN$257,0),50)="Aço Inoxidável",('Densidade do AR'!$S$8*1000000),IF(INDEX($A$5:$BP$257,MATCH(EW165,$BN$5:$BN$257,0),50)="Ferro Fundido",('Densidade do AR'!$S$12*1000000),IF(INDEX($A$5:$BP$257,MATCH(EW165,$BN$5:$BN$257,0),50)="Latão",('Densidade do AR'!$S$10*1000000),IF(INDEX($A$5:$BP$257,MATCH(EW165,$BN$5:$BN$257,0),50)="Alumínio",('Densidade do AR'!$S$4*1000000)))))))-(((-('Densidade do AR'!$M$4))+('Densidade do AR'!$T$15*1000000))/('Densidade do AR'!$S$14*1000000))))))</f>
        <v>-</v>
      </c>
      <c r="FT165" s="785"/>
      <c r="FU165" s="785"/>
      <c r="FV165" s="791"/>
      <c r="FW165" s="91" t="str">
        <f t="shared" si="63"/>
        <v>-</v>
      </c>
      <c r="FX165" s="135"/>
    </row>
    <row r="166" spans="1:180" ht="12.75" customHeight="1" x14ac:dyDescent="0.2">
      <c r="A166" s="718">
        <v>162</v>
      </c>
      <c r="B166" s="713"/>
      <c r="C166" s="719"/>
      <c r="D166" s="709"/>
      <c r="E166" s="709"/>
      <c r="F166" s="709"/>
      <c r="G166" s="710"/>
      <c r="H166" s="720"/>
      <c r="I166" s="712"/>
      <c r="J166" s="712"/>
      <c r="K166" s="713"/>
      <c r="L166" s="719"/>
      <c r="M166" s="709"/>
      <c r="N166" s="709"/>
      <c r="O166" s="709"/>
      <c r="P166" s="719"/>
      <c r="Q166" s="709"/>
      <c r="R166" s="709"/>
      <c r="S166" s="709"/>
      <c r="T166" s="710"/>
      <c r="U166" s="721"/>
      <c r="V166" s="722"/>
      <c r="W166" s="722"/>
      <c r="X166" s="722"/>
      <c r="Y166" s="722"/>
      <c r="Z166" s="722"/>
      <c r="AA166" s="723"/>
      <c r="AB166" s="853"/>
      <c r="AC166" s="854"/>
      <c r="AD166" s="854"/>
      <c r="AE166" s="854"/>
      <c r="AF166" s="854"/>
      <c r="AG166" s="854"/>
      <c r="AH166" s="854"/>
      <c r="AI166" s="854"/>
      <c r="AJ166" s="854"/>
      <c r="AK166" s="854"/>
      <c r="AL166" s="855"/>
      <c r="AM166" s="909"/>
      <c r="AN166" s="712"/>
      <c r="AO166" s="712"/>
      <c r="AP166" s="712"/>
      <c r="AQ166" s="712"/>
      <c r="AR166" s="712"/>
      <c r="AS166" s="713"/>
      <c r="AT166" s="909"/>
      <c r="AU166" s="712"/>
      <c r="AV166" s="712"/>
      <c r="AW166" s="713"/>
      <c r="AX166" s="908"/>
      <c r="AY166" s="712"/>
      <c r="AZ166" s="712"/>
      <c r="BA166" s="712"/>
      <c r="BB166" s="712"/>
      <c r="BC166" s="713"/>
      <c r="BD166" s="909"/>
      <c r="BE166" s="712"/>
      <c r="BF166" s="712"/>
      <c r="BG166" s="713"/>
      <c r="BH166" s="908"/>
      <c r="BI166" s="712"/>
      <c r="BJ166" s="712"/>
      <c r="BK166" s="712"/>
      <c r="BL166" s="910"/>
      <c r="BN166" s="881"/>
      <c r="BO166" s="709"/>
      <c r="BP166" s="884"/>
      <c r="BT166" s="792"/>
      <c r="BU166" s="793"/>
      <c r="BV166" s="738" t="str">
        <f>IF(BT166="","-",(IF(INDEX($A$5:$BP$257,MATCH(BT166,$BN$5:$BN$257,0),50)="Aço Inoxidável",('Densidade do AR'!$S$8*1000000),IF(INDEX($A$5:$BP$257,MATCH(BT166,$BN$5:$BN$257,0),50)="Ferro Fundido",('Densidade do AR'!$S$12*1000000),IF(INDEX($A$5:$BP$257,MATCH(BT166,$BN$5:$BN$257,0),50)="Latão",('Densidade do AR'!$S$10*1000000),IF(INDEX($A$5:$BP$257,MATCH(BT166,$BN$5:$BN$257,0),50)="Alumínio",('Densidade do AR'!$S$4*1000000)))))))</f>
        <v>-</v>
      </c>
      <c r="BW166" s="739"/>
      <c r="BX166" s="739"/>
      <c r="BY166" s="740"/>
      <c r="BZ166" s="741" t="str">
        <f t="shared" si="52"/>
        <v>-</v>
      </c>
      <c r="CA166" s="742"/>
      <c r="CB166" s="742"/>
      <c r="CC166" s="743"/>
      <c r="CD166" s="741" t="str">
        <f t="shared" si="44"/>
        <v>-</v>
      </c>
      <c r="CE166" s="742"/>
      <c r="CF166" s="742"/>
      <c r="CG166" s="743"/>
      <c r="CH166" s="744" t="str">
        <f t="shared" si="53"/>
        <v>-</v>
      </c>
      <c r="CI166" s="739"/>
      <c r="CJ166" s="739"/>
      <c r="CK166" s="740"/>
      <c r="CL166" s="744" t="str">
        <f t="shared" si="45"/>
        <v>-</v>
      </c>
      <c r="CM166" s="739"/>
      <c r="CN166" s="739"/>
      <c r="CO166" s="740"/>
      <c r="CP166" s="744" t="str">
        <f>IF(BT166="","-",INDEX($A$5:$BP$257,MATCH(BT166,$BN$5:$BN$257,0),39)*(IF(BT166="","-",(1+(((-('Densidade do AR'!$M$4))+('Densidade do AR'!$T$15*1000000))/(IF(INDEX($A$5:$BP$257,MATCH(BT166,$BN$5:$BN$257,0),50)="Aço Inoxidável",('Densidade do AR'!$S$8*1000000),IF(INDEX($A$5:$BP$257,MATCH(BT166,$BN$5:$BN$257,0),50)="Ferro Fundido",('Densidade do AR'!$S$12*1000000),IF(INDEX($A$5:$BP$257,MATCH(BT166,$BN$5:$BN$257,0),50)="Latão",('Densidade do AR'!$S$10*1000000),IF(INDEX($A$5:$BP$257,MATCH(BT166,$BN$5:$BN$257,0),50)="Alumínio",('Densidade do AR'!$S$4*1000000)))))))-(((-('Densidade do AR'!$M$4))+('Densidade do AR'!$T$15*1000000))/('Densidade do AR'!$S$14*1000000))))))</f>
        <v>-</v>
      </c>
      <c r="CQ166" s="739"/>
      <c r="CR166" s="739"/>
      <c r="CS166" s="745"/>
      <c r="CT166" s="91" t="str">
        <f t="shared" si="54"/>
        <v>-</v>
      </c>
      <c r="CU166" s="792"/>
      <c r="CV166" s="793"/>
      <c r="CW166" s="738" t="str">
        <f>IF(CU166="","-",(IF(INDEX($A$5:$BP$257,MATCH(CU166,$BN$5:$BN$257,0),50)="Aço Inoxidável",('Densidade do AR'!$S$8*1000000),IF(INDEX($A$5:$BP$257,MATCH(CU166,$BN$5:$BN$257,0),50)="Ferro Fundido",('Densidade do AR'!$S$12*1000000),IF(INDEX($A$5:$BP$257,MATCH(CU166,$BN$5:$BN$257,0),50)="Latão",('Densidade do AR'!$S$10*1000000),IF(INDEX($A$5:$BP$257,MATCH(CU166,$BN$5:$BN$257,0),50)="Alumínio",('Densidade do AR'!$S$4*1000000)))))))</f>
        <v>-</v>
      </c>
      <c r="CX166" s="739"/>
      <c r="CY166" s="739"/>
      <c r="CZ166" s="740"/>
      <c r="DA166" s="741" t="str">
        <f t="shared" si="55"/>
        <v>-</v>
      </c>
      <c r="DB166" s="742"/>
      <c r="DC166" s="742"/>
      <c r="DD166" s="743"/>
      <c r="DE166" s="741" t="str">
        <f t="shared" si="46"/>
        <v>-</v>
      </c>
      <c r="DF166" s="742"/>
      <c r="DG166" s="742"/>
      <c r="DH166" s="743"/>
      <c r="DI166" s="744" t="str">
        <f t="shared" si="56"/>
        <v>-</v>
      </c>
      <c r="DJ166" s="739"/>
      <c r="DK166" s="739"/>
      <c r="DL166" s="740"/>
      <c r="DM166" s="744" t="str">
        <f t="shared" si="47"/>
        <v>-</v>
      </c>
      <c r="DN166" s="739"/>
      <c r="DO166" s="739"/>
      <c r="DP166" s="740"/>
      <c r="DQ166" s="744" t="str">
        <f>IF(CU166="","-",INDEX($A$5:$BP$257,MATCH(CU166,$BN$5:$BN$257,0),39)*(IF(CU166="","-",(1+(((-('Densidade do AR'!$M$4))+('Densidade do AR'!$T$15*1000000))/(IF(INDEX($A$5:$BP$257,MATCH(CU166,$BN$5:$BN$257,0),50)="Aço Inoxidável",('Densidade do AR'!$S$8*1000000),IF(INDEX($A$5:$BP$257,MATCH(CU166,$BN$5:$BN$257,0),50)="Ferro Fundido",('Densidade do AR'!$S$12*1000000),IF(INDEX($A$5:$BP$257,MATCH(CU166,$BN$5:$BN$257,0),50)="Latão",('Densidade do AR'!$S$10*1000000),IF(INDEX($A$5:$BP$257,MATCH(CU166,$BN$5:$BN$257,0),50)="Alumínio",('Densidade do AR'!$S$4*1000000)))))))-(((-('Densidade do AR'!$M$4))+('Densidade do AR'!$T$15*1000000))/('Densidade do AR'!$S$14*1000000))))))</f>
        <v>-</v>
      </c>
      <c r="DR166" s="739"/>
      <c r="DS166" s="739"/>
      <c r="DT166" s="745"/>
      <c r="DU166" s="91" t="str">
        <f t="shared" si="57"/>
        <v>-</v>
      </c>
      <c r="DV166" s="792"/>
      <c r="DW166" s="793"/>
      <c r="DX166" s="738" t="str">
        <f>IF(DV166="","-",(IF(INDEX($A$5:$BP$257,MATCH(DV166,$BN$5:$BN$257,0),50)="Aço Inoxidável",('Densidade do AR'!$S$8*1000000),IF(INDEX($A$5:$BP$257,MATCH(DV166,$BN$5:$BN$257,0),50)="Ferro Fundido",('Densidade do AR'!$S$12*1000000),IF(INDEX($A$5:$BP$257,MATCH(DV166,$BN$5:$BN$257,0),50)="Latão",('Densidade do AR'!$S$10*1000000),IF(INDEX($A$5:$BP$257,MATCH(DV166,$BN$5:$BN$257,0),50)="Alumínio",('Densidade do AR'!$S$4*1000000)))))))</f>
        <v>-</v>
      </c>
      <c r="DY166" s="739"/>
      <c r="DZ166" s="739"/>
      <c r="EA166" s="740"/>
      <c r="EB166" s="741" t="str">
        <f t="shared" si="58"/>
        <v>-</v>
      </c>
      <c r="EC166" s="742"/>
      <c r="ED166" s="742"/>
      <c r="EE166" s="743"/>
      <c r="EF166" s="741" t="str">
        <f t="shared" si="48"/>
        <v>-</v>
      </c>
      <c r="EG166" s="742"/>
      <c r="EH166" s="742"/>
      <c r="EI166" s="743"/>
      <c r="EJ166" s="744" t="str">
        <f t="shared" si="59"/>
        <v>-</v>
      </c>
      <c r="EK166" s="739"/>
      <c r="EL166" s="739"/>
      <c r="EM166" s="740"/>
      <c r="EN166" s="744" t="str">
        <f t="shared" si="49"/>
        <v>-</v>
      </c>
      <c r="EO166" s="739"/>
      <c r="EP166" s="739"/>
      <c r="EQ166" s="740"/>
      <c r="ER166" s="744" t="str">
        <f>IF(DV166="","-",INDEX($A$5:$BP$257,MATCH(DV166,$BN$5:$BN$257,0),39)*(IF(DV166="","-",(1+(((-('Densidade do AR'!$M$4))+('Densidade do AR'!$T$15*1000000))/(IF(INDEX($A$5:$BP$257,MATCH(DV166,$BN$5:$BN$257,0),50)="Aço Inoxidável",('Densidade do AR'!$S$8*1000000),IF(INDEX($A$5:$BP$257,MATCH(DV166,$BN$5:$BN$257,0),50)="Ferro Fundido",('Densidade do AR'!$S$12*1000000),IF(INDEX($A$5:$BP$257,MATCH(DV166,$BN$5:$BN$257,0),50)="Latão",('Densidade do AR'!$S$10*1000000),IF(INDEX($A$5:$BP$257,MATCH(DV166,$BN$5:$BN$257,0),50)="Alumínio",('Densidade do AR'!$S$4*1000000)))))))-(((-('Densidade do AR'!$M$4))+('Densidade do AR'!$T$15*1000000))/('Densidade do AR'!$S$14*1000000))))))</f>
        <v>-</v>
      </c>
      <c r="ES166" s="739"/>
      <c r="ET166" s="739"/>
      <c r="EU166" s="745"/>
      <c r="EV166" s="91" t="str">
        <f t="shared" si="60"/>
        <v>-</v>
      </c>
      <c r="EW166" s="792"/>
      <c r="EX166" s="793"/>
      <c r="EY166" s="738" t="str">
        <f>IF(EW166="","-",(IF(INDEX($A$5:$BP$257,MATCH(EW166,$BN$5:$BN$257,0),50)="Aço Inoxidável",('Densidade do AR'!$S$8*1000000),IF(INDEX($A$5:$BP$257,MATCH(EW166,$BN$5:$BN$257,0),50)="Ferro Fundido",('Densidade do AR'!$S$12*1000000),IF(INDEX($A$5:$BP$257,MATCH(EW166,$BN$5:$BN$257,0),50)="Latão",('Densidade do AR'!$S$10*1000000),IF(INDEX($A$5:$BP$257,MATCH(EW166,$BN$5:$BN$257,0),50)="Alumínio",('Densidade do AR'!$S$4*1000000)))))))</f>
        <v>-</v>
      </c>
      <c r="EZ166" s="739"/>
      <c r="FA166" s="739"/>
      <c r="FB166" s="740"/>
      <c r="FC166" s="741" t="str">
        <f t="shared" si="61"/>
        <v>-</v>
      </c>
      <c r="FD166" s="742"/>
      <c r="FE166" s="742"/>
      <c r="FF166" s="743"/>
      <c r="FG166" s="741" t="str">
        <f t="shared" si="50"/>
        <v>-</v>
      </c>
      <c r="FH166" s="742"/>
      <c r="FI166" s="742"/>
      <c r="FJ166" s="743"/>
      <c r="FK166" s="744" t="str">
        <f t="shared" si="62"/>
        <v>-</v>
      </c>
      <c r="FL166" s="739"/>
      <c r="FM166" s="739"/>
      <c r="FN166" s="740"/>
      <c r="FO166" s="744" t="str">
        <f t="shared" si="51"/>
        <v>-</v>
      </c>
      <c r="FP166" s="739"/>
      <c r="FQ166" s="739"/>
      <c r="FR166" s="740"/>
      <c r="FS166" s="744" t="str">
        <f>IF(EW166="","-",INDEX($A$5:$BP$257,MATCH(EW166,$BN$5:$BN$257,0),39)*(IF(EW166="","-",(1+(((-('Densidade do AR'!$M$4))+('Densidade do AR'!$T$15*1000000))/(IF(INDEX($A$5:$BP$257,MATCH(EW166,$BN$5:$BN$257,0),50)="Aço Inoxidável",('Densidade do AR'!$S$8*1000000),IF(INDEX($A$5:$BP$257,MATCH(EW166,$BN$5:$BN$257,0),50)="Ferro Fundido",('Densidade do AR'!$S$12*1000000),IF(INDEX($A$5:$BP$257,MATCH(EW166,$BN$5:$BN$257,0),50)="Latão",('Densidade do AR'!$S$10*1000000),IF(INDEX($A$5:$BP$257,MATCH(EW166,$BN$5:$BN$257,0),50)="Alumínio",('Densidade do AR'!$S$4*1000000)))))))-(((-('Densidade do AR'!$M$4))+('Densidade do AR'!$T$15*1000000))/('Densidade do AR'!$S$14*1000000))))))</f>
        <v>-</v>
      </c>
      <c r="FT166" s="739"/>
      <c r="FU166" s="739"/>
      <c r="FV166" s="745"/>
      <c r="FW166" s="91" t="str">
        <f t="shared" si="63"/>
        <v>-</v>
      </c>
      <c r="FX166" s="135"/>
    </row>
    <row r="167" spans="1:180" ht="12.75" customHeight="1" x14ac:dyDescent="0.2">
      <c r="A167" s="717">
        <v>163</v>
      </c>
      <c r="B167" s="713"/>
      <c r="C167" s="708"/>
      <c r="D167" s="709"/>
      <c r="E167" s="709"/>
      <c r="F167" s="709"/>
      <c r="G167" s="710"/>
      <c r="H167" s="711"/>
      <c r="I167" s="712"/>
      <c r="J167" s="712"/>
      <c r="K167" s="713"/>
      <c r="L167" s="708"/>
      <c r="M167" s="709"/>
      <c r="N167" s="709"/>
      <c r="O167" s="709"/>
      <c r="P167" s="708"/>
      <c r="Q167" s="709"/>
      <c r="R167" s="709"/>
      <c r="S167" s="709"/>
      <c r="T167" s="710"/>
      <c r="U167" s="714"/>
      <c r="V167" s="715"/>
      <c r="W167" s="715"/>
      <c r="X167" s="715"/>
      <c r="Y167" s="715"/>
      <c r="Z167" s="715"/>
      <c r="AA167" s="716"/>
      <c r="AB167" s="850"/>
      <c r="AC167" s="851"/>
      <c r="AD167" s="851"/>
      <c r="AE167" s="851"/>
      <c r="AF167" s="851"/>
      <c r="AG167" s="851"/>
      <c r="AH167" s="851"/>
      <c r="AI167" s="851"/>
      <c r="AJ167" s="851"/>
      <c r="AK167" s="851"/>
      <c r="AL167" s="852"/>
      <c r="AM167" s="917"/>
      <c r="AN167" s="712"/>
      <c r="AO167" s="712"/>
      <c r="AP167" s="712"/>
      <c r="AQ167" s="712"/>
      <c r="AR167" s="712"/>
      <c r="AS167" s="713"/>
      <c r="AT167" s="917"/>
      <c r="AU167" s="712"/>
      <c r="AV167" s="712"/>
      <c r="AW167" s="713"/>
      <c r="AX167" s="917"/>
      <c r="AY167" s="712"/>
      <c r="AZ167" s="712"/>
      <c r="BA167" s="712"/>
      <c r="BB167" s="712"/>
      <c r="BC167" s="713"/>
      <c r="BD167" s="917"/>
      <c r="BE167" s="712"/>
      <c r="BF167" s="712"/>
      <c r="BG167" s="713"/>
      <c r="BH167" s="918"/>
      <c r="BI167" s="712"/>
      <c r="BJ167" s="712"/>
      <c r="BK167" s="712"/>
      <c r="BL167" s="910"/>
      <c r="BN167" s="878"/>
      <c r="BO167" s="709"/>
      <c r="BP167" s="884"/>
      <c r="BT167" s="794"/>
      <c r="BU167" s="795"/>
      <c r="BV167" s="784" t="str">
        <f>IF(BT167="","-",(IF(INDEX($A$5:$BP$257,MATCH(BT167,$BN$5:$BN$257,0),50)="Aço Inoxidável",('Densidade do AR'!$S$8*1000000),IF(INDEX($A$5:$BP$257,MATCH(BT167,$BN$5:$BN$257,0),50)="Ferro Fundido",('Densidade do AR'!$S$12*1000000),IF(INDEX($A$5:$BP$257,MATCH(BT167,$BN$5:$BN$257,0),50)="Latão",('Densidade do AR'!$S$10*1000000),IF(INDEX($A$5:$BP$257,MATCH(BT167,$BN$5:$BN$257,0),50)="Alumínio",('Densidade do AR'!$S$4*1000000)))))))</f>
        <v>-</v>
      </c>
      <c r="BW167" s="785"/>
      <c r="BX167" s="785"/>
      <c r="BY167" s="786"/>
      <c r="BZ167" s="787" t="str">
        <f t="shared" si="52"/>
        <v>-</v>
      </c>
      <c r="CA167" s="788"/>
      <c r="CB167" s="788"/>
      <c r="CC167" s="789"/>
      <c r="CD167" s="787" t="str">
        <f t="shared" si="44"/>
        <v>-</v>
      </c>
      <c r="CE167" s="788"/>
      <c r="CF167" s="788"/>
      <c r="CG167" s="789"/>
      <c r="CH167" s="790" t="str">
        <f t="shared" si="53"/>
        <v>-</v>
      </c>
      <c r="CI167" s="785"/>
      <c r="CJ167" s="785"/>
      <c r="CK167" s="786"/>
      <c r="CL167" s="790" t="str">
        <f t="shared" si="45"/>
        <v>-</v>
      </c>
      <c r="CM167" s="785"/>
      <c r="CN167" s="785"/>
      <c r="CO167" s="786"/>
      <c r="CP167" s="790" t="str">
        <f>IF(BT167="","-",INDEX($A$5:$BP$257,MATCH(BT167,$BN$5:$BN$257,0),39)*(IF(BT167="","-",(1+(((-('Densidade do AR'!$M$4))+('Densidade do AR'!$T$15*1000000))/(IF(INDEX($A$5:$BP$257,MATCH(BT167,$BN$5:$BN$257,0),50)="Aço Inoxidável",('Densidade do AR'!$S$8*1000000),IF(INDEX($A$5:$BP$257,MATCH(BT167,$BN$5:$BN$257,0),50)="Ferro Fundido",('Densidade do AR'!$S$12*1000000),IF(INDEX($A$5:$BP$257,MATCH(BT167,$BN$5:$BN$257,0),50)="Latão",('Densidade do AR'!$S$10*1000000),IF(INDEX($A$5:$BP$257,MATCH(BT167,$BN$5:$BN$257,0),50)="Alumínio",('Densidade do AR'!$S$4*1000000)))))))-(((-('Densidade do AR'!$M$4))+('Densidade do AR'!$T$15*1000000))/('Densidade do AR'!$S$14*1000000))))))</f>
        <v>-</v>
      </c>
      <c r="CQ167" s="785"/>
      <c r="CR167" s="785"/>
      <c r="CS167" s="791"/>
      <c r="CT167" s="91" t="str">
        <f t="shared" si="54"/>
        <v>-</v>
      </c>
      <c r="CU167" s="794"/>
      <c r="CV167" s="795"/>
      <c r="CW167" s="784" t="str">
        <f>IF(CU167="","-",(IF(INDEX($A$5:$BP$257,MATCH(CU167,$BN$5:$BN$257,0),50)="Aço Inoxidável",('Densidade do AR'!$S$8*1000000),IF(INDEX($A$5:$BP$257,MATCH(CU167,$BN$5:$BN$257,0),50)="Ferro Fundido",('Densidade do AR'!$S$12*1000000),IF(INDEX($A$5:$BP$257,MATCH(CU167,$BN$5:$BN$257,0),50)="Latão",('Densidade do AR'!$S$10*1000000),IF(INDEX($A$5:$BP$257,MATCH(CU167,$BN$5:$BN$257,0),50)="Alumínio",('Densidade do AR'!$S$4*1000000)))))))</f>
        <v>-</v>
      </c>
      <c r="CX167" s="785"/>
      <c r="CY167" s="785"/>
      <c r="CZ167" s="786"/>
      <c r="DA167" s="787" t="str">
        <f t="shared" si="55"/>
        <v>-</v>
      </c>
      <c r="DB167" s="788"/>
      <c r="DC167" s="788"/>
      <c r="DD167" s="789"/>
      <c r="DE167" s="787" t="str">
        <f t="shared" si="46"/>
        <v>-</v>
      </c>
      <c r="DF167" s="788"/>
      <c r="DG167" s="788"/>
      <c r="DH167" s="789"/>
      <c r="DI167" s="790" t="str">
        <f t="shared" si="56"/>
        <v>-</v>
      </c>
      <c r="DJ167" s="785"/>
      <c r="DK167" s="785"/>
      <c r="DL167" s="786"/>
      <c r="DM167" s="790" t="str">
        <f t="shared" si="47"/>
        <v>-</v>
      </c>
      <c r="DN167" s="785"/>
      <c r="DO167" s="785"/>
      <c r="DP167" s="786"/>
      <c r="DQ167" s="790" t="str">
        <f>IF(CU167="","-",INDEX($A$5:$BP$257,MATCH(CU167,$BN$5:$BN$257,0),39)*(IF(CU167="","-",(1+(((-('Densidade do AR'!$M$4))+('Densidade do AR'!$T$15*1000000))/(IF(INDEX($A$5:$BP$257,MATCH(CU167,$BN$5:$BN$257,0),50)="Aço Inoxidável",('Densidade do AR'!$S$8*1000000),IF(INDEX($A$5:$BP$257,MATCH(CU167,$BN$5:$BN$257,0),50)="Ferro Fundido",('Densidade do AR'!$S$12*1000000),IF(INDEX($A$5:$BP$257,MATCH(CU167,$BN$5:$BN$257,0),50)="Latão",('Densidade do AR'!$S$10*1000000),IF(INDEX($A$5:$BP$257,MATCH(CU167,$BN$5:$BN$257,0),50)="Alumínio",('Densidade do AR'!$S$4*1000000)))))))-(((-('Densidade do AR'!$M$4))+('Densidade do AR'!$T$15*1000000))/('Densidade do AR'!$S$14*1000000))))))</f>
        <v>-</v>
      </c>
      <c r="DR167" s="785"/>
      <c r="DS167" s="785"/>
      <c r="DT167" s="791"/>
      <c r="DU167" s="91" t="str">
        <f t="shared" si="57"/>
        <v>-</v>
      </c>
      <c r="DV167" s="794"/>
      <c r="DW167" s="795"/>
      <c r="DX167" s="784" t="str">
        <f>IF(DV167="","-",(IF(INDEX($A$5:$BP$257,MATCH(DV167,$BN$5:$BN$257,0),50)="Aço Inoxidável",('Densidade do AR'!$S$8*1000000),IF(INDEX($A$5:$BP$257,MATCH(DV167,$BN$5:$BN$257,0),50)="Ferro Fundido",('Densidade do AR'!$S$12*1000000),IF(INDEX($A$5:$BP$257,MATCH(DV167,$BN$5:$BN$257,0),50)="Latão",('Densidade do AR'!$S$10*1000000),IF(INDEX($A$5:$BP$257,MATCH(DV167,$BN$5:$BN$257,0),50)="Alumínio",('Densidade do AR'!$S$4*1000000)))))))</f>
        <v>-</v>
      </c>
      <c r="DY167" s="785"/>
      <c r="DZ167" s="785"/>
      <c r="EA167" s="786"/>
      <c r="EB167" s="787" t="str">
        <f t="shared" si="58"/>
        <v>-</v>
      </c>
      <c r="EC167" s="788"/>
      <c r="ED167" s="788"/>
      <c r="EE167" s="789"/>
      <c r="EF167" s="787" t="str">
        <f t="shared" si="48"/>
        <v>-</v>
      </c>
      <c r="EG167" s="788"/>
      <c r="EH167" s="788"/>
      <c r="EI167" s="789"/>
      <c r="EJ167" s="790" t="str">
        <f t="shared" si="59"/>
        <v>-</v>
      </c>
      <c r="EK167" s="785"/>
      <c r="EL167" s="785"/>
      <c r="EM167" s="786"/>
      <c r="EN167" s="790" t="str">
        <f t="shared" si="49"/>
        <v>-</v>
      </c>
      <c r="EO167" s="785"/>
      <c r="EP167" s="785"/>
      <c r="EQ167" s="786"/>
      <c r="ER167" s="790" t="str">
        <f>IF(DV167="","-",INDEX($A$5:$BP$257,MATCH(DV167,$BN$5:$BN$257,0),39)*(IF(DV167="","-",(1+(((-('Densidade do AR'!$M$4))+('Densidade do AR'!$T$15*1000000))/(IF(INDEX($A$5:$BP$257,MATCH(DV167,$BN$5:$BN$257,0),50)="Aço Inoxidável",('Densidade do AR'!$S$8*1000000),IF(INDEX($A$5:$BP$257,MATCH(DV167,$BN$5:$BN$257,0),50)="Ferro Fundido",('Densidade do AR'!$S$12*1000000),IF(INDEX($A$5:$BP$257,MATCH(DV167,$BN$5:$BN$257,0),50)="Latão",('Densidade do AR'!$S$10*1000000),IF(INDEX($A$5:$BP$257,MATCH(DV167,$BN$5:$BN$257,0),50)="Alumínio",('Densidade do AR'!$S$4*1000000)))))))-(((-('Densidade do AR'!$M$4))+('Densidade do AR'!$T$15*1000000))/('Densidade do AR'!$S$14*1000000))))))</f>
        <v>-</v>
      </c>
      <c r="ES167" s="785"/>
      <c r="ET167" s="785"/>
      <c r="EU167" s="791"/>
      <c r="EV167" s="91" t="str">
        <f t="shared" si="60"/>
        <v>-</v>
      </c>
      <c r="EW167" s="794"/>
      <c r="EX167" s="795"/>
      <c r="EY167" s="784" t="str">
        <f>IF(EW167="","-",(IF(INDEX($A$5:$BP$257,MATCH(EW167,$BN$5:$BN$257,0),50)="Aço Inoxidável",('Densidade do AR'!$S$8*1000000),IF(INDEX($A$5:$BP$257,MATCH(EW167,$BN$5:$BN$257,0),50)="Ferro Fundido",('Densidade do AR'!$S$12*1000000),IF(INDEX($A$5:$BP$257,MATCH(EW167,$BN$5:$BN$257,0),50)="Latão",('Densidade do AR'!$S$10*1000000),IF(INDEX($A$5:$BP$257,MATCH(EW167,$BN$5:$BN$257,0),50)="Alumínio",('Densidade do AR'!$S$4*1000000)))))))</f>
        <v>-</v>
      </c>
      <c r="EZ167" s="785"/>
      <c r="FA167" s="785"/>
      <c r="FB167" s="786"/>
      <c r="FC167" s="787" t="str">
        <f t="shared" si="61"/>
        <v>-</v>
      </c>
      <c r="FD167" s="788"/>
      <c r="FE167" s="788"/>
      <c r="FF167" s="789"/>
      <c r="FG167" s="787" t="str">
        <f t="shared" si="50"/>
        <v>-</v>
      </c>
      <c r="FH167" s="788"/>
      <c r="FI167" s="788"/>
      <c r="FJ167" s="789"/>
      <c r="FK167" s="790" t="str">
        <f t="shared" si="62"/>
        <v>-</v>
      </c>
      <c r="FL167" s="785"/>
      <c r="FM167" s="785"/>
      <c r="FN167" s="786"/>
      <c r="FO167" s="790" t="str">
        <f t="shared" si="51"/>
        <v>-</v>
      </c>
      <c r="FP167" s="785"/>
      <c r="FQ167" s="785"/>
      <c r="FR167" s="786"/>
      <c r="FS167" s="790" t="str">
        <f>IF(EW167="","-",INDEX($A$5:$BP$257,MATCH(EW167,$BN$5:$BN$257,0),39)*(IF(EW167="","-",(1+(((-('Densidade do AR'!$M$4))+('Densidade do AR'!$T$15*1000000))/(IF(INDEX($A$5:$BP$257,MATCH(EW167,$BN$5:$BN$257,0),50)="Aço Inoxidável",('Densidade do AR'!$S$8*1000000),IF(INDEX($A$5:$BP$257,MATCH(EW167,$BN$5:$BN$257,0),50)="Ferro Fundido",('Densidade do AR'!$S$12*1000000),IF(INDEX($A$5:$BP$257,MATCH(EW167,$BN$5:$BN$257,0),50)="Latão",('Densidade do AR'!$S$10*1000000),IF(INDEX($A$5:$BP$257,MATCH(EW167,$BN$5:$BN$257,0),50)="Alumínio",('Densidade do AR'!$S$4*1000000)))))))-(((-('Densidade do AR'!$M$4))+('Densidade do AR'!$T$15*1000000))/('Densidade do AR'!$S$14*1000000))))))</f>
        <v>-</v>
      </c>
      <c r="FT167" s="785"/>
      <c r="FU167" s="785"/>
      <c r="FV167" s="791"/>
      <c r="FW167" s="91" t="str">
        <f t="shared" si="63"/>
        <v>-</v>
      </c>
      <c r="FX167" s="135"/>
    </row>
    <row r="168" spans="1:180" ht="12.75" customHeight="1" x14ac:dyDescent="0.2">
      <c r="A168" s="718">
        <v>164</v>
      </c>
      <c r="B168" s="713"/>
      <c r="C168" s="719"/>
      <c r="D168" s="709"/>
      <c r="E168" s="709"/>
      <c r="F168" s="709"/>
      <c r="G168" s="710"/>
      <c r="H168" s="720"/>
      <c r="I168" s="712"/>
      <c r="J168" s="712"/>
      <c r="K168" s="713"/>
      <c r="L168" s="719"/>
      <c r="M168" s="709"/>
      <c r="N168" s="709"/>
      <c r="O168" s="709"/>
      <c r="P168" s="719"/>
      <c r="Q168" s="709"/>
      <c r="R168" s="709"/>
      <c r="S168" s="709"/>
      <c r="T168" s="710"/>
      <c r="U168" s="721"/>
      <c r="V168" s="722"/>
      <c r="W168" s="722"/>
      <c r="X168" s="722"/>
      <c r="Y168" s="722"/>
      <c r="Z168" s="722"/>
      <c r="AA168" s="723"/>
      <c r="AB168" s="853"/>
      <c r="AC168" s="854"/>
      <c r="AD168" s="854"/>
      <c r="AE168" s="854"/>
      <c r="AF168" s="854"/>
      <c r="AG168" s="854"/>
      <c r="AH168" s="854"/>
      <c r="AI168" s="854"/>
      <c r="AJ168" s="854"/>
      <c r="AK168" s="854"/>
      <c r="AL168" s="855"/>
      <c r="AM168" s="909"/>
      <c r="AN168" s="712"/>
      <c r="AO168" s="712"/>
      <c r="AP168" s="712"/>
      <c r="AQ168" s="712"/>
      <c r="AR168" s="712"/>
      <c r="AS168" s="713"/>
      <c r="AT168" s="909"/>
      <c r="AU168" s="712"/>
      <c r="AV168" s="712"/>
      <c r="AW168" s="713"/>
      <c r="AX168" s="908"/>
      <c r="AY168" s="712"/>
      <c r="AZ168" s="712"/>
      <c r="BA168" s="712"/>
      <c r="BB168" s="712"/>
      <c r="BC168" s="713"/>
      <c r="BD168" s="909"/>
      <c r="BE168" s="712"/>
      <c r="BF168" s="712"/>
      <c r="BG168" s="713"/>
      <c r="BH168" s="908"/>
      <c r="BI168" s="712"/>
      <c r="BJ168" s="712"/>
      <c r="BK168" s="712"/>
      <c r="BL168" s="910"/>
      <c r="BN168" s="881"/>
      <c r="BO168" s="709"/>
      <c r="BP168" s="884"/>
      <c r="BT168" s="792"/>
      <c r="BU168" s="793"/>
      <c r="BV168" s="738" t="str">
        <f>IF(BT168="","-",(IF(INDEX($A$5:$BP$257,MATCH(BT168,$BN$5:$BN$257,0),50)="Aço Inoxidável",('Densidade do AR'!$S$8*1000000),IF(INDEX($A$5:$BP$257,MATCH(BT168,$BN$5:$BN$257,0),50)="Ferro Fundido",('Densidade do AR'!$S$12*1000000),IF(INDEX($A$5:$BP$257,MATCH(BT168,$BN$5:$BN$257,0),50)="Latão",('Densidade do AR'!$S$10*1000000),IF(INDEX($A$5:$BP$257,MATCH(BT168,$BN$5:$BN$257,0),50)="Alumínio",('Densidade do AR'!$S$4*1000000)))))))</f>
        <v>-</v>
      </c>
      <c r="BW168" s="739"/>
      <c r="BX168" s="739"/>
      <c r="BY168" s="740"/>
      <c r="BZ168" s="741" t="str">
        <f t="shared" si="52"/>
        <v>-</v>
      </c>
      <c r="CA168" s="742"/>
      <c r="CB168" s="742"/>
      <c r="CC168" s="743"/>
      <c r="CD168" s="741" t="str">
        <f t="shared" si="44"/>
        <v>-</v>
      </c>
      <c r="CE168" s="742"/>
      <c r="CF168" s="742"/>
      <c r="CG168" s="743"/>
      <c r="CH168" s="744" t="str">
        <f t="shared" si="53"/>
        <v>-</v>
      </c>
      <c r="CI168" s="739"/>
      <c r="CJ168" s="739"/>
      <c r="CK168" s="740"/>
      <c r="CL168" s="744" t="str">
        <f t="shared" si="45"/>
        <v>-</v>
      </c>
      <c r="CM168" s="739"/>
      <c r="CN168" s="739"/>
      <c r="CO168" s="740"/>
      <c r="CP168" s="744" t="str">
        <f>IF(BT168="","-",INDEX($A$5:$BP$257,MATCH(BT168,$BN$5:$BN$257,0),39)*(IF(BT168="","-",(1+(((-('Densidade do AR'!$M$4))+('Densidade do AR'!$T$15*1000000))/(IF(INDEX($A$5:$BP$257,MATCH(BT168,$BN$5:$BN$257,0),50)="Aço Inoxidável",('Densidade do AR'!$S$8*1000000),IF(INDEX($A$5:$BP$257,MATCH(BT168,$BN$5:$BN$257,0),50)="Ferro Fundido",('Densidade do AR'!$S$12*1000000),IF(INDEX($A$5:$BP$257,MATCH(BT168,$BN$5:$BN$257,0),50)="Latão",('Densidade do AR'!$S$10*1000000),IF(INDEX($A$5:$BP$257,MATCH(BT168,$BN$5:$BN$257,0),50)="Alumínio",('Densidade do AR'!$S$4*1000000)))))))-(((-('Densidade do AR'!$M$4))+('Densidade do AR'!$T$15*1000000))/('Densidade do AR'!$S$14*1000000))))))</f>
        <v>-</v>
      </c>
      <c r="CQ168" s="739"/>
      <c r="CR168" s="739"/>
      <c r="CS168" s="745"/>
      <c r="CT168" s="91" t="str">
        <f t="shared" si="54"/>
        <v>-</v>
      </c>
      <c r="CU168" s="792"/>
      <c r="CV168" s="793"/>
      <c r="CW168" s="738" t="str">
        <f>IF(CU168="","-",(IF(INDEX($A$5:$BP$257,MATCH(CU168,$BN$5:$BN$257,0),50)="Aço Inoxidável",('Densidade do AR'!$S$8*1000000),IF(INDEX($A$5:$BP$257,MATCH(CU168,$BN$5:$BN$257,0),50)="Ferro Fundido",('Densidade do AR'!$S$12*1000000),IF(INDEX($A$5:$BP$257,MATCH(CU168,$BN$5:$BN$257,0),50)="Latão",('Densidade do AR'!$S$10*1000000),IF(INDEX($A$5:$BP$257,MATCH(CU168,$BN$5:$BN$257,0),50)="Alumínio",('Densidade do AR'!$S$4*1000000)))))))</f>
        <v>-</v>
      </c>
      <c r="CX168" s="739"/>
      <c r="CY168" s="739"/>
      <c r="CZ168" s="740"/>
      <c r="DA168" s="741" t="str">
        <f t="shared" si="55"/>
        <v>-</v>
      </c>
      <c r="DB168" s="742"/>
      <c r="DC168" s="742"/>
      <c r="DD168" s="743"/>
      <c r="DE168" s="741" t="str">
        <f t="shared" si="46"/>
        <v>-</v>
      </c>
      <c r="DF168" s="742"/>
      <c r="DG168" s="742"/>
      <c r="DH168" s="743"/>
      <c r="DI168" s="744" t="str">
        <f t="shared" si="56"/>
        <v>-</v>
      </c>
      <c r="DJ168" s="739"/>
      <c r="DK168" s="739"/>
      <c r="DL168" s="740"/>
      <c r="DM168" s="744" t="str">
        <f t="shared" si="47"/>
        <v>-</v>
      </c>
      <c r="DN168" s="739"/>
      <c r="DO168" s="739"/>
      <c r="DP168" s="740"/>
      <c r="DQ168" s="744" t="str">
        <f>IF(CU168="","-",INDEX($A$5:$BP$257,MATCH(CU168,$BN$5:$BN$257,0),39)*(IF(CU168="","-",(1+(((-('Densidade do AR'!$M$4))+('Densidade do AR'!$T$15*1000000))/(IF(INDEX($A$5:$BP$257,MATCH(CU168,$BN$5:$BN$257,0),50)="Aço Inoxidável",('Densidade do AR'!$S$8*1000000),IF(INDEX($A$5:$BP$257,MATCH(CU168,$BN$5:$BN$257,0),50)="Ferro Fundido",('Densidade do AR'!$S$12*1000000),IF(INDEX($A$5:$BP$257,MATCH(CU168,$BN$5:$BN$257,0),50)="Latão",('Densidade do AR'!$S$10*1000000),IF(INDEX($A$5:$BP$257,MATCH(CU168,$BN$5:$BN$257,0),50)="Alumínio",('Densidade do AR'!$S$4*1000000)))))))-(((-('Densidade do AR'!$M$4))+('Densidade do AR'!$T$15*1000000))/('Densidade do AR'!$S$14*1000000))))))</f>
        <v>-</v>
      </c>
      <c r="DR168" s="739"/>
      <c r="DS168" s="739"/>
      <c r="DT168" s="745"/>
      <c r="DU168" s="91" t="str">
        <f t="shared" si="57"/>
        <v>-</v>
      </c>
      <c r="DV168" s="792"/>
      <c r="DW168" s="793"/>
      <c r="DX168" s="738" t="str">
        <f>IF(DV168="","-",(IF(INDEX($A$5:$BP$257,MATCH(DV168,$BN$5:$BN$257,0),50)="Aço Inoxidável",('Densidade do AR'!$S$8*1000000),IF(INDEX($A$5:$BP$257,MATCH(DV168,$BN$5:$BN$257,0),50)="Ferro Fundido",('Densidade do AR'!$S$12*1000000),IF(INDEX($A$5:$BP$257,MATCH(DV168,$BN$5:$BN$257,0),50)="Latão",('Densidade do AR'!$S$10*1000000),IF(INDEX($A$5:$BP$257,MATCH(DV168,$BN$5:$BN$257,0),50)="Alumínio",('Densidade do AR'!$S$4*1000000)))))))</f>
        <v>-</v>
      </c>
      <c r="DY168" s="739"/>
      <c r="DZ168" s="739"/>
      <c r="EA168" s="740"/>
      <c r="EB168" s="741" t="str">
        <f t="shared" si="58"/>
        <v>-</v>
      </c>
      <c r="EC168" s="742"/>
      <c r="ED168" s="742"/>
      <c r="EE168" s="743"/>
      <c r="EF168" s="741" t="str">
        <f t="shared" si="48"/>
        <v>-</v>
      </c>
      <c r="EG168" s="742"/>
      <c r="EH168" s="742"/>
      <c r="EI168" s="743"/>
      <c r="EJ168" s="744" t="str">
        <f t="shared" si="59"/>
        <v>-</v>
      </c>
      <c r="EK168" s="739"/>
      <c r="EL168" s="739"/>
      <c r="EM168" s="740"/>
      <c r="EN168" s="744" t="str">
        <f t="shared" si="49"/>
        <v>-</v>
      </c>
      <c r="EO168" s="739"/>
      <c r="EP168" s="739"/>
      <c r="EQ168" s="740"/>
      <c r="ER168" s="744" t="str">
        <f>IF(DV168="","-",INDEX($A$5:$BP$257,MATCH(DV168,$BN$5:$BN$257,0),39)*(IF(DV168="","-",(1+(((-('Densidade do AR'!$M$4))+('Densidade do AR'!$T$15*1000000))/(IF(INDEX($A$5:$BP$257,MATCH(DV168,$BN$5:$BN$257,0),50)="Aço Inoxidável",('Densidade do AR'!$S$8*1000000),IF(INDEX($A$5:$BP$257,MATCH(DV168,$BN$5:$BN$257,0),50)="Ferro Fundido",('Densidade do AR'!$S$12*1000000),IF(INDEX($A$5:$BP$257,MATCH(DV168,$BN$5:$BN$257,0),50)="Latão",('Densidade do AR'!$S$10*1000000),IF(INDEX($A$5:$BP$257,MATCH(DV168,$BN$5:$BN$257,0),50)="Alumínio",('Densidade do AR'!$S$4*1000000)))))))-(((-('Densidade do AR'!$M$4))+('Densidade do AR'!$T$15*1000000))/('Densidade do AR'!$S$14*1000000))))))</f>
        <v>-</v>
      </c>
      <c r="ES168" s="739"/>
      <c r="ET168" s="739"/>
      <c r="EU168" s="745"/>
      <c r="EV168" s="91" t="str">
        <f t="shared" si="60"/>
        <v>-</v>
      </c>
      <c r="EW168" s="792"/>
      <c r="EX168" s="793"/>
      <c r="EY168" s="738" t="str">
        <f>IF(EW168="","-",(IF(INDEX($A$5:$BP$257,MATCH(EW168,$BN$5:$BN$257,0),50)="Aço Inoxidável",('Densidade do AR'!$S$8*1000000),IF(INDEX($A$5:$BP$257,MATCH(EW168,$BN$5:$BN$257,0),50)="Ferro Fundido",('Densidade do AR'!$S$12*1000000),IF(INDEX($A$5:$BP$257,MATCH(EW168,$BN$5:$BN$257,0),50)="Latão",('Densidade do AR'!$S$10*1000000),IF(INDEX($A$5:$BP$257,MATCH(EW168,$BN$5:$BN$257,0),50)="Alumínio",('Densidade do AR'!$S$4*1000000)))))))</f>
        <v>-</v>
      </c>
      <c r="EZ168" s="739"/>
      <c r="FA168" s="739"/>
      <c r="FB168" s="740"/>
      <c r="FC168" s="741" t="str">
        <f t="shared" si="61"/>
        <v>-</v>
      </c>
      <c r="FD168" s="742"/>
      <c r="FE168" s="742"/>
      <c r="FF168" s="743"/>
      <c r="FG168" s="741" t="str">
        <f t="shared" si="50"/>
        <v>-</v>
      </c>
      <c r="FH168" s="742"/>
      <c r="FI168" s="742"/>
      <c r="FJ168" s="743"/>
      <c r="FK168" s="744" t="str">
        <f t="shared" si="62"/>
        <v>-</v>
      </c>
      <c r="FL168" s="739"/>
      <c r="FM168" s="739"/>
      <c r="FN168" s="740"/>
      <c r="FO168" s="744" t="str">
        <f t="shared" si="51"/>
        <v>-</v>
      </c>
      <c r="FP168" s="739"/>
      <c r="FQ168" s="739"/>
      <c r="FR168" s="740"/>
      <c r="FS168" s="744" t="str">
        <f>IF(EW168="","-",INDEX($A$5:$BP$257,MATCH(EW168,$BN$5:$BN$257,0),39)*(IF(EW168="","-",(1+(((-('Densidade do AR'!$M$4))+('Densidade do AR'!$T$15*1000000))/(IF(INDEX($A$5:$BP$257,MATCH(EW168,$BN$5:$BN$257,0),50)="Aço Inoxidável",('Densidade do AR'!$S$8*1000000),IF(INDEX($A$5:$BP$257,MATCH(EW168,$BN$5:$BN$257,0),50)="Ferro Fundido",('Densidade do AR'!$S$12*1000000),IF(INDEX($A$5:$BP$257,MATCH(EW168,$BN$5:$BN$257,0),50)="Latão",('Densidade do AR'!$S$10*1000000),IF(INDEX($A$5:$BP$257,MATCH(EW168,$BN$5:$BN$257,0),50)="Alumínio",('Densidade do AR'!$S$4*1000000)))))))-(((-('Densidade do AR'!$M$4))+('Densidade do AR'!$T$15*1000000))/('Densidade do AR'!$S$14*1000000))))))</f>
        <v>-</v>
      </c>
      <c r="FT168" s="739"/>
      <c r="FU168" s="739"/>
      <c r="FV168" s="745"/>
      <c r="FW168" s="91" t="str">
        <f t="shared" si="63"/>
        <v>-</v>
      </c>
      <c r="FX168" s="135"/>
    </row>
    <row r="169" spans="1:180" ht="12.75" customHeight="1" x14ac:dyDescent="0.2">
      <c r="A169" s="717">
        <v>165</v>
      </c>
      <c r="B169" s="713"/>
      <c r="C169" s="708"/>
      <c r="D169" s="709"/>
      <c r="E169" s="709"/>
      <c r="F169" s="709"/>
      <c r="G169" s="710"/>
      <c r="H169" s="711"/>
      <c r="I169" s="712"/>
      <c r="J169" s="712"/>
      <c r="K169" s="713"/>
      <c r="L169" s="708"/>
      <c r="M169" s="709"/>
      <c r="N169" s="709"/>
      <c r="O169" s="709"/>
      <c r="P169" s="708"/>
      <c r="Q169" s="709"/>
      <c r="R169" s="709"/>
      <c r="S169" s="709"/>
      <c r="T169" s="710"/>
      <c r="U169" s="714"/>
      <c r="V169" s="715"/>
      <c r="W169" s="715"/>
      <c r="X169" s="715"/>
      <c r="Y169" s="715"/>
      <c r="Z169" s="715"/>
      <c r="AA169" s="716"/>
      <c r="AB169" s="850"/>
      <c r="AC169" s="851"/>
      <c r="AD169" s="851"/>
      <c r="AE169" s="851"/>
      <c r="AF169" s="851"/>
      <c r="AG169" s="851"/>
      <c r="AH169" s="851"/>
      <c r="AI169" s="851"/>
      <c r="AJ169" s="851"/>
      <c r="AK169" s="851"/>
      <c r="AL169" s="852"/>
      <c r="AM169" s="917"/>
      <c r="AN169" s="712"/>
      <c r="AO169" s="712"/>
      <c r="AP169" s="712"/>
      <c r="AQ169" s="712"/>
      <c r="AR169" s="712"/>
      <c r="AS169" s="713"/>
      <c r="AT169" s="917"/>
      <c r="AU169" s="712"/>
      <c r="AV169" s="712"/>
      <c r="AW169" s="713"/>
      <c r="AX169" s="917"/>
      <c r="AY169" s="712"/>
      <c r="AZ169" s="712"/>
      <c r="BA169" s="712"/>
      <c r="BB169" s="712"/>
      <c r="BC169" s="713"/>
      <c r="BD169" s="917"/>
      <c r="BE169" s="712"/>
      <c r="BF169" s="712"/>
      <c r="BG169" s="713"/>
      <c r="BH169" s="918"/>
      <c r="BI169" s="712"/>
      <c r="BJ169" s="712"/>
      <c r="BK169" s="712"/>
      <c r="BL169" s="910"/>
      <c r="BN169" s="878"/>
      <c r="BO169" s="709"/>
      <c r="BP169" s="884"/>
      <c r="BT169" s="794"/>
      <c r="BU169" s="795"/>
      <c r="BV169" s="784" t="str">
        <f>IF(BT169="","-",(IF(INDEX($A$5:$BP$257,MATCH(BT169,$BN$5:$BN$257,0),50)="Aço Inoxidável",('Densidade do AR'!$S$8*1000000),IF(INDEX($A$5:$BP$257,MATCH(BT169,$BN$5:$BN$257,0),50)="Ferro Fundido",('Densidade do AR'!$S$12*1000000),IF(INDEX($A$5:$BP$257,MATCH(BT169,$BN$5:$BN$257,0),50)="Latão",('Densidade do AR'!$S$10*1000000),IF(INDEX($A$5:$BP$257,MATCH(BT169,$BN$5:$BN$257,0),50)="Alumínio",('Densidade do AR'!$S$4*1000000)))))))</f>
        <v>-</v>
      </c>
      <c r="BW169" s="785"/>
      <c r="BX169" s="785"/>
      <c r="BY169" s="786"/>
      <c r="BZ169" s="787" t="str">
        <f t="shared" si="52"/>
        <v>-</v>
      </c>
      <c r="CA169" s="788"/>
      <c r="CB169" s="788"/>
      <c r="CC169" s="789"/>
      <c r="CD169" s="787" t="str">
        <f t="shared" si="44"/>
        <v>-</v>
      </c>
      <c r="CE169" s="788"/>
      <c r="CF169" s="788"/>
      <c r="CG169" s="789"/>
      <c r="CH169" s="790" t="str">
        <f t="shared" si="53"/>
        <v>-</v>
      </c>
      <c r="CI169" s="785"/>
      <c r="CJ169" s="785"/>
      <c r="CK169" s="786"/>
      <c r="CL169" s="790" t="str">
        <f t="shared" si="45"/>
        <v>-</v>
      </c>
      <c r="CM169" s="785"/>
      <c r="CN169" s="785"/>
      <c r="CO169" s="786"/>
      <c r="CP169" s="790" t="str">
        <f>IF(BT169="","-",INDEX($A$5:$BP$257,MATCH(BT169,$BN$5:$BN$257,0),39)*(IF(BT169="","-",(1+(((-('Densidade do AR'!$M$4))+('Densidade do AR'!$T$15*1000000))/(IF(INDEX($A$5:$BP$257,MATCH(BT169,$BN$5:$BN$257,0),50)="Aço Inoxidável",('Densidade do AR'!$S$8*1000000),IF(INDEX($A$5:$BP$257,MATCH(BT169,$BN$5:$BN$257,0),50)="Ferro Fundido",('Densidade do AR'!$S$12*1000000),IF(INDEX($A$5:$BP$257,MATCH(BT169,$BN$5:$BN$257,0),50)="Latão",('Densidade do AR'!$S$10*1000000),IF(INDEX($A$5:$BP$257,MATCH(BT169,$BN$5:$BN$257,0),50)="Alumínio",('Densidade do AR'!$S$4*1000000)))))))-(((-('Densidade do AR'!$M$4))+('Densidade do AR'!$T$15*1000000))/('Densidade do AR'!$S$14*1000000))))))</f>
        <v>-</v>
      </c>
      <c r="CQ169" s="785"/>
      <c r="CR169" s="785"/>
      <c r="CS169" s="791"/>
      <c r="CT169" s="91" t="str">
        <f t="shared" si="54"/>
        <v>-</v>
      </c>
      <c r="CU169" s="794"/>
      <c r="CV169" s="795"/>
      <c r="CW169" s="784" t="str">
        <f>IF(CU169="","-",(IF(INDEX($A$5:$BP$257,MATCH(CU169,$BN$5:$BN$257,0),50)="Aço Inoxidável",('Densidade do AR'!$S$8*1000000),IF(INDEX($A$5:$BP$257,MATCH(CU169,$BN$5:$BN$257,0),50)="Ferro Fundido",('Densidade do AR'!$S$12*1000000),IF(INDEX($A$5:$BP$257,MATCH(CU169,$BN$5:$BN$257,0),50)="Latão",('Densidade do AR'!$S$10*1000000),IF(INDEX($A$5:$BP$257,MATCH(CU169,$BN$5:$BN$257,0),50)="Alumínio",('Densidade do AR'!$S$4*1000000)))))))</f>
        <v>-</v>
      </c>
      <c r="CX169" s="785"/>
      <c r="CY169" s="785"/>
      <c r="CZ169" s="786"/>
      <c r="DA169" s="787" t="str">
        <f t="shared" si="55"/>
        <v>-</v>
      </c>
      <c r="DB169" s="788"/>
      <c r="DC169" s="788"/>
      <c r="DD169" s="789"/>
      <c r="DE169" s="787" t="str">
        <f t="shared" si="46"/>
        <v>-</v>
      </c>
      <c r="DF169" s="788"/>
      <c r="DG169" s="788"/>
      <c r="DH169" s="789"/>
      <c r="DI169" s="790" t="str">
        <f t="shared" si="56"/>
        <v>-</v>
      </c>
      <c r="DJ169" s="785"/>
      <c r="DK169" s="785"/>
      <c r="DL169" s="786"/>
      <c r="DM169" s="790" t="str">
        <f t="shared" si="47"/>
        <v>-</v>
      </c>
      <c r="DN169" s="785"/>
      <c r="DO169" s="785"/>
      <c r="DP169" s="786"/>
      <c r="DQ169" s="790" t="str">
        <f>IF(CU169="","-",INDEX($A$5:$BP$257,MATCH(CU169,$BN$5:$BN$257,0),39)*(IF(CU169="","-",(1+(((-('Densidade do AR'!$M$4))+('Densidade do AR'!$T$15*1000000))/(IF(INDEX($A$5:$BP$257,MATCH(CU169,$BN$5:$BN$257,0),50)="Aço Inoxidável",('Densidade do AR'!$S$8*1000000),IF(INDEX($A$5:$BP$257,MATCH(CU169,$BN$5:$BN$257,0),50)="Ferro Fundido",('Densidade do AR'!$S$12*1000000),IF(INDEX($A$5:$BP$257,MATCH(CU169,$BN$5:$BN$257,0),50)="Latão",('Densidade do AR'!$S$10*1000000),IF(INDEX($A$5:$BP$257,MATCH(CU169,$BN$5:$BN$257,0),50)="Alumínio",('Densidade do AR'!$S$4*1000000)))))))-(((-('Densidade do AR'!$M$4))+('Densidade do AR'!$T$15*1000000))/('Densidade do AR'!$S$14*1000000))))))</f>
        <v>-</v>
      </c>
      <c r="DR169" s="785"/>
      <c r="DS169" s="785"/>
      <c r="DT169" s="791"/>
      <c r="DU169" s="91" t="str">
        <f t="shared" si="57"/>
        <v>-</v>
      </c>
      <c r="DV169" s="794"/>
      <c r="DW169" s="795"/>
      <c r="DX169" s="784" t="str">
        <f>IF(DV169="","-",(IF(INDEX($A$5:$BP$257,MATCH(DV169,$BN$5:$BN$257,0),50)="Aço Inoxidável",('Densidade do AR'!$S$8*1000000),IF(INDEX($A$5:$BP$257,MATCH(DV169,$BN$5:$BN$257,0),50)="Ferro Fundido",('Densidade do AR'!$S$12*1000000),IF(INDEX($A$5:$BP$257,MATCH(DV169,$BN$5:$BN$257,0),50)="Latão",('Densidade do AR'!$S$10*1000000),IF(INDEX($A$5:$BP$257,MATCH(DV169,$BN$5:$BN$257,0),50)="Alumínio",('Densidade do AR'!$S$4*1000000)))))))</f>
        <v>-</v>
      </c>
      <c r="DY169" s="785"/>
      <c r="DZ169" s="785"/>
      <c r="EA169" s="786"/>
      <c r="EB169" s="787" t="str">
        <f t="shared" si="58"/>
        <v>-</v>
      </c>
      <c r="EC169" s="788"/>
      <c r="ED169" s="788"/>
      <c r="EE169" s="789"/>
      <c r="EF169" s="787" t="str">
        <f t="shared" si="48"/>
        <v>-</v>
      </c>
      <c r="EG169" s="788"/>
      <c r="EH169" s="788"/>
      <c r="EI169" s="789"/>
      <c r="EJ169" s="790" t="str">
        <f t="shared" si="59"/>
        <v>-</v>
      </c>
      <c r="EK169" s="785"/>
      <c r="EL169" s="785"/>
      <c r="EM169" s="786"/>
      <c r="EN169" s="790" t="str">
        <f t="shared" si="49"/>
        <v>-</v>
      </c>
      <c r="EO169" s="785"/>
      <c r="EP169" s="785"/>
      <c r="EQ169" s="786"/>
      <c r="ER169" s="790" t="str">
        <f>IF(DV169="","-",INDEX($A$5:$BP$257,MATCH(DV169,$BN$5:$BN$257,0),39)*(IF(DV169="","-",(1+(((-('Densidade do AR'!$M$4))+('Densidade do AR'!$T$15*1000000))/(IF(INDEX($A$5:$BP$257,MATCH(DV169,$BN$5:$BN$257,0),50)="Aço Inoxidável",('Densidade do AR'!$S$8*1000000),IF(INDEX($A$5:$BP$257,MATCH(DV169,$BN$5:$BN$257,0),50)="Ferro Fundido",('Densidade do AR'!$S$12*1000000),IF(INDEX($A$5:$BP$257,MATCH(DV169,$BN$5:$BN$257,0),50)="Latão",('Densidade do AR'!$S$10*1000000),IF(INDEX($A$5:$BP$257,MATCH(DV169,$BN$5:$BN$257,0),50)="Alumínio",('Densidade do AR'!$S$4*1000000)))))))-(((-('Densidade do AR'!$M$4))+('Densidade do AR'!$T$15*1000000))/('Densidade do AR'!$S$14*1000000))))))</f>
        <v>-</v>
      </c>
      <c r="ES169" s="785"/>
      <c r="ET169" s="785"/>
      <c r="EU169" s="791"/>
      <c r="EV169" s="91" t="str">
        <f t="shared" si="60"/>
        <v>-</v>
      </c>
      <c r="EW169" s="794"/>
      <c r="EX169" s="795"/>
      <c r="EY169" s="784" t="str">
        <f>IF(EW169="","-",(IF(INDEX($A$5:$BP$257,MATCH(EW169,$BN$5:$BN$257,0),50)="Aço Inoxidável",('Densidade do AR'!$S$8*1000000),IF(INDEX($A$5:$BP$257,MATCH(EW169,$BN$5:$BN$257,0),50)="Ferro Fundido",('Densidade do AR'!$S$12*1000000),IF(INDEX($A$5:$BP$257,MATCH(EW169,$BN$5:$BN$257,0),50)="Latão",('Densidade do AR'!$S$10*1000000),IF(INDEX($A$5:$BP$257,MATCH(EW169,$BN$5:$BN$257,0),50)="Alumínio",('Densidade do AR'!$S$4*1000000)))))))</f>
        <v>-</v>
      </c>
      <c r="EZ169" s="785"/>
      <c r="FA169" s="785"/>
      <c r="FB169" s="786"/>
      <c r="FC169" s="787" t="str">
        <f t="shared" si="61"/>
        <v>-</v>
      </c>
      <c r="FD169" s="788"/>
      <c r="FE169" s="788"/>
      <c r="FF169" s="789"/>
      <c r="FG169" s="787" t="str">
        <f t="shared" si="50"/>
        <v>-</v>
      </c>
      <c r="FH169" s="788"/>
      <c r="FI169" s="788"/>
      <c r="FJ169" s="789"/>
      <c r="FK169" s="790" t="str">
        <f t="shared" si="62"/>
        <v>-</v>
      </c>
      <c r="FL169" s="785"/>
      <c r="FM169" s="785"/>
      <c r="FN169" s="786"/>
      <c r="FO169" s="790" t="str">
        <f t="shared" si="51"/>
        <v>-</v>
      </c>
      <c r="FP169" s="785"/>
      <c r="FQ169" s="785"/>
      <c r="FR169" s="786"/>
      <c r="FS169" s="790" t="str">
        <f>IF(EW169="","-",INDEX($A$5:$BP$257,MATCH(EW169,$BN$5:$BN$257,0),39)*(IF(EW169="","-",(1+(((-('Densidade do AR'!$M$4))+('Densidade do AR'!$T$15*1000000))/(IF(INDEX($A$5:$BP$257,MATCH(EW169,$BN$5:$BN$257,0),50)="Aço Inoxidável",('Densidade do AR'!$S$8*1000000),IF(INDEX($A$5:$BP$257,MATCH(EW169,$BN$5:$BN$257,0),50)="Ferro Fundido",('Densidade do AR'!$S$12*1000000),IF(INDEX($A$5:$BP$257,MATCH(EW169,$BN$5:$BN$257,0),50)="Latão",('Densidade do AR'!$S$10*1000000),IF(INDEX($A$5:$BP$257,MATCH(EW169,$BN$5:$BN$257,0),50)="Alumínio",('Densidade do AR'!$S$4*1000000)))))))-(((-('Densidade do AR'!$M$4))+('Densidade do AR'!$T$15*1000000))/('Densidade do AR'!$S$14*1000000))))))</f>
        <v>-</v>
      </c>
      <c r="FT169" s="785"/>
      <c r="FU169" s="785"/>
      <c r="FV169" s="791"/>
      <c r="FW169" s="91" t="str">
        <f t="shared" si="63"/>
        <v>-</v>
      </c>
      <c r="FX169" s="135"/>
    </row>
    <row r="170" spans="1:180" ht="12.75" customHeight="1" x14ac:dyDescent="0.2">
      <c r="A170" s="718">
        <v>166</v>
      </c>
      <c r="B170" s="713"/>
      <c r="C170" s="719"/>
      <c r="D170" s="709"/>
      <c r="E170" s="709"/>
      <c r="F170" s="709"/>
      <c r="G170" s="710"/>
      <c r="H170" s="720"/>
      <c r="I170" s="712"/>
      <c r="J170" s="712"/>
      <c r="K170" s="713"/>
      <c r="L170" s="719"/>
      <c r="M170" s="709"/>
      <c r="N170" s="709"/>
      <c r="O170" s="709"/>
      <c r="P170" s="719"/>
      <c r="Q170" s="709"/>
      <c r="R170" s="709"/>
      <c r="S170" s="709"/>
      <c r="T170" s="710"/>
      <c r="U170" s="721"/>
      <c r="V170" s="722"/>
      <c r="W170" s="722"/>
      <c r="X170" s="722"/>
      <c r="Y170" s="722"/>
      <c r="Z170" s="722"/>
      <c r="AA170" s="723"/>
      <c r="AB170" s="853"/>
      <c r="AC170" s="854"/>
      <c r="AD170" s="854"/>
      <c r="AE170" s="854"/>
      <c r="AF170" s="854"/>
      <c r="AG170" s="854"/>
      <c r="AH170" s="854"/>
      <c r="AI170" s="854"/>
      <c r="AJ170" s="854"/>
      <c r="AK170" s="854"/>
      <c r="AL170" s="855"/>
      <c r="AM170" s="909"/>
      <c r="AN170" s="712"/>
      <c r="AO170" s="712"/>
      <c r="AP170" s="712"/>
      <c r="AQ170" s="712"/>
      <c r="AR170" s="712"/>
      <c r="AS170" s="713"/>
      <c r="AT170" s="909"/>
      <c r="AU170" s="712"/>
      <c r="AV170" s="712"/>
      <c r="AW170" s="713"/>
      <c r="AX170" s="908"/>
      <c r="AY170" s="712"/>
      <c r="AZ170" s="712"/>
      <c r="BA170" s="712"/>
      <c r="BB170" s="712"/>
      <c r="BC170" s="713"/>
      <c r="BD170" s="909"/>
      <c r="BE170" s="712"/>
      <c r="BF170" s="712"/>
      <c r="BG170" s="713"/>
      <c r="BH170" s="908"/>
      <c r="BI170" s="712"/>
      <c r="BJ170" s="712"/>
      <c r="BK170" s="712"/>
      <c r="BL170" s="910"/>
      <c r="BN170" s="881"/>
      <c r="BO170" s="709"/>
      <c r="BP170" s="884"/>
      <c r="BT170" s="792"/>
      <c r="BU170" s="793"/>
      <c r="BV170" s="738" t="str">
        <f>IF(BT170="","-",(IF(INDEX($A$5:$BP$257,MATCH(BT170,$BN$5:$BN$257,0),50)="Aço Inoxidável",('Densidade do AR'!$S$8*1000000),IF(INDEX($A$5:$BP$257,MATCH(BT170,$BN$5:$BN$257,0),50)="Ferro Fundido",('Densidade do AR'!$S$12*1000000),IF(INDEX($A$5:$BP$257,MATCH(BT170,$BN$5:$BN$257,0),50)="Latão",('Densidade do AR'!$S$10*1000000),IF(INDEX($A$5:$BP$257,MATCH(BT170,$BN$5:$BN$257,0),50)="Alumínio",('Densidade do AR'!$S$4*1000000)))))))</f>
        <v>-</v>
      </c>
      <c r="BW170" s="739"/>
      <c r="BX170" s="739"/>
      <c r="BY170" s="740"/>
      <c r="BZ170" s="741" t="str">
        <f t="shared" si="52"/>
        <v>-</v>
      </c>
      <c r="CA170" s="742"/>
      <c r="CB170" s="742"/>
      <c r="CC170" s="743"/>
      <c r="CD170" s="741" t="str">
        <f t="shared" si="44"/>
        <v>-</v>
      </c>
      <c r="CE170" s="742"/>
      <c r="CF170" s="742"/>
      <c r="CG170" s="743"/>
      <c r="CH170" s="744" t="str">
        <f t="shared" si="53"/>
        <v>-</v>
      </c>
      <c r="CI170" s="739"/>
      <c r="CJ170" s="739"/>
      <c r="CK170" s="740"/>
      <c r="CL170" s="744" t="str">
        <f t="shared" si="45"/>
        <v>-</v>
      </c>
      <c r="CM170" s="739"/>
      <c r="CN170" s="739"/>
      <c r="CO170" s="740"/>
      <c r="CP170" s="744" t="str">
        <f>IF(BT170="","-",INDEX($A$5:$BP$257,MATCH(BT170,$BN$5:$BN$257,0),39)*(IF(BT170="","-",(1+(((-('Densidade do AR'!$M$4))+('Densidade do AR'!$T$15*1000000))/(IF(INDEX($A$5:$BP$257,MATCH(BT170,$BN$5:$BN$257,0),50)="Aço Inoxidável",('Densidade do AR'!$S$8*1000000),IF(INDEX($A$5:$BP$257,MATCH(BT170,$BN$5:$BN$257,0),50)="Ferro Fundido",('Densidade do AR'!$S$12*1000000),IF(INDEX($A$5:$BP$257,MATCH(BT170,$BN$5:$BN$257,0),50)="Latão",('Densidade do AR'!$S$10*1000000),IF(INDEX($A$5:$BP$257,MATCH(BT170,$BN$5:$BN$257,0),50)="Alumínio",('Densidade do AR'!$S$4*1000000)))))))-(((-('Densidade do AR'!$M$4))+('Densidade do AR'!$T$15*1000000))/('Densidade do AR'!$S$14*1000000))))))</f>
        <v>-</v>
      </c>
      <c r="CQ170" s="739"/>
      <c r="CR170" s="739"/>
      <c r="CS170" s="745"/>
      <c r="CT170" s="91" t="str">
        <f t="shared" si="54"/>
        <v>-</v>
      </c>
      <c r="CU170" s="792"/>
      <c r="CV170" s="793"/>
      <c r="CW170" s="738" t="str">
        <f>IF(CU170="","-",(IF(INDEX($A$5:$BP$257,MATCH(CU170,$BN$5:$BN$257,0),50)="Aço Inoxidável",('Densidade do AR'!$S$8*1000000),IF(INDEX($A$5:$BP$257,MATCH(CU170,$BN$5:$BN$257,0),50)="Ferro Fundido",('Densidade do AR'!$S$12*1000000),IF(INDEX($A$5:$BP$257,MATCH(CU170,$BN$5:$BN$257,0),50)="Latão",('Densidade do AR'!$S$10*1000000),IF(INDEX($A$5:$BP$257,MATCH(CU170,$BN$5:$BN$257,0),50)="Alumínio",('Densidade do AR'!$S$4*1000000)))))))</f>
        <v>-</v>
      </c>
      <c r="CX170" s="739"/>
      <c r="CY170" s="739"/>
      <c r="CZ170" s="740"/>
      <c r="DA170" s="741" t="str">
        <f t="shared" si="55"/>
        <v>-</v>
      </c>
      <c r="DB170" s="742"/>
      <c r="DC170" s="742"/>
      <c r="DD170" s="743"/>
      <c r="DE170" s="741" t="str">
        <f t="shared" si="46"/>
        <v>-</v>
      </c>
      <c r="DF170" s="742"/>
      <c r="DG170" s="742"/>
      <c r="DH170" s="743"/>
      <c r="DI170" s="744" t="str">
        <f t="shared" si="56"/>
        <v>-</v>
      </c>
      <c r="DJ170" s="739"/>
      <c r="DK170" s="739"/>
      <c r="DL170" s="740"/>
      <c r="DM170" s="744" t="str">
        <f t="shared" si="47"/>
        <v>-</v>
      </c>
      <c r="DN170" s="739"/>
      <c r="DO170" s="739"/>
      <c r="DP170" s="740"/>
      <c r="DQ170" s="744" t="str">
        <f>IF(CU170="","-",INDEX($A$5:$BP$257,MATCH(CU170,$BN$5:$BN$257,0),39)*(IF(CU170="","-",(1+(((-('Densidade do AR'!$M$4))+('Densidade do AR'!$T$15*1000000))/(IF(INDEX($A$5:$BP$257,MATCH(CU170,$BN$5:$BN$257,0),50)="Aço Inoxidável",('Densidade do AR'!$S$8*1000000),IF(INDEX($A$5:$BP$257,MATCH(CU170,$BN$5:$BN$257,0),50)="Ferro Fundido",('Densidade do AR'!$S$12*1000000),IF(INDEX($A$5:$BP$257,MATCH(CU170,$BN$5:$BN$257,0),50)="Latão",('Densidade do AR'!$S$10*1000000),IF(INDEX($A$5:$BP$257,MATCH(CU170,$BN$5:$BN$257,0),50)="Alumínio",('Densidade do AR'!$S$4*1000000)))))))-(((-('Densidade do AR'!$M$4))+('Densidade do AR'!$T$15*1000000))/('Densidade do AR'!$S$14*1000000))))))</f>
        <v>-</v>
      </c>
      <c r="DR170" s="739"/>
      <c r="DS170" s="739"/>
      <c r="DT170" s="745"/>
      <c r="DU170" s="91" t="str">
        <f t="shared" si="57"/>
        <v>-</v>
      </c>
      <c r="DV170" s="792"/>
      <c r="DW170" s="793"/>
      <c r="DX170" s="738" t="str">
        <f>IF(DV170="","-",(IF(INDEX($A$5:$BP$257,MATCH(DV170,$BN$5:$BN$257,0),50)="Aço Inoxidável",('Densidade do AR'!$S$8*1000000),IF(INDEX($A$5:$BP$257,MATCH(DV170,$BN$5:$BN$257,0),50)="Ferro Fundido",('Densidade do AR'!$S$12*1000000),IF(INDEX($A$5:$BP$257,MATCH(DV170,$BN$5:$BN$257,0),50)="Latão",('Densidade do AR'!$S$10*1000000),IF(INDEX($A$5:$BP$257,MATCH(DV170,$BN$5:$BN$257,0),50)="Alumínio",('Densidade do AR'!$S$4*1000000)))))))</f>
        <v>-</v>
      </c>
      <c r="DY170" s="739"/>
      <c r="DZ170" s="739"/>
      <c r="EA170" s="740"/>
      <c r="EB170" s="741" t="str">
        <f t="shared" si="58"/>
        <v>-</v>
      </c>
      <c r="EC170" s="742"/>
      <c r="ED170" s="742"/>
      <c r="EE170" s="743"/>
      <c r="EF170" s="741" t="str">
        <f t="shared" si="48"/>
        <v>-</v>
      </c>
      <c r="EG170" s="742"/>
      <c r="EH170" s="742"/>
      <c r="EI170" s="743"/>
      <c r="EJ170" s="744" t="str">
        <f t="shared" si="59"/>
        <v>-</v>
      </c>
      <c r="EK170" s="739"/>
      <c r="EL170" s="739"/>
      <c r="EM170" s="740"/>
      <c r="EN170" s="744" t="str">
        <f t="shared" si="49"/>
        <v>-</v>
      </c>
      <c r="EO170" s="739"/>
      <c r="EP170" s="739"/>
      <c r="EQ170" s="740"/>
      <c r="ER170" s="744" t="str">
        <f>IF(DV170="","-",INDEX($A$5:$BP$257,MATCH(DV170,$BN$5:$BN$257,0),39)*(IF(DV170="","-",(1+(((-('Densidade do AR'!$M$4))+('Densidade do AR'!$T$15*1000000))/(IF(INDEX($A$5:$BP$257,MATCH(DV170,$BN$5:$BN$257,0),50)="Aço Inoxidável",('Densidade do AR'!$S$8*1000000),IF(INDEX($A$5:$BP$257,MATCH(DV170,$BN$5:$BN$257,0),50)="Ferro Fundido",('Densidade do AR'!$S$12*1000000),IF(INDEX($A$5:$BP$257,MATCH(DV170,$BN$5:$BN$257,0),50)="Latão",('Densidade do AR'!$S$10*1000000),IF(INDEX($A$5:$BP$257,MATCH(DV170,$BN$5:$BN$257,0),50)="Alumínio",('Densidade do AR'!$S$4*1000000)))))))-(((-('Densidade do AR'!$M$4))+('Densidade do AR'!$T$15*1000000))/('Densidade do AR'!$S$14*1000000))))))</f>
        <v>-</v>
      </c>
      <c r="ES170" s="739"/>
      <c r="ET170" s="739"/>
      <c r="EU170" s="745"/>
      <c r="EV170" s="91" t="str">
        <f t="shared" si="60"/>
        <v>-</v>
      </c>
      <c r="EW170" s="792"/>
      <c r="EX170" s="793"/>
      <c r="EY170" s="738" t="str">
        <f>IF(EW170="","-",(IF(INDEX($A$5:$BP$257,MATCH(EW170,$BN$5:$BN$257,0),50)="Aço Inoxidável",('Densidade do AR'!$S$8*1000000),IF(INDEX($A$5:$BP$257,MATCH(EW170,$BN$5:$BN$257,0),50)="Ferro Fundido",('Densidade do AR'!$S$12*1000000),IF(INDEX($A$5:$BP$257,MATCH(EW170,$BN$5:$BN$257,0),50)="Latão",('Densidade do AR'!$S$10*1000000),IF(INDEX($A$5:$BP$257,MATCH(EW170,$BN$5:$BN$257,0),50)="Alumínio",('Densidade do AR'!$S$4*1000000)))))))</f>
        <v>-</v>
      </c>
      <c r="EZ170" s="739"/>
      <c r="FA170" s="739"/>
      <c r="FB170" s="740"/>
      <c r="FC170" s="741" t="str">
        <f t="shared" si="61"/>
        <v>-</v>
      </c>
      <c r="FD170" s="742"/>
      <c r="FE170" s="742"/>
      <c r="FF170" s="743"/>
      <c r="FG170" s="741" t="str">
        <f t="shared" si="50"/>
        <v>-</v>
      </c>
      <c r="FH170" s="742"/>
      <c r="FI170" s="742"/>
      <c r="FJ170" s="743"/>
      <c r="FK170" s="744" t="str">
        <f t="shared" si="62"/>
        <v>-</v>
      </c>
      <c r="FL170" s="739"/>
      <c r="FM170" s="739"/>
      <c r="FN170" s="740"/>
      <c r="FO170" s="744" t="str">
        <f t="shared" si="51"/>
        <v>-</v>
      </c>
      <c r="FP170" s="739"/>
      <c r="FQ170" s="739"/>
      <c r="FR170" s="740"/>
      <c r="FS170" s="744" t="str">
        <f>IF(EW170="","-",INDEX($A$5:$BP$257,MATCH(EW170,$BN$5:$BN$257,0),39)*(IF(EW170="","-",(1+(((-('Densidade do AR'!$M$4))+('Densidade do AR'!$T$15*1000000))/(IF(INDEX($A$5:$BP$257,MATCH(EW170,$BN$5:$BN$257,0),50)="Aço Inoxidável",('Densidade do AR'!$S$8*1000000),IF(INDEX($A$5:$BP$257,MATCH(EW170,$BN$5:$BN$257,0),50)="Ferro Fundido",('Densidade do AR'!$S$12*1000000),IF(INDEX($A$5:$BP$257,MATCH(EW170,$BN$5:$BN$257,0),50)="Latão",('Densidade do AR'!$S$10*1000000),IF(INDEX($A$5:$BP$257,MATCH(EW170,$BN$5:$BN$257,0),50)="Alumínio",('Densidade do AR'!$S$4*1000000)))))))-(((-('Densidade do AR'!$M$4))+('Densidade do AR'!$T$15*1000000))/('Densidade do AR'!$S$14*1000000))))))</f>
        <v>-</v>
      </c>
      <c r="FT170" s="739"/>
      <c r="FU170" s="739"/>
      <c r="FV170" s="745"/>
      <c r="FW170" s="91" t="str">
        <f t="shared" si="63"/>
        <v>-</v>
      </c>
      <c r="FX170" s="135"/>
    </row>
    <row r="171" spans="1:180" ht="12.75" customHeight="1" x14ac:dyDescent="0.2">
      <c r="A171" s="717">
        <v>167</v>
      </c>
      <c r="B171" s="713"/>
      <c r="C171" s="708"/>
      <c r="D171" s="709"/>
      <c r="E171" s="709"/>
      <c r="F171" s="709"/>
      <c r="G171" s="710"/>
      <c r="H171" s="711"/>
      <c r="I171" s="712"/>
      <c r="J171" s="712"/>
      <c r="K171" s="713"/>
      <c r="L171" s="708"/>
      <c r="M171" s="709"/>
      <c r="N171" s="709"/>
      <c r="O171" s="709"/>
      <c r="P171" s="708"/>
      <c r="Q171" s="709"/>
      <c r="R171" s="709"/>
      <c r="S171" s="709"/>
      <c r="T171" s="710"/>
      <c r="U171" s="714"/>
      <c r="V171" s="715"/>
      <c r="W171" s="715"/>
      <c r="X171" s="715"/>
      <c r="Y171" s="715"/>
      <c r="Z171" s="715"/>
      <c r="AA171" s="716"/>
      <c r="AB171" s="850"/>
      <c r="AC171" s="851"/>
      <c r="AD171" s="851"/>
      <c r="AE171" s="851"/>
      <c r="AF171" s="851"/>
      <c r="AG171" s="851"/>
      <c r="AH171" s="851"/>
      <c r="AI171" s="851"/>
      <c r="AJ171" s="851"/>
      <c r="AK171" s="851"/>
      <c r="AL171" s="852"/>
      <c r="AM171" s="917"/>
      <c r="AN171" s="712"/>
      <c r="AO171" s="712"/>
      <c r="AP171" s="712"/>
      <c r="AQ171" s="712"/>
      <c r="AR171" s="712"/>
      <c r="AS171" s="713"/>
      <c r="AT171" s="917"/>
      <c r="AU171" s="712"/>
      <c r="AV171" s="712"/>
      <c r="AW171" s="713"/>
      <c r="AX171" s="917"/>
      <c r="AY171" s="712"/>
      <c r="AZ171" s="712"/>
      <c r="BA171" s="712"/>
      <c r="BB171" s="712"/>
      <c r="BC171" s="713"/>
      <c r="BD171" s="917"/>
      <c r="BE171" s="712"/>
      <c r="BF171" s="712"/>
      <c r="BG171" s="713"/>
      <c r="BH171" s="918"/>
      <c r="BI171" s="712"/>
      <c r="BJ171" s="712"/>
      <c r="BK171" s="712"/>
      <c r="BL171" s="910"/>
      <c r="BN171" s="878"/>
      <c r="BO171" s="709"/>
      <c r="BP171" s="884"/>
      <c r="BT171" s="794"/>
      <c r="BU171" s="795"/>
      <c r="BV171" s="784" t="str">
        <f>IF(BT171="","-",(IF(INDEX($A$5:$BP$257,MATCH(BT171,$BN$5:$BN$257,0),50)="Aço Inoxidável",('Densidade do AR'!$S$8*1000000),IF(INDEX($A$5:$BP$257,MATCH(BT171,$BN$5:$BN$257,0),50)="Ferro Fundido",('Densidade do AR'!$S$12*1000000),IF(INDEX($A$5:$BP$257,MATCH(BT171,$BN$5:$BN$257,0),50)="Latão",('Densidade do AR'!$S$10*1000000),IF(INDEX($A$5:$BP$257,MATCH(BT171,$BN$5:$BN$257,0),50)="Alumínio",('Densidade do AR'!$S$4*1000000)))))))</f>
        <v>-</v>
      </c>
      <c r="BW171" s="785"/>
      <c r="BX171" s="785"/>
      <c r="BY171" s="786"/>
      <c r="BZ171" s="787" t="str">
        <f t="shared" si="52"/>
        <v>-</v>
      </c>
      <c r="CA171" s="788"/>
      <c r="CB171" s="788"/>
      <c r="CC171" s="789"/>
      <c r="CD171" s="787" t="str">
        <f t="shared" si="44"/>
        <v>-</v>
      </c>
      <c r="CE171" s="788"/>
      <c r="CF171" s="788"/>
      <c r="CG171" s="789"/>
      <c r="CH171" s="790" t="str">
        <f t="shared" si="53"/>
        <v>-</v>
      </c>
      <c r="CI171" s="785"/>
      <c r="CJ171" s="785"/>
      <c r="CK171" s="786"/>
      <c r="CL171" s="790" t="str">
        <f t="shared" si="45"/>
        <v>-</v>
      </c>
      <c r="CM171" s="785"/>
      <c r="CN171" s="785"/>
      <c r="CO171" s="786"/>
      <c r="CP171" s="790" t="str">
        <f>IF(BT171="","-",INDEX($A$5:$BP$257,MATCH(BT171,$BN$5:$BN$257,0),39)*(IF(BT171="","-",(1+(((-('Densidade do AR'!$M$4))+('Densidade do AR'!$T$15*1000000))/(IF(INDEX($A$5:$BP$257,MATCH(BT171,$BN$5:$BN$257,0),50)="Aço Inoxidável",('Densidade do AR'!$S$8*1000000),IF(INDEX($A$5:$BP$257,MATCH(BT171,$BN$5:$BN$257,0),50)="Ferro Fundido",('Densidade do AR'!$S$12*1000000),IF(INDEX($A$5:$BP$257,MATCH(BT171,$BN$5:$BN$257,0),50)="Latão",('Densidade do AR'!$S$10*1000000),IF(INDEX($A$5:$BP$257,MATCH(BT171,$BN$5:$BN$257,0),50)="Alumínio",('Densidade do AR'!$S$4*1000000)))))))-(((-('Densidade do AR'!$M$4))+('Densidade do AR'!$T$15*1000000))/('Densidade do AR'!$S$14*1000000))))))</f>
        <v>-</v>
      </c>
      <c r="CQ171" s="785"/>
      <c r="CR171" s="785"/>
      <c r="CS171" s="791"/>
      <c r="CT171" s="91" t="str">
        <f t="shared" si="54"/>
        <v>-</v>
      </c>
      <c r="CU171" s="794"/>
      <c r="CV171" s="795"/>
      <c r="CW171" s="784" t="str">
        <f>IF(CU171="","-",(IF(INDEX($A$5:$BP$257,MATCH(CU171,$BN$5:$BN$257,0),50)="Aço Inoxidável",('Densidade do AR'!$S$8*1000000),IF(INDEX($A$5:$BP$257,MATCH(CU171,$BN$5:$BN$257,0),50)="Ferro Fundido",('Densidade do AR'!$S$12*1000000),IF(INDEX($A$5:$BP$257,MATCH(CU171,$BN$5:$BN$257,0),50)="Latão",('Densidade do AR'!$S$10*1000000),IF(INDEX($A$5:$BP$257,MATCH(CU171,$BN$5:$BN$257,0),50)="Alumínio",('Densidade do AR'!$S$4*1000000)))))))</f>
        <v>-</v>
      </c>
      <c r="CX171" s="785"/>
      <c r="CY171" s="785"/>
      <c r="CZ171" s="786"/>
      <c r="DA171" s="787" t="str">
        <f t="shared" si="55"/>
        <v>-</v>
      </c>
      <c r="DB171" s="788"/>
      <c r="DC171" s="788"/>
      <c r="DD171" s="789"/>
      <c r="DE171" s="787" t="str">
        <f t="shared" si="46"/>
        <v>-</v>
      </c>
      <c r="DF171" s="788"/>
      <c r="DG171" s="788"/>
      <c r="DH171" s="789"/>
      <c r="DI171" s="790" t="str">
        <f t="shared" si="56"/>
        <v>-</v>
      </c>
      <c r="DJ171" s="785"/>
      <c r="DK171" s="785"/>
      <c r="DL171" s="786"/>
      <c r="DM171" s="790" t="str">
        <f t="shared" si="47"/>
        <v>-</v>
      </c>
      <c r="DN171" s="785"/>
      <c r="DO171" s="785"/>
      <c r="DP171" s="786"/>
      <c r="DQ171" s="790" t="str">
        <f>IF(CU171="","-",INDEX($A$5:$BP$257,MATCH(CU171,$BN$5:$BN$257,0),39)*(IF(CU171="","-",(1+(((-('Densidade do AR'!$M$4))+('Densidade do AR'!$T$15*1000000))/(IF(INDEX($A$5:$BP$257,MATCH(CU171,$BN$5:$BN$257,0),50)="Aço Inoxidável",('Densidade do AR'!$S$8*1000000),IF(INDEX($A$5:$BP$257,MATCH(CU171,$BN$5:$BN$257,0),50)="Ferro Fundido",('Densidade do AR'!$S$12*1000000),IF(INDEX($A$5:$BP$257,MATCH(CU171,$BN$5:$BN$257,0),50)="Latão",('Densidade do AR'!$S$10*1000000),IF(INDEX($A$5:$BP$257,MATCH(CU171,$BN$5:$BN$257,0),50)="Alumínio",('Densidade do AR'!$S$4*1000000)))))))-(((-('Densidade do AR'!$M$4))+('Densidade do AR'!$T$15*1000000))/('Densidade do AR'!$S$14*1000000))))))</f>
        <v>-</v>
      </c>
      <c r="DR171" s="785"/>
      <c r="DS171" s="785"/>
      <c r="DT171" s="791"/>
      <c r="DU171" s="91" t="str">
        <f t="shared" si="57"/>
        <v>-</v>
      </c>
      <c r="DV171" s="794"/>
      <c r="DW171" s="795"/>
      <c r="DX171" s="784" t="str">
        <f>IF(DV171="","-",(IF(INDEX($A$5:$BP$257,MATCH(DV171,$BN$5:$BN$257,0),50)="Aço Inoxidável",('Densidade do AR'!$S$8*1000000),IF(INDEX($A$5:$BP$257,MATCH(DV171,$BN$5:$BN$257,0),50)="Ferro Fundido",('Densidade do AR'!$S$12*1000000),IF(INDEX($A$5:$BP$257,MATCH(DV171,$BN$5:$BN$257,0),50)="Latão",('Densidade do AR'!$S$10*1000000),IF(INDEX($A$5:$BP$257,MATCH(DV171,$BN$5:$BN$257,0),50)="Alumínio",('Densidade do AR'!$S$4*1000000)))))))</f>
        <v>-</v>
      </c>
      <c r="DY171" s="785"/>
      <c r="DZ171" s="785"/>
      <c r="EA171" s="786"/>
      <c r="EB171" s="787" t="str">
        <f t="shared" si="58"/>
        <v>-</v>
      </c>
      <c r="EC171" s="788"/>
      <c r="ED171" s="788"/>
      <c r="EE171" s="789"/>
      <c r="EF171" s="787" t="str">
        <f t="shared" si="48"/>
        <v>-</v>
      </c>
      <c r="EG171" s="788"/>
      <c r="EH171" s="788"/>
      <c r="EI171" s="789"/>
      <c r="EJ171" s="790" t="str">
        <f t="shared" si="59"/>
        <v>-</v>
      </c>
      <c r="EK171" s="785"/>
      <c r="EL171" s="785"/>
      <c r="EM171" s="786"/>
      <c r="EN171" s="790" t="str">
        <f t="shared" si="49"/>
        <v>-</v>
      </c>
      <c r="EO171" s="785"/>
      <c r="EP171" s="785"/>
      <c r="EQ171" s="786"/>
      <c r="ER171" s="790" t="str">
        <f>IF(DV171="","-",INDEX($A$5:$BP$257,MATCH(DV171,$BN$5:$BN$257,0),39)*(IF(DV171="","-",(1+(((-('Densidade do AR'!$M$4))+('Densidade do AR'!$T$15*1000000))/(IF(INDEX($A$5:$BP$257,MATCH(DV171,$BN$5:$BN$257,0),50)="Aço Inoxidável",('Densidade do AR'!$S$8*1000000),IF(INDEX($A$5:$BP$257,MATCH(DV171,$BN$5:$BN$257,0),50)="Ferro Fundido",('Densidade do AR'!$S$12*1000000),IF(INDEX($A$5:$BP$257,MATCH(DV171,$BN$5:$BN$257,0),50)="Latão",('Densidade do AR'!$S$10*1000000),IF(INDEX($A$5:$BP$257,MATCH(DV171,$BN$5:$BN$257,0),50)="Alumínio",('Densidade do AR'!$S$4*1000000)))))))-(((-('Densidade do AR'!$M$4))+('Densidade do AR'!$T$15*1000000))/('Densidade do AR'!$S$14*1000000))))))</f>
        <v>-</v>
      </c>
      <c r="ES171" s="785"/>
      <c r="ET171" s="785"/>
      <c r="EU171" s="791"/>
      <c r="EV171" s="91" t="str">
        <f t="shared" si="60"/>
        <v>-</v>
      </c>
      <c r="EW171" s="794"/>
      <c r="EX171" s="795"/>
      <c r="EY171" s="784" t="str">
        <f>IF(EW171="","-",(IF(INDEX($A$5:$BP$257,MATCH(EW171,$BN$5:$BN$257,0),50)="Aço Inoxidável",('Densidade do AR'!$S$8*1000000),IF(INDEX($A$5:$BP$257,MATCH(EW171,$BN$5:$BN$257,0),50)="Ferro Fundido",('Densidade do AR'!$S$12*1000000),IF(INDEX($A$5:$BP$257,MATCH(EW171,$BN$5:$BN$257,0),50)="Latão",('Densidade do AR'!$S$10*1000000),IF(INDEX($A$5:$BP$257,MATCH(EW171,$BN$5:$BN$257,0),50)="Alumínio",('Densidade do AR'!$S$4*1000000)))))))</f>
        <v>-</v>
      </c>
      <c r="EZ171" s="785"/>
      <c r="FA171" s="785"/>
      <c r="FB171" s="786"/>
      <c r="FC171" s="787" t="str">
        <f t="shared" si="61"/>
        <v>-</v>
      </c>
      <c r="FD171" s="788"/>
      <c r="FE171" s="788"/>
      <c r="FF171" s="789"/>
      <c r="FG171" s="787" t="str">
        <f t="shared" si="50"/>
        <v>-</v>
      </c>
      <c r="FH171" s="788"/>
      <c r="FI171" s="788"/>
      <c r="FJ171" s="789"/>
      <c r="FK171" s="790" t="str">
        <f t="shared" si="62"/>
        <v>-</v>
      </c>
      <c r="FL171" s="785"/>
      <c r="FM171" s="785"/>
      <c r="FN171" s="786"/>
      <c r="FO171" s="790" t="str">
        <f t="shared" si="51"/>
        <v>-</v>
      </c>
      <c r="FP171" s="785"/>
      <c r="FQ171" s="785"/>
      <c r="FR171" s="786"/>
      <c r="FS171" s="790" t="str">
        <f>IF(EW171="","-",INDEX($A$5:$BP$257,MATCH(EW171,$BN$5:$BN$257,0),39)*(IF(EW171="","-",(1+(((-('Densidade do AR'!$M$4))+('Densidade do AR'!$T$15*1000000))/(IF(INDEX($A$5:$BP$257,MATCH(EW171,$BN$5:$BN$257,0),50)="Aço Inoxidável",('Densidade do AR'!$S$8*1000000),IF(INDEX($A$5:$BP$257,MATCH(EW171,$BN$5:$BN$257,0),50)="Ferro Fundido",('Densidade do AR'!$S$12*1000000),IF(INDEX($A$5:$BP$257,MATCH(EW171,$BN$5:$BN$257,0),50)="Latão",('Densidade do AR'!$S$10*1000000),IF(INDEX($A$5:$BP$257,MATCH(EW171,$BN$5:$BN$257,0),50)="Alumínio",('Densidade do AR'!$S$4*1000000)))))))-(((-('Densidade do AR'!$M$4))+('Densidade do AR'!$T$15*1000000))/('Densidade do AR'!$S$14*1000000))))))</f>
        <v>-</v>
      </c>
      <c r="FT171" s="785"/>
      <c r="FU171" s="785"/>
      <c r="FV171" s="791"/>
      <c r="FW171" s="91" t="str">
        <f t="shared" si="63"/>
        <v>-</v>
      </c>
      <c r="FX171" s="135"/>
    </row>
    <row r="172" spans="1:180" ht="12.75" customHeight="1" x14ac:dyDescent="0.2">
      <c r="A172" s="718">
        <v>168</v>
      </c>
      <c r="B172" s="713"/>
      <c r="C172" s="719"/>
      <c r="D172" s="709"/>
      <c r="E172" s="709"/>
      <c r="F172" s="709"/>
      <c r="G172" s="710"/>
      <c r="H172" s="720"/>
      <c r="I172" s="712"/>
      <c r="J172" s="712"/>
      <c r="K172" s="713"/>
      <c r="L172" s="719"/>
      <c r="M172" s="709"/>
      <c r="N172" s="709"/>
      <c r="O172" s="709"/>
      <c r="P172" s="719"/>
      <c r="Q172" s="709"/>
      <c r="R172" s="709"/>
      <c r="S172" s="709"/>
      <c r="T172" s="710"/>
      <c r="U172" s="721"/>
      <c r="V172" s="722"/>
      <c r="W172" s="722"/>
      <c r="X172" s="722"/>
      <c r="Y172" s="722"/>
      <c r="Z172" s="722"/>
      <c r="AA172" s="723"/>
      <c r="AB172" s="853"/>
      <c r="AC172" s="854"/>
      <c r="AD172" s="854"/>
      <c r="AE172" s="854"/>
      <c r="AF172" s="854"/>
      <c r="AG172" s="854"/>
      <c r="AH172" s="854"/>
      <c r="AI172" s="854"/>
      <c r="AJ172" s="854"/>
      <c r="AK172" s="854"/>
      <c r="AL172" s="855"/>
      <c r="AM172" s="909"/>
      <c r="AN172" s="712"/>
      <c r="AO172" s="712"/>
      <c r="AP172" s="712"/>
      <c r="AQ172" s="712"/>
      <c r="AR172" s="712"/>
      <c r="AS172" s="713"/>
      <c r="AT172" s="909"/>
      <c r="AU172" s="712"/>
      <c r="AV172" s="712"/>
      <c r="AW172" s="713"/>
      <c r="AX172" s="908"/>
      <c r="AY172" s="712"/>
      <c r="AZ172" s="712"/>
      <c r="BA172" s="712"/>
      <c r="BB172" s="712"/>
      <c r="BC172" s="713"/>
      <c r="BD172" s="909"/>
      <c r="BE172" s="712"/>
      <c r="BF172" s="712"/>
      <c r="BG172" s="713"/>
      <c r="BH172" s="908"/>
      <c r="BI172" s="712"/>
      <c r="BJ172" s="712"/>
      <c r="BK172" s="712"/>
      <c r="BL172" s="910"/>
      <c r="BN172" s="881"/>
      <c r="BO172" s="709"/>
      <c r="BP172" s="884"/>
      <c r="BT172" s="792"/>
      <c r="BU172" s="793"/>
      <c r="BV172" s="738" t="str">
        <f>IF(BT172="","-",(IF(INDEX($A$5:$BP$257,MATCH(BT172,$BN$5:$BN$257,0),50)="Aço Inoxidável",('Densidade do AR'!$S$8*1000000),IF(INDEX($A$5:$BP$257,MATCH(BT172,$BN$5:$BN$257,0),50)="Ferro Fundido",('Densidade do AR'!$S$12*1000000),IF(INDEX($A$5:$BP$257,MATCH(BT172,$BN$5:$BN$257,0),50)="Latão",('Densidade do AR'!$S$10*1000000),IF(INDEX($A$5:$BP$257,MATCH(BT172,$BN$5:$BN$257,0),50)="Alumínio",('Densidade do AR'!$S$4*1000000)))))))</f>
        <v>-</v>
      </c>
      <c r="BW172" s="739"/>
      <c r="BX172" s="739"/>
      <c r="BY172" s="740"/>
      <c r="BZ172" s="741" t="str">
        <f t="shared" si="52"/>
        <v>-</v>
      </c>
      <c r="CA172" s="742"/>
      <c r="CB172" s="742"/>
      <c r="CC172" s="743"/>
      <c r="CD172" s="741" t="str">
        <f t="shared" si="44"/>
        <v>-</v>
      </c>
      <c r="CE172" s="742"/>
      <c r="CF172" s="742"/>
      <c r="CG172" s="743"/>
      <c r="CH172" s="744" t="str">
        <f t="shared" si="53"/>
        <v>-</v>
      </c>
      <c r="CI172" s="739"/>
      <c r="CJ172" s="739"/>
      <c r="CK172" s="740"/>
      <c r="CL172" s="744" t="str">
        <f t="shared" si="45"/>
        <v>-</v>
      </c>
      <c r="CM172" s="739"/>
      <c r="CN172" s="739"/>
      <c r="CO172" s="740"/>
      <c r="CP172" s="744" t="str">
        <f>IF(BT172="","-",INDEX($A$5:$BP$257,MATCH(BT172,$BN$5:$BN$257,0),39)*(IF(BT172="","-",(1+(((-('Densidade do AR'!$M$4))+('Densidade do AR'!$T$15*1000000))/(IF(INDEX($A$5:$BP$257,MATCH(BT172,$BN$5:$BN$257,0),50)="Aço Inoxidável",('Densidade do AR'!$S$8*1000000),IF(INDEX($A$5:$BP$257,MATCH(BT172,$BN$5:$BN$257,0),50)="Ferro Fundido",('Densidade do AR'!$S$12*1000000),IF(INDEX($A$5:$BP$257,MATCH(BT172,$BN$5:$BN$257,0),50)="Latão",('Densidade do AR'!$S$10*1000000),IF(INDEX($A$5:$BP$257,MATCH(BT172,$BN$5:$BN$257,0),50)="Alumínio",('Densidade do AR'!$S$4*1000000)))))))-(((-('Densidade do AR'!$M$4))+('Densidade do AR'!$T$15*1000000))/('Densidade do AR'!$S$14*1000000))))))</f>
        <v>-</v>
      </c>
      <c r="CQ172" s="739"/>
      <c r="CR172" s="739"/>
      <c r="CS172" s="745"/>
      <c r="CT172" s="91" t="str">
        <f t="shared" si="54"/>
        <v>-</v>
      </c>
      <c r="CU172" s="792"/>
      <c r="CV172" s="793"/>
      <c r="CW172" s="738" t="str">
        <f>IF(CU172="","-",(IF(INDEX($A$5:$BP$257,MATCH(CU172,$BN$5:$BN$257,0),50)="Aço Inoxidável",('Densidade do AR'!$S$8*1000000),IF(INDEX($A$5:$BP$257,MATCH(CU172,$BN$5:$BN$257,0),50)="Ferro Fundido",('Densidade do AR'!$S$12*1000000),IF(INDEX($A$5:$BP$257,MATCH(CU172,$BN$5:$BN$257,0),50)="Latão",('Densidade do AR'!$S$10*1000000),IF(INDEX($A$5:$BP$257,MATCH(CU172,$BN$5:$BN$257,0),50)="Alumínio",('Densidade do AR'!$S$4*1000000)))))))</f>
        <v>-</v>
      </c>
      <c r="CX172" s="739"/>
      <c r="CY172" s="739"/>
      <c r="CZ172" s="740"/>
      <c r="DA172" s="741" t="str">
        <f t="shared" si="55"/>
        <v>-</v>
      </c>
      <c r="DB172" s="742"/>
      <c r="DC172" s="742"/>
      <c r="DD172" s="743"/>
      <c r="DE172" s="741" t="str">
        <f t="shared" si="46"/>
        <v>-</v>
      </c>
      <c r="DF172" s="742"/>
      <c r="DG172" s="742"/>
      <c r="DH172" s="743"/>
      <c r="DI172" s="744" t="str">
        <f t="shared" si="56"/>
        <v>-</v>
      </c>
      <c r="DJ172" s="739"/>
      <c r="DK172" s="739"/>
      <c r="DL172" s="740"/>
      <c r="DM172" s="744" t="str">
        <f t="shared" si="47"/>
        <v>-</v>
      </c>
      <c r="DN172" s="739"/>
      <c r="DO172" s="739"/>
      <c r="DP172" s="740"/>
      <c r="DQ172" s="744" t="str">
        <f>IF(CU172="","-",INDEX($A$5:$BP$257,MATCH(CU172,$BN$5:$BN$257,0),39)*(IF(CU172="","-",(1+(((-('Densidade do AR'!$M$4))+('Densidade do AR'!$T$15*1000000))/(IF(INDEX($A$5:$BP$257,MATCH(CU172,$BN$5:$BN$257,0),50)="Aço Inoxidável",('Densidade do AR'!$S$8*1000000),IF(INDEX($A$5:$BP$257,MATCH(CU172,$BN$5:$BN$257,0),50)="Ferro Fundido",('Densidade do AR'!$S$12*1000000),IF(INDEX($A$5:$BP$257,MATCH(CU172,$BN$5:$BN$257,0),50)="Latão",('Densidade do AR'!$S$10*1000000),IF(INDEX($A$5:$BP$257,MATCH(CU172,$BN$5:$BN$257,0),50)="Alumínio",('Densidade do AR'!$S$4*1000000)))))))-(((-('Densidade do AR'!$M$4))+('Densidade do AR'!$T$15*1000000))/('Densidade do AR'!$S$14*1000000))))))</f>
        <v>-</v>
      </c>
      <c r="DR172" s="739"/>
      <c r="DS172" s="739"/>
      <c r="DT172" s="745"/>
      <c r="DU172" s="91" t="str">
        <f t="shared" si="57"/>
        <v>-</v>
      </c>
      <c r="DV172" s="792"/>
      <c r="DW172" s="793"/>
      <c r="DX172" s="738" t="str">
        <f>IF(DV172="","-",(IF(INDEX($A$5:$BP$257,MATCH(DV172,$BN$5:$BN$257,0),50)="Aço Inoxidável",('Densidade do AR'!$S$8*1000000),IF(INDEX($A$5:$BP$257,MATCH(DV172,$BN$5:$BN$257,0),50)="Ferro Fundido",('Densidade do AR'!$S$12*1000000),IF(INDEX($A$5:$BP$257,MATCH(DV172,$BN$5:$BN$257,0),50)="Latão",('Densidade do AR'!$S$10*1000000),IF(INDEX($A$5:$BP$257,MATCH(DV172,$BN$5:$BN$257,0),50)="Alumínio",('Densidade do AR'!$S$4*1000000)))))))</f>
        <v>-</v>
      </c>
      <c r="DY172" s="739"/>
      <c r="DZ172" s="739"/>
      <c r="EA172" s="740"/>
      <c r="EB172" s="741" t="str">
        <f t="shared" si="58"/>
        <v>-</v>
      </c>
      <c r="EC172" s="742"/>
      <c r="ED172" s="742"/>
      <c r="EE172" s="743"/>
      <c r="EF172" s="741" t="str">
        <f t="shared" si="48"/>
        <v>-</v>
      </c>
      <c r="EG172" s="742"/>
      <c r="EH172" s="742"/>
      <c r="EI172" s="743"/>
      <c r="EJ172" s="744" t="str">
        <f t="shared" si="59"/>
        <v>-</v>
      </c>
      <c r="EK172" s="739"/>
      <c r="EL172" s="739"/>
      <c r="EM172" s="740"/>
      <c r="EN172" s="744" t="str">
        <f t="shared" si="49"/>
        <v>-</v>
      </c>
      <c r="EO172" s="739"/>
      <c r="EP172" s="739"/>
      <c r="EQ172" s="740"/>
      <c r="ER172" s="744" t="str">
        <f>IF(DV172="","-",INDEX($A$5:$BP$257,MATCH(DV172,$BN$5:$BN$257,0),39)*(IF(DV172="","-",(1+(((-('Densidade do AR'!$M$4))+('Densidade do AR'!$T$15*1000000))/(IF(INDEX($A$5:$BP$257,MATCH(DV172,$BN$5:$BN$257,0),50)="Aço Inoxidável",('Densidade do AR'!$S$8*1000000),IF(INDEX($A$5:$BP$257,MATCH(DV172,$BN$5:$BN$257,0),50)="Ferro Fundido",('Densidade do AR'!$S$12*1000000),IF(INDEX($A$5:$BP$257,MATCH(DV172,$BN$5:$BN$257,0),50)="Latão",('Densidade do AR'!$S$10*1000000),IF(INDEX($A$5:$BP$257,MATCH(DV172,$BN$5:$BN$257,0),50)="Alumínio",('Densidade do AR'!$S$4*1000000)))))))-(((-('Densidade do AR'!$M$4))+('Densidade do AR'!$T$15*1000000))/('Densidade do AR'!$S$14*1000000))))))</f>
        <v>-</v>
      </c>
      <c r="ES172" s="739"/>
      <c r="ET172" s="739"/>
      <c r="EU172" s="745"/>
      <c r="EV172" s="91" t="str">
        <f t="shared" si="60"/>
        <v>-</v>
      </c>
      <c r="EW172" s="792"/>
      <c r="EX172" s="793"/>
      <c r="EY172" s="738" t="str">
        <f>IF(EW172="","-",(IF(INDEX($A$5:$BP$257,MATCH(EW172,$BN$5:$BN$257,0),50)="Aço Inoxidável",('Densidade do AR'!$S$8*1000000),IF(INDEX($A$5:$BP$257,MATCH(EW172,$BN$5:$BN$257,0),50)="Ferro Fundido",('Densidade do AR'!$S$12*1000000),IF(INDEX($A$5:$BP$257,MATCH(EW172,$BN$5:$BN$257,0),50)="Latão",('Densidade do AR'!$S$10*1000000),IF(INDEX($A$5:$BP$257,MATCH(EW172,$BN$5:$BN$257,0),50)="Alumínio",('Densidade do AR'!$S$4*1000000)))))))</f>
        <v>-</v>
      </c>
      <c r="EZ172" s="739"/>
      <c r="FA172" s="739"/>
      <c r="FB172" s="740"/>
      <c r="FC172" s="741" t="str">
        <f t="shared" si="61"/>
        <v>-</v>
      </c>
      <c r="FD172" s="742"/>
      <c r="FE172" s="742"/>
      <c r="FF172" s="743"/>
      <c r="FG172" s="741" t="str">
        <f t="shared" si="50"/>
        <v>-</v>
      </c>
      <c r="FH172" s="742"/>
      <c r="FI172" s="742"/>
      <c r="FJ172" s="743"/>
      <c r="FK172" s="744" t="str">
        <f t="shared" si="62"/>
        <v>-</v>
      </c>
      <c r="FL172" s="739"/>
      <c r="FM172" s="739"/>
      <c r="FN172" s="740"/>
      <c r="FO172" s="744" t="str">
        <f t="shared" si="51"/>
        <v>-</v>
      </c>
      <c r="FP172" s="739"/>
      <c r="FQ172" s="739"/>
      <c r="FR172" s="740"/>
      <c r="FS172" s="744" t="str">
        <f>IF(EW172="","-",INDEX($A$5:$BP$257,MATCH(EW172,$BN$5:$BN$257,0),39)*(IF(EW172="","-",(1+(((-('Densidade do AR'!$M$4))+('Densidade do AR'!$T$15*1000000))/(IF(INDEX($A$5:$BP$257,MATCH(EW172,$BN$5:$BN$257,0),50)="Aço Inoxidável",('Densidade do AR'!$S$8*1000000),IF(INDEX($A$5:$BP$257,MATCH(EW172,$BN$5:$BN$257,0),50)="Ferro Fundido",('Densidade do AR'!$S$12*1000000),IF(INDEX($A$5:$BP$257,MATCH(EW172,$BN$5:$BN$257,0),50)="Latão",('Densidade do AR'!$S$10*1000000),IF(INDEX($A$5:$BP$257,MATCH(EW172,$BN$5:$BN$257,0),50)="Alumínio",('Densidade do AR'!$S$4*1000000)))))))-(((-('Densidade do AR'!$M$4))+('Densidade do AR'!$T$15*1000000))/('Densidade do AR'!$S$14*1000000))))))</f>
        <v>-</v>
      </c>
      <c r="FT172" s="739"/>
      <c r="FU172" s="739"/>
      <c r="FV172" s="745"/>
      <c r="FW172" s="91" t="str">
        <f t="shared" si="63"/>
        <v>-</v>
      </c>
      <c r="FX172" s="135"/>
    </row>
    <row r="173" spans="1:180" ht="12.75" customHeight="1" x14ac:dyDescent="0.2">
      <c r="A173" s="717">
        <v>169</v>
      </c>
      <c r="B173" s="713"/>
      <c r="C173" s="708"/>
      <c r="D173" s="709"/>
      <c r="E173" s="709"/>
      <c r="F173" s="709"/>
      <c r="G173" s="710"/>
      <c r="H173" s="711"/>
      <c r="I173" s="712"/>
      <c r="J173" s="712"/>
      <c r="K173" s="713"/>
      <c r="L173" s="708"/>
      <c r="M173" s="709"/>
      <c r="N173" s="709"/>
      <c r="O173" s="709"/>
      <c r="P173" s="708"/>
      <c r="Q173" s="709"/>
      <c r="R173" s="709"/>
      <c r="S173" s="709"/>
      <c r="T173" s="710"/>
      <c r="U173" s="714"/>
      <c r="V173" s="715"/>
      <c r="W173" s="715"/>
      <c r="X173" s="715"/>
      <c r="Y173" s="715"/>
      <c r="Z173" s="715"/>
      <c r="AA173" s="716"/>
      <c r="AB173" s="850"/>
      <c r="AC173" s="851"/>
      <c r="AD173" s="851"/>
      <c r="AE173" s="851"/>
      <c r="AF173" s="851"/>
      <c r="AG173" s="851"/>
      <c r="AH173" s="851"/>
      <c r="AI173" s="851"/>
      <c r="AJ173" s="851"/>
      <c r="AK173" s="851"/>
      <c r="AL173" s="852"/>
      <c r="AM173" s="917"/>
      <c r="AN173" s="712"/>
      <c r="AO173" s="712"/>
      <c r="AP173" s="712"/>
      <c r="AQ173" s="712"/>
      <c r="AR173" s="712"/>
      <c r="AS173" s="713"/>
      <c r="AT173" s="917"/>
      <c r="AU173" s="712"/>
      <c r="AV173" s="712"/>
      <c r="AW173" s="713"/>
      <c r="AX173" s="917"/>
      <c r="AY173" s="712"/>
      <c r="AZ173" s="712"/>
      <c r="BA173" s="712"/>
      <c r="BB173" s="712"/>
      <c r="BC173" s="713"/>
      <c r="BD173" s="917"/>
      <c r="BE173" s="712"/>
      <c r="BF173" s="712"/>
      <c r="BG173" s="713"/>
      <c r="BH173" s="918"/>
      <c r="BI173" s="712"/>
      <c r="BJ173" s="712"/>
      <c r="BK173" s="712"/>
      <c r="BL173" s="910"/>
      <c r="BN173" s="878"/>
      <c r="BO173" s="709"/>
      <c r="BP173" s="884"/>
      <c r="BT173" s="794"/>
      <c r="BU173" s="795"/>
      <c r="BV173" s="784" t="str">
        <f>IF(BT173="","-",(IF(INDEX($A$5:$BP$257,MATCH(BT173,$BN$5:$BN$257,0),50)="Aço Inoxidável",('Densidade do AR'!$S$8*1000000),IF(INDEX($A$5:$BP$257,MATCH(BT173,$BN$5:$BN$257,0),50)="Ferro Fundido",('Densidade do AR'!$S$12*1000000),IF(INDEX($A$5:$BP$257,MATCH(BT173,$BN$5:$BN$257,0),50)="Latão",('Densidade do AR'!$S$10*1000000),IF(INDEX($A$5:$BP$257,MATCH(BT173,$BN$5:$BN$257,0),50)="Alumínio",('Densidade do AR'!$S$4*1000000)))))))</f>
        <v>-</v>
      </c>
      <c r="BW173" s="785"/>
      <c r="BX173" s="785"/>
      <c r="BY173" s="786"/>
      <c r="BZ173" s="787" t="str">
        <f t="shared" si="52"/>
        <v>-</v>
      </c>
      <c r="CA173" s="788"/>
      <c r="CB173" s="788"/>
      <c r="CC173" s="789"/>
      <c r="CD173" s="787" t="str">
        <f t="shared" si="44"/>
        <v>-</v>
      </c>
      <c r="CE173" s="788"/>
      <c r="CF173" s="788"/>
      <c r="CG173" s="789"/>
      <c r="CH173" s="790" t="str">
        <f t="shared" si="53"/>
        <v>-</v>
      </c>
      <c r="CI173" s="785"/>
      <c r="CJ173" s="785"/>
      <c r="CK173" s="786"/>
      <c r="CL173" s="790" t="str">
        <f t="shared" si="45"/>
        <v>-</v>
      </c>
      <c r="CM173" s="785"/>
      <c r="CN173" s="785"/>
      <c r="CO173" s="786"/>
      <c r="CP173" s="790" t="str">
        <f>IF(BT173="","-",INDEX($A$5:$BP$257,MATCH(BT173,$BN$5:$BN$257,0),39)*(IF(BT173="","-",(1+(((-('Densidade do AR'!$M$4))+('Densidade do AR'!$T$15*1000000))/(IF(INDEX($A$5:$BP$257,MATCH(BT173,$BN$5:$BN$257,0),50)="Aço Inoxidável",('Densidade do AR'!$S$8*1000000),IF(INDEX($A$5:$BP$257,MATCH(BT173,$BN$5:$BN$257,0),50)="Ferro Fundido",('Densidade do AR'!$S$12*1000000),IF(INDEX($A$5:$BP$257,MATCH(BT173,$BN$5:$BN$257,0),50)="Latão",('Densidade do AR'!$S$10*1000000),IF(INDEX($A$5:$BP$257,MATCH(BT173,$BN$5:$BN$257,0),50)="Alumínio",('Densidade do AR'!$S$4*1000000)))))))-(((-('Densidade do AR'!$M$4))+('Densidade do AR'!$T$15*1000000))/('Densidade do AR'!$S$14*1000000))))))</f>
        <v>-</v>
      </c>
      <c r="CQ173" s="785"/>
      <c r="CR173" s="785"/>
      <c r="CS173" s="791"/>
      <c r="CT173" s="91" t="str">
        <f t="shared" si="54"/>
        <v>-</v>
      </c>
      <c r="CU173" s="794"/>
      <c r="CV173" s="795"/>
      <c r="CW173" s="784" t="str">
        <f>IF(CU173="","-",(IF(INDEX($A$5:$BP$257,MATCH(CU173,$BN$5:$BN$257,0),50)="Aço Inoxidável",('Densidade do AR'!$S$8*1000000),IF(INDEX($A$5:$BP$257,MATCH(CU173,$BN$5:$BN$257,0),50)="Ferro Fundido",('Densidade do AR'!$S$12*1000000),IF(INDEX($A$5:$BP$257,MATCH(CU173,$BN$5:$BN$257,0),50)="Latão",('Densidade do AR'!$S$10*1000000),IF(INDEX($A$5:$BP$257,MATCH(CU173,$BN$5:$BN$257,0),50)="Alumínio",('Densidade do AR'!$S$4*1000000)))))))</f>
        <v>-</v>
      </c>
      <c r="CX173" s="785"/>
      <c r="CY173" s="785"/>
      <c r="CZ173" s="786"/>
      <c r="DA173" s="787" t="str">
        <f t="shared" si="55"/>
        <v>-</v>
      </c>
      <c r="DB173" s="788"/>
      <c r="DC173" s="788"/>
      <c r="DD173" s="789"/>
      <c r="DE173" s="787" t="str">
        <f t="shared" si="46"/>
        <v>-</v>
      </c>
      <c r="DF173" s="788"/>
      <c r="DG173" s="788"/>
      <c r="DH173" s="789"/>
      <c r="DI173" s="790" t="str">
        <f t="shared" si="56"/>
        <v>-</v>
      </c>
      <c r="DJ173" s="785"/>
      <c r="DK173" s="785"/>
      <c r="DL173" s="786"/>
      <c r="DM173" s="790" t="str">
        <f t="shared" si="47"/>
        <v>-</v>
      </c>
      <c r="DN173" s="785"/>
      <c r="DO173" s="785"/>
      <c r="DP173" s="786"/>
      <c r="DQ173" s="790" t="str">
        <f>IF(CU173="","-",INDEX($A$5:$BP$257,MATCH(CU173,$BN$5:$BN$257,0),39)*(IF(CU173="","-",(1+(((-('Densidade do AR'!$M$4))+('Densidade do AR'!$T$15*1000000))/(IF(INDEX($A$5:$BP$257,MATCH(CU173,$BN$5:$BN$257,0),50)="Aço Inoxidável",('Densidade do AR'!$S$8*1000000),IF(INDEX($A$5:$BP$257,MATCH(CU173,$BN$5:$BN$257,0),50)="Ferro Fundido",('Densidade do AR'!$S$12*1000000),IF(INDEX($A$5:$BP$257,MATCH(CU173,$BN$5:$BN$257,0),50)="Latão",('Densidade do AR'!$S$10*1000000),IF(INDEX($A$5:$BP$257,MATCH(CU173,$BN$5:$BN$257,0),50)="Alumínio",('Densidade do AR'!$S$4*1000000)))))))-(((-('Densidade do AR'!$M$4))+('Densidade do AR'!$T$15*1000000))/('Densidade do AR'!$S$14*1000000))))))</f>
        <v>-</v>
      </c>
      <c r="DR173" s="785"/>
      <c r="DS173" s="785"/>
      <c r="DT173" s="791"/>
      <c r="DU173" s="91" t="str">
        <f t="shared" si="57"/>
        <v>-</v>
      </c>
      <c r="DV173" s="794"/>
      <c r="DW173" s="795"/>
      <c r="DX173" s="784" t="str">
        <f>IF(DV173="","-",(IF(INDEX($A$5:$BP$257,MATCH(DV173,$BN$5:$BN$257,0),50)="Aço Inoxidável",('Densidade do AR'!$S$8*1000000),IF(INDEX($A$5:$BP$257,MATCH(DV173,$BN$5:$BN$257,0),50)="Ferro Fundido",('Densidade do AR'!$S$12*1000000),IF(INDEX($A$5:$BP$257,MATCH(DV173,$BN$5:$BN$257,0),50)="Latão",('Densidade do AR'!$S$10*1000000),IF(INDEX($A$5:$BP$257,MATCH(DV173,$BN$5:$BN$257,0),50)="Alumínio",('Densidade do AR'!$S$4*1000000)))))))</f>
        <v>-</v>
      </c>
      <c r="DY173" s="785"/>
      <c r="DZ173" s="785"/>
      <c r="EA173" s="786"/>
      <c r="EB173" s="787" t="str">
        <f t="shared" si="58"/>
        <v>-</v>
      </c>
      <c r="EC173" s="788"/>
      <c r="ED173" s="788"/>
      <c r="EE173" s="789"/>
      <c r="EF173" s="787" t="str">
        <f t="shared" si="48"/>
        <v>-</v>
      </c>
      <c r="EG173" s="788"/>
      <c r="EH173" s="788"/>
      <c r="EI173" s="789"/>
      <c r="EJ173" s="790" t="str">
        <f t="shared" si="59"/>
        <v>-</v>
      </c>
      <c r="EK173" s="785"/>
      <c r="EL173" s="785"/>
      <c r="EM173" s="786"/>
      <c r="EN173" s="790" t="str">
        <f t="shared" si="49"/>
        <v>-</v>
      </c>
      <c r="EO173" s="785"/>
      <c r="EP173" s="785"/>
      <c r="EQ173" s="786"/>
      <c r="ER173" s="790" t="str">
        <f>IF(DV173="","-",INDEX($A$5:$BP$257,MATCH(DV173,$BN$5:$BN$257,0),39)*(IF(DV173="","-",(1+(((-('Densidade do AR'!$M$4))+('Densidade do AR'!$T$15*1000000))/(IF(INDEX($A$5:$BP$257,MATCH(DV173,$BN$5:$BN$257,0),50)="Aço Inoxidável",('Densidade do AR'!$S$8*1000000),IF(INDEX($A$5:$BP$257,MATCH(DV173,$BN$5:$BN$257,0),50)="Ferro Fundido",('Densidade do AR'!$S$12*1000000),IF(INDEX($A$5:$BP$257,MATCH(DV173,$BN$5:$BN$257,0),50)="Latão",('Densidade do AR'!$S$10*1000000),IF(INDEX($A$5:$BP$257,MATCH(DV173,$BN$5:$BN$257,0),50)="Alumínio",('Densidade do AR'!$S$4*1000000)))))))-(((-('Densidade do AR'!$M$4))+('Densidade do AR'!$T$15*1000000))/('Densidade do AR'!$S$14*1000000))))))</f>
        <v>-</v>
      </c>
      <c r="ES173" s="785"/>
      <c r="ET173" s="785"/>
      <c r="EU173" s="791"/>
      <c r="EV173" s="91" t="str">
        <f t="shared" si="60"/>
        <v>-</v>
      </c>
      <c r="EW173" s="794"/>
      <c r="EX173" s="795"/>
      <c r="EY173" s="784" t="str">
        <f>IF(EW173="","-",(IF(INDEX($A$5:$BP$257,MATCH(EW173,$BN$5:$BN$257,0),50)="Aço Inoxidável",('Densidade do AR'!$S$8*1000000),IF(INDEX($A$5:$BP$257,MATCH(EW173,$BN$5:$BN$257,0),50)="Ferro Fundido",('Densidade do AR'!$S$12*1000000),IF(INDEX($A$5:$BP$257,MATCH(EW173,$BN$5:$BN$257,0),50)="Latão",('Densidade do AR'!$S$10*1000000),IF(INDEX($A$5:$BP$257,MATCH(EW173,$BN$5:$BN$257,0),50)="Alumínio",('Densidade do AR'!$S$4*1000000)))))))</f>
        <v>-</v>
      </c>
      <c r="EZ173" s="785"/>
      <c r="FA173" s="785"/>
      <c r="FB173" s="786"/>
      <c r="FC173" s="787" t="str">
        <f t="shared" si="61"/>
        <v>-</v>
      </c>
      <c r="FD173" s="788"/>
      <c r="FE173" s="788"/>
      <c r="FF173" s="789"/>
      <c r="FG173" s="787" t="str">
        <f t="shared" si="50"/>
        <v>-</v>
      </c>
      <c r="FH173" s="788"/>
      <c r="FI173" s="788"/>
      <c r="FJ173" s="789"/>
      <c r="FK173" s="790" t="str">
        <f t="shared" si="62"/>
        <v>-</v>
      </c>
      <c r="FL173" s="785"/>
      <c r="FM173" s="785"/>
      <c r="FN173" s="786"/>
      <c r="FO173" s="790" t="str">
        <f t="shared" si="51"/>
        <v>-</v>
      </c>
      <c r="FP173" s="785"/>
      <c r="FQ173" s="785"/>
      <c r="FR173" s="786"/>
      <c r="FS173" s="790" t="str">
        <f>IF(EW173="","-",INDEX($A$5:$BP$257,MATCH(EW173,$BN$5:$BN$257,0),39)*(IF(EW173="","-",(1+(((-('Densidade do AR'!$M$4))+('Densidade do AR'!$T$15*1000000))/(IF(INDEX($A$5:$BP$257,MATCH(EW173,$BN$5:$BN$257,0),50)="Aço Inoxidável",('Densidade do AR'!$S$8*1000000),IF(INDEX($A$5:$BP$257,MATCH(EW173,$BN$5:$BN$257,0),50)="Ferro Fundido",('Densidade do AR'!$S$12*1000000),IF(INDEX($A$5:$BP$257,MATCH(EW173,$BN$5:$BN$257,0),50)="Latão",('Densidade do AR'!$S$10*1000000),IF(INDEX($A$5:$BP$257,MATCH(EW173,$BN$5:$BN$257,0),50)="Alumínio",('Densidade do AR'!$S$4*1000000)))))))-(((-('Densidade do AR'!$M$4))+('Densidade do AR'!$T$15*1000000))/('Densidade do AR'!$S$14*1000000))))))</f>
        <v>-</v>
      </c>
      <c r="FT173" s="785"/>
      <c r="FU173" s="785"/>
      <c r="FV173" s="791"/>
      <c r="FW173" s="91" t="str">
        <f t="shared" si="63"/>
        <v>-</v>
      </c>
      <c r="FX173" s="135"/>
    </row>
    <row r="174" spans="1:180" ht="12.75" customHeight="1" x14ac:dyDescent="0.2">
      <c r="A174" s="718">
        <v>170</v>
      </c>
      <c r="B174" s="713"/>
      <c r="C174" s="719"/>
      <c r="D174" s="709"/>
      <c r="E174" s="709"/>
      <c r="F174" s="709"/>
      <c r="G174" s="710"/>
      <c r="H174" s="720"/>
      <c r="I174" s="712"/>
      <c r="J174" s="712"/>
      <c r="K174" s="713"/>
      <c r="L174" s="719"/>
      <c r="M174" s="709"/>
      <c r="N174" s="709"/>
      <c r="O174" s="709"/>
      <c r="P174" s="719"/>
      <c r="Q174" s="709"/>
      <c r="R174" s="709"/>
      <c r="S174" s="709"/>
      <c r="T174" s="710"/>
      <c r="U174" s="721"/>
      <c r="V174" s="722"/>
      <c r="W174" s="722"/>
      <c r="X174" s="722"/>
      <c r="Y174" s="722"/>
      <c r="Z174" s="722"/>
      <c r="AA174" s="723"/>
      <c r="AB174" s="853"/>
      <c r="AC174" s="854"/>
      <c r="AD174" s="854"/>
      <c r="AE174" s="854"/>
      <c r="AF174" s="854"/>
      <c r="AG174" s="854"/>
      <c r="AH174" s="854"/>
      <c r="AI174" s="854"/>
      <c r="AJ174" s="854"/>
      <c r="AK174" s="854"/>
      <c r="AL174" s="855"/>
      <c r="AM174" s="909"/>
      <c r="AN174" s="712"/>
      <c r="AO174" s="712"/>
      <c r="AP174" s="712"/>
      <c r="AQ174" s="712"/>
      <c r="AR174" s="712"/>
      <c r="AS174" s="713"/>
      <c r="AT174" s="909"/>
      <c r="AU174" s="712"/>
      <c r="AV174" s="712"/>
      <c r="AW174" s="713"/>
      <c r="AX174" s="908"/>
      <c r="AY174" s="712"/>
      <c r="AZ174" s="712"/>
      <c r="BA174" s="712"/>
      <c r="BB174" s="712"/>
      <c r="BC174" s="713"/>
      <c r="BD174" s="909"/>
      <c r="BE174" s="712"/>
      <c r="BF174" s="712"/>
      <c r="BG174" s="713"/>
      <c r="BH174" s="908"/>
      <c r="BI174" s="712"/>
      <c r="BJ174" s="712"/>
      <c r="BK174" s="712"/>
      <c r="BL174" s="910"/>
      <c r="BN174" s="881"/>
      <c r="BO174" s="709"/>
      <c r="BP174" s="884"/>
      <c r="BT174" s="792"/>
      <c r="BU174" s="793"/>
      <c r="BV174" s="738" t="str">
        <f>IF(BT174="","-",(IF(INDEX($A$5:$BP$257,MATCH(BT174,$BN$5:$BN$257,0),50)="Aço Inoxidável",('Densidade do AR'!$S$8*1000000),IF(INDEX($A$5:$BP$257,MATCH(BT174,$BN$5:$BN$257,0),50)="Ferro Fundido",('Densidade do AR'!$S$12*1000000),IF(INDEX($A$5:$BP$257,MATCH(BT174,$BN$5:$BN$257,0),50)="Latão",('Densidade do AR'!$S$10*1000000),IF(INDEX($A$5:$BP$257,MATCH(BT174,$BN$5:$BN$257,0),50)="Alumínio",('Densidade do AR'!$S$4*1000000)))))))</f>
        <v>-</v>
      </c>
      <c r="BW174" s="739"/>
      <c r="BX174" s="739"/>
      <c r="BY174" s="740"/>
      <c r="BZ174" s="741" t="str">
        <f t="shared" si="52"/>
        <v>-</v>
      </c>
      <c r="CA174" s="742"/>
      <c r="CB174" s="742"/>
      <c r="CC174" s="743"/>
      <c r="CD174" s="741" t="str">
        <f t="shared" si="44"/>
        <v>-</v>
      </c>
      <c r="CE174" s="742"/>
      <c r="CF174" s="742"/>
      <c r="CG174" s="743"/>
      <c r="CH174" s="744" t="str">
        <f t="shared" si="53"/>
        <v>-</v>
      </c>
      <c r="CI174" s="739"/>
      <c r="CJ174" s="739"/>
      <c r="CK174" s="740"/>
      <c r="CL174" s="744" t="str">
        <f t="shared" si="45"/>
        <v>-</v>
      </c>
      <c r="CM174" s="739"/>
      <c r="CN174" s="739"/>
      <c r="CO174" s="740"/>
      <c r="CP174" s="744" t="str">
        <f>IF(BT174="","-",INDEX($A$5:$BP$257,MATCH(BT174,$BN$5:$BN$257,0),39)*(IF(BT174="","-",(1+(((-('Densidade do AR'!$M$4))+('Densidade do AR'!$T$15*1000000))/(IF(INDEX($A$5:$BP$257,MATCH(BT174,$BN$5:$BN$257,0),50)="Aço Inoxidável",('Densidade do AR'!$S$8*1000000),IF(INDEX($A$5:$BP$257,MATCH(BT174,$BN$5:$BN$257,0),50)="Ferro Fundido",('Densidade do AR'!$S$12*1000000),IF(INDEX($A$5:$BP$257,MATCH(BT174,$BN$5:$BN$257,0),50)="Latão",('Densidade do AR'!$S$10*1000000),IF(INDEX($A$5:$BP$257,MATCH(BT174,$BN$5:$BN$257,0),50)="Alumínio",('Densidade do AR'!$S$4*1000000)))))))-(((-('Densidade do AR'!$M$4))+('Densidade do AR'!$T$15*1000000))/('Densidade do AR'!$S$14*1000000))))))</f>
        <v>-</v>
      </c>
      <c r="CQ174" s="739"/>
      <c r="CR174" s="739"/>
      <c r="CS174" s="745"/>
      <c r="CT174" s="91" t="str">
        <f t="shared" si="54"/>
        <v>-</v>
      </c>
      <c r="CU174" s="792"/>
      <c r="CV174" s="793"/>
      <c r="CW174" s="738" t="str">
        <f>IF(CU174="","-",(IF(INDEX($A$5:$BP$257,MATCH(CU174,$BN$5:$BN$257,0),50)="Aço Inoxidável",('Densidade do AR'!$S$8*1000000),IF(INDEX($A$5:$BP$257,MATCH(CU174,$BN$5:$BN$257,0),50)="Ferro Fundido",('Densidade do AR'!$S$12*1000000),IF(INDEX($A$5:$BP$257,MATCH(CU174,$BN$5:$BN$257,0),50)="Latão",('Densidade do AR'!$S$10*1000000),IF(INDEX($A$5:$BP$257,MATCH(CU174,$BN$5:$BN$257,0),50)="Alumínio",('Densidade do AR'!$S$4*1000000)))))))</f>
        <v>-</v>
      </c>
      <c r="CX174" s="739"/>
      <c r="CY174" s="739"/>
      <c r="CZ174" s="740"/>
      <c r="DA174" s="741" t="str">
        <f t="shared" si="55"/>
        <v>-</v>
      </c>
      <c r="DB174" s="742"/>
      <c r="DC174" s="742"/>
      <c r="DD174" s="743"/>
      <c r="DE174" s="741" t="str">
        <f t="shared" si="46"/>
        <v>-</v>
      </c>
      <c r="DF174" s="742"/>
      <c r="DG174" s="742"/>
      <c r="DH174" s="743"/>
      <c r="DI174" s="744" t="str">
        <f t="shared" si="56"/>
        <v>-</v>
      </c>
      <c r="DJ174" s="739"/>
      <c r="DK174" s="739"/>
      <c r="DL174" s="740"/>
      <c r="DM174" s="744" t="str">
        <f t="shared" si="47"/>
        <v>-</v>
      </c>
      <c r="DN174" s="739"/>
      <c r="DO174" s="739"/>
      <c r="DP174" s="740"/>
      <c r="DQ174" s="744" t="str">
        <f>IF(CU174="","-",INDEX($A$5:$BP$257,MATCH(CU174,$BN$5:$BN$257,0),39)*(IF(CU174="","-",(1+(((-('Densidade do AR'!$M$4))+('Densidade do AR'!$T$15*1000000))/(IF(INDEX($A$5:$BP$257,MATCH(CU174,$BN$5:$BN$257,0),50)="Aço Inoxidável",('Densidade do AR'!$S$8*1000000),IF(INDEX($A$5:$BP$257,MATCH(CU174,$BN$5:$BN$257,0),50)="Ferro Fundido",('Densidade do AR'!$S$12*1000000),IF(INDEX($A$5:$BP$257,MATCH(CU174,$BN$5:$BN$257,0),50)="Latão",('Densidade do AR'!$S$10*1000000),IF(INDEX($A$5:$BP$257,MATCH(CU174,$BN$5:$BN$257,0),50)="Alumínio",('Densidade do AR'!$S$4*1000000)))))))-(((-('Densidade do AR'!$M$4))+('Densidade do AR'!$T$15*1000000))/('Densidade do AR'!$S$14*1000000))))))</f>
        <v>-</v>
      </c>
      <c r="DR174" s="739"/>
      <c r="DS174" s="739"/>
      <c r="DT174" s="745"/>
      <c r="DU174" s="91" t="str">
        <f t="shared" si="57"/>
        <v>-</v>
      </c>
      <c r="DV174" s="792"/>
      <c r="DW174" s="793"/>
      <c r="DX174" s="738" t="str">
        <f>IF(DV174="","-",(IF(INDEX($A$5:$BP$257,MATCH(DV174,$BN$5:$BN$257,0),50)="Aço Inoxidável",('Densidade do AR'!$S$8*1000000),IF(INDEX($A$5:$BP$257,MATCH(DV174,$BN$5:$BN$257,0),50)="Ferro Fundido",('Densidade do AR'!$S$12*1000000),IF(INDEX($A$5:$BP$257,MATCH(DV174,$BN$5:$BN$257,0),50)="Latão",('Densidade do AR'!$S$10*1000000),IF(INDEX($A$5:$BP$257,MATCH(DV174,$BN$5:$BN$257,0),50)="Alumínio",('Densidade do AR'!$S$4*1000000)))))))</f>
        <v>-</v>
      </c>
      <c r="DY174" s="739"/>
      <c r="DZ174" s="739"/>
      <c r="EA174" s="740"/>
      <c r="EB174" s="741" t="str">
        <f t="shared" si="58"/>
        <v>-</v>
      </c>
      <c r="EC174" s="742"/>
      <c r="ED174" s="742"/>
      <c r="EE174" s="743"/>
      <c r="EF174" s="741" t="str">
        <f t="shared" si="48"/>
        <v>-</v>
      </c>
      <c r="EG174" s="742"/>
      <c r="EH174" s="742"/>
      <c r="EI174" s="743"/>
      <c r="EJ174" s="744" t="str">
        <f t="shared" si="59"/>
        <v>-</v>
      </c>
      <c r="EK174" s="739"/>
      <c r="EL174" s="739"/>
      <c r="EM174" s="740"/>
      <c r="EN174" s="744" t="str">
        <f t="shared" si="49"/>
        <v>-</v>
      </c>
      <c r="EO174" s="739"/>
      <c r="EP174" s="739"/>
      <c r="EQ174" s="740"/>
      <c r="ER174" s="744" t="str">
        <f>IF(DV174="","-",INDEX($A$5:$BP$257,MATCH(DV174,$BN$5:$BN$257,0),39)*(IF(DV174="","-",(1+(((-('Densidade do AR'!$M$4))+('Densidade do AR'!$T$15*1000000))/(IF(INDEX($A$5:$BP$257,MATCH(DV174,$BN$5:$BN$257,0),50)="Aço Inoxidável",('Densidade do AR'!$S$8*1000000),IF(INDEX($A$5:$BP$257,MATCH(DV174,$BN$5:$BN$257,0),50)="Ferro Fundido",('Densidade do AR'!$S$12*1000000),IF(INDEX($A$5:$BP$257,MATCH(DV174,$BN$5:$BN$257,0),50)="Latão",('Densidade do AR'!$S$10*1000000),IF(INDEX($A$5:$BP$257,MATCH(DV174,$BN$5:$BN$257,0),50)="Alumínio",('Densidade do AR'!$S$4*1000000)))))))-(((-('Densidade do AR'!$M$4))+('Densidade do AR'!$T$15*1000000))/('Densidade do AR'!$S$14*1000000))))))</f>
        <v>-</v>
      </c>
      <c r="ES174" s="739"/>
      <c r="ET174" s="739"/>
      <c r="EU174" s="745"/>
      <c r="EV174" s="91" t="str">
        <f t="shared" si="60"/>
        <v>-</v>
      </c>
      <c r="EW174" s="792"/>
      <c r="EX174" s="793"/>
      <c r="EY174" s="738" t="str">
        <f>IF(EW174="","-",(IF(INDEX($A$5:$BP$257,MATCH(EW174,$BN$5:$BN$257,0),50)="Aço Inoxidável",('Densidade do AR'!$S$8*1000000),IF(INDEX($A$5:$BP$257,MATCH(EW174,$BN$5:$BN$257,0),50)="Ferro Fundido",('Densidade do AR'!$S$12*1000000),IF(INDEX($A$5:$BP$257,MATCH(EW174,$BN$5:$BN$257,0),50)="Latão",('Densidade do AR'!$S$10*1000000),IF(INDEX($A$5:$BP$257,MATCH(EW174,$BN$5:$BN$257,0),50)="Alumínio",('Densidade do AR'!$S$4*1000000)))))))</f>
        <v>-</v>
      </c>
      <c r="EZ174" s="739"/>
      <c r="FA174" s="739"/>
      <c r="FB174" s="740"/>
      <c r="FC174" s="741" t="str">
        <f t="shared" si="61"/>
        <v>-</v>
      </c>
      <c r="FD174" s="742"/>
      <c r="FE174" s="742"/>
      <c r="FF174" s="743"/>
      <c r="FG174" s="741" t="str">
        <f t="shared" si="50"/>
        <v>-</v>
      </c>
      <c r="FH174" s="742"/>
      <c r="FI174" s="742"/>
      <c r="FJ174" s="743"/>
      <c r="FK174" s="744" t="str">
        <f t="shared" si="62"/>
        <v>-</v>
      </c>
      <c r="FL174" s="739"/>
      <c r="FM174" s="739"/>
      <c r="FN174" s="740"/>
      <c r="FO174" s="744" t="str">
        <f t="shared" si="51"/>
        <v>-</v>
      </c>
      <c r="FP174" s="739"/>
      <c r="FQ174" s="739"/>
      <c r="FR174" s="740"/>
      <c r="FS174" s="744" t="str">
        <f>IF(EW174="","-",INDEX($A$5:$BP$257,MATCH(EW174,$BN$5:$BN$257,0),39)*(IF(EW174="","-",(1+(((-('Densidade do AR'!$M$4))+('Densidade do AR'!$T$15*1000000))/(IF(INDEX($A$5:$BP$257,MATCH(EW174,$BN$5:$BN$257,0),50)="Aço Inoxidável",('Densidade do AR'!$S$8*1000000),IF(INDEX($A$5:$BP$257,MATCH(EW174,$BN$5:$BN$257,0),50)="Ferro Fundido",('Densidade do AR'!$S$12*1000000),IF(INDEX($A$5:$BP$257,MATCH(EW174,$BN$5:$BN$257,0),50)="Latão",('Densidade do AR'!$S$10*1000000),IF(INDEX($A$5:$BP$257,MATCH(EW174,$BN$5:$BN$257,0),50)="Alumínio",('Densidade do AR'!$S$4*1000000)))))))-(((-('Densidade do AR'!$M$4))+('Densidade do AR'!$T$15*1000000))/('Densidade do AR'!$S$14*1000000))))))</f>
        <v>-</v>
      </c>
      <c r="FT174" s="739"/>
      <c r="FU174" s="739"/>
      <c r="FV174" s="745"/>
      <c r="FW174" s="91" t="str">
        <f t="shared" si="63"/>
        <v>-</v>
      </c>
      <c r="FX174" s="135"/>
    </row>
    <row r="175" spans="1:180" ht="12.75" customHeight="1" x14ac:dyDescent="0.2">
      <c r="A175" s="717">
        <v>171</v>
      </c>
      <c r="B175" s="713"/>
      <c r="C175" s="708"/>
      <c r="D175" s="709"/>
      <c r="E175" s="709"/>
      <c r="F175" s="709"/>
      <c r="G175" s="710"/>
      <c r="H175" s="711"/>
      <c r="I175" s="712"/>
      <c r="J175" s="712"/>
      <c r="K175" s="713"/>
      <c r="L175" s="708"/>
      <c r="M175" s="709"/>
      <c r="N175" s="709"/>
      <c r="O175" s="709"/>
      <c r="P175" s="708"/>
      <c r="Q175" s="709"/>
      <c r="R175" s="709"/>
      <c r="S175" s="709"/>
      <c r="T175" s="710"/>
      <c r="U175" s="714"/>
      <c r="V175" s="715"/>
      <c r="W175" s="715"/>
      <c r="X175" s="715"/>
      <c r="Y175" s="715"/>
      <c r="Z175" s="715"/>
      <c r="AA175" s="716"/>
      <c r="AB175" s="850"/>
      <c r="AC175" s="851"/>
      <c r="AD175" s="851"/>
      <c r="AE175" s="851"/>
      <c r="AF175" s="851"/>
      <c r="AG175" s="851"/>
      <c r="AH175" s="851"/>
      <c r="AI175" s="851"/>
      <c r="AJ175" s="851"/>
      <c r="AK175" s="851"/>
      <c r="AL175" s="852"/>
      <c r="AM175" s="917"/>
      <c r="AN175" s="712"/>
      <c r="AO175" s="712"/>
      <c r="AP175" s="712"/>
      <c r="AQ175" s="712"/>
      <c r="AR175" s="712"/>
      <c r="AS175" s="713"/>
      <c r="AT175" s="917"/>
      <c r="AU175" s="712"/>
      <c r="AV175" s="712"/>
      <c r="AW175" s="713"/>
      <c r="AX175" s="917"/>
      <c r="AY175" s="712"/>
      <c r="AZ175" s="712"/>
      <c r="BA175" s="712"/>
      <c r="BB175" s="712"/>
      <c r="BC175" s="713"/>
      <c r="BD175" s="917"/>
      <c r="BE175" s="712"/>
      <c r="BF175" s="712"/>
      <c r="BG175" s="713"/>
      <c r="BH175" s="918"/>
      <c r="BI175" s="712"/>
      <c r="BJ175" s="712"/>
      <c r="BK175" s="712"/>
      <c r="BL175" s="910"/>
      <c r="BN175" s="878"/>
      <c r="BO175" s="709"/>
      <c r="BP175" s="884"/>
      <c r="BT175" s="794"/>
      <c r="BU175" s="795"/>
      <c r="BV175" s="784" t="str">
        <f>IF(BT175="","-",(IF(INDEX($A$5:$BP$257,MATCH(BT175,$BN$5:$BN$257,0),50)="Aço Inoxidável",('Densidade do AR'!$S$8*1000000),IF(INDEX($A$5:$BP$257,MATCH(BT175,$BN$5:$BN$257,0),50)="Ferro Fundido",('Densidade do AR'!$S$12*1000000),IF(INDEX($A$5:$BP$257,MATCH(BT175,$BN$5:$BN$257,0),50)="Latão",('Densidade do AR'!$S$10*1000000),IF(INDEX($A$5:$BP$257,MATCH(BT175,$BN$5:$BN$257,0),50)="Alumínio",('Densidade do AR'!$S$4*1000000)))))))</f>
        <v>-</v>
      </c>
      <c r="BW175" s="785"/>
      <c r="BX175" s="785"/>
      <c r="BY175" s="786"/>
      <c r="BZ175" s="787" t="str">
        <f t="shared" si="52"/>
        <v>-</v>
      </c>
      <c r="CA175" s="788"/>
      <c r="CB175" s="788"/>
      <c r="CC175" s="789"/>
      <c r="CD175" s="787" t="str">
        <f t="shared" si="44"/>
        <v>-</v>
      </c>
      <c r="CE175" s="788"/>
      <c r="CF175" s="788"/>
      <c r="CG175" s="789"/>
      <c r="CH175" s="790" t="str">
        <f t="shared" si="53"/>
        <v>-</v>
      </c>
      <c r="CI175" s="785"/>
      <c r="CJ175" s="785"/>
      <c r="CK175" s="786"/>
      <c r="CL175" s="790" t="str">
        <f t="shared" si="45"/>
        <v>-</v>
      </c>
      <c r="CM175" s="785"/>
      <c r="CN175" s="785"/>
      <c r="CO175" s="786"/>
      <c r="CP175" s="790" t="str">
        <f>IF(BT175="","-",INDEX($A$5:$BP$257,MATCH(BT175,$BN$5:$BN$257,0),39)*(IF(BT175="","-",(1+(((-('Densidade do AR'!$M$4))+('Densidade do AR'!$T$15*1000000))/(IF(INDEX($A$5:$BP$257,MATCH(BT175,$BN$5:$BN$257,0),50)="Aço Inoxidável",('Densidade do AR'!$S$8*1000000),IF(INDEX($A$5:$BP$257,MATCH(BT175,$BN$5:$BN$257,0),50)="Ferro Fundido",('Densidade do AR'!$S$12*1000000),IF(INDEX($A$5:$BP$257,MATCH(BT175,$BN$5:$BN$257,0),50)="Latão",('Densidade do AR'!$S$10*1000000),IF(INDEX($A$5:$BP$257,MATCH(BT175,$BN$5:$BN$257,0),50)="Alumínio",('Densidade do AR'!$S$4*1000000)))))))-(((-('Densidade do AR'!$M$4))+('Densidade do AR'!$T$15*1000000))/('Densidade do AR'!$S$14*1000000))))))</f>
        <v>-</v>
      </c>
      <c r="CQ175" s="785"/>
      <c r="CR175" s="785"/>
      <c r="CS175" s="791"/>
      <c r="CT175" s="91" t="str">
        <f t="shared" si="54"/>
        <v>-</v>
      </c>
      <c r="CU175" s="794"/>
      <c r="CV175" s="795"/>
      <c r="CW175" s="784" t="str">
        <f>IF(CU175="","-",(IF(INDEX($A$5:$BP$257,MATCH(CU175,$BN$5:$BN$257,0),50)="Aço Inoxidável",('Densidade do AR'!$S$8*1000000),IF(INDEX($A$5:$BP$257,MATCH(CU175,$BN$5:$BN$257,0),50)="Ferro Fundido",('Densidade do AR'!$S$12*1000000),IF(INDEX($A$5:$BP$257,MATCH(CU175,$BN$5:$BN$257,0),50)="Latão",('Densidade do AR'!$S$10*1000000),IF(INDEX($A$5:$BP$257,MATCH(CU175,$BN$5:$BN$257,0),50)="Alumínio",('Densidade do AR'!$S$4*1000000)))))))</f>
        <v>-</v>
      </c>
      <c r="CX175" s="785"/>
      <c r="CY175" s="785"/>
      <c r="CZ175" s="786"/>
      <c r="DA175" s="787" t="str">
        <f t="shared" si="55"/>
        <v>-</v>
      </c>
      <c r="DB175" s="788"/>
      <c r="DC175" s="788"/>
      <c r="DD175" s="789"/>
      <c r="DE175" s="787" t="str">
        <f t="shared" si="46"/>
        <v>-</v>
      </c>
      <c r="DF175" s="788"/>
      <c r="DG175" s="788"/>
      <c r="DH175" s="789"/>
      <c r="DI175" s="790" t="str">
        <f t="shared" si="56"/>
        <v>-</v>
      </c>
      <c r="DJ175" s="785"/>
      <c r="DK175" s="785"/>
      <c r="DL175" s="786"/>
      <c r="DM175" s="790" t="str">
        <f t="shared" si="47"/>
        <v>-</v>
      </c>
      <c r="DN175" s="785"/>
      <c r="DO175" s="785"/>
      <c r="DP175" s="786"/>
      <c r="DQ175" s="790" t="str">
        <f>IF(CU175="","-",INDEX($A$5:$BP$257,MATCH(CU175,$BN$5:$BN$257,0),39)*(IF(CU175="","-",(1+(((-('Densidade do AR'!$M$4))+('Densidade do AR'!$T$15*1000000))/(IF(INDEX($A$5:$BP$257,MATCH(CU175,$BN$5:$BN$257,0),50)="Aço Inoxidável",('Densidade do AR'!$S$8*1000000),IF(INDEX($A$5:$BP$257,MATCH(CU175,$BN$5:$BN$257,0),50)="Ferro Fundido",('Densidade do AR'!$S$12*1000000),IF(INDEX($A$5:$BP$257,MATCH(CU175,$BN$5:$BN$257,0),50)="Latão",('Densidade do AR'!$S$10*1000000),IF(INDEX($A$5:$BP$257,MATCH(CU175,$BN$5:$BN$257,0),50)="Alumínio",('Densidade do AR'!$S$4*1000000)))))))-(((-('Densidade do AR'!$M$4))+('Densidade do AR'!$T$15*1000000))/('Densidade do AR'!$S$14*1000000))))))</f>
        <v>-</v>
      </c>
      <c r="DR175" s="785"/>
      <c r="DS175" s="785"/>
      <c r="DT175" s="791"/>
      <c r="DU175" s="91" t="str">
        <f t="shared" si="57"/>
        <v>-</v>
      </c>
      <c r="DV175" s="794"/>
      <c r="DW175" s="795"/>
      <c r="DX175" s="784" t="str">
        <f>IF(DV175="","-",(IF(INDEX($A$5:$BP$257,MATCH(DV175,$BN$5:$BN$257,0),50)="Aço Inoxidável",('Densidade do AR'!$S$8*1000000),IF(INDEX($A$5:$BP$257,MATCH(DV175,$BN$5:$BN$257,0),50)="Ferro Fundido",('Densidade do AR'!$S$12*1000000),IF(INDEX($A$5:$BP$257,MATCH(DV175,$BN$5:$BN$257,0),50)="Latão",('Densidade do AR'!$S$10*1000000),IF(INDEX($A$5:$BP$257,MATCH(DV175,$BN$5:$BN$257,0),50)="Alumínio",('Densidade do AR'!$S$4*1000000)))))))</f>
        <v>-</v>
      </c>
      <c r="DY175" s="785"/>
      <c r="DZ175" s="785"/>
      <c r="EA175" s="786"/>
      <c r="EB175" s="787" t="str">
        <f t="shared" si="58"/>
        <v>-</v>
      </c>
      <c r="EC175" s="788"/>
      <c r="ED175" s="788"/>
      <c r="EE175" s="789"/>
      <c r="EF175" s="787" t="str">
        <f t="shared" si="48"/>
        <v>-</v>
      </c>
      <c r="EG175" s="788"/>
      <c r="EH175" s="788"/>
      <c r="EI175" s="789"/>
      <c r="EJ175" s="790" t="str">
        <f t="shared" si="59"/>
        <v>-</v>
      </c>
      <c r="EK175" s="785"/>
      <c r="EL175" s="785"/>
      <c r="EM175" s="786"/>
      <c r="EN175" s="790" t="str">
        <f t="shared" si="49"/>
        <v>-</v>
      </c>
      <c r="EO175" s="785"/>
      <c r="EP175" s="785"/>
      <c r="EQ175" s="786"/>
      <c r="ER175" s="790" t="str">
        <f>IF(DV175="","-",INDEX($A$5:$BP$257,MATCH(DV175,$BN$5:$BN$257,0),39)*(IF(DV175="","-",(1+(((-('Densidade do AR'!$M$4))+('Densidade do AR'!$T$15*1000000))/(IF(INDEX($A$5:$BP$257,MATCH(DV175,$BN$5:$BN$257,0),50)="Aço Inoxidável",('Densidade do AR'!$S$8*1000000),IF(INDEX($A$5:$BP$257,MATCH(DV175,$BN$5:$BN$257,0),50)="Ferro Fundido",('Densidade do AR'!$S$12*1000000),IF(INDEX($A$5:$BP$257,MATCH(DV175,$BN$5:$BN$257,0),50)="Latão",('Densidade do AR'!$S$10*1000000),IF(INDEX($A$5:$BP$257,MATCH(DV175,$BN$5:$BN$257,0),50)="Alumínio",('Densidade do AR'!$S$4*1000000)))))))-(((-('Densidade do AR'!$M$4))+('Densidade do AR'!$T$15*1000000))/('Densidade do AR'!$S$14*1000000))))))</f>
        <v>-</v>
      </c>
      <c r="ES175" s="785"/>
      <c r="ET175" s="785"/>
      <c r="EU175" s="791"/>
      <c r="EV175" s="91" t="str">
        <f t="shared" si="60"/>
        <v>-</v>
      </c>
      <c r="EW175" s="794"/>
      <c r="EX175" s="795"/>
      <c r="EY175" s="784" t="str">
        <f>IF(EW175="","-",(IF(INDEX($A$5:$BP$257,MATCH(EW175,$BN$5:$BN$257,0),50)="Aço Inoxidável",('Densidade do AR'!$S$8*1000000),IF(INDEX($A$5:$BP$257,MATCH(EW175,$BN$5:$BN$257,0),50)="Ferro Fundido",('Densidade do AR'!$S$12*1000000),IF(INDEX($A$5:$BP$257,MATCH(EW175,$BN$5:$BN$257,0),50)="Latão",('Densidade do AR'!$S$10*1000000),IF(INDEX($A$5:$BP$257,MATCH(EW175,$BN$5:$BN$257,0),50)="Alumínio",('Densidade do AR'!$S$4*1000000)))))))</f>
        <v>-</v>
      </c>
      <c r="EZ175" s="785"/>
      <c r="FA175" s="785"/>
      <c r="FB175" s="786"/>
      <c r="FC175" s="787" t="str">
        <f t="shared" si="61"/>
        <v>-</v>
      </c>
      <c r="FD175" s="788"/>
      <c r="FE175" s="788"/>
      <c r="FF175" s="789"/>
      <c r="FG175" s="787" t="str">
        <f t="shared" si="50"/>
        <v>-</v>
      </c>
      <c r="FH175" s="788"/>
      <c r="FI175" s="788"/>
      <c r="FJ175" s="789"/>
      <c r="FK175" s="790" t="str">
        <f t="shared" si="62"/>
        <v>-</v>
      </c>
      <c r="FL175" s="785"/>
      <c r="FM175" s="785"/>
      <c r="FN175" s="786"/>
      <c r="FO175" s="790" t="str">
        <f t="shared" si="51"/>
        <v>-</v>
      </c>
      <c r="FP175" s="785"/>
      <c r="FQ175" s="785"/>
      <c r="FR175" s="786"/>
      <c r="FS175" s="790" t="str">
        <f>IF(EW175="","-",INDEX($A$5:$BP$257,MATCH(EW175,$BN$5:$BN$257,0),39)*(IF(EW175="","-",(1+(((-('Densidade do AR'!$M$4))+('Densidade do AR'!$T$15*1000000))/(IF(INDEX($A$5:$BP$257,MATCH(EW175,$BN$5:$BN$257,0),50)="Aço Inoxidável",('Densidade do AR'!$S$8*1000000),IF(INDEX($A$5:$BP$257,MATCH(EW175,$BN$5:$BN$257,0),50)="Ferro Fundido",('Densidade do AR'!$S$12*1000000),IF(INDEX($A$5:$BP$257,MATCH(EW175,$BN$5:$BN$257,0),50)="Latão",('Densidade do AR'!$S$10*1000000),IF(INDEX($A$5:$BP$257,MATCH(EW175,$BN$5:$BN$257,0),50)="Alumínio",('Densidade do AR'!$S$4*1000000)))))))-(((-('Densidade do AR'!$M$4))+('Densidade do AR'!$T$15*1000000))/('Densidade do AR'!$S$14*1000000))))))</f>
        <v>-</v>
      </c>
      <c r="FT175" s="785"/>
      <c r="FU175" s="785"/>
      <c r="FV175" s="791"/>
      <c r="FW175" s="91" t="str">
        <f t="shared" si="63"/>
        <v>-</v>
      </c>
      <c r="FX175" s="135"/>
    </row>
    <row r="176" spans="1:180" ht="12.75" customHeight="1" x14ac:dyDescent="0.2">
      <c r="A176" s="718">
        <v>172</v>
      </c>
      <c r="B176" s="713"/>
      <c r="C176" s="719"/>
      <c r="D176" s="709"/>
      <c r="E176" s="709"/>
      <c r="F176" s="709"/>
      <c r="G176" s="710"/>
      <c r="H176" s="720"/>
      <c r="I176" s="712"/>
      <c r="J176" s="712"/>
      <c r="K176" s="713"/>
      <c r="L176" s="719"/>
      <c r="M176" s="709"/>
      <c r="N176" s="709"/>
      <c r="O176" s="709"/>
      <c r="P176" s="719"/>
      <c r="Q176" s="709"/>
      <c r="R176" s="709"/>
      <c r="S176" s="709"/>
      <c r="T176" s="710"/>
      <c r="U176" s="721"/>
      <c r="V176" s="722"/>
      <c r="W176" s="722"/>
      <c r="X176" s="722"/>
      <c r="Y176" s="722"/>
      <c r="Z176" s="722"/>
      <c r="AA176" s="723"/>
      <c r="AB176" s="853"/>
      <c r="AC176" s="854"/>
      <c r="AD176" s="854"/>
      <c r="AE176" s="854"/>
      <c r="AF176" s="854"/>
      <c r="AG176" s="854"/>
      <c r="AH176" s="854"/>
      <c r="AI176" s="854"/>
      <c r="AJ176" s="854"/>
      <c r="AK176" s="854"/>
      <c r="AL176" s="855"/>
      <c r="AM176" s="909"/>
      <c r="AN176" s="712"/>
      <c r="AO176" s="712"/>
      <c r="AP176" s="712"/>
      <c r="AQ176" s="712"/>
      <c r="AR176" s="712"/>
      <c r="AS176" s="713"/>
      <c r="AT176" s="909"/>
      <c r="AU176" s="712"/>
      <c r="AV176" s="712"/>
      <c r="AW176" s="713"/>
      <c r="AX176" s="908"/>
      <c r="AY176" s="712"/>
      <c r="AZ176" s="712"/>
      <c r="BA176" s="712"/>
      <c r="BB176" s="712"/>
      <c r="BC176" s="713"/>
      <c r="BD176" s="909"/>
      <c r="BE176" s="712"/>
      <c r="BF176" s="712"/>
      <c r="BG176" s="713"/>
      <c r="BH176" s="908"/>
      <c r="BI176" s="712"/>
      <c r="BJ176" s="712"/>
      <c r="BK176" s="712"/>
      <c r="BL176" s="910"/>
      <c r="BN176" s="881"/>
      <c r="BO176" s="709"/>
      <c r="BP176" s="884"/>
      <c r="BT176" s="792"/>
      <c r="BU176" s="793"/>
      <c r="BV176" s="738" t="str">
        <f>IF(BT176="","-",(IF(INDEX($A$5:$BP$257,MATCH(BT176,$BN$5:$BN$257,0),50)="Aço Inoxidável",('Densidade do AR'!$S$8*1000000),IF(INDEX($A$5:$BP$257,MATCH(BT176,$BN$5:$BN$257,0),50)="Ferro Fundido",('Densidade do AR'!$S$12*1000000),IF(INDEX($A$5:$BP$257,MATCH(BT176,$BN$5:$BN$257,0),50)="Latão",('Densidade do AR'!$S$10*1000000),IF(INDEX($A$5:$BP$257,MATCH(BT176,$BN$5:$BN$257,0),50)="Alumínio",('Densidade do AR'!$S$4*1000000)))))))</f>
        <v>-</v>
      </c>
      <c r="BW176" s="739"/>
      <c r="BX176" s="739"/>
      <c r="BY176" s="740"/>
      <c r="BZ176" s="741" t="str">
        <f t="shared" si="52"/>
        <v>-</v>
      </c>
      <c r="CA176" s="742"/>
      <c r="CB176" s="742"/>
      <c r="CC176" s="743"/>
      <c r="CD176" s="741" t="str">
        <f t="shared" si="44"/>
        <v>-</v>
      </c>
      <c r="CE176" s="742"/>
      <c r="CF176" s="742"/>
      <c r="CG176" s="743"/>
      <c r="CH176" s="744" t="str">
        <f t="shared" si="53"/>
        <v>-</v>
      </c>
      <c r="CI176" s="739"/>
      <c r="CJ176" s="739"/>
      <c r="CK176" s="740"/>
      <c r="CL176" s="744" t="str">
        <f t="shared" si="45"/>
        <v>-</v>
      </c>
      <c r="CM176" s="739"/>
      <c r="CN176" s="739"/>
      <c r="CO176" s="740"/>
      <c r="CP176" s="744" t="str">
        <f>IF(BT176="","-",INDEX($A$5:$BP$257,MATCH(BT176,$BN$5:$BN$257,0),39)*(IF(BT176="","-",(1+(((-('Densidade do AR'!$M$4))+('Densidade do AR'!$T$15*1000000))/(IF(INDEX($A$5:$BP$257,MATCH(BT176,$BN$5:$BN$257,0),50)="Aço Inoxidável",('Densidade do AR'!$S$8*1000000),IF(INDEX($A$5:$BP$257,MATCH(BT176,$BN$5:$BN$257,0),50)="Ferro Fundido",('Densidade do AR'!$S$12*1000000),IF(INDEX($A$5:$BP$257,MATCH(BT176,$BN$5:$BN$257,0),50)="Latão",('Densidade do AR'!$S$10*1000000),IF(INDEX($A$5:$BP$257,MATCH(BT176,$BN$5:$BN$257,0),50)="Alumínio",('Densidade do AR'!$S$4*1000000)))))))-(((-('Densidade do AR'!$M$4))+('Densidade do AR'!$T$15*1000000))/('Densidade do AR'!$S$14*1000000))))))</f>
        <v>-</v>
      </c>
      <c r="CQ176" s="739"/>
      <c r="CR176" s="739"/>
      <c r="CS176" s="745"/>
      <c r="CT176" s="91" t="str">
        <f t="shared" si="54"/>
        <v>-</v>
      </c>
      <c r="CU176" s="792"/>
      <c r="CV176" s="793"/>
      <c r="CW176" s="738" t="str">
        <f>IF(CU176="","-",(IF(INDEX($A$5:$BP$257,MATCH(CU176,$BN$5:$BN$257,0),50)="Aço Inoxidável",('Densidade do AR'!$S$8*1000000),IF(INDEX($A$5:$BP$257,MATCH(CU176,$BN$5:$BN$257,0),50)="Ferro Fundido",('Densidade do AR'!$S$12*1000000),IF(INDEX($A$5:$BP$257,MATCH(CU176,$BN$5:$BN$257,0),50)="Latão",('Densidade do AR'!$S$10*1000000),IF(INDEX($A$5:$BP$257,MATCH(CU176,$BN$5:$BN$257,0),50)="Alumínio",('Densidade do AR'!$S$4*1000000)))))))</f>
        <v>-</v>
      </c>
      <c r="CX176" s="739"/>
      <c r="CY176" s="739"/>
      <c r="CZ176" s="740"/>
      <c r="DA176" s="741" t="str">
        <f t="shared" si="55"/>
        <v>-</v>
      </c>
      <c r="DB176" s="742"/>
      <c r="DC176" s="742"/>
      <c r="DD176" s="743"/>
      <c r="DE176" s="741" t="str">
        <f t="shared" si="46"/>
        <v>-</v>
      </c>
      <c r="DF176" s="742"/>
      <c r="DG176" s="742"/>
      <c r="DH176" s="743"/>
      <c r="DI176" s="744" t="str">
        <f t="shared" si="56"/>
        <v>-</v>
      </c>
      <c r="DJ176" s="739"/>
      <c r="DK176" s="739"/>
      <c r="DL176" s="740"/>
      <c r="DM176" s="744" t="str">
        <f t="shared" si="47"/>
        <v>-</v>
      </c>
      <c r="DN176" s="739"/>
      <c r="DO176" s="739"/>
      <c r="DP176" s="740"/>
      <c r="DQ176" s="744" t="str">
        <f>IF(CU176="","-",INDEX($A$5:$BP$257,MATCH(CU176,$BN$5:$BN$257,0),39)*(IF(CU176="","-",(1+(((-('Densidade do AR'!$M$4))+('Densidade do AR'!$T$15*1000000))/(IF(INDEX($A$5:$BP$257,MATCH(CU176,$BN$5:$BN$257,0),50)="Aço Inoxidável",('Densidade do AR'!$S$8*1000000),IF(INDEX($A$5:$BP$257,MATCH(CU176,$BN$5:$BN$257,0),50)="Ferro Fundido",('Densidade do AR'!$S$12*1000000),IF(INDEX($A$5:$BP$257,MATCH(CU176,$BN$5:$BN$257,0),50)="Latão",('Densidade do AR'!$S$10*1000000),IF(INDEX($A$5:$BP$257,MATCH(CU176,$BN$5:$BN$257,0),50)="Alumínio",('Densidade do AR'!$S$4*1000000)))))))-(((-('Densidade do AR'!$M$4))+('Densidade do AR'!$T$15*1000000))/('Densidade do AR'!$S$14*1000000))))))</f>
        <v>-</v>
      </c>
      <c r="DR176" s="739"/>
      <c r="DS176" s="739"/>
      <c r="DT176" s="745"/>
      <c r="DU176" s="91" t="str">
        <f t="shared" si="57"/>
        <v>-</v>
      </c>
      <c r="DV176" s="792"/>
      <c r="DW176" s="793"/>
      <c r="DX176" s="738" t="str">
        <f>IF(DV176="","-",(IF(INDEX($A$5:$BP$257,MATCH(DV176,$BN$5:$BN$257,0),50)="Aço Inoxidável",('Densidade do AR'!$S$8*1000000),IF(INDEX($A$5:$BP$257,MATCH(DV176,$BN$5:$BN$257,0),50)="Ferro Fundido",('Densidade do AR'!$S$12*1000000),IF(INDEX($A$5:$BP$257,MATCH(DV176,$BN$5:$BN$257,0),50)="Latão",('Densidade do AR'!$S$10*1000000),IF(INDEX($A$5:$BP$257,MATCH(DV176,$BN$5:$BN$257,0),50)="Alumínio",('Densidade do AR'!$S$4*1000000)))))))</f>
        <v>-</v>
      </c>
      <c r="DY176" s="739"/>
      <c r="DZ176" s="739"/>
      <c r="EA176" s="740"/>
      <c r="EB176" s="741" t="str">
        <f t="shared" si="58"/>
        <v>-</v>
      </c>
      <c r="EC176" s="742"/>
      <c r="ED176" s="742"/>
      <c r="EE176" s="743"/>
      <c r="EF176" s="741" t="str">
        <f t="shared" si="48"/>
        <v>-</v>
      </c>
      <c r="EG176" s="742"/>
      <c r="EH176" s="742"/>
      <c r="EI176" s="743"/>
      <c r="EJ176" s="744" t="str">
        <f t="shared" si="59"/>
        <v>-</v>
      </c>
      <c r="EK176" s="739"/>
      <c r="EL176" s="739"/>
      <c r="EM176" s="740"/>
      <c r="EN176" s="744" t="str">
        <f t="shared" si="49"/>
        <v>-</v>
      </c>
      <c r="EO176" s="739"/>
      <c r="EP176" s="739"/>
      <c r="EQ176" s="740"/>
      <c r="ER176" s="744" t="str">
        <f>IF(DV176="","-",INDEX($A$5:$BP$257,MATCH(DV176,$BN$5:$BN$257,0),39)*(IF(DV176="","-",(1+(((-('Densidade do AR'!$M$4))+('Densidade do AR'!$T$15*1000000))/(IF(INDEX($A$5:$BP$257,MATCH(DV176,$BN$5:$BN$257,0),50)="Aço Inoxidável",('Densidade do AR'!$S$8*1000000),IF(INDEX($A$5:$BP$257,MATCH(DV176,$BN$5:$BN$257,0),50)="Ferro Fundido",('Densidade do AR'!$S$12*1000000),IF(INDEX($A$5:$BP$257,MATCH(DV176,$BN$5:$BN$257,0),50)="Latão",('Densidade do AR'!$S$10*1000000),IF(INDEX($A$5:$BP$257,MATCH(DV176,$BN$5:$BN$257,0),50)="Alumínio",('Densidade do AR'!$S$4*1000000)))))))-(((-('Densidade do AR'!$M$4))+('Densidade do AR'!$T$15*1000000))/('Densidade do AR'!$S$14*1000000))))))</f>
        <v>-</v>
      </c>
      <c r="ES176" s="739"/>
      <c r="ET176" s="739"/>
      <c r="EU176" s="745"/>
      <c r="EV176" s="91" t="str">
        <f t="shared" si="60"/>
        <v>-</v>
      </c>
      <c r="EW176" s="792"/>
      <c r="EX176" s="793"/>
      <c r="EY176" s="738" t="str">
        <f>IF(EW176="","-",(IF(INDEX($A$5:$BP$257,MATCH(EW176,$BN$5:$BN$257,0),50)="Aço Inoxidável",('Densidade do AR'!$S$8*1000000),IF(INDEX($A$5:$BP$257,MATCH(EW176,$BN$5:$BN$257,0),50)="Ferro Fundido",('Densidade do AR'!$S$12*1000000),IF(INDEX($A$5:$BP$257,MATCH(EW176,$BN$5:$BN$257,0),50)="Latão",('Densidade do AR'!$S$10*1000000),IF(INDEX($A$5:$BP$257,MATCH(EW176,$BN$5:$BN$257,0),50)="Alumínio",('Densidade do AR'!$S$4*1000000)))))))</f>
        <v>-</v>
      </c>
      <c r="EZ176" s="739"/>
      <c r="FA176" s="739"/>
      <c r="FB176" s="740"/>
      <c r="FC176" s="741" t="str">
        <f t="shared" si="61"/>
        <v>-</v>
      </c>
      <c r="FD176" s="742"/>
      <c r="FE176" s="742"/>
      <c r="FF176" s="743"/>
      <c r="FG176" s="741" t="str">
        <f t="shared" si="50"/>
        <v>-</v>
      </c>
      <c r="FH176" s="742"/>
      <c r="FI176" s="742"/>
      <c r="FJ176" s="743"/>
      <c r="FK176" s="744" t="str">
        <f t="shared" si="62"/>
        <v>-</v>
      </c>
      <c r="FL176" s="739"/>
      <c r="FM176" s="739"/>
      <c r="FN176" s="740"/>
      <c r="FO176" s="744" t="str">
        <f t="shared" si="51"/>
        <v>-</v>
      </c>
      <c r="FP176" s="739"/>
      <c r="FQ176" s="739"/>
      <c r="FR176" s="740"/>
      <c r="FS176" s="744" t="str">
        <f>IF(EW176="","-",INDEX($A$5:$BP$257,MATCH(EW176,$BN$5:$BN$257,0),39)*(IF(EW176="","-",(1+(((-('Densidade do AR'!$M$4))+('Densidade do AR'!$T$15*1000000))/(IF(INDEX($A$5:$BP$257,MATCH(EW176,$BN$5:$BN$257,0),50)="Aço Inoxidável",('Densidade do AR'!$S$8*1000000),IF(INDEX($A$5:$BP$257,MATCH(EW176,$BN$5:$BN$257,0),50)="Ferro Fundido",('Densidade do AR'!$S$12*1000000),IF(INDEX($A$5:$BP$257,MATCH(EW176,$BN$5:$BN$257,0),50)="Latão",('Densidade do AR'!$S$10*1000000),IF(INDEX($A$5:$BP$257,MATCH(EW176,$BN$5:$BN$257,0),50)="Alumínio",('Densidade do AR'!$S$4*1000000)))))))-(((-('Densidade do AR'!$M$4))+('Densidade do AR'!$T$15*1000000))/('Densidade do AR'!$S$14*1000000))))))</f>
        <v>-</v>
      </c>
      <c r="FT176" s="739"/>
      <c r="FU176" s="739"/>
      <c r="FV176" s="745"/>
      <c r="FW176" s="91" t="str">
        <f t="shared" si="63"/>
        <v>-</v>
      </c>
      <c r="FX176" s="135"/>
    </row>
    <row r="177" spans="1:180" ht="12.75" customHeight="1" x14ac:dyDescent="0.2">
      <c r="A177" s="717">
        <v>173</v>
      </c>
      <c r="B177" s="713"/>
      <c r="C177" s="708"/>
      <c r="D177" s="709"/>
      <c r="E177" s="709"/>
      <c r="F177" s="709"/>
      <c r="G177" s="710"/>
      <c r="H177" s="711"/>
      <c r="I177" s="712"/>
      <c r="J177" s="712"/>
      <c r="K177" s="713"/>
      <c r="L177" s="708"/>
      <c r="M177" s="709"/>
      <c r="N177" s="709"/>
      <c r="O177" s="709"/>
      <c r="P177" s="708"/>
      <c r="Q177" s="709"/>
      <c r="R177" s="709"/>
      <c r="S177" s="709"/>
      <c r="T177" s="710"/>
      <c r="U177" s="714"/>
      <c r="V177" s="715"/>
      <c r="W177" s="715"/>
      <c r="X177" s="715"/>
      <c r="Y177" s="715"/>
      <c r="Z177" s="715"/>
      <c r="AA177" s="716"/>
      <c r="AB177" s="850"/>
      <c r="AC177" s="851"/>
      <c r="AD177" s="851"/>
      <c r="AE177" s="851"/>
      <c r="AF177" s="851"/>
      <c r="AG177" s="851"/>
      <c r="AH177" s="851"/>
      <c r="AI177" s="851"/>
      <c r="AJ177" s="851"/>
      <c r="AK177" s="851"/>
      <c r="AL177" s="852"/>
      <c r="AM177" s="917"/>
      <c r="AN177" s="712"/>
      <c r="AO177" s="712"/>
      <c r="AP177" s="712"/>
      <c r="AQ177" s="712"/>
      <c r="AR177" s="712"/>
      <c r="AS177" s="713"/>
      <c r="AT177" s="917"/>
      <c r="AU177" s="712"/>
      <c r="AV177" s="712"/>
      <c r="AW177" s="713"/>
      <c r="AX177" s="917"/>
      <c r="AY177" s="712"/>
      <c r="AZ177" s="712"/>
      <c r="BA177" s="712"/>
      <c r="BB177" s="712"/>
      <c r="BC177" s="713"/>
      <c r="BD177" s="917"/>
      <c r="BE177" s="712"/>
      <c r="BF177" s="712"/>
      <c r="BG177" s="713"/>
      <c r="BH177" s="918"/>
      <c r="BI177" s="712"/>
      <c r="BJ177" s="712"/>
      <c r="BK177" s="712"/>
      <c r="BL177" s="910"/>
      <c r="BN177" s="878"/>
      <c r="BO177" s="879"/>
      <c r="BP177" s="880"/>
      <c r="BT177" s="794"/>
      <c r="BU177" s="795"/>
      <c r="BV177" s="784" t="str">
        <f>IF(BT177="","-",(IF(INDEX($A$5:$BP$257,MATCH(BT177,$BN$5:$BN$257,0),50)="Aço Inoxidável",('Densidade do AR'!$S$8*1000000),IF(INDEX($A$5:$BP$257,MATCH(BT177,$BN$5:$BN$257,0),50)="Ferro Fundido",('Densidade do AR'!$S$12*1000000),IF(INDEX($A$5:$BP$257,MATCH(BT177,$BN$5:$BN$257,0),50)="Latão",('Densidade do AR'!$S$10*1000000),IF(INDEX($A$5:$BP$257,MATCH(BT177,$BN$5:$BN$257,0),50)="Alumínio",('Densidade do AR'!$S$4*1000000)))))))</f>
        <v>-</v>
      </c>
      <c r="BW177" s="785"/>
      <c r="BX177" s="785"/>
      <c r="BY177" s="786"/>
      <c r="BZ177" s="787" t="str">
        <f t="shared" si="52"/>
        <v>-</v>
      </c>
      <c r="CA177" s="788"/>
      <c r="CB177" s="788"/>
      <c r="CC177" s="789"/>
      <c r="CD177" s="787" t="str">
        <f t="shared" si="44"/>
        <v>-</v>
      </c>
      <c r="CE177" s="788"/>
      <c r="CF177" s="788"/>
      <c r="CG177" s="789"/>
      <c r="CH177" s="790" t="str">
        <f t="shared" si="53"/>
        <v>-</v>
      </c>
      <c r="CI177" s="785"/>
      <c r="CJ177" s="785"/>
      <c r="CK177" s="786"/>
      <c r="CL177" s="790" t="str">
        <f t="shared" si="45"/>
        <v>-</v>
      </c>
      <c r="CM177" s="785"/>
      <c r="CN177" s="785"/>
      <c r="CO177" s="786"/>
      <c r="CP177" s="790" t="str">
        <f>IF(BT177="","-",INDEX($A$5:$BP$257,MATCH(BT177,$BN$5:$BN$257,0),39)*(IF(BT177="","-",(1+(((-('Densidade do AR'!$M$4))+('Densidade do AR'!$T$15*1000000))/(IF(INDEX($A$5:$BP$257,MATCH(BT177,$BN$5:$BN$257,0),50)="Aço Inoxidável",('Densidade do AR'!$S$8*1000000),IF(INDEX($A$5:$BP$257,MATCH(BT177,$BN$5:$BN$257,0),50)="Ferro Fundido",('Densidade do AR'!$S$12*1000000),IF(INDEX($A$5:$BP$257,MATCH(BT177,$BN$5:$BN$257,0),50)="Latão",('Densidade do AR'!$S$10*1000000),IF(INDEX($A$5:$BP$257,MATCH(BT177,$BN$5:$BN$257,0),50)="Alumínio",('Densidade do AR'!$S$4*1000000)))))))-(((-('Densidade do AR'!$M$4))+('Densidade do AR'!$T$15*1000000))/('Densidade do AR'!$S$14*1000000))))))</f>
        <v>-</v>
      </c>
      <c r="CQ177" s="785"/>
      <c r="CR177" s="785"/>
      <c r="CS177" s="791"/>
      <c r="CT177" s="91" t="str">
        <f t="shared" si="54"/>
        <v>-</v>
      </c>
      <c r="CU177" s="794"/>
      <c r="CV177" s="795"/>
      <c r="CW177" s="784" t="str">
        <f>IF(CU177="","-",(IF(INDEX($A$5:$BP$257,MATCH(CU177,$BN$5:$BN$257,0),50)="Aço Inoxidável",('Densidade do AR'!$S$8*1000000),IF(INDEX($A$5:$BP$257,MATCH(CU177,$BN$5:$BN$257,0),50)="Ferro Fundido",('Densidade do AR'!$S$12*1000000),IF(INDEX($A$5:$BP$257,MATCH(CU177,$BN$5:$BN$257,0),50)="Latão",('Densidade do AR'!$S$10*1000000),IF(INDEX($A$5:$BP$257,MATCH(CU177,$BN$5:$BN$257,0),50)="Alumínio",('Densidade do AR'!$S$4*1000000)))))))</f>
        <v>-</v>
      </c>
      <c r="CX177" s="785"/>
      <c r="CY177" s="785"/>
      <c r="CZ177" s="786"/>
      <c r="DA177" s="787" t="str">
        <f t="shared" si="55"/>
        <v>-</v>
      </c>
      <c r="DB177" s="788"/>
      <c r="DC177" s="788"/>
      <c r="DD177" s="789"/>
      <c r="DE177" s="787" t="str">
        <f t="shared" si="46"/>
        <v>-</v>
      </c>
      <c r="DF177" s="788"/>
      <c r="DG177" s="788"/>
      <c r="DH177" s="789"/>
      <c r="DI177" s="790" t="str">
        <f t="shared" si="56"/>
        <v>-</v>
      </c>
      <c r="DJ177" s="785"/>
      <c r="DK177" s="785"/>
      <c r="DL177" s="786"/>
      <c r="DM177" s="790" t="str">
        <f t="shared" si="47"/>
        <v>-</v>
      </c>
      <c r="DN177" s="785"/>
      <c r="DO177" s="785"/>
      <c r="DP177" s="786"/>
      <c r="DQ177" s="790" t="str">
        <f>IF(CU177="","-",INDEX($A$5:$BP$257,MATCH(CU177,$BN$5:$BN$257,0),39)*(IF(CU177="","-",(1+(((-('Densidade do AR'!$M$4))+('Densidade do AR'!$T$15*1000000))/(IF(INDEX($A$5:$BP$257,MATCH(CU177,$BN$5:$BN$257,0),50)="Aço Inoxidável",('Densidade do AR'!$S$8*1000000),IF(INDEX($A$5:$BP$257,MATCH(CU177,$BN$5:$BN$257,0),50)="Ferro Fundido",('Densidade do AR'!$S$12*1000000),IF(INDEX($A$5:$BP$257,MATCH(CU177,$BN$5:$BN$257,0),50)="Latão",('Densidade do AR'!$S$10*1000000),IF(INDEX($A$5:$BP$257,MATCH(CU177,$BN$5:$BN$257,0),50)="Alumínio",('Densidade do AR'!$S$4*1000000)))))))-(((-('Densidade do AR'!$M$4))+('Densidade do AR'!$T$15*1000000))/('Densidade do AR'!$S$14*1000000))))))</f>
        <v>-</v>
      </c>
      <c r="DR177" s="785"/>
      <c r="DS177" s="785"/>
      <c r="DT177" s="791"/>
      <c r="DU177" s="91" t="str">
        <f t="shared" si="57"/>
        <v>-</v>
      </c>
      <c r="DV177" s="794"/>
      <c r="DW177" s="795"/>
      <c r="DX177" s="784" t="str">
        <f>IF(DV177="","-",(IF(INDEX($A$5:$BP$257,MATCH(DV177,$BN$5:$BN$257,0),50)="Aço Inoxidável",('Densidade do AR'!$S$8*1000000),IF(INDEX($A$5:$BP$257,MATCH(DV177,$BN$5:$BN$257,0),50)="Ferro Fundido",('Densidade do AR'!$S$12*1000000),IF(INDEX($A$5:$BP$257,MATCH(DV177,$BN$5:$BN$257,0),50)="Latão",('Densidade do AR'!$S$10*1000000),IF(INDEX($A$5:$BP$257,MATCH(DV177,$BN$5:$BN$257,0),50)="Alumínio",('Densidade do AR'!$S$4*1000000)))))))</f>
        <v>-</v>
      </c>
      <c r="DY177" s="785"/>
      <c r="DZ177" s="785"/>
      <c r="EA177" s="786"/>
      <c r="EB177" s="787" t="str">
        <f t="shared" si="58"/>
        <v>-</v>
      </c>
      <c r="EC177" s="788"/>
      <c r="ED177" s="788"/>
      <c r="EE177" s="789"/>
      <c r="EF177" s="787" t="str">
        <f t="shared" si="48"/>
        <v>-</v>
      </c>
      <c r="EG177" s="788"/>
      <c r="EH177" s="788"/>
      <c r="EI177" s="789"/>
      <c r="EJ177" s="790" t="str">
        <f t="shared" si="59"/>
        <v>-</v>
      </c>
      <c r="EK177" s="785"/>
      <c r="EL177" s="785"/>
      <c r="EM177" s="786"/>
      <c r="EN177" s="790" t="str">
        <f t="shared" si="49"/>
        <v>-</v>
      </c>
      <c r="EO177" s="785"/>
      <c r="EP177" s="785"/>
      <c r="EQ177" s="786"/>
      <c r="ER177" s="790" t="str">
        <f>IF(DV177="","-",INDEX($A$5:$BP$257,MATCH(DV177,$BN$5:$BN$257,0),39)*(IF(DV177="","-",(1+(((-('Densidade do AR'!$M$4))+('Densidade do AR'!$T$15*1000000))/(IF(INDEX($A$5:$BP$257,MATCH(DV177,$BN$5:$BN$257,0),50)="Aço Inoxidável",('Densidade do AR'!$S$8*1000000),IF(INDEX($A$5:$BP$257,MATCH(DV177,$BN$5:$BN$257,0),50)="Ferro Fundido",('Densidade do AR'!$S$12*1000000),IF(INDEX($A$5:$BP$257,MATCH(DV177,$BN$5:$BN$257,0),50)="Latão",('Densidade do AR'!$S$10*1000000),IF(INDEX($A$5:$BP$257,MATCH(DV177,$BN$5:$BN$257,0),50)="Alumínio",('Densidade do AR'!$S$4*1000000)))))))-(((-('Densidade do AR'!$M$4))+('Densidade do AR'!$T$15*1000000))/('Densidade do AR'!$S$14*1000000))))))</f>
        <v>-</v>
      </c>
      <c r="ES177" s="785"/>
      <c r="ET177" s="785"/>
      <c r="EU177" s="791"/>
      <c r="EV177" s="91" t="str">
        <f t="shared" si="60"/>
        <v>-</v>
      </c>
      <c r="EW177" s="794"/>
      <c r="EX177" s="795"/>
      <c r="EY177" s="784" t="str">
        <f>IF(EW177="","-",(IF(INDEX($A$5:$BP$257,MATCH(EW177,$BN$5:$BN$257,0),50)="Aço Inoxidável",('Densidade do AR'!$S$8*1000000),IF(INDEX($A$5:$BP$257,MATCH(EW177,$BN$5:$BN$257,0),50)="Ferro Fundido",('Densidade do AR'!$S$12*1000000),IF(INDEX($A$5:$BP$257,MATCH(EW177,$BN$5:$BN$257,0),50)="Latão",('Densidade do AR'!$S$10*1000000),IF(INDEX($A$5:$BP$257,MATCH(EW177,$BN$5:$BN$257,0),50)="Alumínio",('Densidade do AR'!$S$4*1000000)))))))</f>
        <v>-</v>
      </c>
      <c r="EZ177" s="785"/>
      <c r="FA177" s="785"/>
      <c r="FB177" s="786"/>
      <c r="FC177" s="787" t="str">
        <f t="shared" si="61"/>
        <v>-</v>
      </c>
      <c r="FD177" s="788"/>
      <c r="FE177" s="788"/>
      <c r="FF177" s="789"/>
      <c r="FG177" s="787" t="str">
        <f t="shared" si="50"/>
        <v>-</v>
      </c>
      <c r="FH177" s="788"/>
      <c r="FI177" s="788"/>
      <c r="FJ177" s="789"/>
      <c r="FK177" s="790" t="str">
        <f t="shared" si="62"/>
        <v>-</v>
      </c>
      <c r="FL177" s="785"/>
      <c r="FM177" s="785"/>
      <c r="FN177" s="786"/>
      <c r="FO177" s="790" t="str">
        <f t="shared" si="51"/>
        <v>-</v>
      </c>
      <c r="FP177" s="785"/>
      <c r="FQ177" s="785"/>
      <c r="FR177" s="786"/>
      <c r="FS177" s="790" t="str">
        <f>IF(EW177="","-",INDEX($A$5:$BP$257,MATCH(EW177,$BN$5:$BN$257,0),39)*(IF(EW177="","-",(1+(((-('Densidade do AR'!$M$4))+('Densidade do AR'!$T$15*1000000))/(IF(INDEX($A$5:$BP$257,MATCH(EW177,$BN$5:$BN$257,0),50)="Aço Inoxidável",('Densidade do AR'!$S$8*1000000),IF(INDEX($A$5:$BP$257,MATCH(EW177,$BN$5:$BN$257,0),50)="Ferro Fundido",('Densidade do AR'!$S$12*1000000),IF(INDEX($A$5:$BP$257,MATCH(EW177,$BN$5:$BN$257,0),50)="Latão",('Densidade do AR'!$S$10*1000000),IF(INDEX($A$5:$BP$257,MATCH(EW177,$BN$5:$BN$257,0),50)="Alumínio",('Densidade do AR'!$S$4*1000000)))))))-(((-('Densidade do AR'!$M$4))+('Densidade do AR'!$T$15*1000000))/('Densidade do AR'!$S$14*1000000))))))</f>
        <v>-</v>
      </c>
      <c r="FT177" s="785"/>
      <c r="FU177" s="785"/>
      <c r="FV177" s="791"/>
      <c r="FW177" s="91" t="str">
        <f t="shared" si="63"/>
        <v>-</v>
      </c>
      <c r="FX177" s="135"/>
    </row>
    <row r="178" spans="1:180" ht="12.75" customHeight="1" x14ac:dyDescent="0.2">
      <c r="A178" s="718">
        <v>174</v>
      </c>
      <c r="B178" s="713"/>
      <c r="C178" s="719"/>
      <c r="D178" s="709"/>
      <c r="E178" s="709"/>
      <c r="F178" s="709"/>
      <c r="G178" s="710"/>
      <c r="H178" s="720"/>
      <c r="I178" s="712"/>
      <c r="J178" s="712"/>
      <c r="K178" s="713"/>
      <c r="L178" s="719"/>
      <c r="M178" s="709"/>
      <c r="N178" s="709"/>
      <c r="O178" s="709"/>
      <c r="P178" s="719"/>
      <c r="Q178" s="709"/>
      <c r="R178" s="709"/>
      <c r="S178" s="709"/>
      <c r="T178" s="710"/>
      <c r="U178" s="721"/>
      <c r="V178" s="722"/>
      <c r="W178" s="722"/>
      <c r="X178" s="722"/>
      <c r="Y178" s="722"/>
      <c r="Z178" s="722"/>
      <c r="AA178" s="723"/>
      <c r="AB178" s="853"/>
      <c r="AC178" s="854"/>
      <c r="AD178" s="854"/>
      <c r="AE178" s="854"/>
      <c r="AF178" s="854"/>
      <c r="AG178" s="854"/>
      <c r="AH178" s="854"/>
      <c r="AI178" s="854"/>
      <c r="AJ178" s="854"/>
      <c r="AK178" s="854"/>
      <c r="AL178" s="855"/>
      <c r="AM178" s="909"/>
      <c r="AN178" s="712"/>
      <c r="AO178" s="712"/>
      <c r="AP178" s="712"/>
      <c r="AQ178" s="712"/>
      <c r="AR178" s="712"/>
      <c r="AS178" s="713"/>
      <c r="AT178" s="909"/>
      <c r="AU178" s="712"/>
      <c r="AV178" s="712"/>
      <c r="AW178" s="713"/>
      <c r="AX178" s="908"/>
      <c r="AY178" s="712"/>
      <c r="AZ178" s="712"/>
      <c r="BA178" s="712"/>
      <c r="BB178" s="712"/>
      <c r="BC178" s="713"/>
      <c r="BD178" s="909"/>
      <c r="BE178" s="712"/>
      <c r="BF178" s="712"/>
      <c r="BG178" s="713"/>
      <c r="BH178" s="908"/>
      <c r="BI178" s="712"/>
      <c r="BJ178" s="712"/>
      <c r="BK178" s="712"/>
      <c r="BL178" s="910"/>
      <c r="BN178" s="881"/>
      <c r="BO178" s="882"/>
      <c r="BP178" s="883"/>
      <c r="BT178" s="792"/>
      <c r="BU178" s="793"/>
      <c r="BV178" s="738" t="str">
        <f>IF(BT178="","-",(IF(INDEX($A$5:$BP$257,MATCH(BT178,$BN$5:$BN$257,0),50)="Aço Inoxidável",('Densidade do AR'!$S$8*1000000),IF(INDEX($A$5:$BP$257,MATCH(BT178,$BN$5:$BN$257,0),50)="Ferro Fundido",('Densidade do AR'!$S$12*1000000),IF(INDEX($A$5:$BP$257,MATCH(BT178,$BN$5:$BN$257,0),50)="Latão",('Densidade do AR'!$S$10*1000000),IF(INDEX($A$5:$BP$257,MATCH(BT178,$BN$5:$BN$257,0),50)="Alumínio",('Densidade do AR'!$S$4*1000000)))))))</f>
        <v>-</v>
      </c>
      <c r="BW178" s="739"/>
      <c r="BX178" s="739"/>
      <c r="BY178" s="740"/>
      <c r="BZ178" s="741" t="str">
        <f t="shared" si="52"/>
        <v>-</v>
      </c>
      <c r="CA178" s="742"/>
      <c r="CB178" s="742"/>
      <c r="CC178" s="743"/>
      <c r="CD178" s="741" t="str">
        <f t="shared" si="44"/>
        <v>-</v>
      </c>
      <c r="CE178" s="742"/>
      <c r="CF178" s="742"/>
      <c r="CG178" s="743"/>
      <c r="CH178" s="744" t="str">
        <f t="shared" si="53"/>
        <v>-</v>
      </c>
      <c r="CI178" s="739"/>
      <c r="CJ178" s="739"/>
      <c r="CK178" s="740"/>
      <c r="CL178" s="744" t="str">
        <f t="shared" si="45"/>
        <v>-</v>
      </c>
      <c r="CM178" s="739"/>
      <c r="CN178" s="739"/>
      <c r="CO178" s="740"/>
      <c r="CP178" s="744" t="str">
        <f>IF(BT178="","-",INDEX($A$5:$BP$257,MATCH(BT178,$BN$5:$BN$257,0),39)*(IF(BT178="","-",(1+(((-('Densidade do AR'!$M$4))+('Densidade do AR'!$T$15*1000000))/(IF(INDEX($A$5:$BP$257,MATCH(BT178,$BN$5:$BN$257,0),50)="Aço Inoxidável",('Densidade do AR'!$S$8*1000000),IF(INDEX($A$5:$BP$257,MATCH(BT178,$BN$5:$BN$257,0),50)="Ferro Fundido",('Densidade do AR'!$S$12*1000000),IF(INDEX($A$5:$BP$257,MATCH(BT178,$BN$5:$BN$257,0),50)="Latão",('Densidade do AR'!$S$10*1000000),IF(INDEX($A$5:$BP$257,MATCH(BT178,$BN$5:$BN$257,0),50)="Alumínio",('Densidade do AR'!$S$4*1000000)))))))-(((-('Densidade do AR'!$M$4))+('Densidade do AR'!$T$15*1000000))/('Densidade do AR'!$S$14*1000000))))))</f>
        <v>-</v>
      </c>
      <c r="CQ178" s="739"/>
      <c r="CR178" s="739"/>
      <c r="CS178" s="745"/>
      <c r="CT178" s="91" t="str">
        <f t="shared" si="54"/>
        <v>-</v>
      </c>
      <c r="CU178" s="792"/>
      <c r="CV178" s="793"/>
      <c r="CW178" s="738" t="str">
        <f>IF(CU178="","-",(IF(INDEX($A$5:$BP$257,MATCH(CU178,$BN$5:$BN$257,0),50)="Aço Inoxidável",('Densidade do AR'!$S$8*1000000),IF(INDEX($A$5:$BP$257,MATCH(CU178,$BN$5:$BN$257,0),50)="Ferro Fundido",('Densidade do AR'!$S$12*1000000),IF(INDEX($A$5:$BP$257,MATCH(CU178,$BN$5:$BN$257,0),50)="Latão",('Densidade do AR'!$S$10*1000000),IF(INDEX($A$5:$BP$257,MATCH(CU178,$BN$5:$BN$257,0),50)="Alumínio",('Densidade do AR'!$S$4*1000000)))))))</f>
        <v>-</v>
      </c>
      <c r="CX178" s="739"/>
      <c r="CY178" s="739"/>
      <c r="CZ178" s="740"/>
      <c r="DA178" s="741" t="str">
        <f t="shared" si="55"/>
        <v>-</v>
      </c>
      <c r="DB178" s="742"/>
      <c r="DC178" s="742"/>
      <c r="DD178" s="743"/>
      <c r="DE178" s="741" t="str">
        <f t="shared" si="46"/>
        <v>-</v>
      </c>
      <c r="DF178" s="742"/>
      <c r="DG178" s="742"/>
      <c r="DH178" s="743"/>
      <c r="DI178" s="744" t="str">
        <f t="shared" si="56"/>
        <v>-</v>
      </c>
      <c r="DJ178" s="739"/>
      <c r="DK178" s="739"/>
      <c r="DL178" s="740"/>
      <c r="DM178" s="744" t="str">
        <f t="shared" si="47"/>
        <v>-</v>
      </c>
      <c r="DN178" s="739"/>
      <c r="DO178" s="739"/>
      <c r="DP178" s="740"/>
      <c r="DQ178" s="744" t="str">
        <f>IF(CU178="","-",INDEX($A$5:$BP$257,MATCH(CU178,$BN$5:$BN$257,0),39)*(IF(CU178="","-",(1+(((-('Densidade do AR'!$M$4))+('Densidade do AR'!$T$15*1000000))/(IF(INDEX($A$5:$BP$257,MATCH(CU178,$BN$5:$BN$257,0),50)="Aço Inoxidável",('Densidade do AR'!$S$8*1000000),IF(INDEX($A$5:$BP$257,MATCH(CU178,$BN$5:$BN$257,0),50)="Ferro Fundido",('Densidade do AR'!$S$12*1000000),IF(INDEX($A$5:$BP$257,MATCH(CU178,$BN$5:$BN$257,0),50)="Latão",('Densidade do AR'!$S$10*1000000),IF(INDEX($A$5:$BP$257,MATCH(CU178,$BN$5:$BN$257,0),50)="Alumínio",('Densidade do AR'!$S$4*1000000)))))))-(((-('Densidade do AR'!$M$4))+('Densidade do AR'!$T$15*1000000))/('Densidade do AR'!$S$14*1000000))))))</f>
        <v>-</v>
      </c>
      <c r="DR178" s="739"/>
      <c r="DS178" s="739"/>
      <c r="DT178" s="745"/>
      <c r="DU178" s="91" t="str">
        <f t="shared" si="57"/>
        <v>-</v>
      </c>
      <c r="DV178" s="792"/>
      <c r="DW178" s="793"/>
      <c r="DX178" s="738" t="str">
        <f>IF(DV178="","-",(IF(INDEX($A$5:$BP$257,MATCH(DV178,$BN$5:$BN$257,0),50)="Aço Inoxidável",('Densidade do AR'!$S$8*1000000),IF(INDEX($A$5:$BP$257,MATCH(DV178,$BN$5:$BN$257,0),50)="Ferro Fundido",('Densidade do AR'!$S$12*1000000),IF(INDEX($A$5:$BP$257,MATCH(DV178,$BN$5:$BN$257,0),50)="Latão",('Densidade do AR'!$S$10*1000000),IF(INDEX($A$5:$BP$257,MATCH(DV178,$BN$5:$BN$257,0),50)="Alumínio",('Densidade do AR'!$S$4*1000000)))))))</f>
        <v>-</v>
      </c>
      <c r="DY178" s="739"/>
      <c r="DZ178" s="739"/>
      <c r="EA178" s="740"/>
      <c r="EB178" s="741" t="str">
        <f t="shared" si="58"/>
        <v>-</v>
      </c>
      <c r="EC178" s="742"/>
      <c r="ED178" s="742"/>
      <c r="EE178" s="743"/>
      <c r="EF178" s="741" t="str">
        <f t="shared" si="48"/>
        <v>-</v>
      </c>
      <c r="EG178" s="742"/>
      <c r="EH178" s="742"/>
      <c r="EI178" s="743"/>
      <c r="EJ178" s="744" t="str">
        <f t="shared" si="59"/>
        <v>-</v>
      </c>
      <c r="EK178" s="739"/>
      <c r="EL178" s="739"/>
      <c r="EM178" s="740"/>
      <c r="EN178" s="744" t="str">
        <f t="shared" si="49"/>
        <v>-</v>
      </c>
      <c r="EO178" s="739"/>
      <c r="EP178" s="739"/>
      <c r="EQ178" s="740"/>
      <c r="ER178" s="744" t="str">
        <f>IF(DV178="","-",INDEX($A$5:$BP$257,MATCH(DV178,$BN$5:$BN$257,0),39)*(IF(DV178="","-",(1+(((-('Densidade do AR'!$M$4))+('Densidade do AR'!$T$15*1000000))/(IF(INDEX($A$5:$BP$257,MATCH(DV178,$BN$5:$BN$257,0),50)="Aço Inoxidável",('Densidade do AR'!$S$8*1000000),IF(INDEX($A$5:$BP$257,MATCH(DV178,$BN$5:$BN$257,0),50)="Ferro Fundido",('Densidade do AR'!$S$12*1000000),IF(INDEX($A$5:$BP$257,MATCH(DV178,$BN$5:$BN$257,0),50)="Latão",('Densidade do AR'!$S$10*1000000),IF(INDEX($A$5:$BP$257,MATCH(DV178,$BN$5:$BN$257,0),50)="Alumínio",('Densidade do AR'!$S$4*1000000)))))))-(((-('Densidade do AR'!$M$4))+('Densidade do AR'!$T$15*1000000))/('Densidade do AR'!$S$14*1000000))))))</f>
        <v>-</v>
      </c>
      <c r="ES178" s="739"/>
      <c r="ET178" s="739"/>
      <c r="EU178" s="745"/>
      <c r="EV178" s="91" t="str">
        <f t="shared" si="60"/>
        <v>-</v>
      </c>
      <c r="EW178" s="792"/>
      <c r="EX178" s="793"/>
      <c r="EY178" s="738" t="str">
        <f>IF(EW178="","-",(IF(INDEX($A$5:$BP$257,MATCH(EW178,$BN$5:$BN$257,0),50)="Aço Inoxidável",('Densidade do AR'!$S$8*1000000),IF(INDEX($A$5:$BP$257,MATCH(EW178,$BN$5:$BN$257,0),50)="Ferro Fundido",('Densidade do AR'!$S$12*1000000),IF(INDEX($A$5:$BP$257,MATCH(EW178,$BN$5:$BN$257,0),50)="Latão",('Densidade do AR'!$S$10*1000000),IF(INDEX($A$5:$BP$257,MATCH(EW178,$BN$5:$BN$257,0),50)="Alumínio",('Densidade do AR'!$S$4*1000000)))))))</f>
        <v>-</v>
      </c>
      <c r="EZ178" s="739"/>
      <c r="FA178" s="739"/>
      <c r="FB178" s="740"/>
      <c r="FC178" s="741" t="str">
        <f t="shared" si="61"/>
        <v>-</v>
      </c>
      <c r="FD178" s="742"/>
      <c r="FE178" s="742"/>
      <c r="FF178" s="743"/>
      <c r="FG178" s="741" t="str">
        <f t="shared" si="50"/>
        <v>-</v>
      </c>
      <c r="FH178" s="742"/>
      <c r="FI178" s="742"/>
      <c r="FJ178" s="743"/>
      <c r="FK178" s="744" t="str">
        <f t="shared" si="62"/>
        <v>-</v>
      </c>
      <c r="FL178" s="739"/>
      <c r="FM178" s="739"/>
      <c r="FN178" s="740"/>
      <c r="FO178" s="744" t="str">
        <f t="shared" si="51"/>
        <v>-</v>
      </c>
      <c r="FP178" s="739"/>
      <c r="FQ178" s="739"/>
      <c r="FR178" s="740"/>
      <c r="FS178" s="744" t="str">
        <f>IF(EW178="","-",INDEX($A$5:$BP$257,MATCH(EW178,$BN$5:$BN$257,0),39)*(IF(EW178="","-",(1+(((-('Densidade do AR'!$M$4))+('Densidade do AR'!$T$15*1000000))/(IF(INDEX($A$5:$BP$257,MATCH(EW178,$BN$5:$BN$257,0),50)="Aço Inoxidável",('Densidade do AR'!$S$8*1000000),IF(INDEX($A$5:$BP$257,MATCH(EW178,$BN$5:$BN$257,0),50)="Ferro Fundido",('Densidade do AR'!$S$12*1000000),IF(INDEX($A$5:$BP$257,MATCH(EW178,$BN$5:$BN$257,0),50)="Latão",('Densidade do AR'!$S$10*1000000),IF(INDEX($A$5:$BP$257,MATCH(EW178,$BN$5:$BN$257,0),50)="Alumínio",('Densidade do AR'!$S$4*1000000)))))))-(((-('Densidade do AR'!$M$4))+('Densidade do AR'!$T$15*1000000))/('Densidade do AR'!$S$14*1000000))))))</f>
        <v>-</v>
      </c>
      <c r="FT178" s="739"/>
      <c r="FU178" s="739"/>
      <c r="FV178" s="745"/>
      <c r="FW178" s="91" t="str">
        <f t="shared" si="63"/>
        <v>-</v>
      </c>
      <c r="FX178" s="135"/>
    </row>
    <row r="179" spans="1:180" ht="12.75" customHeight="1" x14ac:dyDescent="0.2">
      <c r="A179" s="717">
        <v>175</v>
      </c>
      <c r="B179" s="713"/>
      <c r="C179" s="708"/>
      <c r="D179" s="709"/>
      <c r="E179" s="709"/>
      <c r="F179" s="709"/>
      <c r="G179" s="710"/>
      <c r="H179" s="711"/>
      <c r="I179" s="712"/>
      <c r="J179" s="712"/>
      <c r="K179" s="713"/>
      <c r="L179" s="708"/>
      <c r="M179" s="709"/>
      <c r="N179" s="709"/>
      <c r="O179" s="709"/>
      <c r="P179" s="708"/>
      <c r="Q179" s="709"/>
      <c r="R179" s="709"/>
      <c r="S179" s="709"/>
      <c r="T179" s="710"/>
      <c r="U179" s="714"/>
      <c r="V179" s="715"/>
      <c r="W179" s="715"/>
      <c r="X179" s="715"/>
      <c r="Y179" s="715"/>
      <c r="Z179" s="715"/>
      <c r="AA179" s="716"/>
      <c r="AB179" s="850"/>
      <c r="AC179" s="851"/>
      <c r="AD179" s="851"/>
      <c r="AE179" s="851"/>
      <c r="AF179" s="851"/>
      <c r="AG179" s="851"/>
      <c r="AH179" s="851"/>
      <c r="AI179" s="851"/>
      <c r="AJ179" s="851"/>
      <c r="AK179" s="851"/>
      <c r="AL179" s="852"/>
      <c r="AM179" s="917"/>
      <c r="AN179" s="712"/>
      <c r="AO179" s="712"/>
      <c r="AP179" s="712"/>
      <c r="AQ179" s="712"/>
      <c r="AR179" s="712"/>
      <c r="AS179" s="713"/>
      <c r="AT179" s="917"/>
      <c r="AU179" s="712"/>
      <c r="AV179" s="712"/>
      <c r="AW179" s="713"/>
      <c r="AX179" s="917"/>
      <c r="AY179" s="712"/>
      <c r="AZ179" s="712"/>
      <c r="BA179" s="712"/>
      <c r="BB179" s="712"/>
      <c r="BC179" s="713"/>
      <c r="BD179" s="917"/>
      <c r="BE179" s="712"/>
      <c r="BF179" s="712"/>
      <c r="BG179" s="713"/>
      <c r="BH179" s="918"/>
      <c r="BI179" s="712"/>
      <c r="BJ179" s="712"/>
      <c r="BK179" s="712"/>
      <c r="BL179" s="910"/>
      <c r="BN179" s="878"/>
      <c r="BO179" s="879"/>
      <c r="BP179" s="880"/>
      <c r="BT179" s="794"/>
      <c r="BU179" s="795"/>
      <c r="BV179" s="784" t="str">
        <f>IF(BT179="","-",(IF(INDEX($A$5:$BP$257,MATCH(BT179,$BN$5:$BN$257,0),50)="Aço Inoxidável",('Densidade do AR'!$S$8*1000000),IF(INDEX($A$5:$BP$257,MATCH(BT179,$BN$5:$BN$257,0),50)="Ferro Fundido",('Densidade do AR'!$S$12*1000000),IF(INDEX($A$5:$BP$257,MATCH(BT179,$BN$5:$BN$257,0),50)="Latão",('Densidade do AR'!$S$10*1000000),IF(INDEX($A$5:$BP$257,MATCH(BT179,$BN$5:$BN$257,0),50)="Alumínio",('Densidade do AR'!$S$4*1000000)))))))</f>
        <v>-</v>
      </c>
      <c r="BW179" s="785"/>
      <c r="BX179" s="785"/>
      <c r="BY179" s="786"/>
      <c r="BZ179" s="787" t="str">
        <f t="shared" si="52"/>
        <v>-</v>
      </c>
      <c r="CA179" s="788"/>
      <c r="CB179" s="788"/>
      <c r="CC179" s="789"/>
      <c r="CD179" s="787" t="str">
        <f t="shared" si="44"/>
        <v>-</v>
      </c>
      <c r="CE179" s="788"/>
      <c r="CF179" s="788"/>
      <c r="CG179" s="789"/>
      <c r="CH179" s="790" t="str">
        <f t="shared" si="53"/>
        <v>-</v>
      </c>
      <c r="CI179" s="785"/>
      <c r="CJ179" s="785"/>
      <c r="CK179" s="786"/>
      <c r="CL179" s="790" t="str">
        <f t="shared" si="45"/>
        <v>-</v>
      </c>
      <c r="CM179" s="785"/>
      <c r="CN179" s="785"/>
      <c r="CO179" s="786"/>
      <c r="CP179" s="790" t="str">
        <f>IF(BT179="","-",INDEX($A$5:$BP$257,MATCH(BT179,$BN$5:$BN$257,0),39)*(IF(BT179="","-",(1+(((-('Densidade do AR'!$M$4))+('Densidade do AR'!$T$15*1000000))/(IF(INDEX($A$5:$BP$257,MATCH(BT179,$BN$5:$BN$257,0),50)="Aço Inoxidável",('Densidade do AR'!$S$8*1000000),IF(INDEX($A$5:$BP$257,MATCH(BT179,$BN$5:$BN$257,0),50)="Ferro Fundido",('Densidade do AR'!$S$12*1000000),IF(INDEX($A$5:$BP$257,MATCH(BT179,$BN$5:$BN$257,0),50)="Latão",('Densidade do AR'!$S$10*1000000),IF(INDEX($A$5:$BP$257,MATCH(BT179,$BN$5:$BN$257,0),50)="Alumínio",('Densidade do AR'!$S$4*1000000)))))))-(((-('Densidade do AR'!$M$4))+('Densidade do AR'!$T$15*1000000))/('Densidade do AR'!$S$14*1000000))))))</f>
        <v>-</v>
      </c>
      <c r="CQ179" s="785"/>
      <c r="CR179" s="785"/>
      <c r="CS179" s="791"/>
      <c r="CT179" s="91" t="str">
        <f t="shared" si="54"/>
        <v>-</v>
      </c>
      <c r="CU179" s="794"/>
      <c r="CV179" s="795"/>
      <c r="CW179" s="784" t="str">
        <f>IF(CU179="","-",(IF(INDEX($A$5:$BP$257,MATCH(CU179,$BN$5:$BN$257,0),50)="Aço Inoxidável",('Densidade do AR'!$S$8*1000000),IF(INDEX($A$5:$BP$257,MATCH(CU179,$BN$5:$BN$257,0),50)="Ferro Fundido",('Densidade do AR'!$S$12*1000000),IF(INDEX($A$5:$BP$257,MATCH(CU179,$BN$5:$BN$257,0),50)="Latão",('Densidade do AR'!$S$10*1000000),IF(INDEX($A$5:$BP$257,MATCH(CU179,$BN$5:$BN$257,0),50)="Alumínio",('Densidade do AR'!$S$4*1000000)))))))</f>
        <v>-</v>
      </c>
      <c r="CX179" s="785"/>
      <c r="CY179" s="785"/>
      <c r="CZ179" s="786"/>
      <c r="DA179" s="787" t="str">
        <f t="shared" si="55"/>
        <v>-</v>
      </c>
      <c r="DB179" s="788"/>
      <c r="DC179" s="788"/>
      <c r="DD179" s="789"/>
      <c r="DE179" s="787" t="str">
        <f t="shared" si="46"/>
        <v>-</v>
      </c>
      <c r="DF179" s="788"/>
      <c r="DG179" s="788"/>
      <c r="DH179" s="789"/>
      <c r="DI179" s="790" t="str">
        <f t="shared" si="56"/>
        <v>-</v>
      </c>
      <c r="DJ179" s="785"/>
      <c r="DK179" s="785"/>
      <c r="DL179" s="786"/>
      <c r="DM179" s="790" t="str">
        <f t="shared" si="47"/>
        <v>-</v>
      </c>
      <c r="DN179" s="785"/>
      <c r="DO179" s="785"/>
      <c r="DP179" s="786"/>
      <c r="DQ179" s="790" t="str">
        <f>IF(CU179="","-",INDEX($A$5:$BP$257,MATCH(CU179,$BN$5:$BN$257,0),39)*(IF(CU179="","-",(1+(((-('Densidade do AR'!$M$4))+('Densidade do AR'!$T$15*1000000))/(IF(INDEX($A$5:$BP$257,MATCH(CU179,$BN$5:$BN$257,0),50)="Aço Inoxidável",('Densidade do AR'!$S$8*1000000),IF(INDEX($A$5:$BP$257,MATCH(CU179,$BN$5:$BN$257,0),50)="Ferro Fundido",('Densidade do AR'!$S$12*1000000),IF(INDEX($A$5:$BP$257,MATCH(CU179,$BN$5:$BN$257,0),50)="Latão",('Densidade do AR'!$S$10*1000000),IF(INDEX($A$5:$BP$257,MATCH(CU179,$BN$5:$BN$257,0),50)="Alumínio",('Densidade do AR'!$S$4*1000000)))))))-(((-('Densidade do AR'!$M$4))+('Densidade do AR'!$T$15*1000000))/('Densidade do AR'!$S$14*1000000))))))</f>
        <v>-</v>
      </c>
      <c r="DR179" s="785"/>
      <c r="DS179" s="785"/>
      <c r="DT179" s="791"/>
      <c r="DU179" s="91" t="str">
        <f t="shared" si="57"/>
        <v>-</v>
      </c>
      <c r="DV179" s="794"/>
      <c r="DW179" s="795"/>
      <c r="DX179" s="784" t="str">
        <f>IF(DV179="","-",(IF(INDEX($A$5:$BP$257,MATCH(DV179,$BN$5:$BN$257,0),50)="Aço Inoxidável",('Densidade do AR'!$S$8*1000000),IF(INDEX($A$5:$BP$257,MATCH(DV179,$BN$5:$BN$257,0),50)="Ferro Fundido",('Densidade do AR'!$S$12*1000000),IF(INDEX($A$5:$BP$257,MATCH(DV179,$BN$5:$BN$257,0),50)="Latão",('Densidade do AR'!$S$10*1000000),IF(INDEX($A$5:$BP$257,MATCH(DV179,$BN$5:$BN$257,0),50)="Alumínio",('Densidade do AR'!$S$4*1000000)))))))</f>
        <v>-</v>
      </c>
      <c r="DY179" s="785"/>
      <c r="DZ179" s="785"/>
      <c r="EA179" s="786"/>
      <c r="EB179" s="787" t="str">
        <f t="shared" si="58"/>
        <v>-</v>
      </c>
      <c r="EC179" s="788"/>
      <c r="ED179" s="788"/>
      <c r="EE179" s="789"/>
      <c r="EF179" s="787" t="str">
        <f t="shared" si="48"/>
        <v>-</v>
      </c>
      <c r="EG179" s="788"/>
      <c r="EH179" s="788"/>
      <c r="EI179" s="789"/>
      <c r="EJ179" s="790" t="str">
        <f t="shared" si="59"/>
        <v>-</v>
      </c>
      <c r="EK179" s="785"/>
      <c r="EL179" s="785"/>
      <c r="EM179" s="786"/>
      <c r="EN179" s="790" t="str">
        <f t="shared" si="49"/>
        <v>-</v>
      </c>
      <c r="EO179" s="785"/>
      <c r="EP179" s="785"/>
      <c r="EQ179" s="786"/>
      <c r="ER179" s="790" t="str">
        <f>IF(DV179="","-",INDEX($A$5:$BP$257,MATCH(DV179,$BN$5:$BN$257,0),39)*(IF(DV179="","-",(1+(((-('Densidade do AR'!$M$4))+('Densidade do AR'!$T$15*1000000))/(IF(INDEX($A$5:$BP$257,MATCH(DV179,$BN$5:$BN$257,0),50)="Aço Inoxidável",('Densidade do AR'!$S$8*1000000),IF(INDEX($A$5:$BP$257,MATCH(DV179,$BN$5:$BN$257,0),50)="Ferro Fundido",('Densidade do AR'!$S$12*1000000),IF(INDEX($A$5:$BP$257,MATCH(DV179,$BN$5:$BN$257,0),50)="Latão",('Densidade do AR'!$S$10*1000000),IF(INDEX($A$5:$BP$257,MATCH(DV179,$BN$5:$BN$257,0),50)="Alumínio",('Densidade do AR'!$S$4*1000000)))))))-(((-('Densidade do AR'!$M$4))+('Densidade do AR'!$T$15*1000000))/('Densidade do AR'!$S$14*1000000))))))</f>
        <v>-</v>
      </c>
      <c r="ES179" s="785"/>
      <c r="ET179" s="785"/>
      <c r="EU179" s="791"/>
      <c r="EV179" s="91" t="str">
        <f t="shared" si="60"/>
        <v>-</v>
      </c>
      <c r="EW179" s="794"/>
      <c r="EX179" s="795"/>
      <c r="EY179" s="784" t="str">
        <f>IF(EW179="","-",(IF(INDEX($A$5:$BP$257,MATCH(EW179,$BN$5:$BN$257,0),50)="Aço Inoxidável",('Densidade do AR'!$S$8*1000000),IF(INDEX($A$5:$BP$257,MATCH(EW179,$BN$5:$BN$257,0),50)="Ferro Fundido",('Densidade do AR'!$S$12*1000000),IF(INDEX($A$5:$BP$257,MATCH(EW179,$BN$5:$BN$257,0),50)="Latão",('Densidade do AR'!$S$10*1000000),IF(INDEX($A$5:$BP$257,MATCH(EW179,$BN$5:$BN$257,0),50)="Alumínio",('Densidade do AR'!$S$4*1000000)))))))</f>
        <v>-</v>
      </c>
      <c r="EZ179" s="785"/>
      <c r="FA179" s="785"/>
      <c r="FB179" s="786"/>
      <c r="FC179" s="787" t="str">
        <f t="shared" si="61"/>
        <v>-</v>
      </c>
      <c r="FD179" s="788"/>
      <c r="FE179" s="788"/>
      <c r="FF179" s="789"/>
      <c r="FG179" s="787" t="str">
        <f t="shared" si="50"/>
        <v>-</v>
      </c>
      <c r="FH179" s="788"/>
      <c r="FI179" s="788"/>
      <c r="FJ179" s="789"/>
      <c r="FK179" s="790" t="str">
        <f t="shared" si="62"/>
        <v>-</v>
      </c>
      <c r="FL179" s="785"/>
      <c r="FM179" s="785"/>
      <c r="FN179" s="786"/>
      <c r="FO179" s="790" t="str">
        <f t="shared" si="51"/>
        <v>-</v>
      </c>
      <c r="FP179" s="785"/>
      <c r="FQ179" s="785"/>
      <c r="FR179" s="786"/>
      <c r="FS179" s="790" t="str">
        <f>IF(EW179="","-",INDEX($A$5:$BP$257,MATCH(EW179,$BN$5:$BN$257,0),39)*(IF(EW179="","-",(1+(((-('Densidade do AR'!$M$4))+('Densidade do AR'!$T$15*1000000))/(IF(INDEX($A$5:$BP$257,MATCH(EW179,$BN$5:$BN$257,0),50)="Aço Inoxidável",('Densidade do AR'!$S$8*1000000),IF(INDEX($A$5:$BP$257,MATCH(EW179,$BN$5:$BN$257,0),50)="Ferro Fundido",('Densidade do AR'!$S$12*1000000),IF(INDEX($A$5:$BP$257,MATCH(EW179,$BN$5:$BN$257,0),50)="Latão",('Densidade do AR'!$S$10*1000000),IF(INDEX($A$5:$BP$257,MATCH(EW179,$BN$5:$BN$257,0),50)="Alumínio",('Densidade do AR'!$S$4*1000000)))))))-(((-('Densidade do AR'!$M$4))+('Densidade do AR'!$T$15*1000000))/('Densidade do AR'!$S$14*1000000))))))</f>
        <v>-</v>
      </c>
      <c r="FT179" s="785"/>
      <c r="FU179" s="785"/>
      <c r="FV179" s="791"/>
      <c r="FW179" s="91" t="str">
        <f t="shared" si="63"/>
        <v>-</v>
      </c>
      <c r="FX179" s="135"/>
    </row>
    <row r="180" spans="1:180" ht="12.75" customHeight="1" x14ac:dyDescent="0.2">
      <c r="A180" s="718">
        <v>176</v>
      </c>
      <c r="B180" s="713"/>
      <c r="C180" s="719"/>
      <c r="D180" s="709"/>
      <c r="E180" s="709"/>
      <c r="F180" s="709"/>
      <c r="G180" s="710"/>
      <c r="H180" s="720"/>
      <c r="I180" s="712"/>
      <c r="J180" s="712"/>
      <c r="K180" s="713"/>
      <c r="L180" s="719"/>
      <c r="M180" s="709"/>
      <c r="N180" s="709"/>
      <c r="O180" s="709"/>
      <c r="P180" s="719"/>
      <c r="Q180" s="709"/>
      <c r="R180" s="709"/>
      <c r="S180" s="709"/>
      <c r="T180" s="710"/>
      <c r="U180" s="721"/>
      <c r="V180" s="722"/>
      <c r="W180" s="722"/>
      <c r="X180" s="722"/>
      <c r="Y180" s="722"/>
      <c r="Z180" s="722"/>
      <c r="AA180" s="723"/>
      <c r="AB180" s="853"/>
      <c r="AC180" s="854"/>
      <c r="AD180" s="854"/>
      <c r="AE180" s="854"/>
      <c r="AF180" s="854"/>
      <c r="AG180" s="854"/>
      <c r="AH180" s="854"/>
      <c r="AI180" s="854"/>
      <c r="AJ180" s="854"/>
      <c r="AK180" s="854"/>
      <c r="AL180" s="855"/>
      <c r="AM180" s="909"/>
      <c r="AN180" s="712"/>
      <c r="AO180" s="712"/>
      <c r="AP180" s="712"/>
      <c r="AQ180" s="712"/>
      <c r="AR180" s="712"/>
      <c r="AS180" s="713"/>
      <c r="AT180" s="909"/>
      <c r="AU180" s="712"/>
      <c r="AV180" s="712"/>
      <c r="AW180" s="713"/>
      <c r="AX180" s="908"/>
      <c r="AY180" s="712"/>
      <c r="AZ180" s="712"/>
      <c r="BA180" s="712"/>
      <c r="BB180" s="712"/>
      <c r="BC180" s="713"/>
      <c r="BD180" s="909"/>
      <c r="BE180" s="712"/>
      <c r="BF180" s="712"/>
      <c r="BG180" s="713"/>
      <c r="BH180" s="908"/>
      <c r="BI180" s="712"/>
      <c r="BJ180" s="712"/>
      <c r="BK180" s="712"/>
      <c r="BL180" s="910"/>
      <c r="BN180" s="881"/>
      <c r="BO180" s="882"/>
      <c r="BP180" s="883"/>
      <c r="BT180" s="792"/>
      <c r="BU180" s="793"/>
      <c r="BV180" s="738" t="str">
        <f>IF(BT180="","-",(IF(INDEX($A$5:$BP$257,MATCH(BT180,$BN$5:$BN$257,0),50)="Aço Inoxidável",('Densidade do AR'!$S$8*1000000),IF(INDEX($A$5:$BP$257,MATCH(BT180,$BN$5:$BN$257,0),50)="Ferro Fundido",('Densidade do AR'!$S$12*1000000),IF(INDEX($A$5:$BP$257,MATCH(BT180,$BN$5:$BN$257,0),50)="Latão",('Densidade do AR'!$S$10*1000000),IF(INDEX($A$5:$BP$257,MATCH(BT180,$BN$5:$BN$257,0),50)="Alumínio",('Densidade do AR'!$S$4*1000000)))))))</f>
        <v>-</v>
      </c>
      <c r="BW180" s="739"/>
      <c r="BX180" s="739"/>
      <c r="BY180" s="740"/>
      <c r="BZ180" s="741" t="str">
        <f t="shared" si="52"/>
        <v>-</v>
      </c>
      <c r="CA180" s="742"/>
      <c r="CB180" s="742"/>
      <c r="CC180" s="743"/>
      <c r="CD180" s="741" t="str">
        <f t="shared" si="44"/>
        <v>-</v>
      </c>
      <c r="CE180" s="742"/>
      <c r="CF180" s="742"/>
      <c r="CG180" s="743"/>
      <c r="CH180" s="744" t="str">
        <f t="shared" si="53"/>
        <v>-</v>
      </c>
      <c r="CI180" s="739"/>
      <c r="CJ180" s="739"/>
      <c r="CK180" s="740"/>
      <c r="CL180" s="744" t="str">
        <f t="shared" si="45"/>
        <v>-</v>
      </c>
      <c r="CM180" s="739"/>
      <c r="CN180" s="739"/>
      <c r="CO180" s="740"/>
      <c r="CP180" s="744" t="str">
        <f>IF(BT180="","-",INDEX($A$5:$BP$257,MATCH(BT180,$BN$5:$BN$257,0),39)*(IF(BT180="","-",(1+(((-('Densidade do AR'!$M$4))+('Densidade do AR'!$T$15*1000000))/(IF(INDEX($A$5:$BP$257,MATCH(BT180,$BN$5:$BN$257,0),50)="Aço Inoxidável",('Densidade do AR'!$S$8*1000000),IF(INDEX($A$5:$BP$257,MATCH(BT180,$BN$5:$BN$257,0),50)="Ferro Fundido",('Densidade do AR'!$S$12*1000000),IF(INDEX($A$5:$BP$257,MATCH(BT180,$BN$5:$BN$257,0),50)="Latão",('Densidade do AR'!$S$10*1000000),IF(INDEX($A$5:$BP$257,MATCH(BT180,$BN$5:$BN$257,0),50)="Alumínio",('Densidade do AR'!$S$4*1000000)))))))-(((-('Densidade do AR'!$M$4))+('Densidade do AR'!$T$15*1000000))/('Densidade do AR'!$S$14*1000000))))))</f>
        <v>-</v>
      </c>
      <c r="CQ180" s="739"/>
      <c r="CR180" s="739"/>
      <c r="CS180" s="745"/>
      <c r="CT180" s="91" t="str">
        <f t="shared" si="54"/>
        <v>-</v>
      </c>
      <c r="CU180" s="792"/>
      <c r="CV180" s="793"/>
      <c r="CW180" s="738" t="str">
        <f>IF(CU180="","-",(IF(INDEX($A$5:$BP$257,MATCH(CU180,$BN$5:$BN$257,0),50)="Aço Inoxidável",('Densidade do AR'!$S$8*1000000),IF(INDEX($A$5:$BP$257,MATCH(CU180,$BN$5:$BN$257,0),50)="Ferro Fundido",('Densidade do AR'!$S$12*1000000),IF(INDEX($A$5:$BP$257,MATCH(CU180,$BN$5:$BN$257,0),50)="Latão",('Densidade do AR'!$S$10*1000000),IF(INDEX($A$5:$BP$257,MATCH(CU180,$BN$5:$BN$257,0),50)="Alumínio",('Densidade do AR'!$S$4*1000000)))))))</f>
        <v>-</v>
      </c>
      <c r="CX180" s="739"/>
      <c r="CY180" s="739"/>
      <c r="CZ180" s="740"/>
      <c r="DA180" s="741" t="str">
        <f t="shared" si="55"/>
        <v>-</v>
      </c>
      <c r="DB180" s="742"/>
      <c r="DC180" s="742"/>
      <c r="DD180" s="743"/>
      <c r="DE180" s="741" t="str">
        <f t="shared" si="46"/>
        <v>-</v>
      </c>
      <c r="DF180" s="742"/>
      <c r="DG180" s="742"/>
      <c r="DH180" s="743"/>
      <c r="DI180" s="744" t="str">
        <f t="shared" si="56"/>
        <v>-</v>
      </c>
      <c r="DJ180" s="739"/>
      <c r="DK180" s="739"/>
      <c r="DL180" s="740"/>
      <c r="DM180" s="744" t="str">
        <f t="shared" si="47"/>
        <v>-</v>
      </c>
      <c r="DN180" s="739"/>
      <c r="DO180" s="739"/>
      <c r="DP180" s="740"/>
      <c r="DQ180" s="744" t="str">
        <f>IF(CU180="","-",INDEX($A$5:$BP$257,MATCH(CU180,$BN$5:$BN$257,0),39)*(IF(CU180="","-",(1+(((-('Densidade do AR'!$M$4))+('Densidade do AR'!$T$15*1000000))/(IF(INDEX($A$5:$BP$257,MATCH(CU180,$BN$5:$BN$257,0),50)="Aço Inoxidável",('Densidade do AR'!$S$8*1000000),IF(INDEX($A$5:$BP$257,MATCH(CU180,$BN$5:$BN$257,0),50)="Ferro Fundido",('Densidade do AR'!$S$12*1000000),IF(INDEX($A$5:$BP$257,MATCH(CU180,$BN$5:$BN$257,0),50)="Latão",('Densidade do AR'!$S$10*1000000),IF(INDEX($A$5:$BP$257,MATCH(CU180,$BN$5:$BN$257,0),50)="Alumínio",('Densidade do AR'!$S$4*1000000)))))))-(((-('Densidade do AR'!$M$4))+('Densidade do AR'!$T$15*1000000))/('Densidade do AR'!$S$14*1000000))))))</f>
        <v>-</v>
      </c>
      <c r="DR180" s="739"/>
      <c r="DS180" s="739"/>
      <c r="DT180" s="745"/>
      <c r="DU180" s="91" t="str">
        <f t="shared" si="57"/>
        <v>-</v>
      </c>
      <c r="DV180" s="792"/>
      <c r="DW180" s="793"/>
      <c r="DX180" s="738" t="str">
        <f>IF(DV180="","-",(IF(INDEX($A$5:$BP$257,MATCH(DV180,$BN$5:$BN$257,0),50)="Aço Inoxidável",('Densidade do AR'!$S$8*1000000),IF(INDEX($A$5:$BP$257,MATCH(DV180,$BN$5:$BN$257,0),50)="Ferro Fundido",('Densidade do AR'!$S$12*1000000),IF(INDEX($A$5:$BP$257,MATCH(DV180,$BN$5:$BN$257,0),50)="Latão",('Densidade do AR'!$S$10*1000000),IF(INDEX($A$5:$BP$257,MATCH(DV180,$BN$5:$BN$257,0),50)="Alumínio",('Densidade do AR'!$S$4*1000000)))))))</f>
        <v>-</v>
      </c>
      <c r="DY180" s="739"/>
      <c r="DZ180" s="739"/>
      <c r="EA180" s="740"/>
      <c r="EB180" s="741" t="str">
        <f t="shared" si="58"/>
        <v>-</v>
      </c>
      <c r="EC180" s="742"/>
      <c r="ED180" s="742"/>
      <c r="EE180" s="743"/>
      <c r="EF180" s="741" t="str">
        <f t="shared" si="48"/>
        <v>-</v>
      </c>
      <c r="EG180" s="742"/>
      <c r="EH180" s="742"/>
      <c r="EI180" s="743"/>
      <c r="EJ180" s="744" t="str">
        <f t="shared" si="59"/>
        <v>-</v>
      </c>
      <c r="EK180" s="739"/>
      <c r="EL180" s="739"/>
      <c r="EM180" s="740"/>
      <c r="EN180" s="744" t="str">
        <f t="shared" si="49"/>
        <v>-</v>
      </c>
      <c r="EO180" s="739"/>
      <c r="EP180" s="739"/>
      <c r="EQ180" s="740"/>
      <c r="ER180" s="744" t="str">
        <f>IF(DV180="","-",INDEX($A$5:$BP$257,MATCH(DV180,$BN$5:$BN$257,0),39)*(IF(DV180="","-",(1+(((-('Densidade do AR'!$M$4))+('Densidade do AR'!$T$15*1000000))/(IF(INDEX($A$5:$BP$257,MATCH(DV180,$BN$5:$BN$257,0),50)="Aço Inoxidável",('Densidade do AR'!$S$8*1000000),IF(INDEX($A$5:$BP$257,MATCH(DV180,$BN$5:$BN$257,0),50)="Ferro Fundido",('Densidade do AR'!$S$12*1000000),IF(INDEX($A$5:$BP$257,MATCH(DV180,$BN$5:$BN$257,0),50)="Latão",('Densidade do AR'!$S$10*1000000),IF(INDEX($A$5:$BP$257,MATCH(DV180,$BN$5:$BN$257,0),50)="Alumínio",('Densidade do AR'!$S$4*1000000)))))))-(((-('Densidade do AR'!$M$4))+('Densidade do AR'!$T$15*1000000))/('Densidade do AR'!$S$14*1000000))))))</f>
        <v>-</v>
      </c>
      <c r="ES180" s="739"/>
      <c r="ET180" s="739"/>
      <c r="EU180" s="745"/>
      <c r="EV180" s="91" t="str">
        <f t="shared" si="60"/>
        <v>-</v>
      </c>
      <c r="EW180" s="792"/>
      <c r="EX180" s="793"/>
      <c r="EY180" s="738" t="str">
        <f>IF(EW180="","-",(IF(INDEX($A$5:$BP$257,MATCH(EW180,$BN$5:$BN$257,0),50)="Aço Inoxidável",('Densidade do AR'!$S$8*1000000),IF(INDEX($A$5:$BP$257,MATCH(EW180,$BN$5:$BN$257,0),50)="Ferro Fundido",('Densidade do AR'!$S$12*1000000),IF(INDEX($A$5:$BP$257,MATCH(EW180,$BN$5:$BN$257,0),50)="Latão",('Densidade do AR'!$S$10*1000000),IF(INDEX($A$5:$BP$257,MATCH(EW180,$BN$5:$BN$257,0),50)="Alumínio",('Densidade do AR'!$S$4*1000000)))))))</f>
        <v>-</v>
      </c>
      <c r="EZ180" s="739"/>
      <c r="FA180" s="739"/>
      <c r="FB180" s="740"/>
      <c r="FC180" s="741" t="str">
        <f t="shared" si="61"/>
        <v>-</v>
      </c>
      <c r="FD180" s="742"/>
      <c r="FE180" s="742"/>
      <c r="FF180" s="743"/>
      <c r="FG180" s="741" t="str">
        <f t="shared" si="50"/>
        <v>-</v>
      </c>
      <c r="FH180" s="742"/>
      <c r="FI180" s="742"/>
      <c r="FJ180" s="743"/>
      <c r="FK180" s="744" t="str">
        <f t="shared" si="62"/>
        <v>-</v>
      </c>
      <c r="FL180" s="739"/>
      <c r="FM180" s="739"/>
      <c r="FN180" s="740"/>
      <c r="FO180" s="744" t="str">
        <f t="shared" si="51"/>
        <v>-</v>
      </c>
      <c r="FP180" s="739"/>
      <c r="FQ180" s="739"/>
      <c r="FR180" s="740"/>
      <c r="FS180" s="744" t="str">
        <f>IF(EW180="","-",INDEX($A$5:$BP$257,MATCH(EW180,$BN$5:$BN$257,0),39)*(IF(EW180="","-",(1+(((-('Densidade do AR'!$M$4))+('Densidade do AR'!$T$15*1000000))/(IF(INDEX($A$5:$BP$257,MATCH(EW180,$BN$5:$BN$257,0),50)="Aço Inoxidável",('Densidade do AR'!$S$8*1000000),IF(INDEX($A$5:$BP$257,MATCH(EW180,$BN$5:$BN$257,0),50)="Ferro Fundido",('Densidade do AR'!$S$12*1000000),IF(INDEX($A$5:$BP$257,MATCH(EW180,$BN$5:$BN$257,0),50)="Latão",('Densidade do AR'!$S$10*1000000),IF(INDEX($A$5:$BP$257,MATCH(EW180,$BN$5:$BN$257,0),50)="Alumínio",('Densidade do AR'!$S$4*1000000)))))))-(((-('Densidade do AR'!$M$4))+('Densidade do AR'!$T$15*1000000))/('Densidade do AR'!$S$14*1000000))))))</f>
        <v>-</v>
      </c>
      <c r="FT180" s="739"/>
      <c r="FU180" s="739"/>
      <c r="FV180" s="745"/>
      <c r="FW180" s="91" t="str">
        <f t="shared" si="63"/>
        <v>-</v>
      </c>
      <c r="FX180" s="135"/>
    </row>
    <row r="181" spans="1:180" ht="12.75" customHeight="1" x14ac:dyDescent="0.2">
      <c r="A181" s="717">
        <v>177</v>
      </c>
      <c r="B181" s="713"/>
      <c r="C181" s="708"/>
      <c r="D181" s="709"/>
      <c r="E181" s="709"/>
      <c r="F181" s="709"/>
      <c r="G181" s="710"/>
      <c r="H181" s="711"/>
      <c r="I181" s="712"/>
      <c r="J181" s="712"/>
      <c r="K181" s="713"/>
      <c r="L181" s="708"/>
      <c r="M181" s="709"/>
      <c r="N181" s="709"/>
      <c r="O181" s="709"/>
      <c r="P181" s="708"/>
      <c r="Q181" s="709"/>
      <c r="R181" s="709"/>
      <c r="S181" s="709"/>
      <c r="T181" s="710"/>
      <c r="U181" s="714"/>
      <c r="V181" s="715"/>
      <c r="W181" s="715"/>
      <c r="X181" s="715"/>
      <c r="Y181" s="715"/>
      <c r="Z181" s="715"/>
      <c r="AA181" s="716"/>
      <c r="AB181" s="850"/>
      <c r="AC181" s="851"/>
      <c r="AD181" s="851"/>
      <c r="AE181" s="851"/>
      <c r="AF181" s="851"/>
      <c r="AG181" s="851"/>
      <c r="AH181" s="851"/>
      <c r="AI181" s="851"/>
      <c r="AJ181" s="851"/>
      <c r="AK181" s="851"/>
      <c r="AL181" s="852"/>
      <c r="AM181" s="917"/>
      <c r="AN181" s="712"/>
      <c r="AO181" s="712"/>
      <c r="AP181" s="712"/>
      <c r="AQ181" s="712"/>
      <c r="AR181" s="712"/>
      <c r="AS181" s="713"/>
      <c r="AT181" s="917"/>
      <c r="AU181" s="712"/>
      <c r="AV181" s="712"/>
      <c r="AW181" s="713"/>
      <c r="AX181" s="917"/>
      <c r="AY181" s="712"/>
      <c r="AZ181" s="712"/>
      <c r="BA181" s="712"/>
      <c r="BB181" s="712"/>
      <c r="BC181" s="713"/>
      <c r="BD181" s="917"/>
      <c r="BE181" s="712"/>
      <c r="BF181" s="712"/>
      <c r="BG181" s="713"/>
      <c r="BH181" s="918"/>
      <c r="BI181" s="712"/>
      <c r="BJ181" s="712"/>
      <c r="BK181" s="712"/>
      <c r="BL181" s="910"/>
      <c r="BN181" s="878"/>
      <c r="BO181" s="879"/>
      <c r="BP181" s="880"/>
      <c r="BT181" s="794"/>
      <c r="BU181" s="795"/>
      <c r="BV181" s="784" t="str">
        <f>IF(BT181="","-",(IF(INDEX($A$5:$BP$257,MATCH(BT181,$BN$5:$BN$257,0),50)="Aço Inoxidável",('Densidade do AR'!$S$8*1000000),IF(INDEX($A$5:$BP$257,MATCH(BT181,$BN$5:$BN$257,0),50)="Ferro Fundido",('Densidade do AR'!$S$12*1000000),IF(INDEX($A$5:$BP$257,MATCH(BT181,$BN$5:$BN$257,0),50)="Latão",('Densidade do AR'!$S$10*1000000),IF(INDEX($A$5:$BP$257,MATCH(BT181,$BN$5:$BN$257,0),50)="Alumínio",('Densidade do AR'!$S$4*1000000)))))))</f>
        <v>-</v>
      </c>
      <c r="BW181" s="785"/>
      <c r="BX181" s="785"/>
      <c r="BY181" s="786"/>
      <c r="BZ181" s="787" t="str">
        <f t="shared" si="52"/>
        <v>-</v>
      </c>
      <c r="CA181" s="788"/>
      <c r="CB181" s="788"/>
      <c r="CC181" s="789"/>
      <c r="CD181" s="787" t="str">
        <f t="shared" si="44"/>
        <v>-</v>
      </c>
      <c r="CE181" s="788"/>
      <c r="CF181" s="788"/>
      <c r="CG181" s="789"/>
      <c r="CH181" s="790" t="str">
        <f t="shared" si="53"/>
        <v>-</v>
      </c>
      <c r="CI181" s="785"/>
      <c r="CJ181" s="785"/>
      <c r="CK181" s="786"/>
      <c r="CL181" s="790" t="str">
        <f t="shared" si="45"/>
        <v>-</v>
      </c>
      <c r="CM181" s="785"/>
      <c r="CN181" s="785"/>
      <c r="CO181" s="786"/>
      <c r="CP181" s="790" t="str">
        <f>IF(BT181="","-",INDEX($A$5:$BP$257,MATCH(BT181,$BN$5:$BN$257,0),39)*(IF(BT181="","-",(1+(((-('Densidade do AR'!$M$4))+('Densidade do AR'!$T$15*1000000))/(IF(INDEX($A$5:$BP$257,MATCH(BT181,$BN$5:$BN$257,0),50)="Aço Inoxidável",('Densidade do AR'!$S$8*1000000),IF(INDEX($A$5:$BP$257,MATCH(BT181,$BN$5:$BN$257,0),50)="Ferro Fundido",('Densidade do AR'!$S$12*1000000),IF(INDEX($A$5:$BP$257,MATCH(BT181,$BN$5:$BN$257,0),50)="Latão",('Densidade do AR'!$S$10*1000000),IF(INDEX($A$5:$BP$257,MATCH(BT181,$BN$5:$BN$257,0),50)="Alumínio",('Densidade do AR'!$S$4*1000000)))))))-(((-('Densidade do AR'!$M$4))+('Densidade do AR'!$T$15*1000000))/('Densidade do AR'!$S$14*1000000))))))</f>
        <v>-</v>
      </c>
      <c r="CQ181" s="785"/>
      <c r="CR181" s="785"/>
      <c r="CS181" s="791"/>
      <c r="CT181" s="91" t="str">
        <f t="shared" si="54"/>
        <v>-</v>
      </c>
      <c r="CU181" s="794"/>
      <c r="CV181" s="795"/>
      <c r="CW181" s="784" t="str">
        <f>IF(CU181="","-",(IF(INDEX($A$5:$BP$257,MATCH(CU181,$BN$5:$BN$257,0),50)="Aço Inoxidável",('Densidade do AR'!$S$8*1000000),IF(INDEX($A$5:$BP$257,MATCH(CU181,$BN$5:$BN$257,0),50)="Ferro Fundido",('Densidade do AR'!$S$12*1000000),IF(INDEX($A$5:$BP$257,MATCH(CU181,$BN$5:$BN$257,0),50)="Latão",('Densidade do AR'!$S$10*1000000),IF(INDEX($A$5:$BP$257,MATCH(CU181,$BN$5:$BN$257,0),50)="Alumínio",('Densidade do AR'!$S$4*1000000)))))))</f>
        <v>-</v>
      </c>
      <c r="CX181" s="785"/>
      <c r="CY181" s="785"/>
      <c r="CZ181" s="786"/>
      <c r="DA181" s="787" t="str">
        <f t="shared" si="55"/>
        <v>-</v>
      </c>
      <c r="DB181" s="788"/>
      <c r="DC181" s="788"/>
      <c r="DD181" s="789"/>
      <c r="DE181" s="787" t="str">
        <f t="shared" si="46"/>
        <v>-</v>
      </c>
      <c r="DF181" s="788"/>
      <c r="DG181" s="788"/>
      <c r="DH181" s="789"/>
      <c r="DI181" s="790" t="str">
        <f t="shared" si="56"/>
        <v>-</v>
      </c>
      <c r="DJ181" s="785"/>
      <c r="DK181" s="785"/>
      <c r="DL181" s="786"/>
      <c r="DM181" s="790" t="str">
        <f t="shared" si="47"/>
        <v>-</v>
      </c>
      <c r="DN181" s="785"/>
      <c r="DO181" s="785"/>
      <c r="DP181" s="786"/>
      <c r="DQ181" s="790" t="str">
        <f>IF(CU181="","-",INDEX($A$5:$BP$257,MATCH(CU181,$BN$5:$BN$257,0),39)*(IF(CU181="","-",(1+(((-('Densidade do AR'!$M$4))+('Densidade do AR'!$T$15*1000000))/(IF(INDEX($A$5:$BP$257,MATCH(CU181,$BN$5:$BN$257,0),50)="Aço Inoxidável",('Densidade do AR'!$S$8*1000000),IF(INDEX($A$5:$BP$257,MATCH(CU181,$BN$5:$BN$257,0),50)="Ferro Fundido",('Densidade do AR'!$S$12*1000000),IF(INDEX($A$5:$BP$257,MATCH(CU181,$BN$5:$BN$257,0),50)="Latão",('Densidade do AR'!$S$10*1000000),IF(INDEX($A$5:$BP$257,MATCH(CU181,$BN$5:$BN$257,0),50)="Alumínio",('Densidade do AR'!$S$4*1000000)))))))-(((-('Densidade do AR'!$M$4))+('Densidade do AR'!$T$15*1000000))/('Densidade do AR'!$S$14*1000000))))))</f>
        <v>-</v>
      </c>
      <c r="DR181" s="785"/>
      <c r="DS181" s="785"/>
      <c r="DT181" s="791"/>
      <c r="DU181" s="91" t="str">
        <f t="shared" si="57"/>
        <v>-</v>
      </c>
      <c r="DV181" s="794"/>
      <c r="DW181" s="795"/>
      <c r="DX181" s="784" t="str">
        <f>IF(DV181="","-",(IF(INDEX($A$5:$BP$257,MATCH(DV181,$BN$5:$BN$257,0),50)="Aço Inoxidável",('Densidade do AR'!$S$8*1000000),IF(INDEX($A$5:$BP$257,MATCH(DV181,$BN$5:$BN$257,0),50)="Ferro Fundido",('Densidade do AR'!$S$12*1000000),IF(INDEX($A$5:$BP$257,MATCH(DV181,$BN$5:$BN$257,0),50)="Latão",('Densidade do AR'!$S$10*1000000),IF(INDEX($A$5:$BP$257,MATCH(DV181,$BN$5:$BN$257,0),50)="Alumínio",('Densidade do AR'!$S$4*1000000)))))))</f>
        <v>-</v>
      </c>
      <c r="DY181" s="785"/>
      <c r="DZ181" s="785"/>
      <c r="EA181" s="786"/>
      <c r="EB181" s="787" t="str">
        <f t="shared" si="58"/>
        <v>-</v>
      </c>
      <c r="EC181" s="788"/>
      <c r="ED181" s="788"/>
      <c r="EE181" s="789"/>
      <c r="EF181" s="787" t="str">
        <f t="shared" si="48"/>
        <v>-</v>
      </c>
      <c r="EG181" s="788"/>
      <c r="EH181" s="788"/>
      <c r="EI181" s="789"/>
      <c r="EJ181" s="790" t="str">
        <f t="shared" si="59"/>
        <v>-</v>
      </c>
      <c r="EK181" s="785"/>
      <c r="EL181" s="785"/>
      <c r="EM181" s="786"/>
      <c r="EN181" s="790" t="str">
        <f t="shared" si="49"/>
        <v>-</v>
      </c>
      <c r="EO181" s="785"/>
      <c r="EP181" s="785"/>
      <c r="EQ181" s="786"/>
      <c r="ER181" s="790" t="str">
        <f>IF(DV181="","-",INDEX($A$5:$BP$257,MATCH(DV181,$BN$5:$BN$257,0),39)*(IF(DV181="","-",(1+(((-('Densidade do AR'!$M$4))+('Densidade do AR'!$T$15*1000000))/(IF(INDEX($A$5:$BP$257,MATCH(DV181,$BN$5:$BN$257,0),50)="Aço Inoxidável",('Densidade do AR'!$S$8*1000000),IF(INDEX($A$5:$BP$257,MATCH(DV181,$BN$5:$BN$257,0),50)="Ferro Fundido",('Densidade do AR'!$S$12*1000000),IF(INDEX($A$5:$BP$257,MATCH(DV181,$BN$5:$BN$257,0),50)="Latão",('Densidade do AR'!$S$10*1000000),IF(INDEX($A$5:$BP$257,MATCH(DV181,$BN$5:$BN$257,0),50)="Alumínio",('Densidade do AR'!$S$4*1000000)))))))-(((-('Densidade do AR'!$M$4))+('Densidade do AR'!$T$15*1000000))/('Densidade do AR'!$S$14*1000000))))))</f>
        <v>-</v>
      </c>
      <c r="ES181" s="785"/>
      <c r="ET181" s="785"/>
      <c r="EU181" s="791"/>
      <c r="EV181" s="91" t="str">
        <f t="shared" si="60"/>
        <v>-</v>
      </c>
      <c r="EW181" s="794"/>
      <c r="EX181" s="795"/>
      <c r="EY181" s="784" t="str">
        <f>IF(EW181="","-",(IF(INDEX($A$5:$BP$257,MATCH(EW181,$BN$5:$BN$257,0),50)="Aço Inoxidável",('Densidade do AR'!$S$8*1000000),IF(INDEX($A$5:$BP$257,MATCH(EW181,$BN$5:$BN$257,0),50)="Ferro Fundido",('Densidade do AR'!$S$12*1000000),IF(INDEX($A$5:$BP$257,MATCH(EW181,$BN$5:$BN$257,0),50)="Latão",('Densidade do AR'!$S$10*1000000),IF(INDEX($A$5:$BP$257,MATCH(EW181,$BN$5:$BN$257,0),50)="Alumínio",('Densidade do AR'!$S$4*1000000)))))))</f>
        <v>-</v>
      </c>
      <c r="EZ181" s="785"/>
      <c r="FA181" s="785"/>
      <c r="FB181" s="786"/>
      <c r="FC181" s="787" t="str">
        <f t="shared" si="61"/>
        <v>-</v>
      </c>
      <c r="FD181" s="788"/>
      <c r="FE181" s="788"/>
      <c r="FF181" s="789"/>
      <c r="FG181" s="787" t="str">
        <f t="shared" si="50"/>
        <v>-</v>
      </c>
      <c r="FH181" s="788"/>
      <c r="FI181" s="788"/>
      <c r="FJ181" s="789"/>
      <c r="FK181" s="790" t="str">
        <f t="shared" si="62"/>
        <v>-</v>
      </c>
      <c r="FL181" s="785"/>
      <c r="FM181" s="785"/>
      <c r="FN181" s="786"/>
      <c r="FO181" s="790" t="str">
        <f t="shared" si="51"/>
        <v>-</v>
      </c>
      <c r="FP181" s="785"/>
      <c r="FQ181" s="785"/>
      <c r="FR181" s="786"/>
      <c r="FS181" s="790" t="str">
        <f>IF(EW181="","-",INDEX($A$5:$BP$257,MATCH(EW181,$BN$5:$BN$257,0),39)*(IF(EW181="","-",(1+(((-('Densidade do AR'!$M$4))+('Densidade do AR'!$T$15*1000000))/(IF(INDEX($A$5:$BP$257,MATCH(EW181,$BN$5:$BN$257,0),50)="Aço Inoxidável",('Densidade do AR'!$S$8*1000000),IF(INDEX($A$5:$BP$257,MATCH(EW181,$BN$5:$BN$257,0),50)="Ferro Fundido",('Densidade do AR'!$S$12*1000000),IF(INDEX($A$5:$BP$257,MATCH(EW181,$BN$5:$BN$257,0),50)="Latão",('Densidade do AR'!$S$10*1000000),IF(INDEX($A$5:$BP$257,MATCH(EW181,$BN$5:$BN$257,0),50)="Alumínio",('Densidade do AR'!$S$4*1000000)))))))-(((-('Densidade do AR'!$M$4))+('Densidade do AR'!$T$15*1000000))/('Densidade do AR'!$S$14*1000000))))))</f>
        <v>-</v>
      </c>
      <c r="FT181" s="785"/>
      <c r="FU181" s="785"/>
      <c r="FV181" s="791"/>
      <c r="FW181" s="91" t="str">
        <f t="shared" si="63"/>
        <v>-</v>
      </c>
      <c r="FX181" s="135"/>
    </row>
    <row r="182" spans="1:180" ht="12.75" customHeight="1" x14ac:dyDescent="0.2">
      <c r="A182" s="718">
        <v>178</v>
      </c>
      <c r="B182" s="713"/>
      <c r="C182" s="719"/>
      <c r="D182" s="709"/>
      <c r="E182" s="709"/>
      <c r="F182" s="709"/>
      <c r="G182" s="710"/>
      <c r="H182" s="720"/>
      <c r="I182" s="712"/>
      <c r="J182" s="712"/>
      <c r="K182" s="713"/>
      <c r="L182" s="719"/>
      <c r="M182" s="709"/>
      <c r="N182" s="709"/>
      <c r="O182" s="709"/>
      <c r="P182" s="719"/>
      <c r="Q182" s="709"/>
      <c r="R182" s="709"/>
      <c r="S182" s="709"/>
      <c r="T182" s="710"/>
      <c r="U182" s="721"/>
      <c r="V182" s="722"/>
      <c r="W182" s="722"/>
      <c r="X182" s="722"/>
      <c r="Y182" s="722"/>
      <c r="Z182" s="722"/>
      <c r="AA182" s="723"/>
      <c r="AB182" s="853"/>
      <c r="AC182" s="854"/>
      <c r="AD182" s="854"/>
      <c r="AE182" s="854"/>
      <c r="AF182" s="854"/>
      <c r="AG182" s="854"/>
      <c r="AH182" s="854"/>
      <c r="AI182" s="854"/>
      <c r="AJ182" s="854"/>
      <c r="AK182" s="854"/>
      <c r="AL182" s="855"/>
      <c r="AM182" s="909"/>
      <c r="AN182" s="712"/>
      <c r="AO182" s="712"/>
      <c r="AP182" s="712"/>
      <c r="AQ182" s="712"/>
      <c r="AR182" s="712"/>
      <c r="AS182" s="713"/>
      <c r="AT182" s="909"/>
      <c r="AU182" s="712"/>
      <c r="AV182" s="712"/>
      <c r="AW182" s="713"/>
      <c r="AX182" s="908"/>
      <c r="AY182" s="712"/>
      <c r="AZ182" s="712"/>
      <c r="BA182" s="712"/>
      <c r="BB182" s="712"/>
      <c r="BC182" s="713"/>
      <c r="BD182" s="909"/>
      <c r="BE182" s="712"/>
      <c r="BF182" s="712"/>
      <c r="BG182" s="713"/>
      <c r="BH182" s="908"/>
      <c r="BI182" s="712"/>
      <c r="BJ182" s="712"/>
      <c r="BK182" s="712"/>
      <c r="BL182" s="910"/>
      <c r="BN182" s="881"/>
      <c r="BO182" s="882"/>
      <c r="BP182" s="883"/>
      <c r="BT182" s="736"/>
      <c r="BU182" s="737"/>
      <c r="BV182" s="738" t="str">
        <f>IF(BT182="","-",(IF(INDEX($A$5:$BP$257,MATCH(BT182,$BN$5:$BN$257,0),50)="Aço Inoxidável",('Densidade do AR'!$S$8*1000000),IF(INDEX($A$5:$BP$257,MATCH(BT182,$BN$5:$BN$257,0),50)="Ferro Fundido",('Densidade do AR'!$S$12*1000000),IF(INDEX($A$5:$BP$257,MATCH(BT182,$BN$5:$BN$257,0),50)="Latão",('Densidade do AR'!$S$10*1000000),IF(INDEX($A$5:$BP$257,MATCH(BT182,$BN$5:$BN$257,0),50)="Alumínio",('Densidade do AR'!$S$4*1000000)))))))</f>
        <v>-</v>
      </c>
      <c r="BW182" s="739"/>
      <c r="BX182" s="739"/>
      <c r="BY182" s="740"/>
      <c r="BZ182" s="741" t="str">
        <f t="shared" si="52"/>
        <v>-</v>
      </c>
      <c r="CA182" s="742"/>
      <c r="CB182" s="742"/>
      <c r="CC182" s="743"/>
      <c r="CD182" s="741" t="str">
        <f t="shared" si="44"/>
        <v>-</v>
      </c>
      <c r="CE182" s="742"/>
      <c r="CF182" s="742"/>
      <c r="CG182" s="743"/>
      <c r="CH182" s="744" t="str">
        <f t="shared" si="53"/>
        <v>-</v>
      </c>
      <c r="CI182" s="739"/>
      <c r="CJ182" s="739"/>
      <c r="CK182" s="740"/>
      <c r="CL182" s="744" t="str">
        <f t="shared" si="45"/>
        <v>-</v>
      </c>
      <c r="CM182" s="739"/>
      <c r="CN182" s="739"/>
      <c r="CO182" s="740"/>
      <c r="CP182" s="744" t="str">
        <f>IF(BT182="","-",INDEX($A$5:$BP$257,MATCH(BT182,$BN$5:$BN$257,0),39)*(IF(BT182="","-",(1+(((-('Densidade do AR'!$M$4))+('Densidade do AR'!$T$15*1000000))/(IF(INDEX($A$5:$BP$257,MATCH(BT182,$BN$5:$BN$257,0),50)="Aço Inoxidável",('Densidade do AR'!$S$8*1000000),IF(INDEX($A$5:$BP$257,MATCH(BT182,$BN$5:$BN$257,0),50)="Ferro Fundido",('Densidade do AR'!$S$12*1000000),IF(INDEX($A$5:$BP$257,MATCH(BT182,$BN$5:$BN$257,0),50)="Latão",('Densidade do AR'!$S$10*1000000),IF(INDEX($A$5:$BP$257,MATCH(BT182,$BN$5:$BN$257,0),50)="Alumínio",('Densidade do AR'!$S$4*1000000)))))))-(((-('Densidade do AR'!$M$4))+('Densidade do AR'!$T$15*1000000))/('Densidade do AR'!$S$14*1000000))))))</f>
        <v>-</v>
      </c>
      <c r="CQ182" s="739"/>
      <c r="CR182" s="739"/>
      <c r="CS182" s="745"/>
      <c r="CT182" s="91" t="str">
        <f t="shared" si="54"/>
        <v>-</v>
      </c>
      <c r="CU182" s="736"/>
      <c r="CV182" s="737"/>
      <c r="CW182" s="738" t="str">
        <f>IF(CU182="","-",(IF(INDEX($A$5:$BP$257,MATCH(CU182,$BN$5:$BN$257,0),50)="Aço Inoxidável",('Densidade do AR'!$S$8*1000000),IF(INDEX($A$5:$BP$257,MATCH(CU182,$BN$5:$BN$257,0),50)="Ferro Fundido",('Densidade do AR'!$S$12*1000000),IF(INDEX($A$5:$BP$257,MATCH(CU182,$BN$5:$BN$257,0),50)="Latão",('Densidade do AR'!$S$10*1000000),IF(INDEX($A$5:$BP$257,MATCH(CU182,$BN$5:$BN$257,0),50)="Alumínio",('Densidade do AR'!$S$4*1000000)))))))</f>
        <v>-</v>
      </c>
      <c r="CX182" s="739"/>
      <c r="CY182" s="739"/>
      <c r="CZ182" s="740"/>
      <c r="DA182" s="741" t="str">
        <f t="shared" si="55"/>
        <v>-</v>
      </c>
      <c r="DB182" s="742"/>
      <c r="DC182" s="742"/>
      <c r="DD182" s="743"/>
      <c r="DE182" s="741" t="str">
        <f t="shared" si="46"/>
        <v>-</v>
      </c>
      <c r="DF182" s="742"/>
      <c r="DG182" s="742"/>
      <c r="DH182" s="743"/>
      <c r="DI182" s="744" t="str">
        <f t="shared" si="56"/>
        <v>-</v>
      </c>
      <c r="DJ182" s="739"/>
      <c r="DK182" s="739"/>
      <c r="DL182" s="740"/>
      <c r="DM182" s="744" t="str">
        <f t="shared" si="47"/>
        <v>-</v>
      </c>
      <c r="DN182" s="739"/>
      <c r="DO182" s="739"/>
      <c r="DP182" s="740"/>
      <c r="DQ182" s="744" t="str">
        <f>IF(CU182="","-",INDEX($A$5:$BP$257,MATCH(CU182,$BN$5:$BN$257,0),39)*(IF(CU182="","-",(1+(((-('Densidade do AR'!$M$4))+('Densidade do AR'!$T$15*1000000))/(IF(INDEX($A$5:$BP$257,MATCH(CU182,$BN$5:$BN$257,0),50)="Aço Inoxidável",('Densidade do AR'!$S$8*1000000),IF(INDEX($A$5:$BP$257,MATCH(CU182,$BN$5:$BN$257,0),50)="Ferro Fundido",('Densidade do AR'!$S$12*1000000),IF(INDEX($A$5:$BP$257,MATCH(CU182,$BN$5:$BN$257,0),50)="Latão",('Densidade do AR'!$S$10*1000000),IF(INDEX($A$5:$BP$257,MATCH(CU182,$BN$5:$BN$257,0),50)="Alumínio",('Densidade do AR'!$S$4*1000000)))))))-(((-('Densidade do AR'!$M$4))+('Densidade do AR'!$T$15*1000000))/('Densidade do AR'!$S$14*1000000))))))</f>
        <v>-</v>
      </c>
      <c r="DR182" s="739"/>
      <c r="DS182" s="739"/>
      <c r="DT182" s="745"/>
      <c r="DU182" s="91" t="str">
        <f t="shared" si="57"/>
        <v>-</v>
      </c>
      <c r="DV182" s="736"/>
      <c r="DW182" s="737"/>
      <c r="DX182" s="738" t="str">
        <f>IF(DV182="","-",(IF(INDEX($A$5:$BP$257,MATCH(DV182,$BN$5:$BN$257,0),50)="Aço Inoxidável",('Densidade do AR'!$S$8*1000000),IF(INDEX($A$5:$BP$257,MATCH(DV182,$BN$5:$BN$257,0),50)="Ferro Fundido",('Densidade do AR'!$S$12*1000000),IF(INDEX($A$5:$BP$257,MATCH(DV182,$BN$5:$BN$257,0),50)="Latão",('Densidade do AR'!$S$10*1000000),IF(INDEX($A$5:$BP$257,MATCH(DV182,$BN$5:$BN$257,0),50)="Alumínio",('Densidade do AR'!$S$4*1000000)))))))</f>
        <v>-</v>
      </c>
      <c r="DY182" s="739"/>
      <c r="DZ182" s="739"/>
      <c r="EA182" s="740"/>
      <c r="EB182" s="741" t="str">
        <f t="shared" si="58"/>
        <v>-</v>
      </c>
      <c r="EC182" s="742"/>
      <c r="ED182" s="742"/>
      <c r="EE182" s="743"/>
      <c r="EF182" s="741" t="str">
        <f t="shared" si="48"/>
        <v>-</v>
      </c>
      <c r="EG182" s="742"/>
      <c r="EH182" s="742"/>
      <c r="EI182" s="743"/>
      <c r="EJ182" s="744" t="str">
        <f t="shared" si="59"/>
        <v>-</v>
      </c>
      <c r="EK182" s="739"/>
      <c r="EL182" s="739"/>
      <c r="EM182" s="740"/>
      <c r="EN182" s="744" t="str">
        <f t="shared" si="49"/>
        <v>-</v>
      </c>
      <c r="EO182" s="739"/>
      <c r="EP182" s="739"/>
      <c r="EQ182" s="740"/>
      <c r="ER182" s="744" t="str">
        <f>IF(DV182="","-",INDEX($A$5:$BP$257,MATCH(DV182,$BN$5:$BN$257,0),39)*(IF(DV182="","-",(1+(((-('Densidade do AR'!$M$4))+('Densidade do AR'!$T$15*1000000))/(IF(INDEX($A$5:$BP$257,MATCH(DV182,$BN$5:$BN$257,0),50)="Aço Inoxidável",('Densidade do AR'!$S$8*1000000),IF(INDEX($A$5:$BP$257,MATCH(DV182,$BN$5:$BN$257,0),50)="Ferro Fundido",('Densidade do AR'!$S$12*1000000),IF(INDEX($A$5:$BP$257,MATCH(DV182,$BN$5:$BN$257,0),50)="Latão",('Densidade do AR'!$S$10*1000000),IF(INDEX($A$5:$BP$257,MATCH(DV182,$BN$5:$BN$257,0),50)="Alumínio",('Densidade do AR'!$S$4*1000000)))))))-(((-('Densidade do AR'!$M$4))+('Densidade do AR'!$T$15*1000000))/('Densidade do AR'!$S$14*1000000))))))</f>
        <v>-</v>
      </c>
      <c r="ES182" s="739"/>
      <c r="ET182" s="739"/>
      <c r="EU182" s="745"/>
      <c r="EV182" s="91" t="str">
        <f t="shared" si="60"/>
        <v>-</v>
      </c>
      <c r="EW182" s="736"/>
      <c r="EX182" s="737"/>
      <c r="EY182" s="738" t="str">
        <f>IF(EW182="","-",(IF(INDEX($A$5:$BP$257,MATCH(EW182,$BN$5:$BN$257,0),50)="Aço Inoxidável",('Densidade do AR'!$S$8*1000000),IF(INDEX($A$5:$BP$257,MATCH(EW182,$BN$5:$BN$257,0),50)="Ferro Fundido",('Densidade do AR'!$S$12*1000000),IF(INDEX($A$5:$BP$257,MATCH(EW182,$BN$5:$BN$257,0),50)="Latão",('Densidade do AR'!$S$10*1000000),IF(INDEX($A$5:$BP$257,MATCH(EW182,$BN$5:$BN$257,0),50)="Alumínio",('Densidade do AR'!$S$4*1000000)))))))</f>
        <v>-</v>
      </c>
      <c r="EZ182" s="739"/>
      <c r="FA182" s="739"/>
      <c r="FB182" s="740"/>
      <c r="FC182" s="741" t="str">
        <f t="shared" si="61"/>
        <v>-</v>
      </c>
      <c r="FD182" s="742"/>
      <c r="FE182" s="742"/>
      <c r="FF182" s="743"/>
      <c r="FG182" s="741" t="str">
        <f t="shared" si="50"/>
        <v>-</v>
      </c>
      <c r="FH182" s="742"/>
      <c r="FI182" s="742"/>
      <c r="FJ182" s="743"/>
      <c r="FK182" s="744" t="str">
        <f t="shared" si="62"/>
        <v>-</v>
      </c>
      <c r="FL182" s="739"/>
      <c r="FM182" s="739"/>
      <c r="FN182" s="740"/>
      <c r="FO182" s="744" t="str">
        <f t="shared" si="51"/>
        <v>-</v>
      </c>
      <c r="FP182" s="739"/>
      <c r="FQ182" s="739"/>
      <c r="FR182" s="740"/>
      <c r="FS182" s="744" t="str">
        <f>IF(EW182="","-",INDEX($A$5:$BP$257,MATCH(EW182,$BN$5:$BN$257,0),39)*(IF(EW182="","-",(1+(((-('Densidade do AR'!$M$4))+('Densidade do AR'!$T$15*1000000))/(IF(INDEX($A$5:$BP$257,MATCH(EW182,$BN$5:$BN$257,0),50)="Aço Inoxidável",('Densidade do AR'!$S$8*1000000),IF(INDEX($A$5:$BP$257,MATCH(EW182,$BN$5:$BN$257,0),50)="Ferro Fundido",('Densidade do AR'!$S$12*1000000),IF(INDEX($A$5:$BP$257,MATCH(EW182,$BN$5:$BN$257,0),50)="Latão",('Densidade do AR'!$S$10*1000000),IF(INDEX($A$5:$BP$257,MATCH(EW182,$BN$5:$BN$257,0),50)="Alumínio",('Densidade do AR'!$S$4*1000000)))))))-(((-('Densidade do AR'!$M$4))+('Densidade do AR'!$T$15*1000000))/('Densidade do AR'!$S$14*1000000))))))</f>
        <v>-</v>
      </c>
      <c r="FT182" s="739"/>
      <c r="FU182" s="739"/>
      <c r="FV182" s="745"/>
      <c r="FW182" s="91" t="str">
        <f t="shared" si="63"/>
        <v>-</v>
      </c>
      <c r="FX182" s="135"/>
    </row>
    <row r="183" spans="1:180" ht="12.75" customHeight="1" x14ac:dyDescent="0.2">
      <c r="A183" s="717">
        <v>179</v>
      </c>
      <c r="B183" s="713"/>
      <c r="C183" s="708"/>
      <c r="D183" s="709"/>
      <c r="E183" s="709"/>
      <c r="F183" s="709"/>
      <c r="G183" s="710"/>
      <c r="H183" s="711"/>
      <c r="I183" s="712"/>
      <c r="J183" s="712"/>
      <c r="K183" s="713"/>
      <c r="L183" s="708"/>
      <c r="M183" s="709"/>
      <c r="N183" s="709"/>
      <c r="O183" s="709"/>
      <c r="P183" s="708"/>
      <c r="Q183" s="709"/>
      <c r="R183" s="709"/>
      <c r="S183" s="709"/>
      <c r="T183" s="710"/>
      <c r="U183" s="714"/>
      <c r="V183" s="715"/>
      <c r="W183" s="715"/>
      <c r="X183" s="715"/>
      <c r="Y183" s="715"/>
      <c r="Z183" s="715"/>
      <c r="AA183" s="716"/>
      <c r="AB183" s="850"/>
      <c r="AC183" s="851"/>
      <c r="AD183" s="851"/>
      <c r="AE183" s="851"/>
      <c r="AF183" s="851"/>
      <c r="AG183" s="851"/>
      <c r="AH183" s="851"/>
      <c r="AI183" s="851"/>
      <c r="AJ183" s="851"/>
      <c r="AK183" s="851"/>
      <c r="AL183" s="852"/>
      <c r="AM183" s="917"/>
      <c r="AN183" s="712"/>
      <c r="AO183" s="712"/>
      <c r="AP183" s="712"/>
      <c r="AQ183" s="712"/>
      <c r="AR183" s="712"/>
      <c r="AS183" s="713"/>
      <c r="AT183" s="917"/>
      <c r="AU183" s="712"/>
      <c r="AV183" s="712"/>
      <c r="AW183" s="713"/>
      <c r="AX183" s="917"/>
      <c r="AY183" s="712"/>
      <c r="AZ183" s="712"/>
      <c r="BA183" s="712"/>
      <c r="BB183" s="712"/>
      <c r="BC183" s="713"/>
      <c r="BD183" s="917"/>
      <c r="BE183" s="712"/>
      <c r="BF183" s="712"/>
      <c r="BG183" s="713"/>
      <c r="BH183" s="918"/>
      <c r="BI183" s="712"/>
      <c r="BJ183" s="712"/>
      <c r="BK183" s="712"/>
      <c r="BL183" s="910"/>
      <c r="BN183" s="878"/>
      <c r="BO183" s="879"/>
      <c r="BP183" s="880"/>
      <c r="BT183" s="919"/>
      <c r="BU183" s="920"/>
      <c r="BV183" s="784" t="str">
        <f>IF(BT183="","-",(IF(INDEX($A$5:$BP$257,MATCH(BT183,$BN$5:$BN$257,0),50)="Aço Inoxidável",('Densidade do AR'!$S$8*1000000),IF(INDEX($A$5:$BP$257,MATCH(BT183,$BN$5:$BN$257,0),50)="Ferro Fundido",('Densidade do AR'!$S$12*1000000),IF(INDEX($A$5:$BP$257,MATCH(BT183,$BN$5:$BN$257,0),50)="Latão",('Densidade do AR'!$S$10*1000000),IF(INDEX($A$5:$BP$257,MATCH(BT183,$BN$5:$BN$257,0),50)="Alumínio",('Densidade do AR'!$S$4*1000000)))))))</f>
        <v>-</v>
      </c>
      <c r="BW183" s="785"/>
      <c r="BX183" s="785"/>
      <c r="BY183" s="786"/>
      <c r="BZ183" s="787" t="str">
        <f t="shared" si="52"/>
        <v>-</v>
      </c>
      <c r="CA183" s="788"/>
      <c r="CB183" s="788"/>
      <c r="CC183" s="789"/>
      <c r="CD183" s="787" t="str">
        <f t="shared" si="44"/>
        <v>-</v>
      </c>
      <c r="CE183" s="788"/>
      <c r="CF183" s="788"/>
      <c r="CG183" s="789"/>
      <c r="CH183" s="790" t="str">
        <f t="shared" si="53"/>
        <v>-</v>
      </c>
      <c r="CI183" s="785"/>
      <c r="CJ183" s="785"/>
      <c r="CK183" s="786"/>
      <c r="CL183" s="790" t="str">
        <f t="shared" si="45"/>
        <v>-</v>
      </c>
      <c r="CM183" s="785"/>
      <c r="CN183" s="785"/>
      <c r="CO183" s="786"/>
      <c r="CP183" s="790" t="str">
        <f>IF(BT183="","-",INDEX($A$5:$BP$257,MATCH(BT183,$BN$5:$BN$257,0),39)*(IF(BT183="","-",(1+(((-('Densidade do AR'!$M$4))+('Densidade do AR'!$T$15*1000000))/(IF(INDEX($A$5:$BP$257,MATCH(BT183,$BN$5:$BN$257,0),50)="Aço Inoxidável",('Densidade do AR'!$S$8*1000000),IF(INDEX($A$5:$BP$257,MATCH(BT183,$BN$5:$BN$257,0),50)="Ferro Fundido",('Densidade do AR'!$S$12*1000000),IF(INDEX($A$5:$BP$257,MATCH(BT183,$BN$5:$BN$257,0),50)="Latão",('Densidade do AR'!$S$10*1000000),IF(INDEX($A$5:$BP$257,MATCH(BT183,$BN$5:$BN$257,0),50)="Alumínio",('Densidade do AR'!$S$4*1000000)))))))-(((-('Densidade do AR'!$M$4))+('Densidade do AR'!$T$15*1000000))/('Densidade do AR'!$S$14*1000000))))))</f>
        <v>-</v>
      </c>
      <c r="CQ183" s="785"/>
      <c r="CR183" s="785"/>
      <c r="CS183" s="791"/>
      <c r="CT183" s="91" t="str">
        <f t="shared" si="54"/>
        <v>-</v>
      </c>
      <c r="CU183" s="919"/>
      <c r="CV183" s="920"/>
      <c r="CW183" s="784" t="str">
        <f>IF(CU183="","-",(IF(INDEX($A$5:$BP$257,MATCH(CU183,$BN$5:$BN$257,0),50)="Aço Inoxidável",('Densidade do AR'!$S$8*1000000),IF(INDEX($A$5:$BP$257,MATCH(CU183,$BN$5:$BN$257,0),50)="Ferro Fundido",('Densidade do AR'!$S$12*1000000),IF(INDEX($A$5:$BP$257,MATCH(CU183,$BN$5:$BN$257,0),50)="Latão",('Densidade do AR'!$S$10*1000000),IF(INDEX($A$5:$BP$257,MATCH(CU183,$BN$5:$BN$257,0),50)="Alumínio",('Densidade do AR'!$S$4*1000000)))))))</f>
        <v>-</v>
      </c>
      <c r="CX183" s="785"/>
      <c r="CY183" s="785"/>
      <c r="CZ183" s="786"/>
      <c r="DA183" s="787" t="str">
        <f t="shared" si="55"/>
        <v>-</v>
      </c>
      <c r="DB183" s="788"/>
      <c r="DC183" s="788"/>
      <c r="DD183" s="789"/>
      <c r="DE183" s="787" t="str">
        <f t="shared" si="46"/>
        <v>-</v>
      </c>
      <c r="DF183" s="788"/>
      <c r="DG183" s="788"/>
      <c r="DH183" s="789"/>
      <c r="DI183" s="790" t="str">
        <f t="shared" si="56"/>
        <v>-</v>
      </c>
      <c r="DJ183" s="785"/>
      <c r="DK183" s="785"/>
      <c r="DL183" s="786"/>
      <c r="DM183" s="790" t="str">
        <f t="shared" si="47"/>
        <v>-</v>
      </c>
      <c r="DN183" s="785"/>
      <c r="DO183" s="785"/>
      <c r="DP183" s="786"/>
      <c r="DQ183" s="790" t="str">
        <f>IF(CU183="","-",INDEX($A$5:$BP$257,MATCH(CU183,$BN$5:$BN$257,0),39)*(IF(CU183="","-",(1+(((-('Densidade do AR'!$M$4))+('Densidade do AR'!$T$15*1000000))/(IF(INDEX($A$5:$BP$257,MATCH(CU183,$BN$5:$BN$257,0),50)="Aço Inoxidável",('Densidade do AR'!$S$8*1000000),IF(INDEX($A$5:$BP$257,MATCH(CU183,$BN$5:$BN$257,0),50)="Ferro Fundido",('Densidade do AR'!$S$12*1000000),IF(INDEX($A$5:$BP$257,MATCH(CU183,$BN$5:$BN$257,0),50)="Latão",('Densidade do AR'!$S$10*1000000),IF(INDEX($A$5:$BP$257,MATCH(CU183,$BN$5:$BN$257,0),50)="Alumínio",('Densidade do AR'!$S$4*1000000)))))))-(((-('Densidade do AR'!$M$4))+('Densidade do AR'!$T$15*1000000))/('Densidade do AR'!$S$14*1000000))))))</f>
        <v>-</v>
      </c>
      <c r="DR183" s="785"/>
      <c r="DS183" s="785"/>
      <c r="DT183" s="791"/>
      <c r="DU183" s="91" t="str">
        <f t="shared" si="57"/>
        <v>-</v>
      </c>
      <c r="DV183" s="919"/>
      <c r="DW183" s="920"/>
      <c r="DX183" s="784" t="str">
        <f>IF(DV183="","-",(IF(INDEX($A$5:$BP$257,MATCH(DV183,$BN$5:$BN$257,0),50)="Aço Inoxidável",('Densidade do AR'!$S$8*1000000),IF(INDEX($A$5:$BP$257,MATCH(DV183,$BN$5:$BN$257,0),50)="Ferro Fundido",('Densidade do AR'!$S$12*1000000),IF(INDEX($A$5:$BP$257,MATCH(DV183,$BN$5:$BN$257,0),50)="Latão",('Densidade do AR'!$S$10*1000000),IF(INDEX($A$5:$BP$257,MATCH(DV183,$BN$5:$BN$257,0),50)="Alumínio",('Densidade do AR'!$S$4*1000000)))))))</f>
        <v>-</v>
      </c>
      <c r="DY183" s="785"/>
      <c r="DZ183" s="785"/>
      <c r="EA183" s="786"/>
      <c r="EB183" s="787" t="str">
        <f t="shared" si="58"/>
        <v>-</v>
      </c>
      <c r="EC183" s="788"/>
      <c r="ED183" s="788"/>
      <c r="EE183" s="789"/>
      <c r="EF183" s="787" t="str">
        <f t="shared" si="48"/>
        <v>-</v>
      </c>
      <c r="EG183" s="788"/>
      <c r="EH183" s="788"/>
      <c r="EI183" s="789"/>
      <c r="EJ183" s="790" t="str">
        <f t="shared" si="59"/>
        <v>-</v>
      </c>
      <c r="EK183" s="785"/>
      <c r="EL183" s="785"/>
      <c r="EM183" s="786"/>
      <c r="EN183" s="790" t="str">
        <f t="shared" si="49"/>
        <v>-</v>
      </c>
      <c r="EO183" s="785"/>
      <c r="EP183" s="785"/>
      <c r="EQ183" s="786"/>
      <c r="ER183" s="790" t="str">
        <f>IF(DV183="","-",INDEX($A$5:$BP$257,MATCH(DV183,$BN$5:$BN$257,0),39)*(IF(DV183="","-",(1+(((-('Densidade do AR'!$M$4))+('Densidade do AR'!$T$15*1000000))/(IF(INDEX($A$5:$BP$257,MATCH(DV183,$BN$5:$BN$257,0),50)="Aço Inoxidável",('Densidade do AR'!$S$8*1000000),IF(INDEX($A$5:$BP$257,MATCH(DV183,$BN$5:$BN$257,0),50)="Ferro Fundido",('Densidade do AR'!$S$12*1000000),IF(INDEX($A$5:$BP$257,MATCH(DV183,$BN$5:$BN$257,0),50)="Latão",('Densidade do AR'!$S$10*1000000),IF(INDEX($A$5:$BP$257,MATCH(DV183,$BN$5:$BN$257,0),50)="Alumínio",('Densidade do AR'!$S$4*1000000)))))))-(((-('Densidade do AR'!$M$4))+('Densidade do AR'!$T$15*1000000))/('Densidade do AR'!$S$14*1000000))))))</f>
        <v>-</v>
      </c>
      <c r="ES183" s="785"/>
      <c r="ET183" s="785"/>
      <c r="EU183" s="791"/>
      <c r="EV183" s="91" t="str">
        <f t="shared" si="60"/>
        <v>-</v>
      </c>
      <c r="EW183" s="919"/>
      <c r="EX183" s="920"/>
      <c r="EY183" s="784" t="str">
        <f>IF(EW183="","-",(IF(INDEX($A$5:$BP$257,MATCH(EW183,$BN$5:$BN$257,0),50)="Aço Inoxidável",('Densidade do AR'!$S$8*1000000),IF(INDEX($A$5:$BP$257,MATCH(EW183,$BN$5:$BN$257,0),50)="Ferro Fundido",('Densidade do AR'!$S$12*1000000),IF(INDEX($A$5:$BP$257,MATCH(EW183,$BN$5:$BN$257,0),50)="Latão",('Densidade do AR'!$S$10*1000000),IF(INDEX($A$5:$BP$257,MATCH(EW183,$BN$5:$BN$257,0),50)="Alumínio",('Densidade do AR'!$S$4*1000000)))))))</f>
        <v>-</v>
      </c>
      <c r="EZ183" s="785"/>
      <c r="FA183" s="785"/>
      <c r="FB183" s="786"/>
      <c r="FC183" s="787" t="str">
        <f t="shared" si="61"/>
        <v>-</v>
      </c>
      <c r="FD183" s="788"/>
      <c r="FE183" s="788"/>
      <c r="FF183" s="789"/>
      <c r="FG183" s="787" t="str">
        <f t="shared" si="50"/>
        <v>-</v>
      </c>
      <c r="FH183" s="788"/>
      <c r="FI183" s="788"/>
      <c r="FJ183" s="789"/>
      <c r="FK183" s="790" t="str">
        <f t="shared" si="62"/>
        <v>-</v>
      </c>
      <c r="FL183" s="785"/>
      <c r="FM183" s="785"/>
      <c r="FN183" s="786"/>
      <c r="FO183" s="790" t="str">
        <f t="shared" si="51"/>
        <v>-</v>
      </c>
      <c r="FP183" s="785"/>
      <c r="FQ183" s="785"/>
      <c r="FR183" s="786"/>
      <c r="FS183" s="790" t="str">
        <f>IF(EW183="","-",INDEX($A$5:$BP$257,MATCH(EW183,$BN$5:$BN$257,0),39)*(IF(EW183="","-",(1+(((-('Densidade do AR'!$M$4))+('Densidade do AR'!$T$15*1000000))/(IF(INDEX($A$5:$BP$257,MATCH(EW183,$BN$5:$BN$257,0),50)="Aço Inoxidável",('Densidade do AR'!$S$8*1000000),IF(INDEX($A$5:$BP$257,MATCH(EW183,$BN$5:$BN$257,0),50)="Ferro Fundido",('Densidade do AR'!$S$12*1000000),IF(INDEX($A$5:$BP$257,MATCH(EW183,$BN$5:$BN$257,0),50)="Latão",('Densidade do AR'!$S$10*1000000),IF(INDEX($A$5:$BP$257,MATCH(EW183,$BN$5:$BN$257,0),50)="Alumínio",('Densidade do AR'!$S$4*1000000)))))))-(((-('Densidade do AR'!$M$4))+('Densidade do AR'!$T$15*1000000))/('Densidade do AR'!$S$14*1000000))))))</f>
        <v>-</v>
      </c>
      <c r="FT183" s="785"/>
      <c r="FU183" s="785"/>
      <c r="FV183" s="791"/>
      <c r="FW183" s="91" t="str">
        <f t="shared" si="63"/>
        <v>-</v>
      </c>
      <c r="FX183" s="135"/>
    </row>
    <row r="184" spans="1:180" ht="12.75" customHeight="1" x14ac:dyDescent="0.2">
      <c r="A184" s="718">
        <v>180</v>
      </c>
      <c r="B184" s="713"/>
      <c r="C184" s="719"/>
      <c r="D184" s="709"/>
      <c r="E184" s="709"/>
      <c r="F184" s="709"/>
      <c r="G184" s="710"/>
      <c r="H184" s="720"/>
      <c r="I184" s="712"/>
      <c r="J184" s="712"/>
      <c r="K184" s="713"/>
      <c r="L184" s="719"/>
      <c r="M184" s="709"/>
      <c r="N184" s="709"/>
      <c r="O184" s="709"/>
      <c r="P184" s="719"/>
      <c r="Q184" s="709"/>
      <c r="R184" s="709"/>
      <c r="S184" s="709"/>
      <c r="T184" s="710"/>
      <c r="U184" s="721"/>
      <c r="V184" s="722"/>
      <c r="W184" s="722"/>
      <c r="X184" s="722"/>
      <c r="Y184" s="722"/>
      <c r="Z184" s="722"/>
      <c r="AA184" s="723"/>
      <c r="AB184" s="853"/>
      <c r="AC184" s="854"/>
      <c r="AD184" s="854"/>
      <c r="AE184" s="854"/>
      <c r="AF184" s="854"/>
      <c r="AG184" s="854"/>
      <c r="AH184" s="854"/>
      <c r="AI184" s="854"/>
      <c r="AJ184" s="854"/>
      <c r="AK184" s="854"/>
      <c r="AL184" s="855"/>
      <c r="AM184" s="909"/>
      <c r="AN184" s="712"/>
      <c r="AO184" s="712"/>
      <c r="AP184" s="712"/>
      <c r="AQ184" s="712"/>
      <c r="AR184" s="712"/>
      <c r="AS184" s="713"/>
      <c r="AT184" s="909"/>
      <c r="AU184" s="712"/>
      <c r="AV184" s="712"/>
      <c r="AW184" s="713"/>
      <c r="AX184" s="908"/>
      <c r="AY184" s="712"/>
      <c r="AZ184" s="712"/>
      <c r="BA184" s="712"/>
      <c r="BB184" s="712"/>
      <c r="BC184" s="713"/>
      <c r="BD184" s="909"/>
      <c r="BE184" s="712"/>
      <c r="BF184" s="712"/>
      <c r="BG184" s="713"/>
      <c r="BH184" s="908"/>
      <c r="BI184" s="712"/>
      <c r="BJ184" s="712"/>
      <c r="BK184" s="712"/>
      <c r="BL184" s="910"/>
      <c r="BN184" s="881"/>
      <c r="BO184" s="882"/>
      <c r="BP184" s="883"/>
      <c r="BT184" s="736"/>
      <c r="BU184" s="737"/>
      <c r="BV184" s="738" t="str">
        <f>IF(BT184="","-",(IF(INDEX($A$5:$BP$257,MATCH(BT184,$BN$5:$BN$257,0),50)="Aço Inoxidável",('Densidade do AR'!$S$8*1000000),IF(INDEX($A$5:$BP$257,MATCH(BT184,$BN$5:$BN$257,0),50)="Ferro Fundido",('Densidade do AR'!$S$12*1000000),IF(INDEX($A$5:$BP$257,MATCH(BT184,$BN$5:$BN$257,0),50)="Latão",('Densidade do AR'!$S$10*1000000),IF(INDEX($A$5:$BP$257,MATCH(BT184,$BN$5:$BN$257,0),50)="Alumínio",('Densidade do AR'!$S$4*1000000)))))))</f>
        <v>-</v>
      </c>
      <c r="BW184" s="739"/>
      <c r="BX184" s="739"/>
      <c r="BY184" s="740"/>
      <c r="BZ184" s="741" t="str">
        <f t="shared" si="52"/>
        <v>-</v>
      </c>
      <c r="CA184" s="742"/>
      <c r="CB184" s="742"/>
      <c r="CC184" s="743"/>
      <c r="CD184" s="741" t="str">
        <f t="shared" si="44"/>
        <v>-</v>
      </c>
      <c r="CE184" s="742"/>
      <c r="CF184" s="742"/>
      <c r="CG184" s="743"/>
      <c r="CH184" s="744" t="str">
        <f t="shared" si="53"/>
        <v>-</v>
      </c>
      <c r="CI184" s="739"/>
      <c r="CJ184" s="739"/>
      <c r="CK184" s="740"/>
      <c r="CL184" s="744" t="str">
        <f t="shared" si="45"/>
        <v>-</v>
      </c>
      <c r="CM184" s="739"/>
      <c r="CN184" s="739"/>
      <c r="CO184" s="740"/>
      <c r="CP184" s="744" t="str">
        <f>IF(BT184="","-",INDEX($A$5:$BP$257,MATCH(BT184,$BN$5:$BN$257,0),39)*(IF(BT184="","-",(1+(((-('Densidade do AR'!$M$4))+('Densidade do AR'!$T$15*1000000))/(IF(INDEX($A$5:$BP$257,MATCH(BT184,$BN$5:$BN$257,0),50)="Aço Inoxidável",('Densidade do AR'!$S$8*1000000),IF(INDEX($A$5:$BP$257,MATCH(BT184,$BN$5:$BN$257,0),50)="Ferro Fundido",('Densidade do AR'!$S$12*1000000),IF(INDEX($A$5:$BP$257,MATCH(BT184,$BN$5:$BN$257,0),50)="Latão",('Densidade do AR'!$S$10*1000000),IF(INDEX($A$5:$BP$257,MATCH(BT184,$BN$5:$BN$257,0),50)="Alumínio",('Densidade do AR'!$S$4*1000000)))))))-(((-('Densidade do AR'!$M$4))+('Densidade do AR'!$T$15*1000000))/('Densidade do AR'!$S$14*1000000))))))</f>
        <v>-</v>
      </c>
      <c r="CQ184" s="739"/>
      <c r="CR184" s="739"/>
      <c r="CS184" s="745"/>
      <c r="CT184" s="91" t="str">
        <f t="shared" si="54"/>
        <v>-</v>
      </c>
      <c r="CU184" s="736"/>
      <c r="CV184" s="737"/>
      <c r="CW184" s="738" t="str">
        <f>IF(CU184="","-",(IF(INDEX($A$5:$BP$257,MATCH(CU184,$BN$5:$BN$257,0),50)="Aço Inoxidável",('Densidade do AR'!$S$8*1000000),IF(INDEX($A$5:$BP$257,MATCH(CU184,$BN$5:$BN$257,0),50)="Ferro Fundido",('Densidade do AR'!$S$12*1000000),IF(INDEX($A$5:$BP$257,MATCH(CU184,$BN$5:$BN$257,0),50)="Latão",('Densidade do AR'!$S$10*1000000),IF(INDEX($A$5:$BP$257,MATCH(CU184,$BN$5:$BN$257,0),50)="Alumínio",('Densidade do AR'!$S$4*1000000)))))))</f>
        <v>-</v>
      </c>
      <c r="CX184" s="739"/>
      <c r="CY184" s="739"/>
      <c r="CZ184" s="740"/>
      <c r="DA184" s="741" t="str">
        <f t="shared" si="55"/>
        <v>-</v>
      </c>
      <c r="DB184" s="742"/>
      <c r="DC184" s="742"/>
      <c r="DD184" s="743"/>
      <c r="DE184" s="741" t="str">
        <f t="shared" si="46"/>
        <v>-</v>
      </c>
      <c r="DF184" s="742"/>
      <c r="DG184" s="742"/>
      <c r="DH184" s="743"/>
      <c r="DI184" s="744" t="str">
        <f t="shared" si="56"/>
        <v>-</v>
      </c>
      <c r="DJ184" s="739"/>
      <c r="DK184" s="739"/>
      <c r="DL184" s="740"/>
      <c r="DM184" s="744" t="str">
        <f t="shared" si="47"/>
        <v>-</v>
      </c>
      <c r="DN184" s="739"/>
      <c r="DO184" s="739"/>
      <c r="DP184" s="740"/>
      <c r="DQ184" s="744" t="str">
        <f>IF(CU184="","-",INDEX($A$5:$BP$257,MATCH(CU184,$BN$5:$BN$257,0),39)*(IF(CU184="","-",(1+(((-('Densidade do AR'!$M$4))+('Densidade do AR'!$T$15*1000000))/(IF(INDEX($A$5:$BP$257,MATCH(CU184,$BN$5:$BN$257,0),50)="Aço Inoxidável",('Densidade do AR'!$S$8*1000000),IF(INDEX($A$5:$BP$257,MATCH(CU184,$BN$5:$BN$257,0),50)="Ferro Fundido",('Densidade do AR'!$S$12*1000000),IF(INDEX($A$5:$BP$257,MATCH(CU184,$BN$5:$BN$257,0),50)="Latão",('Densidade do AR'!$S$10*1000000),IF(INDEX($A$5:$BP$257,MATCH(CU184,$BN$5:$BN$257,0),50)="Alumínio",('Densidade do AR'!$S$4*1000000)))))))-(((-('Densidade do AR'!$M$4))+('Densidade do AR'!$T$15*1000000))/('Densidade do AR'!$S$14*1000000))))))</f>
        <v>-</v>
      </c>
      <c r="DR184" s="739"/>
      <c r="DS184" s="739"/>
      <c r="DT184" s="745"/>
      <c r="DU184" s="91" t="str">
        <f t="shared" si="57"/>
        <v>-</v>
      </c>
      <c r="DV184" s="736"/>
      <c r="DW184" s="737"/>
      <c r="DX184" s="738" t="str">
        <f>IF(DV184="","-",(IF(INDEX($A$5:$BP$257,MATCH(DV184,$BN$5:$BN$257,0),50)="Aço Inoxidável",('Densidade do AR'!$S$8*1000000),IF(INDEX($A$5:$BP$257,MATCH(DV184,$BN$5:$BN$257,0),50)="Ferro Fundido",('Densidade do AR'!$S$12*1000000),IF(INDEX($A$5:$BP$257,MATCH(DV184,$BN$5:$BN$257,0),50)="Latão",('Densidade do AR'!$S$10*1000000),IF(INDEX($A$5:$BP$257,MATCH(DV184,$BN$5:$BN$257,0),50)="Alumínio",('Densidade do AR'!$S$4*1000000)))))))</f>
        <v>-</v>
      </c>
      <c r="DY184" s="739"/>
      <c r="DZ184" s="739"/>
      <c r="EA184" s="740"/>
      <c r="EB184" s="741" t="str">
        <f t="shared" si="58"/>
        <v>-</v>
      </c>
      <c r="EC184" s="742"/>
      <c r="ED184" s="742"/>
      <c r="EE184" s="743"/>
      <c r="EF184" s="741" t="str">
        <f t="shared" si="48"/>
        <v>-</v>
      </c>
      <c r="EG184" s="742"/>
      <c r="EH184" s="742"/>
      <c r="EI184" s="743"/>
      <c r="EJ184" s="744" t="str">
        <f t="shared" si="59"/>
        <v>-</v>
      </c>
      <c r="EK184" s="739"/>
      <c r="EL184" s="739"/>
      <c r="EM184" s="740"/>
      <c r="EN184" s="744" t="str">
        <f t="shared" si="49"/>
        <v>-</v>
      </c>
      <c r="EO184" s="739"/>
      <c r="EP184" s="739"/>
      <c r="EQ184" s="740"/>
      <c r="ER184" s="744" t="str">
        <f>IF(DV184="","-",INDEX($A$5:$BP$257,MATCH(DV184,$BN$5:$BN$257,0),39)*(IF(DV184="","-",(1+(((-('Densidade do AR'!$M$4))+('Densidade do AR'!$T$15*1000000))/(IF(INDEX($A$5:$BP$257,MATCH(DV184,$BN$5:$BN$257,0),50)="Aço Inoxidável",('Densidade do AR'!$S$8*1000000),IF(INDEX($A$5:$BP$257,MATCH(DV184,$BN$5:$BN$257,0),50)="Ferro Fundido",('Densidade do AR'!$S$12*1000000),IF(INDEX($A$5:$BP$257,MATCH(DV184,$BN$5:$BN$257,0),50)="Latão",('Densidade do AR'!$S$10*1000000),IF(INDEX($A$5:$BP$257,MATCH(DV184,$BN$5:$BN$257,0),50)="Alumínio",('Densidade do AR'!$S$4*1000000)))))))-(((-('Densidade do AR'!$M$4))+('Densidade do AR'!$T$15*1000000))/('Densidade do AR'!$S$14*1000000))))))</f>
        <v>-</v>
      </c>
      <c r="ES184" s="739"/>
      <c r="ET184" s="739"/>
      <c r="EU184" s="745"/>
      <c r="EV184" s="91" t="str">
        <f t="shared" si="60"/>
        <v>-</v>
      </c>
      <c r="EW184" s="736"/>
      <c r="EX184" s="737"/>
      <c r="EY184" s="738" t="str">
        <f>IF(EW184="","-",(IF(INDEX($A$5:$BP$257,MATCH(EW184,$BN$5:$BN$257,0),50)="Aço Inoxidável",('Densidade do AR'!$S$8*1000000),IF(INDEX($A$5:$BP$257,MATCH(EW184,$BN$5:$BN$257,0),50)="Ferro Fundido",('Densidade do AR'!$S$12*1000000),IF(INDEX($A$5:$BP$257,MATCH(EW184,$BN$5:$BN$257,0),50)="Latão",('Densidade do AR'!$S$10*1000000),IF(INDEX($A$5:$BP$257,MATCH(EW184,$BN$5:$BN$257,0),50)="Alumínio",('Densidade do AR'!$S$4*1000000)))))))</f>
        <v>-</v>
      </c>
      <c r="EZ184" s="739"/>
      <c r="FA184" s="739"/>
      <c r="FB184" s="740"/>
      <c r="FC184" s="741" t="str">
        <f t="shared" si="61"/>
        <v>-</v>
      </c>
      <c r="FD184" s="742"/>
      <c r="FE184" s="742"/>
      <c r="FF184" s="743"/>
      <c r="FG184" s="741" t="str">
        <f t="shared" si="50"/>
        <v>-</v>
      </c>
      <c r="FH184" s="742"/>
      <c r="FI184" s="742"/>
      <c r="FJ184" s="743"/>
      <c r="FK184" s="744" t="str">
        <f t="shared" si="62"/>
        <v>-</v>
      </c>
      <c r="FL184" s="739"/>
      <c r="FM184" s="739"/>
      <c r="FN184" s="740"/>
      <c r="FO184" s="744" t="str">
        <f t="shared" si="51"/>
        <v>-</v>
      </c>
      <c r="FP184" s="739"/>
      <c r="FQ184" s="739"/>
      <c r="FR184" s="740"/>
      <c r="FS184" s="744" t="str">
        <f>IF(EW184="","-",INDEX($A$5:$BP$257,MATCH(EW184,$BN$5:$BN$257,0),39)*(IF(EW184="","-",(1+(((-('Densidade do AR'!$M$4))+('Densidade do AR'!$T$15*1000000))/(IF(INDEX($A$5:$BP$257,MATCH(EW184,$BN$5:$BN$257,0),50)="Aço Inoxidável",('Densidade do AR'!$S$8*1000000),IF(INDEX($A$5:$BP$257,MATCH(EW184,$BN$5:$BN$257,0),50)="Ferro Fundido",('Densidade do AR'!$S$12*1000000),IF(INDEX($A$5:$BP$257,MATCH(EW184,$BN$5:$BN$257,0),50)="Latão",('Densidade do AR'!$S$10*1000000),IF(INDEX($A$5:$BP$257,MATCH(EW184,$BN$5:$BN$257,0),50)="Alumínio",('Densidade do AR'!$S$4*1000000)))))))-(((-('Densidade do AR'!$M$4))+('Densidade do AR'!$T$15*1000000))/('Densidade do AR'!$S$14*1000000))))))</f>
        <v>-</v>
      </c>
      <c r="FT184" s="739"/>
      <c r="FU184" s="739"/>
      <c r="FV184" s="745"/>
      <c r="FW184" s="91" t="str">
        <f t="shared" si="63"/>
        <v>-</v>
      </c>
      <c r="FX184" s="135"/>
    </row>
    <row r="185" spans="1:180" ht="12.75" customHeight="1" x14ac:dyDescent="0.2">
      <c r="A185" s="717">
        <v>181</v>
      </c>
      <c r="B185" s="713"/>
      <c r="C185" s="708"/>
      <c r="D185" s="709"/>
      <c r="E185" s="709"/>
      <c r="F185" s="709"/>
      <c r="G185" s="710"/>
      <c r="H185" s="711"/>
      <c r="I185" s="712"/>
      <c r="J185" s="712"/>
      <c r="K185" s="713"/>
      <c r="L185" s="708"/>
      <c r="M185" s="709"/>
      <c r="N185" s="709"/>
      <c r="O185" s="709"/>
      <c r="P185" s="708"/>
      <c r="Q185" s="709"/>
      <c r="R185" s="709"/>
      <c r="S185" s="709"/>
      <c r="T185" s="710"/>
      <c r="U185" s="714"/>
      <c r="V185" s="715"/>
      <c r="W185" s="715"/>
      <c r="X185" s="715"/>
      <c r="Y185" s="715"/>
      <c r="Z185" s="715"/>
      <c r="AA185" s="716"/>
      <c r="AB185" s="850"/>
      <c r="AC185" s="851"/>
      <c r="AD185" s="851"/>
      <c r="AE185" s="851"/>
      <c r="AF185" s="851"/>
      <c r="AG185" s="851"/>
      <c r="AH185" s="851"/>
      <c r="AI185" s="851"/>
      <c r="AJ185" s="851"/>
      <c r="AK185" s="851"/>
      <c r="AL185" s="852"/>
      <c r="AM185" s="917"/>
      <c r="AN185" s="712"/>
      <c r="AO185" s="712"/>
      <c r="AP185" s="712"/>
      <c r="AQ185" s="712"/>
      <c r="AR185" s="712"/>
      <c r="AS185" s="713"/>
      <c r="AT185" s="917"/>
      <c r="AU185" s="712"/>
      <c r="AV185" s="712"/>
      <c r="AW185" s="713"/>
      <c r="AX185" s="917"/>
      <c r="AY185" s="712"/>
      <c r="AZ185" s="712"/>
      <c r="BA185" s="712"/>
      <c r="BB185" s="712"/>
      <c r="BC185" s="713"/>
      <c r="BD185" s="917"/>
      <c r="BE185" s="712"/>
      <c r="BF185" s="712"/>
      <c r="BG185" s="713"/>
      <c r="BH185" s="918"/>
      <c r="BI185" s="712"/>
      <c r="BJ185" s="712"/>
      <c r="BK185" s="712"/>
      <c r="BL185" s="910"/>
      <c r="BN185" s="878"/>
      <c r="BO185" s="879"/>
      <c r="BP185" s="880"/>
      <c r="BT185" s="746"/>
      <c r="BU185" s="747"/>
      <c r="BV185" s="784" t="str">
        <f>IF(BT185="","-",(IF(INDEX($A$5:$BP$257,MATCH(BT185,$BN$5:$BN$257,0),50)="Aço Inoxidável",('Densidade do AR'!$S$8*1000000),IF(INDEX($A$5:$BP$257,MATCH(BT185,$BN$5:$BN$257,0),50)="Ferro Fundido",('Densidade do AR'!$S$12*1000000),IF(INDEX($A$5:$BP$257,MATCH(BT185,$BN$5:$BN$257,0),50)="Latão",('Densidade do AR'!$S$10*1000000),IF(INDEX($A$5:$BP$257,MATCH(BT185,$BN$5:$BN$257,0),50)="Alumínio",('Densidade do AR'!$S$4*1000000)))))))</f>
        <v>-</v>
      </c>
      <c r="BW185" s="785"/>
      <c r="BX185" s="785"/>
      <c r="BY185" s="786"/>
      <c r="BZ185" s="787" t="str">
        <f t="shared" si="52"/>
        <v>-</v>
      </c>
      <c r="CA185" s="788"/>
      <c r="CB185" s="788"/>
      <c r="CC185" s="789"/>
      <c r="CD185" s="787" t="str">
        <f t="shared" si="44"/>
        <v>-</v>
      </c>
      <c r="CE185" s="788"/>
      <c r="CF185" s="788"/>
      <c r="CG185" s="789"/>
      <c r="CH185" s="790" t="str">
        <f t="shared" si="53"/>
        <v>-</v>
      </c>
      <c r="CI185" s="785"/>
      <c r="CJ185" s="785"/>
      <c r="CK185" s="786"/>
      <c r="CL185" s="790" t="str">
        <f t="shared" si="45"/>
        <v>-</v>
      </c>
      <c r="CM185" s="785"/>
      <c r="CN185" s="785"/>
      <c r="CO185" s="786"/>
      <c r="CP185" s="790" t="str">
        <f>IF(BT185="","-",INDEX($A$5:$BP$257,MATCH(BT185,$BN$5:$BN$257,0),39)*(IF(BT185="","-",(1+(((-('Densidade do AR'!$M$4))+('Densidade do AR'!$T$15*1000000))/(IF(INDEX($A$5:$BP$257,MATCH(BT185,$BN$5:$BN$257,0),50)="Aço Inoxidável",('Densidade do AR'!$S$8*1000000),IF(INDEX($A$5:$BP$257,MATCH(BT185,$BN$5:$BN$257,0),50)="Ferro Fundido",('Densidade do AR'!$S$12*1000000),IF(INDEX($A$5:$BP$257,MATCH(BT185,$BN$5:$BN$257,0),50)="Latão",('Densidade do AR'!$S$10*1000000),IF(INDEX($A$5:$BP$257,MATCH(BT185,$BN$5:$BN$257,0),50)="Alumínio",('Densidade do AR'!$S$4*1000000)))))))-(((-('Densidade do AR'!$M$4))+('Densidade do AR'!$T$15*1000000))/('Densidade do AR'!$S$14*1000000))))))</f>
        <v>-</v>
      </c>
      <c r="CQ185" s="785"/>
      <c r="CR185" s="785"/>
      <c r="CS185" s="791"/>
      <c r="CT185" s="91" t="str">
        <f t="shared" si="54"/>
        <v>-</v>
      </c>
      <c r="CU185" s="746"/>
      <c r="CV185" s="747"/>
      <c r="CW185" s="784" t="str">
        <f>IF(CU185="","-",(IF(INDEX($A$5:$BP$257,MATCH(CU185,$BN$5:$BN$257,0),50)="Aço Inoxidável",('Densidade do AR'!$S$8*1000000),IF(INDEX($A$5:$BP$257,MATCH(CU185,$BN$5:$BN$257,0),50)="Ferro Fundido",('Densidade do AR'!$S$12*1000000),IF(INDEX($A$5:$BP$257,MATCH(CU185,$BN$5:$BN$257,0),50)="Latão",('Densidade do AR'!$S$10*1000000),IF(INDEX($A$5:$BP$257,MATCH(CU185,$BN$5:$BN$257,0),50)="Alumínio",('Densidade do AR'!$S$4*1000000)))))))</f>
        <v>-</v>
      </c>
      <c r="CX185" s="785"/>
      <c r="CY185" s="785"/>
      <c r="CZ185" s="786"/>
      <c r="DA185" s="787" t="str">
        <f t="shared" si="55"/>
        <v>-</v>
      </c>
      <c r="DB185" s="788"/>
      <c r="DC185" s="788"/>
      <c r="DD185" s="789"/>
      <c r="DE185" s="787" t="str">
        <f t="shared" si="46"/>
        <v>-</v>
      </c>
      <c r="DF185" s="788"/>
      <c r="DG185" s="788"/>
      <c r="DH185" s="789"/>
      <c r="DI185" s="790" t="str">
        <f t="shared" si="56"/>
        <v>-</v>
      </c>
      <c r="DJ185" s="785"/>
      <c r="DK185" s="785"/>
      <c r="DL185" s="786"/>
      <c r="DM185" s="790" t="str">
        <f t="shared" si="47"/>
        <v>-</v>
      </c>
      <c r="DN185" s="785"/>
      <c r="DO185" s="785"/>
      <c r="DP185" s="786"/>
      <c r="DQ185" s="790" t="str">
        <f>IF(CU185="","-",INDEX($A$5:$BP$257,MATCH(CU185,$BN$5:$BN$257,0),39)*(IF(CU185="","-",(1+(((-('Densidade do AR'!$M$4))+('Densidade do AR'!$T$15*1000000))/(IF(INDEX($A$5:$BP$257,MATCH(CU185,$BN$5:$BN$257,0),50)="Aço Inoxidável",('Densidade do AR'!$S$8*1000000),IF(INDEX($A$5:$BP$257,MATCH(CU185,$BN$5:$BN$257,0),50)="Ferro Fundido",('Densidade do AR'!$S$12*1000000),IF(INDEX($A$5:$BP$257,MATCH(CU185,$BN$5:$BN$257,0),50)="Latão",('Densidade do AR'!$S$10*1000000),IF(INDEX($A$5:$BP$257,MATCH(CU185,$BN$5:$BN$257,0),50)="Alumínio",('Densidade do AR'!$S$4*1000000)))))))-(((-('Densidade do AR'!$M$4))+('Densidade do AR'!$T$15*1000000))/('Densidade do AR'!$S$14*1000000))))))</f>
        <v>-</v>
      </c>
      <c r="DR185" s="785"/>
      <c r="DS185" s="785"/>
      <c r="DT185" s="791"/>
      <c r="DU185" s="91" t="str">
        <f t="shared" si="57"/>
        <v>-</v>
      </c>
      <c r="DV185" s="746"/>
      <c r="DW185" s="747"/>
      <c r="DX185" s="784" t="str">
        <f>IF(DV185="","-",(IF(INDEX($A$5:$BP$257,MATCH(DV185,$BN$5:$BN$257,0),50)="Aço Inoxidável",('Densidade do AR'!$S$8*1000000),IF(INDEX($A$5:$BP$257,MATCH(DV185,$BN$5:$BN$257,0),50)="Ferro Fundido",('Densidade do AR'!$S$12*1000000),IF(INDEX($A$5:$BP$257,MATCH(DV185,$BN$5:$BN$257,0),50)="Latão",('Densidade do AR'!$S$10*1000000),IF(INDEX($A$5:$BP$257,MATCH(DV185,$BN$5:$BN$257,0),50)="Alumínio",('Densidade do AR'!$S$4*1000000)))))))</f>
        <v>-</v>
      </c>
      <c r="DY185" s="785"/>
      <c r="DZ185" s="785"/>
      <c r="EA185" s="786"/>
      <c r="EB185" s="787" t="str">
        <f t="shared" si="58"/>
        <v>-</v>
      </c>
      <c r="EC185" s="788"/>
      <c r="ED185" s="788"/>
      <c r="EE185" s="789"/>
      <c r="EF185" s="787" t="str">
        <f t="shared" si="48"/>
        <v>-</v>
      </c>
      <c r="EG185" s="788"/>
      <c r="EH185" s="788"/>
      <c r="EI185" s="789"/>
      <c r="EJ185" s="790" t="str">
        <f t="shared" si="59"/>
        <v>-</v>
      </c>
      <c r="EK185" s="785"/>
      <c r="EL185" s="785"/>
      <c r="EM185" s="786"/>
      <c r="EN185" s="790" t="str">
        <f t="shared" si="49"/>
        <v>-</v>
      </c>
      <c r="EO185" s="785"/>
      <c r="EP185" s="785"/>
      <c r="EQ185" s="786"/>
      <c r="ER185" s="790" t="str">
        <f>IF(DV185="","-",INDEX($A$5:$BP$257,MATCH(DV185,$BN$5:$BN$257,0),39)*(IF(DV185="","-",(1+(((-('Densidade do AR'!$M$4))+('Densidade do AR'!$T$15*1000000))/(IF(INDEX($A$5:$BP$257,MATCH(DV185,$BN$5:$BN$257,0),50)="Aço Inoxidável",('Densidade do AR'!$S$8*1000000),IF(INDEX($A$5:$BP$257,MATCH(DV185,$BN$5:$BN$257,0),50)="Ferro Fundido",('Densidade do AR'!$S$12*1000000),IF(INDEX($A$5:$BP$257,MATCH(DV185,$BN$5:$BN$257,0),50)="Latão",('Densidade do AR'!$S$10*1000000),IF(INDEX($A$5:$BP$257,MATCH(DV185,$BN$5:$BN$257,0),50)="Alumínio",('Densidade do AR'!$S$4*1000000)))))))-(((-('Densidade do AR'!$M$4))+('Densidade do AR'!$T$15*1000000))/('Densidade do AR'!$S$14*1000000))))))</f>
        <v>-</v>
      </c>
      <c r="ES185" s="785"/>
      <c r="ET185" s="785"/>
      <c r="EU185" s="791"/>
      <c r="EV185" s="91" t="str">
        <f t="shared" si="60"/>
        <v>-</v>
      </c>
      <c r="EW185" s="746"/>
      <c r="EX185" s="747"/>
      <c r="EY185" s="784" t="str">
        <f>IF(EW185="","-",(IF(INDEX($A$5:$BP$257,MATCH(EW185,$BN$5:$BN$257,0),50)="Aço Inoxidável",('Densidade do AR'!$S$8*1000000),IF(INDEX($A$5:$BP$257,MATCH(EW185,$BN$5:$BN$257,0),50)="Ferro Fundido",('Densidade do AR'!$S$12*1000000),IF(INDEX($A$5:$BP$257,MATCH(EW185,$BN$5:$BN$257,0),50)="Latão",('Densidade do AR'!$S$10*1000000),IF(INDEX($A$5:$BP$257,MATCH(EW185,$BN$5:$BN$257,0),50)="Alumínio",('Densidade do AR'!$S$4*1000000)))))))</f>
        <v>-</v>
      </c>
      <c r="EZ185" s="785"/>
      <c r="FA185" s="785"/>
      <c r="FB185" s="786"/>
      <c r="FC185" s="787" t="str">
        <f t="shared" si="61"/>
        <v>-</v>
      </c>
      <c r="FD185" s="788"/>
      <c r="FE185" s="788"/>
      <c r="FF185" s="789"/>
      <c r="FG185" s="787" t="str">
        <f t="shared" si="50"/>
        <v>-</v>
      </c>
      <c r="FH185" s="788"/>
      <c r="FI185" s="788"/>
      <c r="FJ185" s="789"/>
      <c r="FK185" s="790" t="str">
        <f t="shared" si="62"/>
        <v>-</v>
      </c>
      <c r="FL185" s="785"/>
      <c r="FM185" s="785"/>
      <c r="FN185" s="786"/>
      <c r="FO185" s="790" t="str">
        <f t="shared" si="51"/>
        <v>-</v>
      </c>
      <c r="FP185" s="785"/>
      <c r="FQ185" s="785"/>
      <c r="FR185" s="786"/>
      <c r="FS185" s="790" t="str">
        <f>IF(EW185="","-",INDEX($A$5:$BP$257,MATCH(EW185,$BN$5:$BN$257,0),39)*(IF(EW185="","-",(1+(((-('Densidade do AR'!$M$4))+('Densidade do AR'!$T$15*1000000))/(IF(INDEX($A$5:$BP$257,MATCH(EW185,$BN$5:$BN$257,0),50)="Aço Inoxidável",('Densidade do AR'!$S$8*1000000),IF(INDEX($A$5:$BP$257,MATCH(EW185,$BN$5:$BN$257,0),50)="Ferro Fundido",('Densidade do AR'!$S$12*1000000),IF(INDEX($A$5:$BP$257,MATCH(EW185,$BN$5:$BN$257,0),50)="Latão",('Densidade do AR'!$S$10*1000000),IF(INDEX($A$5:$BP$257,MATCH(EW185,$BN$5:$BN$257,0),50)="Alumínio",('Densidade do AR'!$S$4*1000000)))))))-(((-('Densidade do AR'!$M$4))+('Densidade do AR'!$T$15*1000000))/('Densidade do AR'!$S$14*1000000))))))</f>
        <v>-</v>
      </c>
      <c r="FT185" s="785"/>
      <c r="FU185" s="785"/>
      <c r="FV185" s="791"/>
      <c r="FW185" s="91" t="str">
        <f t="shared" si="63"/>
        <v>-</v>
      </c>
      <c r="FX185" s="135"/>
    </row>
    <row r="186" spans="1:180" ht="12.75" customHeight="1" x14ac:dyDescent="0.2">
      <c r="A186" s="718">
        <v>182</v>
      </c>
      <c r="B186" s="713"/>
      <c r="C186" s="719"/>
      <c r="D186" s="709"/>
      <c r="E186" s="709"/>
      <c r="F186" s="709"/>
      <c r="G186" s="710"/>
      <c r="H186" s="720"/>
      <c r="I186" s="712"/>
      <c r="J186" s="712"/>
      <c r="K186" s="713"/>
      <c r="L186" s="719"/>
      <c r="M186" s="709"/>
      <c r="N186" s="709"/>
      <c r="O186" s="709"/>
      <c r="P186" s="719"/>
      <c r="Q186" s="709"/>
      <c r="R186" s="709"/>
      <c r="S186" s="709"/>
      <c r="T186" s="710"/>
      <c r="U186" s="721"/>
      <c r="V186" s="722"/>
      <c r="W186" s="722"/>
      <c r="X186" s="722"/>
      <c r="Y186" s="722"/>
      <c r="Z186" s="722"/>
      <c r="AA186" s="723"/>
      <c r="AB186" s="853"/>
      <c r="AC186" s="854"/>
      <c r="AD186" s="854"/>
      <c r="AE186" s="854"/>
      <c r="AF186" s="854"/>
      <c r="AG186" s="854"/>
      <c r="AH186" s="854"/>
      <c r="AI186" s="854"/>
      <c r="AJ186" s="854"/>
      <c r="AK186" s="854"/>
      <c r="AL186" s="855"/>
      <c r="AM186" s="909"/>
      <c r="AN186" s="712"/>
      <c r="AO186" s="712"/>
      <c r="AP186" s="712"/>
      <c r="AQ186" s="712"/>
      <c r="AR186" s="712"/>
      <c r="AS186" s="713"/>
      <c r="AT186" s="909"/>
      <c r="AU186" s="712"/>
      <c r="AV186" s="712"/>
      <c r="AW186" s="713"/>
      <c r="AX186" s="908"/>
      <c r="AY186" s="712"/>
      <c r="AZ186" s="712"/>
      <c r="BA186" s="712"/>
      <c r="BB186" s="712"/>
      <c r="BC186" s="713"/>
      <c r="BD186" s="909"/>
      <c r="BE186" s="712"/>
      <c r="BF186" s="712"/>
      <c r="BG186" s="713"/>
      <c r="BH186" s="908"/>
      <c r="BI186" s="712"/>
      <c r="BJ186" s="712"/>
      <c r="BK186" s="712"/>
      <c r="BL186" s="910"/>
      <c r="BN186" s="881"/>
      <c r="BO186" s="882"/>
      <c r="BP186" s="883"/>
      <c r="BT186" s="736"/>
      <c r="BU186" s="737"/>
      <c r="BV186" s="738" t="str">
        <f>IF(BT186="","-",(IF(INDEX($A$5:$BP$257,MATCH(BT186,$BN$5:$BN$257,0),50)="Aço Inoxidável",('Densidade do AR'!$S$8*1000000),IF(INDEX($A$5:$BP$257,MATCH(BT186,$BN$5:$BN$257,0),50)="Ferro Fundido",('Densidade do AR'!$S$12*1000000),IF(INDEX($A$5:$BP$257,MATCH(BT186,$BN$5:$BN$257,0),50)="Latão",('Densidade do AR'!$S$10*1000000),IF(INDEX($A$5:$BP$257,MATCH(BT186,$BN$5:$BN$257,0),50)="Alumínio",('Densidade do AR'!$S$4*1000000)))))))</f>
        <v>-</v>
      </c>
      <c r="BW186" s="739"/>
      <c r="BX186" s="739"/>
      <c r="BY186" s="740"/>
      <c r="BZ186" s="741" t="str">
        <f t="shared" si="52"/>
        <v>-</v>
      </c>
      <c r="CA186" s="742"/>
      <c r="CB186" s="742"/>
      <c r="CC186" s="743"/>
      <c r="CD186" s="741" t="str">
        <f t="shared" si="44"/>
        <v>-</v>
      </c>
      <c r="CE186" s="742"/>
      <c r="CF186" s="742"/>
      <c r="CG186" s="743"/>
      <c r="CH186" s="744" t="str">
        <f t="shared" si="53"/>
        <v>-</v>
      </c>
      <c r="CI186" s="739"/>
      <c r="CJ186" s="739"/>
      <c r="CK186" s="740"/>
      <c r="CL186" s="744" t="str">
        <f t="shared" si="45"/>
        <v>-</v>
      </c>
      <c r="CM186" s="739"/>
      <c r="CN186" s="739"/>
      <c r="CO186" s="740"/>
      <c r="CP186" s="744" t="str">
        <f>IF(BT186="","-",INDEX($A$5:$BP$257,MATCH(BT186,$BN$5:$BN$257,0),39)*(IF(BT186="","-",(1+(((-('Densidade do AR'!$M$4))+('Densidade do AR'!$T$15*1000000))/(IF(INDEX($A$5:$BP$257,MATCH(BT186,$BN$5:$BN$257,0),50)="Aço Inoxidável",('Densidade do AR'!$S$8*1000000),IF(INDEX($A$5:$BP$257,MATCH(BT186,$BN$5:$BN$257,0),50)="Ferro Fundido",('Densidade do AR'!$S$12*1000000),IF(INDEX($A$5:$BP$257,MATCH(BT186,$BN$5:$BN$257,0),50)="Latão",('Densidade do AR'!$S$10*1000000),IF(INDEX($A$5:$BP$257,MATCH(BT186,$BN$5:$BN$257,0),50)="Alumínio",('Densidade do AR'!$S$4*1000000)))))))-(((-('Densidade do AR'!$M$4))+('Densidade do AR'!$T$15*1000000))/('Densidade do AR'!$S$14*1000000))))))</f>
        <v>-</v>
      </c>
      <c r="CQ186" s="739"/>
      <c r="CR186" s="739"/>
      <c r="CS186" s="745"/>
      <c r="CT186" s="91" t="str">
        <f t="shared" si="54"/>
        <v>-</v>
      </c>
      <c r="CU186" s="736"/>
      <c r="CV186" s="737"/>
      <c r="CW186" s="738" t="str">
        <f>IF(CU186="","-",(IF(INDEX($A$5:$BP$257,MATCH(CU186,$BN$5:$BN$257,0),50)="Aço Inoxidável",('Densidade do AR'!$S$8*1000000),IF(INDEX($A$5:$BP$257,MATCH(CU186,$BN$5:$BN$257,0),50)="Ferro Fundido",('Densidade do AR'!$S$12*1000000),IF(INDEX($A$5:$BP$257,MATCH(CU186,$BN$5:$BN$257,0),50)="Latão",('Densidade do AR'!$S$10*1000000),IF(INDEX($A$5:$BP$257,MATCH(CU186,$BN$5:$BN$257,0),50)="Alumínio",('Densidade do AR'!$S$4*1000000)))))))</f>
        <v>-</v>
      </c>
      <c r="CX186" s="739"/>
      <c r="CY186" s="739"/>
      <c r="CZ186" s="740"/>
      <c r="DA186" s="741" t="str">
        <f t="shared" si="55"/>
        <v>-</v>
      </c>
      <c r="DB186" s="742"/>
      <c r="DC186" s="742"/>
      <c r="DD186" s="743"/>
      <c r="DE186" s="741" t="str">
        <f t="shared" si="46"/>
        <v>-</v>
      </c>
      <c r="DF186" s="742"/>
      <c r="DG186" s="742"/>
      <c r="DH186" s="743"/>
      <c r="DI186" s="744" t="str">
        <f t="shared" si="56"/>
        <v>-</v>
      </c>
      <c r="DJ186" s="739"/>
      <c r="DK186" s="739"/>
      <c r="DL186" s="740"/>
      <c r="DM186" s="744" t="str">
        <f t="shared" si="47"/>
        <v>-</v>
      </c>
      <c r="DN186" s="739"/>
      <c r="DO186" s="739"/>
      <c r="DP186" s="740"/>
      <c r="DQ186" s="744" t="str">
        <f>IF(CU186="","-",INDEX($A$5:$BP$257,MATCH(CU186,$BN$5:$BN$257,0),39)*(IF(CU186="","-",(1+(((-('Densidade do AR'!$M$4))+('Densidade do AR'!$T$15*1000000))/(IF(INDEX($A$5:$BP$257,MATCH(CU186,$BN$5:$BN$257,0),50)="Aço Inoxidável",('Densidade do AR'!$S$8*1000000),IF(INDEX($A$5:$BP$257,MATCH(CU186,$BN$5:$BN$257,0),50)="Ferro Fundido",('Densidade do AR'!$S$12*1000000),IF(INDEX($A$5:$BP$257,MATCH(CU186,$BN$5:$BN$257,0),50)="Latão",('Densidade do AR'!$S$10*1000000),IF(INDEX($A$5:$BP$257,MATCH(CU186,$BN$5:$BN$257,0),50)="Alumínio",('Densidade do AR'!$S$4*1000000)))))))-(((-('Densidade do AR'!$M$4))+('Densidade do AR'!$T$15*1000000))/('Densidade do AR'!$S$14*1000000))))))</f>
        <v>-</v>
      </c>
      <c r="DR186" s="739"/>
      <c r="DS186" s="739"/>
      <c r="DT186" s="745"/>
      <c r="DU186" s="91" t="str">
        <f t="shared" si="57"/>
        <v>-</v>
      </c>
      <c r="DV186" s="736"/>
      <c r="DW186" s="737"/>
      <c r="DX186" s="738" t="str">
        <f>IF(DV186="","-",(IF(INDEX($A$5:$BP$257,MATCH(DV186,$BN$5:$BN$257,0),50)="Aço Inoxidável",('Densidade do AR'!$S$8*1000000),IF(INDEX($A$5:$BP$257,MATCH(DV186,$BN$5:$BN$257,0),50)="Ferro Fundido",('Densidade do AR'!$S$12*1000000),IF(INDEX($A$5:$BP$257,MATCH(DV186,$BN$5:$BN$257,0),50)="Latão",('Densidade do AR'!$S$10*1000000),IF(INDEX($A$5:$BP$257,MATCH(DV186,$BN$5:$BN$257,0),50)="Alumínio",('Densidade do AR'!$S$4*1000000)))))))</f>
        <v>-</v>
      </c>
      <c r="DY186" s="739"/>
      <c r="DZ186" s="739"/>
      <c r="EA186" s="740"/>
      <c r="EB186" s="741" t="str">
        <f t="shared" si="58"/>
        <v>-</v>
      </c>
      <c r="EC186" s="742"/>
      <c r="ED186" s="742"/>
      <c r="EE186" s="743"/>
      <c r="EF186" s="741" t="str">
        <f t="shared" si="48"/>
        <v>-</v>
      </c>
      <c r="EG186" s="742"/>
      <c r="EH186" s="742"/>
      <c r="EI186" s="743"/>
      <c r="EJ186" s="744" t="str">
        <f t="shared" si="59"/>
        <v>-</v>
      </c>
      <c r="EK186" s="739"/>
      <c r="EL186" s="739"/>
      <c r="EM186" s="740"/>
      <c r="EN186" s="744" t="str">
        <f t="shared" si="49"/>
        <v>-</v>
      </c>
      <c r="EO186" s="739"/>
      <c r="EP186" s="739"/>
      <c r="EQ186" s="740"/>
      <c r="ER186" s="744" t="str">
        <f>IF(DV186="","-",INDEX($A$5:$BP$257,MATCH(DV186,$BN$5:$BN$257,0),39)*(IF(DV186="","-",(1+(((-('Densidade do AR'!$M$4))+('Densidade do AR'!$T$15*1000000))/(IF(INDEX($A$5:$BP$257,MATCH(DV186,$BN$5:$BN$257,0),50)="Aço Inoxidável",('Densidade do AR'!$S$8*1000000),IF(INDEX($A$5:$BP$257,MATCH(DV186,$BN$5:$BN$257,0),50)="Ferro Fundido",('Densidade do AR'!$S$12*1000000),IF(INDEX($A$5:$BP$257,MATCH(DV186,$BN$5:$BN$257,0),50)="Latão",('Densidade do AR'!$S$10*1000000),IF(INDEX($A$5:$BP$257,MATCH(DV186,$BN$5:$BN$257,0),50)="Alumínio",('Densidade do AR'!$S$4*1000000)))))))-(((-('Densidade do AR'!$M$4))+('Densidade do AR'!$T$15*1000000))/('Densidade do AR'!$S$14*1000000))))))</f>
        <v>-</v>
      </c>
      <c r="ES186" s="739"/>
      <c r="ET186" s="739"/>
      <c r="EU186" s="745"/>
      <c r="EV186" s="91" t="str">
        <f t="shared" si="60"/>
        <v>-</v>
      </c>
      <c r="EW186" s="736"/>
      <c r="EX186" s="737"/>
      <c r="EY186" s="738" t="str">
        <f>IF(EW186="","-",(IF(INDEX($A$5:$BP$257,MATCH(EW186,$BN$5:$BN$257,0),50)="Aço Inoxidável",('Densidade do AR'!$S$8*1000000),IF(INDEX($A$5:$BP$257,MATCH(EW186,$BN$5:$BN$257,0),50)="Ferro Fundido",('Densidade do AR'!$S$12*1000000),IF(INDEX($A$5:$BP$257,MATCH(EW186,$BN$5:$BN$257,0),50)="Latão",('Densidade do AR'!$S$10*1000000),IF(INDEX($A$5:$BP$257,MATCH(EW186,$BN$5:$BN$257,0),50)="Alumínio",('Densidade do AR'!$S$4*1000000)))))))</f>
        <v>-</v>
      </c>
      <c r="EZ186" s="739"/>
      <c r="FA186" s="739"/>
      <c r="FB186" s="740"/>
      <c r="FC186" s="741" t="str">
        <f t="shared" si="61"/>
        <v>-</v>
      </c>
      <c r="FD186" s="742"/>
      <c r="FE186" s="742"/>
      <c r="FF186" s="743"/>
      <c r="FG186" s="741" t="str">
        <f t="shared" si="50"/>
        <v>-</v>
      </c>
      <c r="FH186" s="742"/>
      <c r="FI186" s="742"/>
      <c r="FJ186" s="743"/>
      <c r="FK186" s="744" t="str">
        <f t="shared" si="62"/>
        <v>-</v>
      </c>
      <c r="FL186" s="739"/>
      <c r="FM186" s="739"/>
      <c r="FN186" s="740"/>
      <c r="FO186" s="744" t="str">
        <f t="shared" si="51"/>
        <v>-</v>
      </c>
      <c r="FP186" s="739"/>
      <c r="FQ186" s="739"/>
      <c r="FR186" s="740"/>
      <c r="FS186" s="744" t="str">
        <f>IF(EW186="","-",INDEX($A$5:$BP$257,MATCH(EW186,$BN$5:$BN$257,0),39)*(IF(EW186="","-",(1+(((-('Densidade do AR'!$M$4))+('Densidade do AR'!$T$15*1000000))/(IF(INDEX($A$5:$BP$257,MATCH(EW186,$BN$5:$BN$257,0),50)="Aço Inoxidável",('Densidade do AR'!$S$8*1000000),IF(INDEX($A$5:$BP$257,MATCH(EW186,$BN$5:$BN$257,0),50)="Ferro Fundido",('Densidade do AR'!$S$12*1000000),IF(INDEX($A$5:$BP$257,MATCH(EW186,$BN$5:$BN$257,0),50)="Latão",('Densidade do AR'!$S$10*1000000),IF(INDEX($A$5:$BP$257,MATCH(EW186,$BN$5:$BN$257,0),50)="Alumínio",('Densidade do AR'!$S$4*1000000)))))))-(((-('Densidade do AR'!$M$4))+('Densidade do AR'!$T$15*1000000))/('Densidade do AR'!$S$14*1000000))))))</f>
        <v>-</v>
      </c>
      <c r="FT186" s="739"/>
      <c r="FU186" s="739"/>
      <c r="FV186" s="745"/>
      <c r="FW186" s="91" t="str">
        <f t="shared" si="63"/>
        <v>-</v>
      </c>
      <c r="FX186" s="135"/>
    </row>
    <row r="187" spans="1:180" ht="12.75" customHeight="1" x14ac:dyDescent="0.2">
      <c r="A187" s="717">
        <v>183</v>
      </c>
      <c r="B187" s="713"/>
      <c r="C187" s="708"/>
      <c r="D187" s="709"/>
      <c r="E187" s="709"/>
      <c r="F187" s="709"/>
      <c r="G187" s="710"/>
      <c r="H187" s="711"/>
      <c r="I187" s="712"/>
      <c r="J187" s="712"/>
      <c r="K187" s="713"/>
      <c r="L187" s="708"/>
      <c r="M187" s="709"/>
      <c r="N187" s="709"/>
      <c r="O187" s="709"/>
      <c r="P187" s="708"/>
      <c r="Q187" s="709"/>
      <c r="R187" s="709"/>
      <c r="S187" s="709"/>
      <c r="T187" s="710"/>
      <c r="U187" s="714"/>
      <c r="V187" s="715"/>
      <c r="W187" s="715"/>
      <c r="X187" s="715"/>
      <c r="Y187" s="715"/>
      <c r="Z187" s="715"/>
      <c r="AA187" s="716"/>
      <c r="AB187" s="850"/>
      <c r="AC187" s="851"/>
      <c r="AD187" s="851"/>
      <c r="AE187" s="851"/>
      <c r="AF187" s="851"/>
      <c r="AG187" s="851"/>
      <c r="AH187" s="851"/>
      <c r="AI187" s="851"/>
      <c r="AJ187" s="851"/>
      <c r="AK187" s="851"/>
      <c r="AL187" s="852"/>
      <c r="AM187" s="917"/>
      <c r="AN187" s="712"/>
      <c r="AO187" s="712"/>
      <c r="AP187" s="712"/>
      <c r="AQ187" s="712"/>
      <c r="AR187" s="712"/>
      <c r="AS187" s="713"/>
      <c r="AT187" s="917"/>
      <c r="AU187" s="712"/>
      <c r="AV187" s="712"/>
      <c r="AW187" s="713"/>
      <c r="AX187" s="917"/>
      <c r="AY187" s="712"/>
      <c r="AZ187" s="712"/>
      <c r="BA187" s="712"/>
      <c r="BB187" s="712"/>
      <c r="BC187" s="713"/>
      <c r="BD187" s="917"/>
      <c r="BE187" s="712"/>
      <c r="BF187" s="712"/>
      <c r="BG187" s="713"/>
      <c r="BH187" s="918"/>
      <c r="BI187" s="712"/>
      <c r="BJ187" s="712"/>
      <c r="BK187" s="712"/>
      <c r="BL187" s="910"/>
      <c r="BN187" s="878"/>
      <c r="BO187" s="879"/>
      <c r="BP187" s="880"/>
      <c r="BT187" s="746"/>
      <c r="BU187" s="747"/>
      <c r="BV187" s="784" t="str">
        <f>IF(BT187="","-",(IF(INDEX($A$5:$BP$257,MATCH(BT187,$BN$5:$BN$257,0),50)="Aço Inoxidável",('Densidade do AR'!$S$8*1000000),IF(INDEX($A$5:$BP$257,MATCH(BT187,$BN$5:$BN$257,0),50)="Ferro Fundido",('Densidade do AR'!$S$12*1000000),IF(INDEX($A$5:$BP$257,MATCH(BT187,$BN$5:$BN$257,0),50)="Latão",('Densidade do AR'!$S$10*1000000),IF(INDEX($A$5:$BP$257,MATCH(BT187,$BN$5:$BN$257,0),50)="Alumínio",('Densidade do AR'!$S$4*1000000)))))))</f>
        <v>-</v>
      </c>
      <c r="BW187" s="785"/>
      <c r="BX187" s="785"/>
      <c r="BY187" s="786"/>
      <c r="BZ187" s="787" t="str">
        <f t="shared" si="52"/>
        <v>-</v>
      </c>
      <c r="CA187" s="788"/>
      <c r="CB187" s="788"/>
      <c r="CC187" s="789"/>
      <c r="CD187" s="787" t="str">
        <f t="shared" si="44"/>
        <v>-</v>
      </c>
      <c r="CE187" s="788"/>
      <c r="CF187" s="788"/>
      <c r="CG187" s="789"/>
      <c r="CH187" s="790" t="str">
        <f t="shared" si="53"/>
        <v>-</v>
      </c>
      <c r="CI187" s="785"/>
      <c r="CJ187" s="785"/>
      <c r="CK187" s="786"/>
      <c r="CL187" s="790" t="str">
        <f t="shared" si="45"/>
        <v>-</v>
      </c>
      <c r="CM187" s="785"/>
      <c r="CN187" s="785"/>
      <c r="CO187" s="786"/>
      <c r="CP187" s="790" t="str">
        <f>IF(BT187="","-",INDEX($A$5:$BP$257,MATCH(BT187,$BN$5:$BN$257,0),39)*(IF(BT187="","-",(1+(((-('Densidade do AR'!$M$4))+('Densidade do AR'!$T$15*1000000))/(IF(INDEX($A$5:$BP$257,MATCH(BT187,$BN$5:$BN$257,0),50)="Aço Inoxidável",('Densidade do AR'!$S$8*1000000),IF(INDEX($A$5:$BP$257,MATCH(BT187,$BN$5:$BN$257,0),50)="Ferro Fundido",('Densidade do AR'!$S$12*1000000),IF(INDEX($A$5:$BP$257,MATCH(BT187,$BN$5:$BN$257,0),50)="Latão",('Densidade do AR'!$S$10*1000000),IF(INDEX($A$5:$BP$257,MATCH(BT187,$BN$5:$BN$257,0),50)="Alumínio",('Densidade do AR'!$S$4*1000000)))))))-(((-('Densidade do AR'!$M$4))+('Densidade do AR'!$T$15*1000000))/('Densidade do AR'!$S$14*1000000))))))</f>
        <v>-</v>
      </c>
      <c r="CQ187" s="785"/>
      <c r="CR187" s="785"/>
      <c r="CS187" s="791"/>
      <c r="CT187" s="91" t="str">
        <f t="shared" si="54"/>
        <v>-</v>
      </c>
      <c r="CU187" s="746"/>
      <c r="CV187" s="747"/>
      <c r="CW187" s="784" t="str">
        <f>IF(CU187="","-",(IF(INDEX($A$5:$BP$257,MATCH(CU187,$BN$5:$BN$257,0),50)="Aço Inoxidável",('Densidade do AR'!$S$8*1000000),IF(INDEX($A$5:$BP$257,MATCH(CU187,$BN$5:$BN$257,0),50)="Ferro Fundido",('Densidade do AR'!$S$12*1000000),IF(INDEX($A$5:$BP$257,MATCH(CU187,$BN$5:$BN$257,0),50)="Latão",('Densidade do AR'!$S$10*1000000),IF(INDEX($A$5:$BP$257,MATCH(CU187,$BN$5:$BN$257,0),50)="Alumínio",('Densidade do AR'!$S$4*1000000)))))))</f>
        <v>-</v>
      </c>
      <c r="CX187" s="785"/>
      <c r="CY187" s="785"/>
      <c r="CZ187" s="786"/>
      <c r="DA187" s="787" t="str">
        <f t="shared" si="55"/>
        <v>-</v>
      </c>
      <c r="DB187" s="788"/>
      <c r="DC187" s="788"/>
      <c r="DD187" s="789"/>
      <c r="DE187" s="787" t="str">
        <f t="shared" si="46"/>
        <v>-</v>
      </c>
      <c r="DF187" s="788"/>
      <c r="DG187" s="788"/>
      <c r="DH187" s="789"/>
      <c r="DI187" s="790" t="str">
        <f t="shared" si="56"/>
        <v>-</v>
      </c>
      <c r="DJ187" s="785"/>
      <c r="DK187" s="785"/>
      <c r="DL187" s="786"/>
      <c r="DM187" s="790" t="str">
        <f t="shared" si="47"/>
        <v>-</v>
      </c>
      <c r="DN187" s="785"/>
      <c r="DO187" s="785"/>
      <c r="DP187" s="786"/>
      <c r="DQ187" s="790" t="str">
        <f>IF(CU187="","-",INDEX($A$5:$BP$257,MATCH(CU187,$BN$5:$BN$257,0),39)*(IF(CU187="","-",(1+(((-('Densidade do AR'!$M$4))+('Densidade do AR'!$T$15*1000000))/(IF(INDEX($A$5:$BP$257,MATCH(CU187,$BN$5:$BN$257,0),50)="Aço Inoxidável",('Densidade do AR'!$S$8*1000000),IF(INDEX($A$5:$BP$257,MATCH(CU187,$BN$5:$BN$257,0),50)="Ferro Fundido",('Densidade do AR'!$S$12*1000000),IF(INDEX($A$5:$BP$257,MATCH(CU187,$BN$5:$BN$257,0),50)="Latão",('Densidade do AR'!$S$10*1000000),IF(INDEX($A$5:$BP$257,MATCH(CU187,$BN$5:$BN$257,0),50)="Alumínio",('Densidade do AR'!$S$4*1000000)))))))-(((-('Densidade do AR'!$M$4))+('Densidade do AR'!$T$15*1000000))/('Densidade do AR'!$S$14*1000000))))))</f>
        <v>-</v>
      </c>
      <c r="DR187" s="785"/>
      <c r="DS187" s="785"/>
      <c r="DT187" s="791"/>
      <c r="DU187" s="91" t="str">
        <f t="shared" si="57"/>
        <v>-</v>
      </c>
      <c r="DV187" s="746"/>
      <c r="DW187" s="747"/>
      <c r="DX187" s="784" t="str">
        <f>IF(DV187="","-",(IF(INDEX($A$5:$BP$257,MATCH(DV187,$BN$5:$BN$257,0),50)="Aço Inoxidável",('Densidade do AR'!$S$8*1000000),IF(INDEX($A$5:$BP$257,MATCH(DV187,$BN$5:$BN$257,0),50)="Ferro Fundido",('Densidade do AR'!$S$12*1000000),IF(INDEX($A$5:$BP$257,MATCH(DV187,$BN$5:$BN$257,0),50)="Latão",('Densidade do AR'!$S$10*1000000),IF(INDEX($A$5:$BP$257,MATCH(DV187,$BN$5:$BN$257,0),50)="Alumínio",('Densidade do AR'!$S$4*1000000)))))))</f>
        <v>-</v>
      </c>
      <c r="DY187" s="785"/>
      <c r="DZ187" s="785"/>
      <c r="EA187" s="786"/>
      <c r="EB187" s="787" t="str">
        <f t="shared" si="58"/>
        <v>-</v>
      </c>
      <c r="EC187" s="788"/>
      <c r="ED187" s="788"/>
      <c r="EE187" s="789"/>
      <c r="EF187" s="787" t="str">
        <f t="shared" si="48"/>
        <v>-</v>
      </c>
      <c r="EG187" s="788"/>
      <c r="EH187" s="788"/>
      <c r="EI187" s="789"/>
      <c r="EJ187" s="790" t="str">
        <f t="shared" si="59"/>
        <v>-</v>
      </c>
      <c r="EK187" s="785"/>
      <c r="EL187" s="785"/>
      <c r="EM187" s="786"/>
      <c r="EN187" s="790" t="str">
        <f t="shared" si="49"/>
        <v>-</v>
      </c>
      <c r="EO187" s="785"/>
      <c r="EP187" s="785"/>
      <c r="EQ187" s="786"/>
      <c r="ER187" s="790" t="str">
        <f>IF(DV187="","-",INDEX($A$5:$BP$257,MATCH(DV187,$BN$5:$BN$257,0),39)*(IF(DV187="","-",(1+(((-('Densidade do AR'!$M$4))+('Densidade do AR'!$T$15*1000000))/(IF(INDEX($A$5:$BP$257,MATCH(DV187,$BN$5:$BN$257,0),50)="Aço Inoxidável",('Densidade do AR'!$S$8*1000000),IF(INDEX($A$5:$BP$257,MATCH(DV187,$BN$5:$BN$257,0),50)="Ferro Fundido",('Densidade do AR'!$S$12*1000000),IF(INDEX($A$5:$BP$257,MATCH(DV187,$BN$5:$BN$257,0),50)="Latão",('Densidade do AR'!$S$10*1000000),IF(INDEX($A$5:$BP$257,MATCH(DV187,$BN$5:$BN$257,0),50)="Alumínio",('Densidade do AR'!$S$4*1000000)))))))-(((-('Densidade do AR'!$M$4))+('Densidade do AR'!$T$15*1000000))/('Densidade do AR'!$S$14*1000000))))))</f>
        <v>-</v>
      </c>
      <c r="ES187" s="785"/>
      <c r="ET187" s="785"/>
      <c r="EU187" s="791"/>
      <c r="EV187" s="91" t="str">
        <f t="shared" si="60"/>
        <v>-</v>
      </c>
      <c r="EW187" s="746"/>
      <c r="EX187" s="747"/>
      <c r="EY187" s="784" t="str">
        <f>IF(EW187="","-",(IF(INDEX($A$5:$BP$257,MATCH(EW187,$BN$5:$BN$257,0),50)="Aço Inoxidável",('Densidade do AR'!$S$8*1000000),IF(INDEX($A$5:$BP$257,MATCH(EW187,$BN$5:$BN$257,0),50)="Ferro Fundido",('Densidade do AR'!$S$12*1000000),IF(INDEX($A$5:$BP$257,MATCH(EW187,$BN$5:$BN$257,0),50)="Latão",('Densidade do AR'!$S$10*1000000),IF(INDEX($A$5:$BP$257,MATCH(EW187,$BN$5:$BN$257,0),50)="Alumínio",('Densidade do AR'!$S$4*1000000)))))))</f>
        <v>-</v>
      </c>
      <c r="EZ187" s="785"/>
      <c r="FA187" s="785"/>
      <c r="FB187" s="786"/>
      <c r="FC187" s="787" t="str">
        <f t="shared" si="61"/>
        <v>-</v>
      </c>
      <c r="FD187" s="788"/>
      <c r="FE187" s="788"/>
      <c r="FF187" s="789"/>
      <c r="FG187" s="787" t="str">
        <f t="shared" si="50"/>
        <v>-</v>
      </c>
      <c r="FH187" s="788"/>
      <c r="FI187" s="788"/>
      <c r="FJ187" s="789"/>
      <c r="FK187" s="790" t="str">
        <f t="shared" si="62"/>
        <v>-</v>
      </c>
      <c r="FL187" s="785"/>
      <c r="FM187" s="785"/>
      <c r="FN187" s="786"/>
      <c r="FO187" s="790" t="str">
        <f t="shared" si="51"/>
        <v>-</v>
      </c>
      <c r="FP187" s="785"/>
      <c r="FQ187" s="785"/>
      <c r="FR187" s="786"/>
      <c r="FS187" s="790" t="str">
        <f>IF(EW187="","-",INDEX($A$5:$BP$257,MATCH(EW187,$BN$5:$BN$257,0),39)*(IF(EW187="","-",(1+(((-('Densidade do AR'!$M$4))+('Densidade do AR'!$T$15*1000000))/(IF(INDEX($A$5:$BP$257,MATCH(EW187,$BN$5:$BN$257,0),50)="Aço Inoxidável",('Densidade do AR'!$S$8*1000000),IF(INDEX($A$5:$BP$257,MATCH(EW187,$BN$5:$BN$257,0),50)="Ferro Fundido",('Densidade do AR'!$S$12*1000000),IF(INDEX($A$5:$BP$257,MATCH(EW187,$BN$5:$BN$257,0),50)="Latão",('Densidade do AR'!$S$10*1000000),IF(INDEX($A$5:$BP$257,MATCH(EW187,$BN$5:$BN$257,0),50)="Alumínio",('Densidade do AR'!$S$4*1000000)))))))-(((-('Densidade do AR'!$M$4))+('Densidade do AR'!$T$15*1000000))/('Densidade do AR'!$S$14*1000000))))))</f>
        <v>-</v>
      </c>
      <c r="FT187" s="785"/>
      <c r="FU187" s="785"/>
      <c r="FV187" s="791"/>
      <c r="FW187" s="91" t="str">
        <f t="shared" si="63"/>
        <v>-</v>
      </c>
      <c r="FX187" s="135"/>
    </row>
    <row r="188" spans="1:180" ht="12.75" customHeight="1" x14ac:dyDescent="0.2">
      <c r="A188" s="718">
        <v>184</v>
      </c>
      <c r="B188" s="713"/>
      <c r="C188" s="719"/>
      <c r="D188" s="882"/>
      <c r="E188" s="882"/>
      <c r="F188" s="882"/>
      <c r="G188" s="923"/>
      <c r="H188" s="720"/>
      <c r="I188" s="712"/>
      <c r="J188" s="712"/>
      <c r="K188" s="713"/>
      <c r="L188" s="719"/>
      <c r="M188" s="709"/>
      <c r="N188" s="709"/>
      <c r="O188" s="709"/>
      <c r="P188" s="719"/>
      <c r="Q188" s="709"/>
      <c r="R188" s="709"/>
      <c r="S188" s="709"/>
      <c r="T188" s="710"/>
      <c r="U188" s="721"/>
      <c r="V188" s="722"/>
      <c r="W188" s="722"/>
      <c r="X188" s="722"/>
      <c r="Y188" s="722"/>
      <c r="Z188" s="722"/>
      <c r="AA188" s="723"/>
      <c r="AB188" s="853"/>
      <c r="AC188" s="854"/>
      <c r="AD188" s="854"/>
      <c r="AE188" s="854"/>
      <c r="AF188" s="854"/>
      <c r="AG188" s="854"/>
      <c r="AH188" s="854"/>
      <c r="AI188" s="854"/>
      <c r="AJ188" s="854"/>
      <c r="AK188" s="854"/>
      <c r="AL188" s="855"/>
      <c r="AM188" s="909"/>
      <c r="AN188" s="712"/>
      <c r="AO188" s="712"/>
      <c r="AP188" s="712"/>
      <c r="AQ188" s="712"/>
      <c r="AR188" s="712"/>
      <c r="AS188" s="713"/>
      <c r="AT188" s="909"/>
      <c r="AU188" s="712"/>
      <c r="AV188" s="712"/>
      <c r="AW188" s="713"/>
      <c r="AX188" s="908"/>
      <c r="AY188" s="712"/>
      <c r="AZ188" s="712"/>
      <c r="BA188" s="712"/>
      <c r="BB188" s="712"/>
      <c r="BC188" s="713"/>
      <c r="BD188" s="909"/>
      <c r="BE188" s="712"/>
      <c r="BF188" s="712"/>
      <c r="BG188" s="713"/>
      <c r="BH188" s="908"/>
      <c r="BI188" s="712"/>
      <c r="BJ188" s="712"/>
      <c r="BK188" s="712"/>
      <c r="BL188" s="910"/>
      <c r="BN188" s="881"/>
      <c r="BO188" s="882"/>
      <c r="BP188" s="883"/>
      <c r="BT188" s="736"/>
      <c r="BU188" s="737"/>
      <c r="BV188" s="738" t="str">
        <f>IF(BT188="","-",(IF(INDEX($A$5:$BP$257,MATCH(BT188,$BN$5:$BN$257,0),50)="Aço Inoxidável",('Densidade do AR'!$S$8*1000000),IF(INDEX($A$5:$BP$257,MATCH(BT188,$BN$5:$BN$257,0),50)="Ferro Fundido",('Densidade do AR'!$S$12*1000000),IF(INDEX($A$5:$BP$257,MATCH(BT188,$BN$5:$BN$257,0),50)="Latão",('Densidade do AR'!$S$10*1000000),IF(INDEX($A$5:$BP$257,MATCH(BT188,$BN$5:$BN$257,0),50)="Alumínio",('Densidade do AR'!$S$4*1000000)))))))</f>
        <v>-</v>
      </c>
      <c r="BW188" s="739"/>
      <c r="BX188" s="739"/>
      <c r="BY188" s="740"/>
      <c r="BZ188" s="741" t="str">
        <f t="shared" si="52"/>
        <v>-</v>
      </c>
      <c r="CA188" s="742"/>
      <c r="CB188" s="742"/>
      <c r="CC188" s="743"/>
      <c r="CD188" s="741" t="str">
        <f t="shared" si="44"/>
        <v>-</v>
      </c>
      <c r="CE188" s="742"/>
      <c r="CF188" s="742"/>
      <c r="CG188" s="743"/>
      <c r="CH188" s="744" t="str">
        <f t="shared" si="53"/>
        <v>-</v>
      </c>
      <c r="CI188" s="739"/>
      <c r="CJ188" s="739"/>
      <c r="CK188" s="740"/>
      <c r="CL188" s="744" t="str">
        <f t="shared" si="45"/>
        <v>-</v>
      </c>
      <c r="CM188" s="739"/>
      <c r="CN188" s="739"/>
      <c r="CO188" s="740"/>
      <c r="CP188" s="744" t="str">
        <f>IF(BT188="","-",INDEX($A$5:$BP$257,MATCH(BT188,$BN$5:$BN$257,0),39)*(IF(BT188="","-",(1+(((-('Densidade do AR'!$M$4))+('Densidade do AR'!$T$15*1000000))/(IF(INDEX($A$5:$BP$257,MATCH(BT188,$BN$5:$BN$257,0),50)="Aço Inoxidável",('Densidade do AR'!$S$8*1000000),IF(INDEX($A$5:$BP$257,MATCH(BT188,$BN$5:$BN$257,0),50)="Ferro Fundido",('Densidade do AR'!$S$12*1000000),IF(INDEX($A$5:$BP$257,MATCH(BT188,$BN$5:$BN$257,0),50)="Latão",('Densidade do AR'!$S$10*1000000),IF(INDEX($A$5:$BP$257,MATCH(BT188,$BN$5:$BN$257,0),50)="Alumínio",('Densidade do AR'!$S$4*1000000)))))))-(((-('Densidade do AR'!$M$4))+('Densidade do AR'!$T$15*1000000))/('Densidade do AR'!$S$14*1000000))))))</f>
        <v>-</v>
      </c>
      <c r="CQ188" s="739"/>
      <c r="CR188" s="739"/>
      <c r="CS188" s="745"/>
      <c r="CT188" s="91" t="str">
        <f t="shared" si="54"/>
        <v>-</v>
      </c>
      <c r="CU188" s="736"/>
      <c r="CV188" s="737"/>
      <c r="CW188" s="738" t="str">
        <f>IF(CU188="","-",(IF(INDEX($A$5:$BP$257,MATCH(CU188,$BN$5:$BN$257,0),50)="Aço Inoxidável",('Densidade do AR'!$S$8*1000000),IF(INDEX($A$5:$BP$257,MATCH(CU188,$BN$5:$BN$257,0),50)="Ferro Fundido",('Densidade do AR'!$S$12*1000000),IF(INDEX($A$5:$BP$257,MATCH(CU188,$BN$5:$BN$257,0),50)="Latão",('Densidade do AR'!$S$10*1000000),IF(INDEX($A$5:$BP$257,MATCH(CU188,$BN$5:$BN$257,0),50)="Alumínio",('Densidade do AR'!$S$4*1000000)))))))</f>
        <v>-</v>
      </c>
      <c r="CX188" s="739"/>
      <c r="CY188" s="739"/>
      <c r="CZ188" s="740"/>
      <c r="DA188" s="741" t="str">
        <f t="shared" si="55"/>
        <v>-</v>
      </c>
      <c r="DB188" s="742"/>
      <c r="DC188" s="742"/>
      <c r="DD188" s="743"/>
      <c r="DE188" s="741" t="str">
        <f t="shared" si="46"/>
        <v>-</v>
      </c>
      <c r="DF188" s="742"/>
      <c r="DG188" s="742"/>
      <c r="DH188" s="743"/>
      <c r="DI188" s="744" t="str">
        <f t="shared" si="56"/>
        <v>-</v>
      </c>
      <c r="DJ188" s="739"/>
      <c r="DK188" s="739"/>
      <c r="DL188" s="740"/>
      <c r="DM188" s="744" t="str">
        <f t="shared" si="47"/>
        <v>-</v>
      </c>
      <c r="DN188" s="739"/>
      <c r="DO188" s="739"/>
      <c r="DP188" s="740"/>
      <c r="DQ188" s="744" t="str">
        <f>IF(CU188="","-",INDEX($A$5:$BP$257,MATCH(CU188,$BN$5:$BN$257,0),39)*(IF(CU188="","-",(1+(((-('Densidade do AR'!$M$4))+('Densidade do AR'!$T$15*1000000))/(IF(INDEX($A$5:$BP$257,MATCH(CU188,$BN$5:$BN$257,0),50)="Aço Inoxidável",('Densidade do AR'!$S$8*1000000),IF(INDEX($A$5:$BP$257,MATCH(CU188,$BN$5:$BN$257,0),50)="Ferro Fundido",('Densidade do AR'!$S$12*1000000),IF(INDEX($A$5:$BP$257,MATCH(CU188,$BN$5:$BN$257,0),50)="Latão",('Densidade do AR'!$S$10*1000000),IF(INDEX($A$5:$BP$257,MATCH(CU188,$BN$5:$BN$257,0),50)="Alumínio",('Densidade do AR'!$S$4*1000000)))))))-(((-('Densidade do AR'!$M$4))+('Densidade do AR'!$T$15*1000000))/('Densidade do AR'!$S$14*1000000))))))</f>
        <v>-</v>
      </c>
      <c r="DR188" s="739"/>
      <c r="DS188" s="739"/>
      <c r="DT188" s="745"/>
      <c r="DU188" s="91" t="str">
        <f t="shared" si="57"/>
        <v>-</v>
      </c>
      <c r="DV188" s="736"/>
      <c r="DW188" s="737"/>
      <c r="DX188" s="738" t="str">
        <f>IF(DV188="","-",(IF(INDEX($A$5:$BP$257,MATCH(DV188,$BN$5:$BN$257,0),50)="Aço Inoxidável",('Densidade do AR'!$S$8*1000000),IF(INDEX($A$5:$BP$257,MATCH(DV188,$BN$5:$BN$257,0),50)="Ferro Fundido",('Densidade do AR'!$S$12*1000000),IF(INDEX($A$5:$BP$257,MATCH(DV188,$BN$5:$BN$257,0),50)="Latão",('Densidade do AR'!$S$10*1000000),IF(INDEX($A$5:$BP$257,MATCH(DV188,$BN$5:$BN$257,0),50)="Alumínio",('Densidade do AR'!$S$4*1000000)))))))</f>
        <v>-</v>
      </c>
      <c r="DY188" s="739"/>
      <c r="DZ188" s="739"/>
      <c r="EA188" s="740"/>
      <c r="EB188" s="741" t="str">
        <f t="shared" si="58"/>
        <v>-</v>
      </c>
      <c r="EC188" s="742"/>
      <c r="ED188" s="742"/>
      <c r="EE188" s="743"/>
      <c r="EF188" s="741" t="str">
        <f t="shared" si="48"/>
        <v>-</v>
      </c>
      <c r="EG188" s="742"/>
      <c r="EH188" s="742"/>
      <c r="EI188" s="743"/>
      <c r="EJ188" s="744" t="str">
        <f t="shared" si="59"/>
        <v>-</v>
      </c>
      <c r="EK188" s="739"/>
      <c r="EL188" s="739"/>
      <c r="EM188" s="740"/>
      <c r="EN188" s="744" t="str">
        <f t="shared" si="49"/>
        <v>-</v>
      </c>
      <c r="EO188" s="739"/>
      <c r="EP188" s="739"/>
      <c r="EQ188" s="740"/>
      <c r="ER188" s="744" t="str">
        <f>IF(DV188="","-",INDEX($A$5:$BP$257,MATCH(DV188,$BN$5:$BN$257,0),39)*(IF(DV188="","-",(1+(((-('Densidade do AR'!$M$4))+('Densidade do AR'!$T$15*1000000))/(IF(INDEX($A$5:$BP$257,MATCH(DV188,$BN$5:$BN$257,0),50)="Aço Inoxidável",('Densidade do AR'!$S$8*1000000),IF(INDEX($A$5:$BP$257,MATCH(DV188,$BN$5:$BN$257,0),50)="Ferro Fundido",('Densidade do AR'!$S$12*1000000),IF(INDEX($A$5:$BP$257,MATCH(DV188,$BN$5:$BN$257,0),50)="Latão",('Densidade do AR'!$S$10*1000000),IF(INDEX($A$5:$BP$257,MATCH(DV188,$BN$5:$BN$257,0),50)="Alumínio",('Densidade do AR'!$S$4*1000000)))))))-(((-('Densidade do AR'!$M$4))+('Densidade do AR'!$T$15*1000000))/('Densidade do AR'!$S$14*1000000))))))</f>
        <v>-</v>
      </c>
      <c r="ES188" s="739"/>
      <c r="ET188" s="739"/>
      <c r="EU188" s="745"/>
      <c r="EV188" s="91" t="str">
        <f t="shared" si="60"/>
        <v>-</v>
      </c>
      <c r="EW188" s="736"/>
      <c r="EX188" s="737"/>
      <c r="EY188" s="738" t="str">
        <f>IF(EW188="","-",(IF(INDEX($A$5:$BP$257,MATCH(EW188,$BN$5:$BN$257,0),50)="Aço Inoxidável",('Densidade do AR'!$S$8*1000000),IF(INDEX($A$5:$BP$257,MATCH(EW188,$BN$5:$BN$257,0),50)="Ferro Fundido",('Densidade do AR'!$S$12*1000000),IF(INDEX($A$5:$BP$257,MATCH(EW188,$BN$5:$BN$257,0),50)="Latão",('Densidade do AR'!$S$10*1000000),IF(INDEX($A$5:$BP$257,MATCH(EW188,$BN$5:$BN$257,0),50)="Alumínio",('Densidade do AR'!$S$4*1000000)))))))</f>
        <v>-</v>
      </c>
      <c r="EZ188" s="739"/>
      <c r="FA188" s="739"/>
      <c r="FB188" s="740"/>
      <c r="FC188" s="741" t="str">
        <f t="shared" si="61"/>
        <v>-</v>
      </c>
      <c r="FD188" s="742"/>
      <c r="FE188" s="742"/>
      <c r="FF188" s="743"/>
      <c r="FG188" s="741" t="str">
        <f t="shared" si="50"/>
        <v>-</v>
      </c>
      <c r="FH188" s="742"/>
      <c r="FI188" s="742"/>
      <c r="FJ188" s="743"/>
      <c r="FK188" s="744" t="str">
        <f t="shared" si="62"/>
        <v>-</v>
      </c>
      <c r="FL188" s="739"/>
      <c r="FM188" s="739"/>
      <c r="FN188" s="740"/>
      <c r="FO188" s="744" t="str">
        <f t="shared" si="51"/>
        <v>-</v>
      </c>
      <c r="FP188" s="739"/>
      <c r="FQ188" s="739"/>
      <c r="FR188" s="740"/>
      <c r="FS188" s="744" t="str">
        <f>IF(EW188="","-",INDEX($A$5:$BP$257,MATCH(EW188,$BN$5:$BN$257,0),39)*(IF(EW188="","-",(1+(((-('Densidade do AR'!$M$4))+('Densidade do AR'!$T$15*1000000))/(IF(INDEX($A$5:$BP$257,MATCH(EW188,$BN$5:$BN$257,0),50)="Aço Inoxidável",('Densidade do AR'!$S$8*1000000),IF(INDEX($A$5:$BP$257,MATCH(EW188,$BN$5:$BN$257,0),50)="Ferro Fundido",('Densidade do AR'!$S$12*1000000),IF(INDEX($A$5:$BP$257,MATCH(EW188,$BN$5:$BN$257,0),50)="Latão",('Densidade do AR'!$S$10*1000000),IF(INDEX($A$5:$BP$257,MATCH(EW188,$BN$5:$BN$257,0),50)="Alumínio",('Densidade do AR'!$S$4*1000000)))))))-(((-('Densidade do AR'!$M$4))+('Densidade do AR'!$T$15*1000000))/('Densidade do AR'!$S$14*1000000))))))</f>
        <v>-</v>
      </c>
      <c r="FT188" s="739"/>
      <c r="FU188" s="739"/>
      <c r="FV188" s="745"/>
      <c r="FW188" s="91" t="str">
        <f t="shared" si="63"/>
        <v>-</v>
      </c>
      <c r="FX188" s="135"/>
    </row>
    <row r="189" spans="1:180" ht="12.75" customHeight="1" x14ac:dyDescent="0.2">
      <c r="A189" s="717">
        <v>185</v>
      </c>
      <c r="B189" s="713"/>
      <c r="C189" s="708"/>
      <c r="D189" s="879"/>
      <c r="E189" s="879"/>
      <c r="F189" s="879"/>
      <c r="G189" s="924"/>
      <c r="H189" s="711"/>
      <c r="I189" s="712"/>
      <c r="J189" s="712"/>
      <c r="K189" s="713"/>
      <c r="L189" s="708"/>
      <c r="M189" s="709"/>
      <c r="N189" s="709"/>
      <c r="O189" s="709"/>
      <c r="P189" s="708"/>
      <c r="Q189" s="709"/>
      <c r="R189" s="709"/>
      <c r="S189" s="709"/>
      <c r="T189" s="710"/>
      <c r="U189" s="714"/>
      <c r="V189" s="715"/>
      <c r="W189" s="715"/>
      <c r="X189" s="715"/>
      <c r="Y189" s="715"/>
      <c r="Z189" s="715"/>
      <c r="AA189" s="716"/>
      <c r="AB189" s="850"/>
      <c r="AC189" s="851"/>
      <c r="AD189" s="851"/>
      <c r="AE189" s="851"/>
      <c r="AF189" s="851"/>
      <c r="AG189" s="851"/>
      <c r="AH189" s="851"/>
      <c r="AI189" s="851"/>
      <c r="AJ189" s="851"/>
      <c r="AK189" s="851"/>
      <c r="AL189" s="852"/>
      <c r="AM189" s="917"/>
      <c r="AN189" s="712"/>
      <c r="AO189" s="712"/>
      <c r="AP189" s="712"/>
      <c r="AQ189" s="712"/>
      <c r="AR189" s="712"/>
      <c r="AS189" s="713"/>
      <c r="AT189" s="917"/>
      <c r="AU189" s="712"/>
      <c r="AV189" s="712"/>
      <c r="AW189" s="713"/>
      <c r="AX189" s="917"/>
      <c r="AY189" s="712"/>
      <c r="AZ189" s="712"/>
      <c r="BA189" s="712"/>
      <c r="BB189" s="712"/>
      <c r="BC189" s="713"/>
      <c r="BD189" s="917"/>
      <c r="BE189" s="712"/>
      <c r="BF189" s="712"/>
      <c r="BG189" s="713"/>
      <c r="BH189" s="918"/>
      <c r="BI189" s="712"/>
      <c r="BJ189" s="712"/>
      <c r="BK189" s="712"/>
      <c r="BL189" s="910"/>
      <c r="BN189" s="878"/>
      <c r="BO189" s="879"/>
      <c r="BP189" s="880"/>
      <c r="BT189" s="746"/>
      <c r="BU189" s="747"/>
      <c r="BV189" s="784" t="str">
        <f>IF(BT189="","-",(IF(INDEX($A$5:$BP$257,MATCH(BT189,$BN$5:$BN$257,0),50)="Aço Inoxidável",('Densidade do AR'!$S$8*1000000),IF(INDEX($A$5:$BP$257,MATCH(BT189,$BN$5:$BN$257,0),50)="Ferro Fundido",('Densidade do AR'!$S$12*1000000),IF(INDEX($A$5:$BP$257,MATCH(BT189,$BN$5:$BN$257,0),50)="Latão",('Densidade do AR'!$S$10*1000000),IF(INDEX($A$5:$BP$257,MATCH(BT189,$BN$5:$BN$257,0),50)="Alumínio",('Densidade do AR'!$S$4*1000000)))))))</f>
        <v>-</v>
      </c>
      <c r="BW189" s="785"/>
      <c r="BX189" s="785"/>
      <c r="BY189" s="786"/>
      <c r="BZ189" s="787" t="str">
        <f t="shared" si="52"/>
        <v>-</v>
      </c>
      <c r="CA189" s="788"/>
      <c r="CB189" s="788"/>
      <c r="CC189" s="789"/>
      <c r="CD189" s="787" t="str">
        <f t="shared" si="44"/>
        <v>-</v>
      </c>
      <c r="CE189" s="788"/>
      <c r="CF189" s="788"/>
      <c r="CG189" s="789"/>
      <c r="CH189" s="790" t="str">
        <f t="shared" si="53"/>
        <v>-</v>
      </c>
      <c r="CI189" s="785"/>
      <c r="CJ189" s="785"/>
      <c r="CK189" s="786"/>
      <c r="CL189" s="790" t="str">
        <f t="shared" si="45"/>
        <v>-</v>
      </c>
      <c r="CM189" s="785"/>
      <c r="CN189" s="785"/>
      <c r="CO189" s="786"/>
      <c r="CP189" s="790" t="str">
        <f>IF(BT189="","-",INDEX($A$5:$BP$257,MATCH(BT189,$BN$5:$BN$257,0),39)*(IF(BT189="","-",(1+(((-('Densidade do AR'!$M$4))+('Densidade do AR'!$T$15*1000000))/(IF(INDEX($A$5:$BP$257,MATCH(BT189,$BN$5:$BN$257,0),50)="Aço Inoxidável",('Densidade do AR'!$S$8*1000000),IF(INDEX($A$5:$BP$257,MATCH(BT189,$BN$5:$BN$257,0),50)="Ferro Fundido",('Densidade do AR'!$S$12*1000000),IF(INDEX($A$5:$BP$257,MATCH(BT189,$BN$5:$BN$257,0),50)="Latão",('Densidade do AR'!$S$10*1000000),IF(INDEX($A$5:$BP$257,MATCH(BT189,$BN$5:$BN$257,0),50)="Alumínio",('Densidade do AR'!$S$4*1000000)))))))-(((-('Densidade do AR'!$M$4))+('Densidade do AR'!$T$15*1000000))/('Densidade do AR'!$S$14*1000000))))))</f>
        <v>-</v>
      </c>
      <c r="CQ189" s="785"/>
      <c r="CR189" s="785"/>
      <c r="CS189" s="791"/>
      <c r="CT189" s="91" t="str">
        <f t="shared" si="54"/>
        <v>-</v>
      </c>
      <c r="CU189" s="746"/>
      <c r="CV189" s="747"/>
      <c r="CW189" s="784" t="str">
        <f>IF(CU189="","-",(IF(INDEX($A$5:$BP$257,MATCH(CU189,$BN$5:$BN$257,0),50)="Aço Inoxidável",('Densidade do AR'!$S$8*1000000),IF(INDEX($A$5:$BP$257,MATCH(CU189,$BN$5:$BN$257,0),50)="Ferro Fundido",('Densidade do AR'!$S$12*1000000),IF(INDEX($A$5:$BP$257,MATCH(CU189,$BN$5:$BN$257,0),50)="Latão",('Densidade do AR'!$S$10*1000000),IF(INDEX($A$5:$BP$257,MATCH(CU189,$BN$5:$BN$257,0),50)="Alumínio",('Densidade do AR'!$S$4*1000000)))))))</f>
        <v>-</v>
      </c>
      <c r="CX189" s="785"/>
      <c r="CY189" s="785"/>
      <c r="CZ189" s="786"/>
      <c r="DA189" s="787" t="str">
        <f t="shared" si="55"/>
        <v>-</v>
      </c>
      <c r="DB189" s="788"/>
      <c r="DC189" s="788"/>
      <c r="DD189" s="789"/>
      <c r="DE189" s="787" t="str">
        <f t="shared" si="46"/>
        <v>-</v>
      </c>
      <c r="DF189" s="788"/>
      <c r="DG189" s="788"/>
      <c r="DH189" s="789"/>
      <c r="DI189" s="790" t="str">
        <f t="shared" si="56"/>
        <v>-</v>
      </c>
      <c r="DJ189" s="785"/>
      <c r="DK189" s="785"/>
      <c r="DL189" s="786"/>
      <c r="DM189" s="790" t="str">
        <f t="shared" si="47"/>
        <v>-</v>
      </c>
      <c r="DN189" s="785"/>
      <c r="DO189" s="785"/>
      <c r="DP189" s="786"/>
      <c r="DQ189" s="790" t="str">
        <f>IF(CU189="","-",INDEX($A$5:$BP$257,MATCH(CU189,$BN$5:$BN$257,0),39)*(IF(CU189="","-",(1+(((-('Densidade do AR'!$M$4))+('Densidade do AR'!$T$15*1000000))/(IF(INDEX($A$5:$BP$257,MATCH(CU189,$BN$5:$BN$257,0),50)="Aço Inoxidável",('Densidade do AR'!$S$8*1000000),IF(INDEX($A$5:$BP$257,MATCH(CU189,$BN$5:$BN$257,0),50)="Ferro Fundido",('Densidade do AR'!$S$12*1000000),IF(INDEX($A$5:$BP$257,MATCH(CU189,$BN$5:$BN$257,0),50)="Latão",('Densidade do AR'!$S$10*1000000),IF(INDEX($A$5:$BP$257,MATCH(CU189,$BN$5:$BN$257,0),50)="Alumínio",('Densidade do AR'!$S$4*1000000)))))))-(((-('Densidade do AR'!$M$4))+('Densidade do AR'!$T$15*1000000))/('Densidade do AR'!$S$14*1000000))))))</f>
        <v>-</v>
      </c>
      <c r="DR189" s="785"/>
      <c r="DS189" s="785"/>
      <c r="DT189" s="791"/>
      <c r="DU189" s="91" t="str">
        <f t="shared" si="57"/>
        <v>-</v>
      </c>
      <c r="DV189" s="746"/>
      <c r="DW189" s="747"/>
      <c r="DX189" s="784" t="str">
        <f>IF(DV189="","-",(IF(INDEX($A$5:$BP$257,MATCH(DV189,$BN$5:$BN$257,0),50)="Aço Inoxidável",('Densidade do AR'!$S$8*1000000),IF(INDEX($A$5:$BP$257,MATCH(DV189,$BN$5:$BN$257,0),50)="Ferro Fundido",('Densidade do AR'!$S$12*1000000),IF(INDEX($A$5:$BP$257,MATCH(DV189,$BN$5:$BN$257,0),50)="Latão",('Densidade do AR'!$S$10*1000000),IF(INDEX($A$5:$BP$257,MATCH(DV189,$BN$5:$BN$257,0),50)="Alumínio",('Densidade do AR'!$S$4*1000000)))))))</f>
        <v>-</v>
      </c>
      <c r="DY189" s="785"/>
      <c r="DZ189" s="785"/>
      <c r="EA189" s="786"/>
      <c r="EB189" s="787" t="str">
        <f t="shared" si="58"/>
        <v>-</v>
      </c>
      <c r="EC189" s="788"/>
      <c r="ED189" s="788"/>
      <c r="EE189" s="789"/>
      <c r="EF189" s="787" t="str">
        <f t="shared" si="48"/>
        <v>-</v>
      </c>
      <c r="EG189" s="788"/>
      <c r="EH189" s="788"/>
      <c r="EI189" s="789"/>
      <c r="EJ189" s="790" t="str">
        <f t="shared" si="59"/>
        <v>-</v>
      </c>
      <c r="EK189" s="785"/>
      <c r="EL189" s="785"/>
      <c r="EM189" s="786"/>
      <c r="EN189" s="790" t="str">
        <f t="shared" si="49"/>
        <v>-</v>
      </c>
      <c r="EO189" s="785"/>
      <c r="EP189" s="785"/>
      <c r="EQ189" s="786"/>
      <c r="ER189" s="790" t="str">
        <f>IF(DV189="","-",INDEX($A$5:$BP$257,MATCH(DV189,$BN$5:$BN$257,0),39)*(IF(DV189="","-",(1+(((-('Densidade do AR'!$M$4))+('Densidade do AR'!$T$15*1000000))/(IF(INDEX($A$5:$BP$257,MATCH(DV189,$BN$5:$BN$257,0),50)="Aço Inoxidável",('Densidade do AR'!$S$8*1000000),IF(INDEX($A$5:$BP$257,MATCH(DV189,$BN$5:$BN$257,0),50)="Ferro Fundido",('Densidade do AR'!$S$12*1000000),IF(INDEX($A$5:$BP$257,MATCH(DV189,$BN$5:$BN$257,0),50)="Latão",('Densidade do AR'!$S$10*1000000),IF(INDEX($A$5:$BP$257,MATCH(DV189,$BN$5:$BN$257,0),50)="Alumínio",('Densidade do AR'!$S$4*1000000)))))))-(((-('Densidade do AR'!$M$4))+('Densidade do AR'!$T$15*1000000))/('Densidade do AR'!$S$14*1000000))))))</f>
        <v>-</v>
      </c>
      <c r="ES189" s="785"/>
      <c r="ET189" s="785"/>
      <c r="EU189" s="791"/>
      <c r="EV189" s="91" t="str">
        <f t="shared" si="60"/>
        <v>-</v>
      </c>
      <c r="EW189" s="746"/>
      <c r="EX189" s="747"/>
      <c r="EY189" s="784" t="str">
        <f>IF(EW189="","-",(IF(INDEX($A$5:$BP$257,MATCH(EW189,$BN$5:$BN$257,0),50)="Aço Inoxidável",('Densidade do AR'!$S$8*1000000),IF(INDEX($A$5:$BP$257,MATCH(EW189,$BN$5:$BN$257,0),50)="Ferro Fundido",('Densidade do AR'!$S$12*1000000),IF(INDEX($A$5:$BP$257,MATCH(EW189,$BN$5:$BN$257,0),50)="Latão",('Densidade do AR'!$S$10*1000000),IF(INDEX($A$5:$BP$257,MATCH(EW189,$BN$5:$BN$257,0),50)="Alumínio",('Densidade do AR'!$S$4*1000000)))))))</f>
        <v>-</v>
      </c>
      <c r="EZ189" s="785"/>
      <c r="FA189" s="785"/>
      <c r="FB189" s="786"/>
      <c r="FC189" s="787" t="str">
        <f t="shared" si="61"/>
        <v>-</v>
      </c>
      <c r="FD189" s="788"/>
      <c r="FE189" s="788"/>
      <c r="FF189" s="789"/>
      <c r="FG189" s="787" t="str">
        <f t="shared" si="50"/>
        <v>-</v>
      </c>
      <c r="FH189" s="788"/>
      <c r="FI189" s="788"/>
      <c r="FJ189" s="789"/>
      <c r="FK189" s="790" t="str">
        <f t="shared" si="62"/>
        <v>-</v>
      </c>
      <c r="FL189" s="785"/>
      <c r="FM189" s="785"/>
      <c r="FN189" s="786"/>
      <c r="FO189" s="790" t="str">
        <f t="shared" si="51"/>
        <v>-</v>
      </c>
      <c r="FP189" s="785"/>
      <c r="FQ189" s="785"/>
      <c r="FR189" s="786"/>
      <c r="FS189" s="790" t="str">
        <f>IF(EW189="","-",INDEX($A$5:$BP$257,MATCH(EW189,$BN$5:$BN$257,0),39)*(IF(EW189="","-",(1+(((-('Densidade do AR'!$M$4))+('Densidade do AR'!$T$15*1000000))/(IF(INDEX($A$5:$BP$257,MATCH(EW189,$BN$5:$BN$257,0),50)="Aço Inoxidável",('Densidade do AR'!$S$8*1000000),IF(INDEX($A$5:$BP$257,MATCH(EW189,$BN$5:$BN$257,0),50)="Ferro Fundido",('Densidade do AR'!$S$12*1000000),IF(INDEX($A$5:$BP$257,MATCH(EW189,$BN$5:$BN$257,0),50)="Latão",('Densidade do AR'!$S$10*1000000),IF(INDEX($A$5:$BP$257,MATCH(EW189,$BN$5:$BN$257,0),50)="Alumínio",('Densidade do AR'!$S$4*1000000)))))))-(((-('Densidade do AR'!$M$4))+('Densidade do AR'!$T$15*1000000))/('Densidade do AR'!$S$14*1000000))))))</f>
        <v>-</v>
      </c>
      <c r="FT189" s="785"/>
      <c r="FU189" s="785"/>
      <c r="FV189" s="791"/>
      <c r="FW189" s="91" t="str">
        <f t="shared" si="63"/>
        <v>-</v>
      </c>
      <c r="FX189" s="135"/>
    </row>
    <row r="190" spans="1:180" ht="12.75" customHeight="1" x14ac:dyDescent="0.2">
      <c r="A190" s="718">
        <v>186</v>
      </c>
      <c r="B190" s="713"/>
      <c r="C190" s="719"/>
      <c r="D190" s="709"/>
      <c r="E190" s="709"/>
      <c r="F190" s="709"/>
      <c r="G190" s="710"/>
      <c r="H190" s="720"/>
      <c r="I190" s="712"/>
      <c r="J190" s="712"/>
      <c r="K190" s="713"/>
      <c r="L190" s="719"/>
      <c r="M190" s="709"/>
      <c r="N190" s="709"/>
      <c r="O190" s="709"/>
      <c r="P190" s="719"/>
      <c r="Q190" s="709"/>
      <c r="R190" s="709"/>
      <c r="S190" s="709"/>
      <c r="T190" s="710"/>
      <c r="U190" s="721"/>
      <c r="V190" s="722"/>
      <c r="W190" s="722"/>
      <c r="X190" s="722"/>
      <c r="Y190" s="722"/>
      <c r="Z190" s="722"/>
      <c r="AA190" s="723"/>
      <c r="AB190" s="853"/>
      <c r="AC190" s="854"/>
      <c r="AD190" s="854"/>
      <c r="AE190" s="854"/>
      <c r="AF190" s="854"/>
      <c r="AG190" s="854"/>
      <c r="AH190" s="854"/>
      <c r="AI190" s="854"/>
      <c r="AJ190" s="854"/>
      <c r="AK190" s="854"/>
      <c r="AL190" s="855"/>
      <c r="AM190" s="909"/>
      <c r="AN190" s="712"/>
      <c r="AO190" s="712"/>
      <c r="AP190" s="712"/>
      <c r="AQ190" s="712"/>
      <c r="AR190" s="712"/>
      <c r="AS190" s="713"/>
      <c r="AT190" s="909"/>
      <c r="AU190" s="712"/>
      <c r="AV190" s="712"/>
      <c r="AW190" s="713"/>
      <c r="AX190" s="908"/>
      <c r="AY190" s="712"/>
      <c r="AZ190" s="712"/>
      <c r="BA190" s="712"/>
      <c r="BB190" s="712"/>
      <c r="BC190" s="713"/>
      <c r="BD190" s="909"/>
      <c r="BE190" s="712"/>
      <c r="BF190" s="712"/>
      <c r="BG190" s="713"/>
      <c r="BH190" s="908"/>
      <c r="BI190" s="712"/>
      <c r="BJ190" s="712"/>
      <c r="BK190" s="712"/>
      <c r="BL190" s="910"/>
      <c r="BN190" s="881"/>
      <c r="BO190" s="709"/>
      <c r="BP190" s="884"/>
      <c r="BT190" s="736"/>
      <c r="BU190" s="737"/>
      <c r="BV190" s="738" t="str">
        <f>IF(BT190="","-",(IF(INDEX($A$5:$BP$257,MATCH(BT190,$BN$5:$BN$257,0),50)="Aço Inoxidável",('Densidade do AR'!$S$8*1000000),IF(INDEX($A$5:$BP$257,MATCH(BT190,$BN$5:$BN$257,0),50)="Ferro Fundido",('Densidade do AR'!$S$12*1000000),IF(INDEX($A$5:$BP$257,MATCH(BT190,$BN$5:$BN$257,0),50)="Latão",('Densidade do AR'!$S$10*1000000),IF(INDEX($A$5:$BP$257,MATCH(BT190,$BN$5:$BN$257,0),50)="Alumínio",('Densidade do AR'!$S$4*1000000)))))))</f>
        <v>-</v>
      </c>
      <c r="BW190" s="739"/>
      <c r="BX190" s="739"/>
      <c r="BY190" s="740"/>
      <c r="BZ190" s="741" t="str">
        <f t="shared" si="52"/>
        <v>-</v>
      </c>
      <c r="CA190" s="742"/>
      <c r="CB190" s="742"/>
      <c r="CC190" s="743"/>
      <c r="CD190" s="741" t="str">
        <f t="shared" si="44"/>
        <v>-</v>
      </c>
      <c r="CE190" s="742"/>
      <c r="CF190" s="742"/>
      <c r="CG190" s="743"/>
      <c r="CH190" s="744" t="str">
        <f t="shared" si="53"/>
        <v>-</v>
      </c>
      <c r="CI190" s="739"/>
      <c r="CJ190" s="739"/>
      <c r="CK190" s="740"/>
      <c r="CL190" s="744" t="str">
        <f t="shared" si="45"/>
        <v>-</v>
      </c>
      <c r="CM190" s="739"/>
      <c r="CN190" s="739"/>
      <c r="CO190" s="740"/>
      <c r="CP190" s="744" t="str">
        <f>IF(BT190="","-",INDEX($A$5:$BP$257,MATCH(BT190,$BN$5:$BN$257,0),39)*(IF(BT190="","-",(1+(((-('Densidade do AR'!$M$4))+('Densidade do AR'!$T$15*1000000))/(IF(INDEX($A$5:$BP$257,MATCH(BT190,$BN$5:$BN$257,0),50)="Aço Inoxidável",('Densidade do AR'!$S$8*1000000),IF(INDEX($A$5:$BP$257,MATCH(BT190,$BN$5:$BN$257,0),50)="Ferro Fundido",('Densidade do AR'!$S$12*1000000),IF(INDEX($A$5:$BP$257,MATCH(BT190,$BN$5:$BN$257,0),50)="Latão",('Densidade do AR'!$S$10*1000000),IF(INDEX($A$5:$BP$257,MATCH(BT190,$BN$5:$BN$257,0),50)="Alumínio",('Densidade do AR'!$S$4*1000000)))))))-(((-('Densidade do AR'!$M$4))+('Densidade do AR'!$T$15*1000000))/('Densidade do AR'!$S$14*1000000))))))</f>
        <v>-</v>
      </c>
      <c r="CQ190" s="739"/>
      <c r="CR190" s="739"/>
      <c r="CS190" s="745"/>
      <c r="CT190" s="91" t="str">
        <f t="shared" si="54"/>
        <v>-</v>
      </c>
      <c r="CU190" s="736"/>
      <c r="CV190" s="737"/>
      <c r="CW190" s="738" t="str">
        <f>IF(CU190="","-",(IF(INDEX($A$5:$BP$257,MATCH(CU190,$BN$5:$BN$257,0),50)="Aço Inoxidável",('Densidade do AR'!$S$8*1000000),IF(INDEX($A$5:$BP$257,MATCH(CU190,$BN$5:$BN$257,0),50)="Ferro Fundido",('Densidade do AR'!$S$12*1000000),IF(INDEX($A$5:$BP$257,MATCH(CU190,$BN$5:$BN$257,0),50)="Latão",('Densidade do AR'!$S$10*1000000),IF(INDEX($A$5:$BP$257,MATCH(CU190,$BN$5:$BN$257,0),50)="Alumínio",('Densidade do AR'!$S$4*1000000)))))))</f>
        <v>-</v>
      </c>
      <c r="CX190" s="739"/>
      <c r="CY190" s="739"/>
      <c r="CZ190" s="740"/>
      <c r="DA190" s="741" t="str">
        <f t="shared" si="55"/>
        <v>-</v>
      </c>
      <c r="DB190" s="742"/>
      <c r="DC190" s="742"/>
      <c r="DD190" s="743"/>
      <c r="DE190" s="741" t="str">
        <f t="shared" si="46"/>
        <v>-</v>
      </c>
      <c r="DF190" s="742"/>
      <c r="DG190" s="742"/>
      <c r="DH190" s="743"/>
      <c r="DI190" s="744" t="str">
        <f t="shared" si="56"/>
        <v>-</v>
      </c>
      <c r="DJ190" s="739"/>
      <c r="DK190" s="739"/>
      <c r="DL190" s="740"/>
      <c r="DM190" s="744" t="str">
        <f t="shared" si="47"/>
        <v>-</v>
      </c>
      <c r="DN190" s="739"/>
      <c r="DO190" s="739"/>
      <c r="DP190" s="740"/>
      <c r="DQ190" s="744" t="str">
        <f>IF(CU190="","-",INDEX($A$5:$BP$257,MATCH(CU190,$BN$5:$BN$257,0),39)*(IF(CU190="","-",(1+(((-('Densidade do AR'!$M$4))+('Densidade do AR'!$T$15*1000000))/(IF(INDEX($A$5:$BP$257,MATCH(CU190,$BN$5:$BN$257,0),50)="Aço Inoxidável",('Densidade do AR'!$S$8*1000000),IF(INDEX($A$5:$BP$257,MATCH(CU190,$BN$5:$BN$257,0),50)="Ferro Fundido",('Densidade do AR'!$S$12*1000000),IF(INDEX($A$5:$BP$257,MATCH(CU190,$BN$5:$BN$257,0),50)="Latão",('Densidade do AR'!$S$10*1000000),IF(INDEX($A$5:$BP$257,MATCH(CU190,$BN$5:$BN$257,0),50)="Alumínio",('Densidade do AR'!$S$4*1000000)))))))-(((-('Densidade do AR'!$M$4))+('Densidade do AR'!$T$15*1000000))/('Densidade do AR'!$S$14*1000000))))))</f>
        <v>-</v>
      </c>
      <c r="DR190" s="739"/>
      <c r="DS190" s="739"/>
      <c r="DT190" s="745"/>
      <c r="DU190" s="91" t="str">
        <f t="shared" si="57"/>
        <v>-</v>
      </c>
      <c r="DV190" s="736"/>
      <c r="DW190" s="737"/>
      <c r="DX190" s="738" t="str">
        <f>IF(DV190="","-",(IF(INDEX($A$5:$BP$257,MATCH(DV190,$BN$5:$BN$257,0),50)="Aço Inoxidável",('Densidade do AR'!$S$8*1000000),IF(INDEX($A$5:$BP$257,MATCH(DV190,$BN$5:$BN$257,0),50)="Ferro Fundido",('Densidade do AR'!$S$12*1000000),IF(INDEX($A$5:$BP$257,MATCH(DV190,$BN$5:$BN$257,0),50)="Latão",('Densidade do AR'!$S$10*1000000),IF(INDEX($A$5:$BP$257,MATCH(DV190,$BN$5:$BN$257,0),50)="Alumínio",('Densidade do AR'!$S$4*1000000)))))))</f>
        <v>-</v>
      </c>
      <c r="DY190" s="739"/>
      <c r="DZ190" s="739"/>
      <c r="EA190" s="740"/>
      <c r="EB190" s="741" t="str">
        <f t="shared" si="58"/>
        <v>-</v>
      </c>
      <c r="EC190" s="742"/>
      <c r="ED190" s="742"/>
      <c r="EE190" s="743"/>
      <c r="EF190" s="741" t="str">
        <f t="shared" si="48"/>
        <v>-</v>
      </c>
      <c r="EG190" s="742"/>
      <c r="EH190" s="742"/>
      <c r="EI190" s="743"/>
      <c r="EJ190" s="744" t="str">
        <f t="shared" si="59"/>
        <v>-</v>
      </c>
      <c r="EK190" s="739"/>
      <c r="EL190" s="739"/>
      <c r="EM190" s="740"/>
      <c r="EN190" s="744" t="str">
        <f t="shared" si="49"/>
        <v>-</v>
      </c>
      <c r="EO190" s="739"/>
      <c r="EP190" s="739"/>
      <c r="EQ190" s="740"/>
      <c r="ER190" s="744" t="str">
        <f>IF(DV190="","-",INDEX($A$5:$BP$257,MATCH(DV190,$BN$5:$BN$257,0),39)*(IF(DV190="","-",(1+(((-('Densidade do AR'!$M$4))+('Densidade do AR'!$T$15*1000000))/(IF(INDEX($A$5:$BP$257,MATCH(DV190,$BN$5:$BN$257,0),50)="Aço Inoxidável",('Densidade do AR'!$S$8*1000000),IF(INDEX($A$5:$BP$257,MATCH(DV190,$BN$5:$BN$257,0),50)="Ferro Fundido",('Densidade do AR'!$S$12*1000000),IF(INDEX($A$5:$BP$257,MATCH(DV190,$BN$5:$BN$257,0),50)="Latão",('Densidade do AR'!$S$10*1000000),IF(INDEX($A$5:$BP$257,MATCH(DV190,$BN$5:$BN$257,0),50)="Alumínio",('Densidade do AR'!$S$4*1000000)))))))-(((-('Densidade do AR'!$M$4))+('Densidade do AR'!$T$15*1000000))/('Densidade do AR'!$S$14*1000000))))))</f>
        <v>-</v>
      </c>
      <c r="ES190" s="739"/>
      <c r="ET190" s="739"/>
      <c r="EU190" s="745"/>
      <c r="EV190" s="91" t="str">
        <f t="shared" si="60"/>
        <v>-</v>
      </c>
      <c r="EW190" s="736"/>
      <c r="EX190" s="737"/>
      <c r="EY190" s="738" t="str">
        <f>IF(EW190="","-",(IF(INDEX($A$5:$BP$257,MATCH(EW190,$BN$5:$BN$257,0),50)="Aço Inoxidável",('Densidade do AR'!$S$8*1000000),IF(INDEX($A$5:$BP$257,MATCH(EW190,$BN$5:$BN$257,0),50)="Ferro Fundido",('Densidade do AR'!$S$12*1000000),IF(INDEX($A$5:$BP$257,MATCH(EW190,$BN$5:$BN$257,0),50)="Latão",('Densidade do AR'!$S$10*1000000),IF(INDEX($A$5:$BP$257,MATCH(EW190,$BN$5:$BN$257,0),50)="Alumínio",('Densidade do AR'!$S$4*1000000)))))))</f>
        <v>-</v>
      </c>
      <c r="EZ190" s="739"/>
      <c r="FA190" s="739"/>
      <c r="FB190" s="740"/>
      <c r="FC190" s="741" t="str">
        <f t="shared" si="61"/>
        <v>-</v>
      </c>
      <c r="FD190" s="742"/>
      <c r="FE190" s="742"/>
      <c r="FF190" s="743"/>
      <c r="FG190" s="741" t="str">
        <f t="shared" si="50"/>
        <v>-</v>
      </c>
      <c r="FH190" s="742"/>
      <c r="FI190" s="742"/>
      <c r="FJ190" s="743"/>
      <c r="FK190" s="744" t="str">
        <f t="shared" si="62"/>
        <v>-</v>
      </c>
      <c r="FL190" s="739"/>
      <c r="FM190" s="739"/>
      <c r="FN190" s="740"/>
      <c r="FO190" s="744" t="str">
        <f t="shared" si="51"/>
        <v>-</v>
      </c>
      <c r="FP190" s="739"/>
      <c r="FQ190" s="739"/>
      <c r="FR190" s="740"/>
      <c r="FS190" s="744" t="str">
        <f>IF(EW190="","-",INDEX($A$5:$BP$257,MATCH(EW190,$BN$5:$BN$257,0),39)*(IF(EW190="","-",(1+(((-('Densidade do AR'!$M$4))+('Densidade do AR'!$T$15*1000000))/(IF(INDEX($A$5:$BP$257,MATCH(EW190,$BN$5:$BN$257,0),50)="Aço Inoxidável",('Densidade do AR'!$S$8*1000000),IF(INDEX($A$5:$BP$257,MATCH(EW190,$BN$5:$BN$257,0),50)="Ferro Fundido",('Densidade do AR'!$S$12*1000000),IF(INDEX($A$5:$BP$257,MATCH(EW190,$BN$5:$BN$257,0),50)="Latão",('Densidade do AR'!$S$10*1000000),IF(INDEX($A$5:$BP$257,MATCH(EW190,$BN$5:$BN$257,0),50)="Alumínio",('Densidade do AR'!$S$4*1000000)))))))-(((-('Densidade do AR'!$M$4))+('Densidade do AR'!$T$15*1000000))/('Densidade do AR'!$S$14*1000000))))))</f>
        <v>-</v>
      </c>
      <c r="FT190" s="739"/>
      <c r="FU190" s="739"/>
      <c r="FV190" s="745"/>
      <c r="FW190" s="91" t="str">
        <f t="shared" si="63"/>
        <v>-</v>
      </c>
      <c r="FX190" s="135"/>
    </row>
    <row r="191" spans="1:180" ht="12.75" customHeight="1" x14ac:dyDescent="0.2">
      <c r="A191" s="717">
        <v>187</v>
      </c>
      <c r="B191" s="713"/>
      <c r="C191" s="708"/>
      <c r="D191" s="709"/>
      <c r="E191" s="709"/>
      <c r="F191" s="709"/>
      <c r="G191" s="710"/>
      <c r="H191" s="711"/>
      <c r="I191" s="712"/>
      <c r="J191" s="712"/>
      <c r="K191" s="713"/>
      <c r="L191" s="708"/>
      <c r="M191" s="709"/>
      <c r="N191" s="709"/>
      <c r="O191" s="709"/>
      <c r="P191" s="708"/>
      <c r="Q191" s="709"/>
      <c r="R191" s="709"/>
      <c r="S191" s="709"/>
      <c r="T191" s="710"/>
      <c r="U191" s="714"/>
      <c r="V191" s="715"/>
      <c r="W191" s="715"/>
      <c r="X191" s="715"/>
      <c r="Y191" s="715"/>
      <c r="Z191" s="715"/>
      <c r="AA191" s="716"/>
      <c r="AB191" s="850"/>
      <c r="AC191" s="851"/>
      <c r="AD191" s="851"/>
      <c r="AE191" s="851"/>
      <c r="AF191" s="851"/>
      <c r="AG191" s="851"/>
      <c r="AH191" s="851"/>
      <c r="AI191" s="851"/>
      <c r="AJ191" s="851"/>
      <c r="AK191" s="851"/>
      <c r="AL191" s="852"/>
      <c r="AM191" s="917"/>
      <c r="AN191" s="712"/>
      <c r="AO191" s="712"/>
      <c r="AP191" s="712"/>
      <c r="AQ191" s="712"/>
      <c r="AR191" s="712"/>
      <c r="AS191" s="713"/>
      <c r="AT191" s="917"/>
      <c r="AU191" s="712"/>
      <c r="AV191" s="712"/>
      <c r="AW191" s="713"/>
      <c r="AX191" s="917"/>
      <c r="AY191" s="712"/>
      <c r="AZ191" s="712"/>
      <c r="BA191" s="712"/>
      <c r="BB191" s="712"/>
      <c r="BC191" s="713"/>
      <c r="BD191" s="917"/>
      <c r="BE191" s="712"/>
      <c r="BF191" s="712"/>
      <c r="BG191" s="713"/>
      <c r="BH191" s="918"/>
      <c r="BI191" s="712"/>
      <c r="BJ191" s="712"/>
      <c r="BK191" s="712"/>
      <c r="BL191" s="910"/>
      <c r="BN191" s="878"/>
      <c r="BO191" s="879"/>
      <c r="BP191" s="880"/>
      <c r="BT191" s="746"/>
      <c r="BU191" s="747"/>
      <c r="BV191" s="784" t="str">
        <f>IF(BT191="","-",(IF(INDEX($A$5:$BP$257,MATCH(BT191,$BN$5:$BN$257,0),50)="Aço Inoxidável",('Densidade do AR'!$S$8*1000000),IF(INDEX($A$5:$BP$257,MATCH(BT191,$BN$5:$BN$257,0),50)="Ferro Fundido",('Densidade do AR'!$S$12*1000000),IF(INDEX($A$5:$BP$257,MATCH(BT191,$BN$5:$BN$257,0),50)="Latão",('Densidade do AR'!$S$10*1000000),IF(INDEX($A$5:$BP$257,MATCH(BT191,$BN$5:$BN$257,0),50)="Alumínio",('Densidade do AR'!$S$4*1000000)))))))</f>
        <v>-</v>
      </c>
      <c r="BW191" s="785"/>
      <c r="BX191" s="785"/>
      <c r="BY191" s="786"/>
      <c r="BZ191" s="787" t="str">
        <f t="shared" si="52"/>
        <v>-</v>
      </c>
      <c r="CA191" s="788"/>
      <c r="CB191" s="788"/>
      <c r="CC191" s="789"/>
      <c r="CD191" s="787" t="str">
        <f t="shared" si="44"/>
        <v>-</v>
      </c>
      <c r="CE191" s="788"/>
      <c r="CF191" s="788"/>
      <c r="CG191" s="789"/>
      <c r="CH191" s="790" t="str">
        <f t="shared" si="53"/>
        <v>-</v>
      </c>
      <c r="CI191" s="785"/>
      <c r="CJ191" s="785"/>
      <c r="CK191" s="786"/>
      <c r="CL191" s="790" t="str">
        <f t="shared" si="45"/>
        <v>-</v>
      </c>
      <c r="CM191" s="785"/>
      <c r="CN191" s="785"/>
      <c r="CO191" s="786"/>
      <c r="CP191" s="790" t="str">
        <f>IF(BT191="","-",INDEX($A$5:$BP$257,MATCH(BT191,$BN$5:$BN$257,0),39)*(IF(BT191="","-",(1+(((-('Densidade do AR'!$M$4))+('Densidade do AR'!$T$15*1000000))/(IF(INDEX($A$5:$BP$257,MATCH(BT191,$BN$5:$BN$257,0),50)="Aço Inoxidável",('Densidade do AR'!$S$8*1000000),IF(INDEX($A$5:$BP$257,MATCH(BT191,$BN$5:$BN$257,0),50)="Ferro Fundido",('Densidade do AR'!$S$12*1000000),IF(INDEX($A$5:$BP$257,MATCH(BT191,$BN$5:$BN$257,0),50)="Latão",('Densidade do AR'!$S$10*1000000),IF(INDEX($A$5:$BP$257,MATCH(BT191,$BN$5:$BN$257,0),50)="Alumínio",('Densidade do AR'!$S$4*1000000)))))))-(((-('Densidade do AR'!$M$4))+('Densidade do AR'!$T$15*1000000))/('Densidade do AR'!$S$14*1000000))))))</f>
        <v>-</v>
      </c>
      <c r="CQ191" s="785"/>
      <c r="CR191" s="785"/>
      <c r="CS191" s="791"/>
      <c r="CT191" s="91" t="str">
        <f t="shared" si="54"/>
        <v>-</v>
      </c>
      <c r="CU191" s="746"/>
      <c r="CV191" s="747"/>
      <c r="CW191" s="784" t="str">
        <f>IF(CU191="","-",(IF(INDEX($A$5:$BP$257,MATCH(CU191,$BN$5:$BN$257,0),50)="Aço Inoxidável",('Densidade do AR'!$S$8*1000000),IF(INDEX($A$5:$BP$257,MATCH(CU191,$BN$5:$BN$257,0),50)="Ferro Fundido",('Densidade do AR'!$S$12*1000000),IF(INDEX($A$5:$BP$257,MATCH(CU191,$BN$5:$BN$257,0),50)="Latão",('Densidade do AR'!$S$10*1000000),IF(INDEX($A$5:$BP$257,MATCH(CU191,$BN$5:$BN$257,0),50)="Alumínio",('Densidade do AR'!$S$4*1000000)))))))</f>
        <v>-</v>
      </c>
      <c r="CX191" s="785"/>
      <c r="CY191" s="785"/>
      <c r="CZ191" s="786"/>
      <c r="DA191" s="787" t="str">
        <f t="shared" si="55"/>
        <v>-</v>
      </c>
      <c r="DB191" s="788"/>
      <c r="DC191" s="788"/>
      <c r="DD191" s="789"/>
      <c r="DE191" s="787" t="str">
        <f t="shared" si="46"/>
        <v>-</v>
      </c>
      <c r="DF191" s="788"/>
      <c r="DG191" s="788"/>
      <c r="DH191" s="789"/>
      <c r="DI191" s="790" t="str">
        <f t="shared" si="56"/>
        <v>-</v>
      </c>
      <c r="DJ191" s="785"/>
      <c r="DK191" s="785"/>
      <c r="DL191" s="786"/>
      <c r="DM191" s="790" t="str">
        <f t="shared" si="47"/>
        <v>-</v>
      </c>
      <c r="DN191" s="785"/>
      <c r="DO191" s="785"/>
      <c r="DP191" s="786"/>
      <c r="DQ191" s="790" t="str">
        <f>IF(CU191="","-",INDEX($A$5:$BP$257,MATCH(CU191,$BN$5:$BN$257,0),39)*(IF(CU191="","-",(1+(((-('Densidade do AR'!$M$4))+('Densidade do AR'!$T$15*1000000))/(IF(INDEX($A$5:$BP$257,MATCH(CU191,$BN$5:$BN$257,0),50)="Aço Inoxidável",('Densidade do AR'!$S$8*1000000),IF(INDEX($A$5:$BP$257,MATCH(CU191,$BN$5:$BN$257,0),50)="Ferro Fundido",('Densidade do AR'!$S$12*1000000),IF(INDEX($A$5:$BP$257,MATCH(CU191,$BN$5:$BN$257,0),50)="Latão",('Densidade do AR'!$S$10*1000000),IF(INDEX($A$5:$BP$257,MATCH(CU191,$BN$5:$BN$257,0),50)="Alumínio",('Densidade do AR'!$S$4*1000000)))))))-(((-('Densidade do AR'!$M$4))+('Densidade do AR'!$T$15*1000000))/('Densidade do AR'!$S$14*1000000))))))</f>
        <v>-</v>
      </c>
      <c r="DR191" s="785"/>
      <c r="DS191" s="785"/>
      <c r="DT191" s="791"/>
      <c r="DU191" s="91" t="str">
        <f t="shared" si="57"/>
        <v>-</v>
      </c>
      <c r="DV191" s="746"/>
      <c r="DW191" s="747"/>
      <c r="DX191" s="784" t="str">
        <f>IF(DV191="","-",(IF(INDEX($A$5:$BP$257,MATCH(DV191,$BN$5:$BN$257,0),50)="Aço Inoxidável",('Densidade do AR'!$S$8*1000000),IF(INDEX($A$5:$BP$257,MATCH(DV191,$BN$5:$BN$257,0),50)="Ferro Fundido",('Densidade do AR'!$S$12*1000000),IF(INDEX($A$5:$BP$257,MATCH(DV191,$BN$5:$BN$257,0),50)="Latão",('Densidade do AR'!$S$10*1000000),IF(INDEX($A$5:$BP$257,MATCH(DV191,$BN$5:$BN$257,0),50)="Alumínio",('Densidade do AR'!$S$4*1000000)))))))</f>
        <v>-</v>
      </c>
      <c r="DY191" s="785"/>
      <c r="DZ191" s="785"/>
      <c r="EA191" s="786"/>
      <c r="EB191" s="787" t="str">
        <f t="shared" si="58"/>
        <v>-</v>
      </c>
      <c r="EC191" s="788"/>
      <c r="ED191" s="788"/>
      <c r="EE191" s="789"/>
      <c r="EF191" s="787" t="str">
        <f t="shared" si="48"/>
        <v>-</v>
      </c>
      <c r="EG191" s="788"/>
      <c r="EH191" s="788"/>
      <c r="EI191" s="789"/>
      <c r="EJ191" s="790" t="str">
        <f t="shared" si="59"/>
        <v>-</v>
      </c>
      <c r="EK191" s="785"/>
      <c r="EL191" s="785"/>
      <c r="EM191" s="786"/>
      <c r="EN191" s="790" t="str">
        <f t="shared" si="49"/>
        <v>-</v>
      </c>
      <c r="EO191" s="785"/>
      <c r="EP191" s="785"/>
      <c r="EQ191" s="786"/>
      <c r="ER191" s="790" t="str">
        <f>IF(DV191="","-",INDEX($A$5:$BP$257,MATCH(DV191,$BN$5:$BN$257,0),39)*(IF(DV191="","-",(1+(((-('Densidade do AR'!$M$4))+('Densidade do AR'!$T$15*1000000))/(IF(INDEX($A$5:$BP$257,MATCH(DV191,$BN$5:$BN$257,0),50)="Aço Inoxidável",('Densidade do AR'!$S$8*1000000),IF(INDEX($A$5:$BP$257,MATCH(DV191,$BN$5:$BN$257,0),50)="Ferro Fundido",('Densidade do AR'!$S$12*1000000),IF(INDEX($A$5:$BP$257,MATCH(DV191,$BN$5:$BN$257,0),50)="Latão",('Densidade do AR'!$S$10*1000000),IF(INDEX($A$5:$BP$257,MATCH(DV191,$BN$5:$BN$257,0),50)="Alumínio",('Densidade do AR'!$S$4*1000000)))))))-(((-('Densidade do AR'!$M$4))+('Densidade do AR'!$T$15*1000000))/('Densidade do AR'!$S$14*1000000))))))</f>
        <v>-</v>
      </c>
      <c r="ES191" s="785"/>
      <c r="ET191" s="785"/>
      <c r="EU191" s="791"/>
      <c r="EV191" s="91" t="str">
        <f t="shared" si="60"/>
        <v>-</v>
      </c>
      <c r="EW191" s="746"/>
      <c r="EX191" s="747"/>
      <c r="EY191" s="784" t="str">
        <f>IF(EW191="","-",(IF(INDEX($A$5:$BP$257,MATCH(EW191,$BN$5:$BN$257,0),50)="Aço Inoxidável",('Densidade do AR'!$S$8*1000000),IF(INDEX($A$5:$BP$257,MATCH(EW191,$BN$5:$BN$257,0),50)="Ferro Fundido",('Densidade do AR'!$S$12*1000000),IF(INDEX($A$5:$BP$257,MATCH(EW191,$BN$5:$BN$257,0),50)="Latão",('Densidade do AR'!$S$10*1000000),IF(INDEX($A$5:$BP$257,MATCH(EW191,$BN$5:$BN$257,0),50)="Alumínio",('Densidade do AR'!$S$4*1000000)))))))</f>
        <v>-</v>
      </c>
      <c r="EZ191" s="785"/>
      <c r="FA191" s="785"/>
      <c r="FB191" s="786"/>
      <c r="FC191" s="787" t="str">
        <f t="shared" si="61"/>
        <v>-</v>
      </c>
      <c r="FD191" s="788"/>
      <c r="FE191" s="788"/>
      <c r="FF191" s="789"/>
      <c r="FG191" s="787" t="str">
        <f t="shared" si="50"/>
        <v>-</v>
      </c>
      <c r="FH191" s="788"/>
      <c r="FI191" s="788"/>
      <c r="FJ191" s="789"/>
      <c r="FK191" s="790" t="str">
        <f t="shared" si="62"/>
        <v>-</v>
      </c>
      <c r="FL191" s="785"/>
      <c r="FM191" s="785"/>
      <c r="FN191" s="786"/>
      <c r="FO191" s="790" t="str">
        <f t="shared" si="51"/>
        <v>-</v>
      </c>
      <c r="FP191" s="785"/>
      <c r="FQ191" s="785"/>
      <c r="FR191" s="786"/>
      <c r="FS191" s="790" t="str">
        <f>IF(EW191="","-",INDEX($A$5:$BP$257,MATCH(EW191,$BN$5:$BN$257,0),39)*(IF(EW191="","-",(1+(((-('Densidade do AR'!$M$4))+('Densidade do AR'!$T$15*1000000))/(IF(INDEX($A$5:$BP$257,MATCH(EW191,$BN$5:$BN$257,0),50)="Aço Inoxidável",('Densidade do AR'!$S$8*1000000),IF(INDEX($A$5:$BP$257,MATCH(EW191,$BN$5:$BN$257,0),50)="Ferro Fundido",('Densidade do AR'!$S$12*1000000),IF(INDEX($A$5:$BP$257,MATCH(EW191,$BN$5:$BN$257,0),50)="Latão",('Densidade do AR'!$S$10*1000000),IF(INDEX($A$5:$BP$257,MATCH(EW191,$BN$5:$BN$257,0),50)="Alumínio",('Densidade do AR'!$S$4*1000000)))))))-(((-('Densidade do AR'!$M$4))+('Densidade do AR'!$T$15*1000000))/('Densidade do AR'!$S$14*1000000))))))</f>
        <v>-</v>
      </c>
      <c r="FT191" s="785"/>
      <c r="FU191" s="785"/>
      <c r="FV191" s="791"/>
      <c r="FW191" s="91" t="str">
        <f t="shared" si="63"/>
        <v>-</v>
      </c>
      <c r="FX191" s="135"/>
    </row>
    <row r="192" spans="1:180" ht="12.75" customHeight="1" x14ac:dyDescent="0.2">
      <c r="A192" s="718">
        <v>188</v>
      </c>
      <c r="B192" s="713"/>
      <c r="C192" s="719"/>
      <c r="D192" s="709"/>
      <c r="E192" s="709"/>
      <c r="F192" s="709"/>
      <c r="G192" s="710"/>
      <c r="H192" s="720"/>
      <c r="I192" s="712"/>
      <c r="J192" s="712"/>
      <c r="K192" s="713"/>
      <c r="L192" s="719"/>
      <c r="M192" s="709"/>
      <c r="N192" s="709"/>
      <c r="O192" s="709"/>
      <c r="P192" s="719"/>
      <c r="Q192" s="709"/>
      <c r="R192" s="709"/>
      <c r="S192" s="709"/>
      <c r="T192" s="710"/>
      <c r="U192" s="721"/>
      <c r="V192" s="722"/>
      <c r="W192" s="722"/>
      <c r="X192" s="722"/>
      <c r="Y192" s="722"/>
      <c r="Z192" s="722"/>
      <c r="AA192" s="723"/>
      <c r="AB192" s="853"/>
      <c r="AC192" s="854"/>
      <c r="AD192" s="854"/>
      <c r="AE192" s="854"/>
      <c r="AF192" s="854"/>
      <c r="AG192" s="854"/>
      <c r="AH192" s="854"/>
      <c r="AI192" s="854"/>
      <c r="AJ192" s="854"/>
      <c r="AK192" s="854"/>
      <c r="AL192" s="855"/>
      <c r="AM192" s="909"/>
      <c r="AN192" s="712"/>
      <c r="AO192" s="712"/>
      <c r="AP192" s="712"/>
      <c r="AQ192" s="712"/>
      <c r="AR192" s="712"/>
      <c r="AS192" s="713"/>
      <c r="AT192" s="909"/>
      <c r="AU192" s="712"/>
      <c r="AV192" s="712"/>
      <c r="AW192" s="713"/>
      <c r="AX192" s="908"/>
      <c r="AY192" s="712"/>
      <c r="AZ192" s="712"/>
      <c r="BA192" s="712"/>
      <c r="BB192" s="712"/>
      <c r="BC192" s="713"/>
      <c r="BD192" s="909"/>
      <c r="BE192" s="712"/>
      <c r="BF192" s="712"/>
      <c r="BG192" s="713"/>
      <c r="BH192" s="908"/>
      <c r="BI192" s="712"/>
      <c r="BJ192" s="712"/>
      <c r="BK192" s="712"/>
      <c r="BL192" s="910"/>
      <c r="BN192" s="881"/>
      <c r="BO192" s="882"/>
      <c r="BP192" s="883"/>
      <c r="BT192" s="736"/>
      <c r="BU192" s="737"/>
      <c r="BV192" s="738" t="str">
        <f>IF(BT192="","-",(IF(INDEX($A$5:$BP$257,MATCH(BT192,$BN$5:$BN$257,0),50)="Aço Inoxidável",('Densidade do AR'!$S$8*1000000),IF(INDEX($A$5:$BP$257,MATCH(BT192,$BN$5:$BN$257,0),50)="Ferro Fundido",('Densidade do AR'!$S$12*1000000),IF(INDEX($A$5:$BP$257,MATCH(BT192,$BN$5:$BN$257,0),50)="Latão",('Densidade do AR'!$S$10*1000000),IF(INDEX($A$5:$BP$257,MATCH(BT192,$BN$5:$BN$257,0),50)="Alumínio",('Densidade do AR'!$S$4*1000000)))))))</f>
        <v>-</v>
      </c>
      <c r="BW192" s="739"/>
      <c r="BX192" s="739"/>
      <c r="BY192" s="740"/>
      <c r="BZ192" s="741" t="str">
        <f t="shared" si="52"/>
        <v>-</v>
      </c>
      <c r="CA192" s="742"/>
      <c r="CB192" s="742"/>
      <c r="CC192" s="743"/>
      <c r="CD192" s="741" t="str">
        <f t="shared" si="44"/>
        <v>-</v>
      </c>
      <c r="CE192" s="742"/>
      <c r="CF192" s="742"/>
      <c r="CG192" s="743"/>
      <c r="CH192" s="744" t="str">
        <f t="shared" si="53"/>
        <v>-</v>
      </c>
      <c r="CI192" s="739"/>
      <c r="CJ192" s="739"/>
      <c r="CK192" s="740"/>
      <c r="CL192" s="744" t="str">
        <f t="shared" si="45"/>
        <v>-</v>
      </c>
      <c r="CM192" s="739"/>
      <c r="CN192" s="739"/>
      <c r="CO192" s="740"/>
      <c r="CP192" s="744" t="str">
        <f>IF(BT192="","-",INDEX($A$5:$BP$257,MATCH(BT192,$BN$5:$BN$257,0),39)*(IF(BT192="","-",(1+(((-('Densidade do AR'!$M$4))+('Densidade do AR'!$T$15*1000000))/(IF(INDEX($A$5:$BP$257,MATCH(BT192,$BN$5:$BN$257,0),50)="Aço Inoxidável",('Densidade do AR'!$S$8*1000000),IF(INDEX($A$5:$BP$257,MATCH(BT192,$BN$5:$BN$257,0),50)="Ferro Fundido",('Densidade do AR'!$S$12*1000000),IF(INDEX($A$5:$BP$257,MATCH(BT192,$BN$5:$BN$257,0),50)="Latão",('Densidade do AR'!$S$10*1000000),IF(INDEX($A$5:$BP$257,MATCH(BT192,$BN$5:$BN$257,0),50)="Alumínio",('Densidade do AR'!$S$4*1000000)))))))-(((-('Densidade do AR'!$M$4))+('Densidade do AR'!$T$15*1000000))/('Densidade do AR'!$S$14*1000000))))))</f>
        <v>-</v>
      </c>
      <c r="CQ192" s="739"/>
      <c r="CR192" s="739"/>
      <c r="CS192" s="745"/>
      <c r="CT192" s="91" t="str">
        <f t="shared" si="54"/>
        <v>-</v>
      </c>
      <c r="CU192" s="736"/>
      <c r="CV192" s="737"/>
      <c r="CW192" s="738" t="str">
        <f>IF(CU192="","-",(IF(INDEX($A$5:$BP$257,MATCH(CU192,$BN$5:$BN$257,0),50)="Aço Inoxidável",('Densidade do AR'!$S$8*1000000),IF(INDEX($A$5:$BP$257,MATCH(CU192,$BN$5:$BN$257,0),50)="Ferro Fundido",('Densidade do AR'!$S$12*1000000),IF(INDEX($A$5:$BP$257,MATCH(CU192,$BN$5:$BN$257,0),50)="Latão",('Densidade do AR'!$S$10*1000000),IF(INDEX($A$5:$BP$257,MATCH(CU192,$BN$5:$BN$257,0),50)="Alumínio",('Densidade do AR'!$S$4*1000000)))))))</f>
        <v>-</v>
      </c>
      <c r="CX192" s="739"/>
      <c r="CY192" s="739"/>
      <c r="CZ192" s="740"/>
      <c r="DA192" s="741" t="str">
        <f t="shared" si="55"/>
        <v>-</v>
      </c>
      <c r="DB192" s="742"/>
      <c r="DC192" s="742"/>
      <c r="DD192" s="743"/>
      <c r="DE192" s="741" t="str">
        <f t="shared" si="46"/>
        <v>-</v>
      </c>
      <c r="DF192" s="742"/>
      <c r="DG192" s="742"/>
      <c r="DH192" s="743"/>
      <c r="DI192" s="744" t="str">
        <f t="shared" si="56"/>
        <v>-</v>
      </c>
      <c r="DJ192" s="739"/>
      <c r="DK192" s="739"/>
      <c r="DL192" s="740"/>
      <c r="DM192" s="744" t="str">
        <f t="shared" si="47"/>
        <v>-</v>
      </c>
      <c r="DN192" s="739"/>
      <c r="DO192" s="739"/>
      <c r="DP192" s="740"/>
      <c r="DQ192" s="744" t="str">
        <f>IF(CU192="","-",INDEX($A$5:$BP$257,MATCH(CU192,$BN$5:$BN$257,0),39)*(IF(CU192="","-",(1+(((-('Densidade do AR'!$M$4))+('Densidade do AR'!$T$15*1000000))/(IF(INDEX($A$5:$BP$257,MATCH(CU192,$BN$5:$BN$257,0),50)="Aço Inoxidável",('Densidade do AR'!$S$8*1000000),IF(INDEX($A$5:$BP$257,MATCH(CU192,$BN$5:$BN$257,0),50)="Ferro Fundido",('Densidade do AR'!$S$12*1000000),IF(INDEX($A$5:$BP$257,MATCH(CU192,$BN$5:$BN$257,0),50)="Latão",('Densidade do AR'!$S$10*1000000),IF(INDEX($A$5:$BP$257,MATCH(CU192,$BN$5:$BN$257,0),50)="Alumínio",('Densidade do AR'!$S$4*1000000)))))))-(((-('Densidade do AR'!$M$4))+('Densidade do AR'!$T$15*1000000))/('Densidade do AR'!$S$14*1000000))))))</f>
        <v>-</v>
      </c>
      <c r="DR192" s="739"/>
      <c r="DS192" s="739"/>
      <c r="DT192" s="745"/>
      <c r="DU192" s="91" t="str">
        <f t="shared" si="57"/>
        <v>-</v>
      </c>
      <c r="DV192" s="736"/>
      <c r="DW192" s="737"/>
      <c r="DX192" s="738" t="str">
        <f>IF(DV192="","-",(IF(INDEX($A$5:$BP$257,MATCH(DV192,$BN$5:$BN$257,0),50)="Aço Inoxidável",('Densidade do AR'!$S$8*1000000),IF(INDEX($A$5:$BP$257,MATCH(DV192,$BN$5:$BN$257,0),50)="Ferro Fundido",('Densidade do AR'!$S$12*1000000),IF(INDEX($A$5:$BP$257,MATCH(DV192,$BN$5:$BN$257,0),50)="Latão",('Densidade do AR'!$S$10*1000000),IF(INDEX($A$5:$BP$257,MATCH(DV192,$BN$5:$BN$257,0),50)="Alumínio",('Densidade do AR'!$S$4*1000000)))))))</f>
        <v>-</v>
      </c>
      <c r="DY192" s="739"/>
      <c r="DZ192" s="739"/>
      <c r="EA192" s="740"/>
      <c r="EB192" s="741" t="str">
        <f t="shared" si="58"/>
        <v>-</v>
      </c>
      <c r="EC192" s="742"/>
      <c r="ED192" s="742"/>
      <c r="EE192" s="743"/>
      <c r="EF192" s="741" t="str">
        <f t="shared" si="48"/>
        <v>-</v>
      </c>
      <c r="EG192" s="742"/>
      <c r="EH192" s="742"/>
      <c r="EI192" s="743"/>
      <c r="EJ192" s="744" t="str">
        <f t="shared" si="59"/>
        <v>-</v>
      </c>
      <c r="EK192" s="739"/>
      <c r="EL192" s="739"/>
      <c r="EM192" s="740"/>
      <c r="EN192" s="744" t="str">
        <f t="shared" si="49"/>
        <v>-</v>
      </c>
      <c r="EO192" s="739"/>
      <c r="EP192" s="739"/>
      <c r="EQ192" s="740"/>
      <c r="ER192" s="744" t="str">
        <f>IF(DV192="","-",INDEX($A$5:$BP$257,MATCH(DV192,$BN$5:$BN$257,0),39)*(IF(DV192="","-",(1+(((-('Densidade do AR'!$M$4))+('Densidade do AR'!$T$15*1000000))/(IF(INDEX($A$5:$BP$257,MATCH(DV192,$BN$5:$BN$257,0),50)="Aço Inoxidável",('Densidade do AR'!$S$8*1000000),IF(INDEX($A$5:$BP$257,MATCH(DV192,$BN$5:$BN$257,0),50)="Ferro Fundido",('Densidade do AR'!$S$12*1000000),IF(INDEX($A$5:$BP$257,MATCH(DV192,$BN$5:$BN$257,0),50)="Latão",('Densidade do AR'!$S$10*1000000),IF(INDEX($A$5:$BP$257,MATCH(DV192,$BN$5:$BN$257,0),50)="Alumínio",('Densidade do AR'!$S$4*1000000)))))))-(((-('Densidade do AR'!$M$4))+('Densidade do AR'!$T$15*1000000))/('Densidade do AR'!$S$14*1000000))))))</f>
        <v>-</v>
      </c>
      <c r="ES192" s="739"/>
      <c r="ET192" s="739"/>
      <c r="EU192" s="745"/>
      <c r="EV192" s="91" t="str">
        <f t="shared" si="60"/>
        <v>-</v>
      </c>
      <c r="EW192" s="736"/>
      <c r="EX192" s="737"/>
      <c r="EY192" s="738" t="str">
        <f>IF(EW192="","-",(IF(INDEX($A$5:$BP$257,MATCH(EW192,$BN$5:$BN$257,0),50)="Aço Inoxidável",('Densidade do AR'!$S$8*1000000),IF(INDEX($A$5:$BP$257,MATCH(EW192,$BN$5:$BN$257,0),50)="Ferro Fundido",('Densidade do AR'!$S$12*1000000),IF(INDEX($A$5:$BP$257,MATCH(EW192,$BN$5:$BN$257,0),50)="Latão",('Densidade do AR'!$S$10*1000000),IF(INDEX($A$5:$BP$257,MATCH(EW192,$BN$5:$BN$257,0),50)="Alumínio",('Densidade do AR'!$S$4*1000000)))))))</f>
        <v>-</v>
      </c>
      <c r="EZ192" s="739"/>
      <c r="FA192" s="739"/>
      <c r="FB192" s="740"/>
      <c r="FC192" s="741" t="str">
        <f t="shared" si="61"/>
        <v>-</v>
      </c>
      <c r="FD192" s="742"/>
      <c r="FE192" s="742"/>
      <c r="FF192" s="743"/>
      <c r="FG192" s="741" t="str">
        <f t="shared" si="50"/>
        <v>-</v>
      </c>
      <c r="FH192" s="742"/>
      <c r="FI192" s="742"/>
      <c r="FJ192" s="743"/>
      <c r="FK192" s="744" t="str">
        <f t="shared" si="62"/>
        <v>-</v>
      </c>
      <c r="FL192" s="739"/>
      <c r="FM192" s="739"/>
      <c r="FN192" s="740"/>
      <c r="FO192" s="744" t="str">
        <f t="shared" si="51"/>
        <v>-</v>
      </c>
      <c r="FP192" s="739"/>
      <c r="FQ192" s="739"/>
      <c r="FR192" s="740"/>
      <c r="FS192" s="744" t="str">
        <f>IF(EW192="","-",INDEX($A$5:$BP$257,MATCH(EW192,$BN$5:$BN$257,0),39)*(IF(EW192="","-",(1+(((-('Densidade do AR'!$M$4))+('Densidade do AR'!$T$15*1000000))/(IF(INDEX($A$5:$BP$257,MATCH(EW192,$BN$5:$BN$257,0),50)="Aço Inoxidável",('Densidade do AR'!$S$8*1000000),IF(INDEX($A$5:$BP$257,MATCH(EW192,$BN$5:$BN$257,0),50)="Ferro Fundido",('Densidade do AR'!$S$12*1000000),IF(INDEX($A$5:$BP$257,MATCH(EW192,$BN$5:$BN$257,0),50)="Latão",('Densidade do AR'!$S$10*1000000),IF(INDEX($A$5:$BP$257,MATCH(EW192,$BN$5:$BN$257,0),50)="Alumínio",('Densidade do AR'!$S$4*1000000)))))))-(((-('Densidade do AR'!$M$4))+('Densidade do AR'!$T$15*1000000))/('Densidade do AR'!$S$14*1000000))))))</f>
        <v>-</v>
      </c>
      <c r="FT192" s="739"/>
      <c r="FU192" s="739"/>
      <c r="FV192" s="745"/>
      <c r="FW192" s="91" t="str">
        <f t="shared" si="63"/>
        <v>-</v>
      </c>
      <c r="FX192" s="135"/>
    </row>
    <row r="193" spans="1:180" ht="12.75" customHeight="1" x14ac:dyDescent="0.2">
      <c r="A193" s="717">
        <v>189</v>
      </c>
      <c r="B193" s="713"/>
      <c r="C193" s="708"/>
      <c r="D193" s="709"/>
      <c r="E193" s="709"/>
      <c r="F193" s="709"/>
      <c r="G193" s="710"/>
      <c r="H193" s="711"/>
      <c r="I193" s="712"/>
      <c r="J193" s="712"/>
      <c r="K193" s="713"/>
      <c r="L193" s="708"/>
      <c r="M193" s="709"/>
      <c r="N193" s="709"/>
      <c r="O193" s="709"/>
      <c r="P193" s="708"/>
      <c r="Q193" s="709"/>
      <c r="R193" s="709"/>
      <c r="S193" s="709"/>
      <c r="T193" s="710"/>
      <c r="U193" s="714"/>
      <c r="V193" s="715"/>
      <c r="W193" s="715"/>
      <c r="X193" s="715"/>
      <c r="Y193" s="715"/>
      <c r="Z193" s="715"/>
      <c r="AA193" s="716"/>
      <c r="AB193" s="850"/>
      <c r="AC193" s="851"/>
      <c r="AD193" s="851"/>
      <c r="AE193" s="851"/>
      <c r="AF193" s="851"/>
      <c r="AG193" s="851"/>
      <c r="AH193" s="851"/>
      <c r="AI193" s="851"/>
      <c r="AJ193" s="851"/>
      <c r="AK193" s="851"/>
      <c r="AL193" s="852"/>
      <c r="AM193" s="917"/>
      <c r="AN193" s="712"/>
      <c r="AO193" s="712"/>
      <c r="AP193" s="712"/>
      <c r="AQ193" s="712"/>
      <c r="AR193" s="712"/>
      <c r="AS193" s="713"/>
      <c r="AT193" s="917"/>
      <c r="AU193" s="712"/>
      <c r="AV193" s="712"/>
      <c r="AW193" s="713"/>
      <c r="AX193" s="917"/>
      <c r="AY193" s="712"/>
      <c r="AZ193" s="712"/>
      <c r="BA193" s="712"/>
      <c r="BB193" s="712"/>
      <c r="BC193" s="713"/>
      <c r="BD193" s="917"/>
      <c r="BE193" s="712"/>
      <c r="BF193" s="712"/>
      <c r="BG193" s="713"/>
      <c r="BH193" s="918"/>
      <c r="BI193" s="712"/>
      <c r="BJ193" s="712"/>
      <c r="BK193" s="712"/>
      <c r="BL193" s="910"/>
      <c r="BN193" s="878"/>
      <c r="BO193" s="879"/>
      <c r="BP193" s="880"/>
      <c r="BT193" s="746"/>
      <c r="BU193" s="747"/>
      <c r="BV193" s="784" t="str">
        <f>IF(BT193="","-",(IF(INDEX($A$5:$BP$257,MATCH(BT193,$BN$5:$BN$257,0),50)="Aço Inoxidável",('Densidade do AR'!$S$8*1000000),IF(INDEX($A$5:$BP$257,MATCH(BT193,$BN$5:$BN$257,0),50)="Ferro Fundido",('Densidade do AR'!$S$12*1000000),IF(INDEX($A$5:$BP$257,MATCH(BT193,$BN$5:$BN$257,0),50)="Latão",('Densidade do AR'!$S$10*1000000),IF(INDEX($A$5:$BP$257,MATCH(BT193,$BN$5:$BN$257,0),50)="Alumínio",('Densidade do AR'!$S$4*1000000)))))))</f>
        <v>-</v>
      </c>
      <c r="BW193" s="785"/>
      <c r="BX193" s="785"/>
      <c r="BY193" s="786"/>
      <c r="BZ193" s="787" t="str">
        <f t="shared" si="52"/>
        <v>-</v>
      </c>
      <c r="CA193" s="788"/>
      <c r="CB193" s="788"/>
      <c r="CC193" s="789"/>
      <c r="CD193" s="787" t="str">
        <f t="shared" si="44"/>
        <v>-</v>
      </c>
      <c r="CE193" s="788"/>
      <c r="CF193" s="788"/>
      <c r="CG193" s="789"/>
      <c r="CH193" s="790" t="str">
        <f t="shared" si="53"/>
        <v>-</v>
      </c>
      <c r="CI193" s="785"/>
      <c r="CJ193" s="785"/>
      <c r="CK193" s="786"/>
      <c r="CL193" s="790" t="str">
        <f t="shared" si="45"/>
        <v>-</v>
      </c>
      <c r="CM193" s="785"/>
      <c r="CN193" s="785"/>
      <c r="CO193" s="786"/>
      <c r="CP193" s="790" t="str">
        <f>IF(BT193="","-",INDEX($A$5:$BP$257,MATCH(BT193,$BN$5:$BN$257,0),39)*(IF(BT193="","-",(1+(((-('Densidade do AR'!$M$4))+('Densidade do AR'!$T$15*1000000))/(IF(INDEX($A$5:$BP$257,MATCH(BT193,$BN$5:$BN$257,0),50)="Aço Inoxidável",('Densidade do AR'!$S$8*1000000),IF(INDEX($A$5:$BP$257,MATCH(BT193,$BN$5:$BN$257,0),50)="Ferro Fundido",('Densidade do AR'!$S$12*1000000),IF(INDEX($A$5:$BP$257,MATCH(BT193,$BN$5:$BN$257,0),50)="Latão",('Densidade do AR'!$S$10*1000000),IF(INDEX($A$5:$BP$257,MATCH(BT193,$BN$5:$BN$257,0),50)="Alumínio",('Densidade do AR'!$S$4*1000000)))))))-(((-('Densidade do AR'!$M$4))+('Densidade do AR'!$T$15*1000000))/('Densidade do AR'!$S$14*1000000))))))</f>
        <v>-</v>
      </c>
      <c r="CQ193" s="785"/>
      <c r="CR193" s="785"/>
      <c r="CS193" s="791"/>
      <c r="CT193" s="91" t="str">
        <f t="shared" si="54"/>
        <v>-</v>
      </c>
      <c r="CU193" s="746"/>
      <c r="CV193" s="747"/>
      <c r="CW193" s="784" t="str">
        <f>IF(CU193="","-",(IF(INDEX($A$5:$BP$257,MATCH(CU193,$BN$5:$BN$257,0),50)="Aço Inoxidável",('Densidade do AR'!$S$8*1000000),IF(INDEX($A$5:$BP$257,MATCH(CU193,$BN$5:$BN$257,0),50)="Ferro Fundido",('Densidade do AR'!$S$12*1000000),IF(INDEX($A$5:$BP$257,MATCH(CU193,$BN$5:$BN$257,0),50)="Latão",('Densidade do AR'!$S$10*1000000),IF(INDEX($A$5:$BP$257,MATCH(CU193,$BN$5:$BN$257,0),50)="Alumínio",('Densidade do AR'!$S$4*1000000)))))))</f>
        <v>-</v>
      </c>
      <c r="CX193" s="785"/>
      <c r="CY193" s="785"/>
      <c r="CZ193" s="786"/>
      <c r="DA193" s="787" t="str">
        <f t="shared" si="55"/>
        <v>-</v>
      </c>
      <c r="DB193" s="788"/>
      <c r="DC193" s="788"/>
      <c r="DD193" s="789"/>
      <c r="DE193" s="787" t="str">
        <f t="shared" si="46"/>
        <v>-</v>
      </c>
      <c r="DF193" s="788"/>
      <c r="DG193" s="788"/>
      <c r="DH193" s="789"/>
      <c r="DI193" s="790" t="str">
        <f t="shared" si="56"/>
        <v>-</v>
      </c>
      <c r="DJ193" s="785"/>
      <c r="DK193" s="785"/>
      <c r="DL193" s="786"/>
      <c r="DM193" s="790" t="str">
        <f t="shared" si="47"/>
        <v>-</v>
      </c>
      <c r="DN193" s="785"/>
      <c r="DO193" s="785"/>
      <c r="DP193" s="786"/>
      <c r="DQ193" s="790" t="str">
        <f>IF(CU193="","-",INDEX($A$5:$BP$257,MATCH(CU193,$BN$5:$BN$257,0),39)*(IF(CU193="","-",(1+(((-('Densidade do AR'!$M$4))+('Densidade do AR'!$T$15*1000000))/(IF(INDEX($A$5:$BP$257,MATCH(CU193,$BN$5:$BN$257,0),50)="Aço Inoxidável",('Densidade do AR'!$S$8*1000000),IF(INDEX($A$5:$BP$257,MATCH(CU193,$BN$5:$BN$257,0),50)="Ferro Fundido",('Densidade do AR'!$S$12*1000000),IF(INDEX($A$5:$BP$257,MATCH(CU193,$BN$5:$BN$257,0),50)="Latão",('Densidade do AR'!$S$10*1000000),IF(INDEX($A$5:$BP$257,MATCH(CU193,$BN$5:$BN$257,0),50)="Alumínio",('Densidade do AR'!$S$4*1000000)))))))-(((-('Densidade do AR'!$M$4))+('Densidade do AR'!$T$15*1000000))/('Densidade do AR'!$S$14*1000000))))))</f>
        <v>-</v>
      </c>
      <c r="DR193" s="785"/>
      <c r="DS193" s="785"/>
      <c r="DT193" s="791"/>
      <c r="DU193" s="91" t="str">
        <f t="shared" si="57"/>
        <v>-</v>
      </c>
      <c r="DV193" s="746"/>
      <c r="DW193" s="747"/>
      <c r="DX193" s="784" t="str">
        <f>IF(DV193="","-",(IF(INDEX($A$5:$BP$257,MATCH(DV193,$BN$5:$BN$257,0),50)="Aço Inoxidável",('Densidade do AR'!$S$8*1000000),IF(INDEX($A$5:$BP$257,MATCH(DV193,$BN$5:$BN$257,0),50)="Ferro Fundido",('Densidade do AR'!$S$12*1000000),IF(INDEX($A$5:$BP$257,MATCH(DV193,$BN$5:$BN$257,0),50)="Latão",('Densidade do AR'!$S$10*1000000),IF(INDEX($A$5:$BP$257,MATCH(DV193,$BN$5:$BN$257,0),50)="Alumínio",('Densidade do AR'!$S$4*1000000)))))))</f>
        <v>-</v>
      </c>
      <c r="DY193" s="785"/>
      <c r="DZ193" s="785"/>
      <c r="EA193" s="786"/>
      <c r="EB193" s="787" t="str">
        <f t="shared" si="58"/>
        <v>-</v>
      </c>
      <c r="EC193" s="788"/>
      <c r="ED193" s="788"/>
      <c r="EE193" s="789"/>
      <c r="EF193" s="787" t="str">
        <f t="shared" si="48"/>
        <v>-</v>
      </c>
      <c r="EG193" s="788"/>
      <c r="EH193" s="788"/>
      <c r="EI193" s="789"/>
      <c r="EJ193" s="790" t="str">
        <f t="shared" si="59"/>
        <v>-</v>
      </c>
      <c r="EK193" s="785"/>
      <c r="EL193" s="785"/>
      <c r="EM193" s="786"/>
      <c r="EN193" s="790" t="str">
        <f t="shared" si="49"/>
        <v>-</v>
      </c>
      <c r="EO193" s="785"/>
      <c r="EP193" s="785"/>
      <c r="EQ193" s="786"/>
      <c r="ER193" s="790" t="str">
        <f>IF(DV193="","-",INDEX($A$5:$BP$257,MATCH(DV193,$BN$5:$BN$257,0),39)*(IF(DV193="","-",(1+(((-('Densidade do AR'!$M$4))+('Densidade do AR'!$T$15*1000000))/(IF(INDEX($A$5:$BP$257,MATCH(DV193,$BN$5:$BN$257,0),50)="Aço Inoxidável",('Densidade do AR'!$S$8*1000000),IF(INDEX($A$5:$BP$257,MATCH(DV193,$BN$5:$BN$257,0),50)="Ferro Fundido",('Densidade do AR'!$S$12*1000000),IF(INDEX($A$5:$BP$257,MATCH(DV193,$BN$5:$BN$257,0),50)="Latão",('Densidade do AR'!$S$10*1000000),IF(INDEX($A$5:$BP$257,MATCH(DV193,$BN$5:$BN$257,0),50)="Alumínio",('Densidade do AR'!$S$4*1000000)))))))-(((-('Densidade do AR'!$M$4))+('Densidade do AR'!$T$15*1000000))/('Densidade do AR'!$S$14*1000000))))))</f>
        <v>-</v>
      </c>
      <c r="ES193" s="785"/>
      <c r="ET193" s="785"/>
      <c r="EU193" s="791"/>
      <c r="EV193" s="91" t="str">
        <f t="shared" si="60"/>
        <v>-</v>
      </c>
      <c r="EW193" s="746"/>
      <c r="EX193" s="747"/>
      <c r="EY193" s="784" t="str">
        <f>IF(EW193="","-",(IF(INDEX($A$5:$BP$257,MATCH(EW193,$BN$5:$BN$257,0),50)="Aço Inoxidável",('Densidade do AR'!$S$8*1000000),IF(INDEX($A$5:$BP$257,MATCH(EW193,$BN$5:$BN$257,0),50)="Ferro Fundido",('Densidade do AR'!$S$12*1000000),IF(INDEX($A$5:$BP$257,MATCH(EW193,$BN$5:$BN$257,0),50)="Latão",('Densidade do AR'!$S$10*1000000),IF(INDEX($A$5:$BP$257,MATCH(EW193,$BN$5:$BN$257,0),50)="Alumínio",('Densidade do AR'!$S$4*1000000)))))))</f>
        <v>-</v>
      </c>
      <c r="EZ193" s="785"/>
      <c r="FA193" s="785"/>
      <c r="FB193" s="786"/>
      <c r="FC193" s="787" t="str">
        <f t="shared" si="61"/>
        <v>-</v>
      </c>
      <c r="FD193" s="788"/>
      <c r="FE193" s="788"/>
      <c r="FF193" s="789"/>
      <c r="FG193" s="787" t="str">
        <f t="shared" si="50"/>
        <v>-</v>
      </c>
      <c r="FH193" s="788"/>
      <c r="FI193" s="788"/>
      <c r="FJ193" s="789"/>
      <c r="FK193" s="790" t="str">
        <f t="shared" si="62"/>
        <v>-</v>
      </c>
      <c r="FL193" s="785"/>
      <c r="FM193" s="785"/>
      <c r="FN193" s="786"/>
      <c r="FO193" s="790" t="str">
        <f t="shared" si="51"/>
        <v>-</v>
      </c>
      <c r="FP193" s="785"/>
      <c r="FQ193" s="785"/>
      <c r="FR193" s="786"/>
      <c r="FS193" s="790" t="str">
        <f>IF(EW193="","-",INDEX($A$5:$BP$257,MATCH(EW193,$BN$5:$BN$257,0),39)*(IF(EW193="","-",(1+(((-('Densidade do AR'!$M$4))+('Densidade do AR'!$T$15*1000000))/(IF(INDEX($A$5:$BP$257,MATCH(EW193,$BN$5:$BN$257,0),50)="Aço Inoxidável",('Densidade do AR'!$S$8*1000000),IF(INDEX($A$5:$BP$257,MATCH(EW193,$BN$5:$BN$257,0),50)="Ferro Fundido",('Densidade do AR'!$S$12*1000000),IF(INDEX($A$5:$BP$257,MATCH(EW193,$BN$5:$BN$257,0),50)="Latão",('Densidade do AR'!$S$10*1000000),IF(INDEX($A$5:$BP$257,MATCH(EW193,$BN$5:$BN$257,0),50)="Alumínio",('Densidade do AR'!$S$4*1000000)))))))-(((-('Densidade do AR'!$M$4))+('Densidade do AR'!$T$15*1000000))/('Densidade do AR'!$S$14*1000000))))))</f>
        <v>-</v>
      </c>
      <c r="FT193" s="785"/>
      <c r="FU193" s="785"/>
      <c r="FV193" s="791"/>
      <c r="FW193" s="91" t="str">
        <f t="shared" si="63"/>
        <v>-</v>
      </c>
      <c r="FX193" s="135"/>
    </row>
    <row r="194" spans="1:180" ht="12.75" customHeight="1" x14ac:dyDescent="0.2">
      <c r="A194" s="718">
        <v>190</v>
      </c>
      <c r="B194" s="713"/>
      <c r="C194" s="719"/>
      <c r="D194" s="709"/>
      <c r="E194" s="709"/>
      <c r="F194" s="709"/>
      <c r="G194" s="710"/>
      <c r="H194" s="720"/>
      <c r="I194" s="712"/>
      <c r="J194" s="712"/>
      <c r="K194" s="713"/>
      <c r="L194" s="719"/>
      <c r="M194" s="709"/>
      <c r="N194" s="709"/>
      <c r="O194" s="709"/>
      <c r="P194" s="719"/>
      <c r="Q194" s="709"/>
      <c r="R194" s="709"/>
      <c r="S194" s="709"/>
      <c r="T194" s="710"/>
      <c r="U194" s="721"/>
      <c r="V194" s="722"/>
      <c r="W194" s="722"/>
      <c r="X194" s="722"/>
      <c r="Y194" s="722"/>
      <c r="Z194" s="722"/>
      <c r="AA194" s="723"/>
      <c r="AB194" s="853"/>
      <c r="AC194" s="854"/>
      <c r="AD194" s="854"/>
      <c r="AE194" s="854"/>
      <c r="AF194" s="854"/>
      <c r="AG194" s="854"/>
      <c r="AH194" s="854"/>
      <c r="AI194" s="854"/>
      <c r="AJ194" s="854"/>
      <c r="AK194" s="854"/>
      <c r="AL194" s="855"/>
      <c r="AM194" s="909"/>
      <c r="AN194" s="712"/>
      <c r="AO194" s="712"/>
      <c r="AP194" s="712"/>
      <c r="AQ194" s="712"/>
      <c r="AR194" s="712"/>
      <c r="AS194" s="713"/>
      <c r="AT194" s="909"/>
      <c r="AU194" s="712"/>
      <c r="AV194" s="712"/>
      <c r="AW194" s="713"/>
      <c r="AX194" s="908"/>
      <c r="AY194" s="712"/>
      <c r="AZ194" s="712"/>
      <c r="BA194" s="712"/>
      <c r="BB194" s="712"/>
      <c r="BC194" s="713"/>
      <c r="BD194" s="909"/>
      <c r="BE194" s="712"/>
      <c r="BF194" s="712"/>
      <c r="BG194" s="713"/>
      <c r="BH194" s="908"/>
      <c r="BI194" s="712"/>
      <c r="BJ194" s="712"/>
      <c r="BK194" s="712"/>
      <c r="BL194" s="910"/>
      <c r="BN194" s="881"/>
      <c r="BO194" s="882"/>
      <c r="BP194" s="883"/>
      <c r="BT194" s="736"/>
      <c r="BU194" s="737"/>
      <c r="BV194" s="738" t="str">
        <f>IF(BT194="","-",(IF(INDEX($A$5:$BP$257,MATCH(BT194,$BN$5:$BN$257,0),50)="Aço Inoxidável",('Densidade do AR'!$S$8*1000000),IF(INDEX($A$5:$BP$257,MATCH(BT194,$BN$5:$BN$257,0),50)="Ferro Fundido",('Densidade do AR'!$S$12*1000000),IF(INDEX($A$5:$BP$257,MATCH(BT194,$BN$5:$BN$257,0),50)="Latão",('Densidade do AR'!$S$10*1000000),IF(INDEX($A$5:$BP$257,MATCH(BT194,$BN$5:$BN$257,0),50)="Alumínio",('Densidade do AR'!$S$4*1000000)))))))</f>
        <v>-</v>
      </c>
      <c r="BW194" s="739"/>
      <c r="BX194" s="739"/>
      <c r="BY194" s="740"/>
      <c r="BZ194" s="741" t="str">
        <f t="shared" si="52"/>
        <v>-</v>
      </c>
      <c r="CA194" s="742"/>
      <c r="CB194" s="742"/>
      <c r="CC194" s="743"/>
      <c r="CD194" s="741" t="str">
        <f t="shared" si="44"/>
        <v>-</v>
      </c>
      <c r="CE194" s="742"/>
      <c r="CF194" s="742"/>
      <c r="CG194" s="743"/>
      <c r="CH194" s="744" t="str">
        <f t="shared" si="53"/>
        <v>-</v>
      </c>
      <c r="CI194" s="739"/>
      <c r="CJ194" s="739"/>
      <c r="CK194" s="740"/>
      <c r="CL194" s="744" t="str">
        <f t="shared" si="45"/>
        <v>-</v>
      </c>
      <c r="CM194" s="739"/>
      <c r="CN194" s="739"/>
      <c r="CO194" s="740"/>
      <c r="CP194" s="744" t="str">
        <f>IF(BT194="","-",INDEX($A$5:$BP$257,MATCH(BT194,$BN$5:$BN$257,0),39)*(IF(BT194="","-",(1+(((-('Densidade do AR'!$M$4))+('Densidade do AR'!$T$15*1000000))/(IF(INDEX($A$5:$BP$257,MATCH(BT194,$BN$5:$BN$257,0),50)="Aço Inoxidável",('Densidade do AR'!$S$8*1000000),IF(INDEX($A$5:$BP$257,MATCH(BT194,$BN$5:$BN$257,0),50)="Ferro Fundido",('Densidade do AR'!$S$12*1000000),IF(INDEX($A$5:$BP$257,MATCH(BT194,$BN$5:$BN$257,0),50)="Latão",('Densidade do AR'!$S$10*1000000),IF(INDEX($A$5:$BP$257,MATCH(BT194,$BN$5:$BN$257,0),50)="Alumínio",('Densidade do AR'!$S$4*1000000)))))))-(((-('Densidade do AR'!$M$4))+('Densidade do AR'!$T$15*1000000))/('Densidade do AR'!$S$14*1000000))))))</f>
        <v>-</v>
      </c>
      <c r="CQ194" s="739"/>
      <c r="CR194" s="739"/>
      <c r="CS194" s="745"/>
      <c r="CT194" s="91" t="str">
        <f t="shared" si="54"/>
        <v>-</v>
      </c>
      <c r="CU194" s="736"/>
      <c r="CV194" s="737"/>
      <c r="CW194" s="738" t="str">
        <f>IF(CU194="","-",(IF(INDEX($A$5:$BP$257,MATCH(CU194,$BN$5:$BN$257,0),50)="Aço Inoxidável",('Densidade do AR'!$S$8*1000000),IF(INDEX($A$5:$BP$257,MATCH(CU194,$BN$5:$BN$257,0),50)="Ferro Fundido",('Densidade do AR'!$S$12*1000000),IF(INDEX($A$5:$BP$257,MATCH(CU194,$BN$5:$BN$257,0),50)="Latão",('Densidade do AR'!$S$10*1000000),IF(INDEX($A$5:$BP$257,MATCH(CU194,$BN$5:$BN$257,0),50)="Alumínio",('Densidade do AR'!$S$4*1000000)))))))</f>
        <v>-</v>
      </c>
      <c r="CX194" s="739"/>
      <c r="CY194" s="739"/>
      <c r="CZ194" s="740"/>
      <c r="DA194" s="741" t="str">
        <f t="shared" si="55"/>
        <v>-</v>
      </c>
      <c r="DB194" s="742"/>
      <c r="DC194" s="742"/>
      <c r="DD194" s="743"/>
      <c r="DE194" s="741" t="str">
        <f t="shared" si="46"/>
        <v>-</v>
      </c>
      <c r="DF194" s="742"/>
      <c r="DG194" s="742"/>
      <c r="DH194" s="743"/>
      <c r="DI194" s="744" t="str">
        <f t="shared" si="56"/>
        <v>-</v>
      </c>
      <c r="DJ194" s="739"/>
      <c r="DK194" s="739"/>
      <c r="DL194" s="740"/>
      <c r="DM194" s="744" t="str">
        <f t="shared" si="47"/>
        <v>-</v>
      </c>
      <c r="DN194" s="739"/>
      <c r="DO194" s="739"/>
      <c r="DP194" s="740"/>
      <c r="DQ194" s="744" t="str">
        <f>IF(CU194="","-",INDEX($A$5:$BP$257,MATCH(CU194,$BN$5:$BN$257,0),39)*(IF(CU194="","-",(1+(((-('Densidade do AR'!$M$4))+('Densidade do AR'!$T$15*1000000))/(IF(INDEX($A$5:$BP$257,MATCH(CU194,$BN$5:$BN$257,0),50)="Aço Inoxidável",('Densidade do AR'!$S$8*1000000),IF(INDEX($A$5:$BP$257,MATCH(CU194,$BN$5:$BN$257,0),50)="Ferro Fundido",('Densidade do AR'!$S$12*1000000),IF(INDEX($A$5:$BP$257,MATCH(CU194,$BN$5:$BN$257,0),50)="Latão",('Densidade do AR'!$S$10*1000000),IF(INDEX($A$5:$BP$257,MATCH(CU194,$BN$5:$BN$257,0),50)="Alumínio",('Densidade do AR'!$S$4*1000000)))))))-(((-('Densidade do AR'!$M$4))+('Densidade do AR'!$T$15*1000000))/('Densidade do AR'!$S$14*1000000))))))</f>
        <v>-</v>
      </c>
      <c r="DR194" s="739"/>
      <c r="DS194" s="739"/>
      <c r="DT194" s="745"/>
      <c r="DU194" s="91" t="str">
        <f t="shared" si="57"/>
        <v>-</v>
      </c>
      <c r="DV194" s="736"/>
      <c r="DW194" s="737"/>
      <c r="DX194" s="738" t="str">
        <f>IF(DV194="","-",(IF(INDEX($A$5:$BP$257,MATCH(DV194,$BN$5:$BN$257,0),50)="Aço Inoxidável",('Densidade do AR'!$S$8*1000000),IF(INDEX($A$5:$BP$257,MATCH(DV194,$BN$5:$BN$257,0),50)="Ferro Fundido",('Densidade do AR'!$S$12*1000000),IF(INDEX($A$5:$BP$257,MATCH(DV194,$BN$5:$BN$257,0),50)="Latão",('Densidade do AR'!$S$10*1000000),IF(INDEX($A$5:$BP$257,MATCH(DV194,$BN$5:$BN$257,0),50)="Alumínio",('Densidade do AR'!$S$4*1000000)))))))</f>
        <v>-</v>
      </c>
      <c r="DY194" s="739"/>
      <c r="DZ194" s="739"/>
      <c r="EA194" s="740"/>
      <c r="EB194" s="741" t="str">
        <f t="shared" si="58"/>
        <v>-</v>
      </c>
      <c r="EC194" s="742"/>
      <c r="ED194" s="742"/>
      <c r="EE194" s="743"/>
      <c r="EF194" s="741" t="str">
        <f t="shared" si="48"/>
        <v>-</v>
      </c>
      <c r="EG194" s="742"/>
      <c r="EH194" s="742"/>
      <c r="EI194" s="743"/>
      <c r="EJ194" s="744" t="str">
        <f t="shared" si="59"/>
        <v>-</v>
      </c>
      <c r="EK194" s="739"/>
      <c r="EL194" s="739"/>
      <c r="EM194" s="740"/>
      <c r="EN194" s="744" t="str">
        <f t="shared" si="49"/>
        <v>-</v>
      </c>
      <c r="EO194" s="739"/>
      <c r="EP194" s="739"/>
      <c r="EQ194" s="740"/>
      <c r="ER194" s="744" t="str">
        <f>IF(DV194="","-",INDEX($A$5:$BP$257,MATCH(DV194,$BN$5:$BN$257,0),39)*(IF(DV194="","-",(1+(((-('Densidade do AR'!$M$4))+('Densidade do AR'!$T$15*1000000))/(IF(INDEX($A$5:$BP$257,MATCH(DV194,$BN$5:$BN$257,0),50)="Aço Inoxidável",('Densidade do AR'!$S$8*1000000),IF(INDEX($A$5:$BP$257,MATCH(DV194,$BN$5:$BN$257,0),50)="Ferro Fundido",('Densidade do AR'!$S$12*1000000),IF(INDEX($A$5:$BP$257,MATCH(DV194,$BN$5:$BN$257,0),50)="Latão",('Densidade do AR'!$S$10*1000000),IF(INDEX($A$5:$BP$257,MATCH(DV194,$BN$5:$BN$257,0),50)="Alumínio",('Densidade do AR'!$S$4*1000000)))))))-(((-('Densidade do AR'!$M$4))+('Densidade do AR'!$T$15*1000000))/('Densidade do AR'!$S$14*1000000))))))</f>
        <v>-</v>
      </c>
      <c r="ES194" s="739"/>
      <c r="ET194" s="739"/>
      <c r="EU194" s="745"/>
      <c r="EV194" s="91" t="str">
        <f t="shared" si="60"/>
        <v>-</v>
      </c>
      <c r="EW194" s="736"/>
      <c r="EX194" s="737"/>
      <c r="EY194" s="738" t="str">
        <f>IF(EW194="","-",(IF(INDEX($A$5:$BP$257,MATCH(EW194,$BN$5:$BN$257,0),50)="Aço Inoxidável",('Densidade do AR'!$S$8*1000000),IF(INDEX($A$5:$BP$257,MATCH(EW194,$BN$5:$BN$257,0),50)="Ferro Fundido",('Densidade do AR'!$S$12*1000000),IF(INDEX($A$5:$BP$257,MATCH(EW194,$BN$5:$BN$257,0),50)="Latão",('Densidade do AR'!$S$10*1000000),IF(INDEX($A$5:$BP$257,MATCH(EW194,$BN$5:$BN$257,0),50)="Alumínio",('Densidade do AR'!$S$4*1000000)))))))</f>
        <v>-</v>
      </c>
      <c r="EZ194" s="739"/>
      <c r="FA194" s="739"/>
      <c r="FB194" s="740"/>
      <c r="FC194" s="741" t="str">
        <f t="shared" si="61"/>
        <v>-</v>
      </c>
      <c r="FD194" s="742"/>
      <c r="FE194" s="742"/>
      <c r="FF194" s="743"/>
      <c r="FG194" s="741" t="str">
        <f t="shared" si="50"/>
        <v>-</v>
      </c>
      <c r="FH194" s="742"/>
      <c r="FI194" s="742"/>
      <c r="FJ194" s="743"/>
      <c r="FK194" s="744" t="str">
        <f t="shared" si="62"/>
        <v>-</v>
      </c>
      <c r="FL194" s="739"/>
      <c r="FM194" s="739"/>
      <c r="FN194" s="740"/>
      <c r="FO194" s="744" t="str">
        <f t="shared" si="51"/>
        <v>-</v>
      </c>
      <c r="FP194" s="739"/>
      <c r="FQ194" s="739"/>
      <c r="FR194" s="740"/>
      <c r="FS194" s="744" t="str">
        <f>IF(EW194="","-",INDEX($A$5:$BP$257,MATCH(EW194,$BN$5:$BN$257,0),39)*(IF(EW194="","-",(1+(((-('Densidade do AR'!$M$4))+('Densidade do AR'!$T$15*1000000))/(IF(INDEX($A$5:$BP$257,MATCH(EW194,$BN$5:$BN$257,0),50)="Aço Inoxidável",('Densidade do AR'!$S$8*1000000),IF(INDEX($A$5:$BP$257,MATCH(EW194,$BN$5:$BN$257,0),50)="Ferro Fundido",('Densidade do AR'!$S$12*1000000),IF(INDEX($A$5:$BP$257,MATCH(EW194,$BN$5:$BN$257,0),50)="Latão",('Densidade do AR'!$S$10*1000000),IF(INDEX($A$5:$BP$257,MATCH(EW194,$BN$5:$BN$257,0),50)="Alumínio",('Densidade do AR'!$S$4*1000000)))))))-(((-('Densidade do AR'!$M$4))+('Densidade do AR'!$T$15*1000000))/('Densidade do AR'!$S$14*1000000))))))</f>
        <v>-</v>
      </c>
      <c r="FT194" s="739"/>
      <c r="FU194" s="739"/>
      <c r="FV194" s="745"/>
      <c r="FW194" s="91" t="str">
        <f t="shared" si="63"/>
        <v>-</v>
      </c>
      <c r="FX194" s="135"/>
    </row>
    <row r="195" spans="1:180" ht="12.75" customHeight="1" x14ac:dyDescent="0.2">
      <c r="A195" s="717">
        <v>191</v>
      </c>
      <c r="B195" s="713"/>
      <c r="C195" s="708"/>
      <c r="D195" s="709"/>
      <c r="E195" s="709"/>
      <c r="F195" s="709"/>
      <c r="G195" s="710"/>
      <c r="H195" s="711"/>
      <c r="I195" s="712"/>
      <c r="J195" s="712"/>
      <c r="K195" s="713"/>
      <c r="L195" s="708"/>
      <c r="M195" s="709"/>
      <c r="N195" s="709"/>
      <c r="O195" s="709"/>
      <c r="P195" s="708"/>
      <c r="Q195" s="709"/>
      <c r="R195" s="709"/>
      <c r="S195" s="709"/>
      <c r="T195" s="710"/>
      <c r="U195" s="714"/>
      <c r="V195" s="715"/>
      <c r="W195" s="715"/>
      <c r="X195" s="715"/>
      <c r="Y195" s="715"/>
      <c r="Z195" s="715"/>
      <c r="AA195" s="716"/>
      <c r="AB195" s="850"/>
      <c r="AC195" s="851"/>
      <c r="AD195" s="851"/>
      <c r="AE195" s="851"/>
      <c r="AF195" s="851"/>
      <c r="AG195" s="851"/>
      <c r="AH195" s="851"/>
      <c r="AI195" s="851"/>
      <c r="AJ195" s="851"/>
      <c r="AK195" s="851"/>
      <c r="AL195" s="852"/>
      <c r="AM195" s="917"/>
      <c r="AN195" s="712"/>
      <c r="AO195" s="712"/>
      <c r="AP195" s="712"/>
      <c r="AQ195" s="712"/>
      <c r="AR195" s="712"/>
      <c r="AS195" s="713"/>
      <c r="AT195" s="917"/>
      <c r="AU195" s="712"/>
      <c r="AV195" s="712"/>
      <c r="AW195" s="713"/>
      <c r="AX195" s="917"/>
      <c r="AY195" s="712"/>
      <c r="AZ195" s="712"/>
      <c r="BA195" s="712"/>
      <c r="BB195" s="712"/>
      <c r="BC195" s="713"/>
      <c r="BD195" s="917"/>
      <c r="BE195" s="712"/>
      <c r="BF195" s="712"/>
      <c r="BG195" s="713"/>
      <c r="BH195" s="918"/>
      <c r="BI195" s="712"/>
      <c r="BJ195" s="712"/>
      <c r="BK195" s="712"/>
      <c r="BL195" s="910"/>
      <c r="BN195" s="878"/>
      <c r="BO195" s="879"/>
      <c r="BP195" s="880"/>
      <c r="BT195" s="794"/>
      <c r="BU195" s="795"/>
      <c r="BV195" s="784" t="str">
        <f>IF(BT195="","-",(IF(INDEX($A$5:$BP$257,MATCH(BT195,$BN$5:$BN$257,0),50)="Aço Inoxidável",('Densidade do AR'!$S$8*1000000),IF(INDEX($A$5:$BP$257,MATCH(BT195,$BN$5:$BN$257,0),50)="Ferro Fundido",('Densidade do AR'!$S$12*1000000),IF(INDEX($A$5:$BP$257,MATCH(BT195,$BN$5:$BN$257,0),50)="Latão",('Densidade do AR'!$S$10*1000000),IF(INDEX($A$5:$BP$257,MATCH(BT195,$BN$5:$BN$257,0),50)="Alumínio",('Densidade do AR'!$S$4*1000000)))))))</f>
        <v>-</v>
      </c>
      <c r="BW195" s="785"/>
      <c r="BX195" s="785"/>
      <c r="BY195" s="786"/>
      <c r="BZ195" s="787" t="str">
        <f t="shared" si="52"/>
        <v>-</v>
      </c>
      <c r="CA195" s="788"/>
      <c r="CB195" s="788"/>
      <c r="CC195" s="789"/>
      <c r="CD195" s="787" t="str">
        <f t="shared" si="44"/>
        <v>-</v>
      </c>
      <c r="CE195" s="788"/>
      <c r="CF195" s="788"/>
      <c r="CG195" s="789"/>
      <c r="CH195" s="790" t="str">
        <f t="shared" si="53"/>
        <v>-</v>
      </c>
      <c r="CI195" s="785"/>
      <c r="CJ195" s="785"/>
      <c r="CK195" s="786"/>
      <c r="CL195" s="790" t="str">
        <f t="shared" si="45"/>
        <v>-</v>
      </c>
      <c r="CM195" s="785"/>
      <c r="CN195" s="785"/>
      <c r="CO195" s="786"/>
      <c r="CP195" s="790" t="str">
        <f>IF(BT195="","-",INDEX($A$5:$BP$257,MATCH(BT195,$BN$5:$BN$257,0),39)*(IF(BT195="","-",(1+(((-('Densidade do AR'!$M$4))+('Densidade do AR'!$T$15*1000000))/(IF(INDEX($A$5:$BP$257,MATCH(BT195,$BN$5:$BN$257,0),50)="Aço Inoxidável",('Densidade do AR'!$S$8*1000000),IF(INDEX($A$5:$BP$257,MATCH(BT195,$BN$5:$BN$257,0),50)="Ferro Fundido",('Densidade do AR'!$S$12*1000000),IF(INDEX($A$5:$BP$257,MATCH(BT195,$BN$5:$BN$257,0),50)="Latão",('Densidade do AR'!$S$10*1000000),IF(INDEX($A$5:$BP$257,MATCH(BT195,$BN$5:$BN$257,0),50)="Alumínio",('Densidade do AR'!$S$4*1000000)))))))-(((-('Densidade do AR'!$M$4))+('Densidade do AR'!$T$15*1000000))/('Densidade do AR'!$S$14*1000000))))))</f>
        <v>-</v>
      </c>
      <c r="CQ195" s="785"/>
      <c r="CR195" s="785"/>
      <c r="CS195" s="791"/>
      <c r="CT195" s="91" t="str">
        <f t="shared" si="54"/>
        <v>-</v>
      </c>
      <c r="CU195" s="794"/>
      <c r="CV195" s="795"/>
      <c r="CW195" s="784" t="str">
        <f>IF(CU195="","-",(IF(INDEX($A$5:$BP$257,MATCH(CU195,$BN$5:$BN$257,0),50)="Aço Inoxidável",('Densidade do AR'!$S$8*1000000),IF(INDEX($A$5:$BP$257,MATCH(CU195,$BN$5:$BN$257,0),50)="Ferro Fundido",('Densidade do AR'!$S$12*1000000),IF(INDEX($A$5:$BP$257,MATCH(CU195,$BN$5:$BN$257,0),50)="Latão",('Densidade do AR'!$S$10*1000000),IF(INDEX($A$5:$BP$257,MATCH(CU195,$BN$5:$BN$257,0),50)="Alumínio",('Densidade do AR'!$S$4*1000000)))))))</f>
        <v>-</v>
      </c>
      <c r="CX195" s="785"/>
      <c r="CY195" s="785"/>
      <c r="CZ195" s="786"/>
      <c r="DA195" s="787" t="str">
        <f t="shared" si="55"/>
        <v>-</v>
      </c>
      <c r="DB195" s="788"/>
      <c r="DC195" s="788"/>
      <c r="DD195" s="789"/>
      <c r="DE195" s="787" t="str">
        <f t="shared" si="46"/>
        <v>-</v>
      </c>
      <c r="DF195" s="788"/>
      <c r="DG195" s="788"/>
      <c r="DH195" s="789"/>
      <c r="DI195" s="790" t="str">
        <f t="shared" si="56"/>
        <v>-</v>
      </c>
      <c r="DJ195" s="785"/>
      <c r="DK195" s="785"/>
      <c r="DL195" s="786"/>
      <c r="DM195" s="790" t="str">
        <f t="shared" si="47"/>
        <v>-</v>
      </c>
      <c r="DN195" s="785"/>
      <c r="DO195" s="785"/>
      <c r="DP195" s="786"/>
      <c r="DQ195" s="790" t="str">
        <f>IF(CU195="","-",INDEX($A$5:$BP$257,MATCH(CU195,$BN$5:$BN$257,0),39)*(IF(CU195="","-",(1+(((-('Densidade do AR'!$M$4))+('Densidade do AR'!$T$15*1000000))/(IF(INDEX($A$5:$BP$257,MATCH(CU195,$BN$5:$BN$257,0),50)="Aço Inoxidável",('Densidade do AR'!$S$8*1000000),IF(INDEX($A$5:$BP$257,MATCH(CU195,$BN$5:$BN$257,0),50)="Ferro Fundido",('Densidade do AR'!$S$12*1000000),IF(INDEX($A$5:$BP$257,MATCH(CU195,$BN$5:$BN$257,0),50)="Latão",('Densidade do AR'!$S$10*1000000),IF(INDEX($A$5:$BP$257,MATCH(CU195,$BN$5:$BN$257,0),50)="Alumínio",('Densidade do AR'!$S$4*1000000)))))))-(((-('Densidade do AR'!$M$4))+('Densidade do AR'!$T$15*1000000))/('Densidade do AR'!$S$14*1000000))))))</f>
        <v>-</v>
      </c>
      <c r="DR195" s="785"/>
      <c r="DS195" s="785"/>
      <c r="DT195" s="791"/>
      <c r="DU195" s="91" t="str">
        <f t="shared" si="57"/>
        <v>-</v>
      </c>
      <c r="DV195" s="794"/>
      <c r="DW195" s="795"/>
      <c r="DX195" s="784" t="str">
        <f>IF(DV195="","-",(IF(INDEX($A$5:$BP$257,MATCH(DV195,$BN$5:$BN$257,0),50)="Aço Inoxidável",('Densidade do AR'!$S$8*1000000),IF(INDEX($A$5:$BP$257,MATCH(DV195,$BN$5:$BN$257,0),50)="Ferro Fundido",('Densidade do AR'!$S$12*1000000),IF(INDEX($A$5:$BP$257,MATCH(DV195,$BN$5:$BN$257,0),50)="Latão",('Densidade do AR'!$S$10*1000000),IF(INDEX($A$5:$BP$257,MATCH(DV195,$BN$5:$BN$257,0),50)="Alumínio",('Densidade do AR'!$S$4*1000000)))))))</f>
        <v>-</v>
      </c>
      <c r="DY195" s="785"/>
      <c r="DZ195" s="785"/>
      <c r="EA195" s="786"/>
      <c r="EB195" s="787" t="str">
        <f t="shared" si="58"/>
        <v>-</v>
      </c>
      <c r="EC195" s="788"/>
      <c r="ED195" s="788"/>
      <c r="EE195" s="789"/>
      <c r="EF195" s="787" t="str">
        <f t="shared" si="48"/>
        <v>-</v>
      </c>
      <c r="EG195" s="788"/>
      <c r="EH195" s="788"/>
      <c r="EI195" s="789"/>
      <c r="EJ195" s="790" t="str">
        <f t="shared" si="59"/>
        <v>-</v>
      </c>
      <c r="EK195" s="785"/>
      <c r="EL195" s="785"/>
      <c r="EM195" s="786"/>
      <c r="EN195" s="790" t="str">
        <f t="shared" si="49"/>
        <v>-</v>
      </c>
      <c r="EO195" s="785"/>
      <c r="EP195" s="785"/>
      <c r="EQ195" s="786"/>
      <c r="ER195" s="790" t="str">
        <f>IF(DV195="","-",INDEX($A$5:$BP$257,MATCH(DV195,$BN$5:$BN$257,0),39)*(IF(DV195="","-",(1+(((-('Densidade do AR'!$M$4))+('Densidade do AR'!$T$15*1000000))/(IF(INDEX($A$5:$BP$257,MATCH(DV195,$BN$5:$BN$257,0),50)="Aço Inoxidável",('Densidade do AR'!$S$8*1000000),IF(INDEX($A$5:$BP$257,MATCH(DV195,$BN$5:$BN$257,0),50)="Ferro Fundido",('Densidade do AR'!$S$12*1000000),IF(INDEX($A$5:$BP$257,MATCH(DV195,$BN$5:$BN$257,0),50)="Latão",('Densidade do AR'!$S$10*1000000),IF(INDEX($A$5:$BP$257,MATCH(DV195,$BN$5:$BN$257,0),50)="Alumínio",('Densidade do AR'!$S$4*1000000)))))))-(((-('Densidade do AR'!$M$4))+('Densidade do AR'!$T$15*1000000))/('Densidade do AR'!$S$14*1000000))))))</f>
        <v>-</v>
      </c>
      <c r="ES195" s="785"/>
      <c r="ET195" s="785"/>
      <c r="EU195" s="791"/>
      <c r="EV195" s="91" t="str">
        <f t="shared" si="60"/>
        <v>-</v>
      </c>
      <c r="EW195" s="794"/>
      <c r="EX195" s="795"/>
      <c r="EY195" s="784" t="str">
        <f>IF(EW195="","-",(IF(INDEX($A$5:$BP$257,MATCH(EW195,$BN$5:$BN$257,0),50)="Aço Inoxidável",('Densidade do AR'!$S$8*1000000),IF(INDEX($A$5:$BP$257,MATCH(EW195,$BN$5:$BN$257,0),50)="Ferro Fundido",('Densidade do AR'!$S$12*1000000),IF(INDEX($A$5:$BP$257,MATCH(EW195,$BN$5:$BN$257,0),50)="Latão",('Densidade do AR'!$S$10*1000000),IF(INDEX($A$5:$BP$257,MATCH(EW195,$BN$5:$BN$257,0),50)="Alumínio",('Densidade do AR'!$S$4*1000000)))))))</f>
        <v>-</v>
      </c>
      <c r="EZ195" s="785"/>
      <c r="FA195" s="785"/>
      <c r="FB195" s="786"/>
      <c r="FC195" s="787" t="str">
        <f t="shared" si="61"/>
        <v>-</v>
      </c>
      <c r="FD195" s="788"/>
      <c r="FE195" s="788"/>
      <c r="FF195" s="789"/>
      <c r="FG195" s="787" t="str">
        <f t="shared" si="50"/>
        <v>-</v>
      </c>
      <c r="FH195" s="788"/>
      <c r="FI195" s="788"/>
      <c r="FJ195" s="789"/>
      <c r="FK195" s="790" t="str">
        <f t="shared" si="62"/>
        <v>-</v>
      </c>
      <c r="FL195" s="785"/>
      <c r="FM195" s="785"/>
      <c r="FN195" s="786"/>
      <c r="FO195" s="790" t="str">
        <f t="shared" si="51"/>
        <v>-</v>
      </c>
      <c r="FP195" s="785"/>
      <c r="FQ195" s="785"/>
      <c r="FR195" s="786"/>
      <c r="FS195" s="790" t="str">
        <f>IF(EW195="","-",INDEX($A$5:$BP$257,MATCH(EW195,$BN$5:$BN$257,0),39)*(IF(EW195="","-",(1+(((-('Densidade do AR'!$M$4))+('Densidade do AR'!$T$15*1000000))/(IF(INDEX($A$5:$BP$257,MATCH(EW195,$BN$5:$BN$257,0),50)="Aço Inoxidável",('Densidade do AR'!$S$8*1000000),IF(INDEX($A$5:$BP$257,MATCH(EW195,$BN$5:$BN$257,0),50)="Ferro Fundido",('Densidade do AR'!$S$12*1000000),IF(INDEX($A$5:$BP$257,MATCH(EW195,$BN$5:$BN$257,0),50)="Latão",('Densidade do AR'!$S$10*1000000),IF(INDEX($A$5:$BP$257,MATCH(EW195,$BN$5:$BN$257,0),50)="Alumínio",('Densidade do AR'!$S$4*1000000)))))))-(((-('Densidade do AR'!$M$4))+('Densidade do AR'!$T$15*1000000))/('Densidade do AR'!$S$14*1000000))))))</f>
        <v>-</v>
      </c>
      <c r="FT195" s="785"/>
      <c r="FU195" s="785"/>
      <c r="FV195" s="791"/>
      <c r="FW195" s="91" t="str">
        <f t="shared" si="63"/>
        <v>-</v>
      </c>
      <c r="FX195" s="135"/>
    </row>
    <row r="196" spans="1:180" ht="12.75" customHeight="1" x14ac:dyDescent="0.2">
      <c r="A196" s="718">
        <v>192</v>
      </c>
      <c r="B196" s="713"/>
      <c r="C196" s="719"/>
      <c r="D196" s="709"/>
      <c r="E196" s="709"/>
      <c r="F196" s="709"/>
      <c r="G196" s="710"/>
      <c r="H196" s="720"/>
      <c r="I196" s="712"/>
      <c r="J196" s="712"/>
      <c r="K196" s="713"/>
      <c r="L196" s="719"/>
      <c r="M196" s="709"/>
      <c r="N196" s="709"/>
      <c r="O196" s="709"/>
      <c r="P196" s="719"/>
      <c r="Q196" s="709"/>
      <c r="R196" s="709"/>
      <c r="S196" s="709"/>
      <c r="T196" s="710"/>
      <c r="U196" s="721"/>
      <c r="V196" s="722"/>
      <c r="W196" s="722"/>
      <c r="X196" s="722"/>
      <c r="Y196" s="722"/>
      <c r="Z196" s="722"/>
      <c r="AA196" s="723"/>
      <c r="AB196" s="853"/>
      <c r="AC196" s="854"/>
      <c r="AD196" s="854"/>
      <c r="AE196" s="854"/>
      <c r="AF196" s="854"/>
      <c r="AG196" s="854"/>
      <c r="AH196" s="854"/>
      <c r="AI196" s="854"/>
      <c r="AJ196" s="854"/>
      <c r="AK196" s="854"/>
      <c r="AL196" s="855"/>
      <c r="AM196" s="909"/>
      <c r="AN196" s="712"/>
      <c r="AO196" s="712"/>
      <c r="AP196" s="712"/>
      <c r="AQ196" s="712"/>
      <c r="AR196" s="712"/>
      <c r="AS196" s="713"/>
      <c r="AT196" s="909"/>
      <c r="AU196" s="712"/>
      <c r="AV196" s="712"/>
      <c r="AW196" s="713"/>
      <c r="AX196" s="908"/>
      <c r="AY196" s="712"/>
      <c r="AZ196" s="712"/>
      <c r="BA196" s="712"/>
      <c r="BB196" s="712"/>
      <c r="BC196" s="713"/>
      <c r="BD196" s="909"/>
      <c r="BE196" s="712"/>
      <c r="BF196" s="712"/>
      <c r="BG196" s="713"/>
      <c r="BH196" s="908"/>
      <c r="BI196" s="712"/>
      <c r="BJ196" s="712"/>
      <c r="BK196" s="712"/>
      <c r="BL196" s="910"/>
      <c r="BN196" s="881"/>
      <c r="BO196" s="882"/>
      <c r="BP196" s="883"/>
      <c r="BT196" s="792"/>
      <c r="BU196" s="793"/>
      <c r="BV196" s="738" t="str">
        <f>IF(BT196="","-",(IF(INDEX($A$5:$BP$257,MATCH(BT196,$BN$5:$BN$257,0),50)="Aço Inoxidável",('Densidade do AR'!$S$8*1000000),IF(INDEX($A$5:$BP$257,MATCH(BT196,$BN$5:$BN$257,0),50)="Ferro Fundido",('Densidade do AR'!$S$12*1000000),IF(INDEX($A$5:$BP$257,MATCH(BT196,$BN$5:$BN$257,0),50)="Latão",('Densidade do AR'!$S$10*1000000),IF(INDEX($A$5:$BP$257,MATCH(BT196,$BN$5:$BN$257,0),50)="Alumínio",('Densidade do AR'!$S$4*1000000)))))))</f>
        <v>-</v>
      </c>
      <c r="BW196" s="739"/>
      <c r="BX196" s="739"/>
      <c r="BY196" s="740"/>
      <c r="BZ196" s="741" t="str">
        <f t="shared" si="52"/>
        <v>-</v>
      </c>
      <c r="CA196" s="742"/>
      <c r="CB196" s="742"/>
      <c r="CC196" s="743"/>
      <c r="CD196" s="741" t="str">
        <f t="shared" si="44"/>
        <v>-</v>
      </c>
      <c r="CE196" s="742"/>
      <c r="CF196" s="742"/>
      <c r="CG196" s="743"/>
      <c r="CH196" s="744" t="str">
        <f t="shared" si="53"/>
        <v>-</v>
      </c>
      <c r="CI196" s="739"/>
      <c r="CJ196" s="739"/>
      <c r="CK196" s="740"/>
      <c r="CL196" s="744" t="str">
        <f t="shared" si="45"/>
        <v>-</v>
      </c>
      <c r="CM196" s="739"/>
      <c r="CN196" s="739"/>
      <c r="CO196" s="740"/>
      <c r="CP196" s="744" t="str">
        <f>IF(BT196="","-",INDEX($A$5:$BP$257,MATCH(BT196,$BN$5:$BN$257,0),39)*(IF(BT196="","-",(1+(((-('Densidade do AR'!$M$4))+('Densidade do AR'!$T$15*1000000))/(IF(INDEX($A$5:$BP$257,MATCH(BT196,$BN$5:$BN$257,0),50)="Aço Inoxidável",('Densidade do AR'!$S$8*1000000),IF(INDEX($A$5:$BP$257,MATCH(BT196,$BN$5:$BN$257,0),50)="Ferro Fundido",('Densidade do AR'!$S$12*1000000),IF(INDEX($A$5:$BP$257,MATCH(BT196,$BN$5:$BN$257,0),50)="Latão",('Densidade do AR'!$S$10*1000000),IF(INDEX($A$5:$BP$257,MATCH(BT196,$BN$5:$BN$257,0),50)="Alumínio",('Densidade do AR'!$S$4*1000000)))))))-(((-('Densidade do AR'!$M$4))+('Densidade do AR'!$T$15*1000000))/('Densidade do AR'!$S$14*1000000))))))</f>
        <v>-</v>
      </c>
      <c r="CQ196" s="739"/>
      <c r="CR196" s="739"/>
      <c r="CS196" s="745"/>
      <c r="CT196" s="91" t="str">
        <f t="shared" si="54"/>
        <v>-</v>
      </c>
      <c r="CU196" s="792"/>
      <c r="CV196" s="793"/>
      <c r="CW196" s="738" t="str">
        <f>IF(CU196="","-",(IF(INDEX($A$5:$BP$257,MATCH(CU196,$BN$5:$BN$257,0),50)="Aço Inoxidável",('Densidade do AR'!$S$8*1000000),IF(INDEX($A$5:$BP$257,MATCH(CU196,$BN$5:$BN$257,0),50)="Ferro Fundido",('Densidade do AR'!$S$12*1000000),IF(INDEX($A$5:$BP$257,MATCH(CU196,$BN$5:$BN$257,0),50)="Latão",('Densidade do AR'!$S$10*1000000),IF(INDEX($A$5:$BP$257,MATCH(CU196,$BN$5:$BN$257,0),50)="Alumínio",('Densidade do AR'!$S$4*1000000)))))))</f>
        <v>-</v>
      </c>
      <c r="CX196" s="739"/>
      <c r="CY196" s="739"/>
      <c r="CZ196" s="740"/>
      <c r="DA196" s="741" t="str">
        <f t="shared" si="55"/>
        <v>-</v>
      </c>
      <c r="DB196" s="742"/>
      <c r="DC196" s="742"/>
      <c r="DD196" s="743"/>
      <c r="DE196" s="741" t="str">
        <f t="shared" si="46"/>
        <v>-</v>
      </c>
      <c r="DF196" s="742"/>
      <c r="DG196" s="742"/>
      <c r="DH196" s="743"/>
      <c r="DI196" s="744" t="str">
        <f t="shared" si="56"/>
        <v>-</v>
      </c>
      <c r="DJ196" s="739"/>
      <c r="DK196" s="739"/>
      <c r="DL196" s="740"/>
      <c r="DM196" s="744" t="str">
        <f t="shared" si="47"/>
        <v>-</v>
      </c>
      <c r="DN196" s="739"/>
      <c r="DO196" s="739"/>
      <c r="DP196" s="740"/>
      <c r="DQ196" s="744" t="str">
        <f>IF(CU196="","-",INDEX($A$5:$BP$257,MATCH(CU196,$BN$5:$BN$257,0),39)*(IF(CU196="","-",(1+(((-('Densidade do AR'!$M$4))+('Densidade do AR'!$T$15*1000000))/(IF(INDEX($A$5:$BP$257,MATCH(CU196,$BN$5:$BN$257,0),50)="Aço Inoxidável",('Densidade do AR'!$S$8*1000000),IF(INDEX($A$5:$BP$257,MATCH(CU196,$BN$5:$BN$257,0),50)="Ferro Fundido",('Densidade do AR'!$S$12*1000000),IF(INDEX($A$5:$BP$257,MATCH(CU196,$BN$5:$BN$257,0),50)="Latão",('Densidade do AR'!$S$10*1000000),IF(INDEX($A$5:$BP$257,MATCH(CU196,$BN$5:$BN$257,0),50)="Alumínio",('Densidade do AR'!$S$4*1000000)))))))-(((-('Densidade do AR'!$M$4))+('Densidade do AR'!$T$15*1000000))/('Densidade do AR'!$S$14*1000000))))))</f>
        <v>-</v>
      </c>
      <c r="DR196" s="739"/>
      <c r="DS196" s="739"/>
      <c r="DT196" s="745"/>
      <c r="DU196" s="91" t="str">
        <f t="shared" si="57"/>
        <v>-</v>
      </c>
      <c r="DV196" s="792"/>
      <c r="DW196" s="793"/>
      <c r="DX196" s="738" t="str">
        <f>IF(DV196="","-",(IF(INDEX($A$5:$BP$257,MATCH(DV196,$BN$5:$BN$257,0),50)="Aço Inoxidável",('Densidade do AR'!$S$8*1000000),IF(INDEX($A$5:$BP$257,MATCH(DV196,$BN$5:$BN$257,0),50)="Ferro Fundido",('Densidade do AR'!$S$12*1000000),IF(INDEX($A$5:$BP$257,MATCH(DV196,$BN$5:$BN$257,0),50)="Latão",('Densidade do AR'!$S$10*1000000),IF(INDEX($A$5:$BP$257,MATCH(DV196,$BN$5:$BN$257,0),50)="Alumínio",('Densidade do AR'!$S$4*1000000)))))))</f>
        <v>-</v>
      </c>
      <c r="DY196" s="739"/>
      <c r="DZ196" s="739"/>
      <c r="EA196" s="740"/>
      <c r="EB196" s="741" t="str">
        <f t="shared" si="58"/>
        <v>-</v>
      </c>
      <c r="EC196" s="742"/>
      <c r="ED196" s="742"/>
      <c r="EE196" s="743"/>
      <c r="EF196" s="741" t="str">
        <f t="shared" si="48"/>
        <v>-</v>
      </c>
      <c r="EG196" s="742"/>
      <c r="EH196" s="742"/>
      <c r="EI196" s="743"/>
      <c r="EJ196" s="744" t="str">
        <f t="shared" si="59"/>
        <v>-</v>
      </c>
      <c r="EK196" s="739"/>
      <c r="EL196" s="739"/>
      <c r="EM196" s="740"/>
      <c r="EN196" s="744" t="str">
        <f t="shared" si="49"/>
        <v>-</v>
      </c>
      <c r="EO196" s="739"/>
      <c r="EP196" s="739"/>
      <c r="EQ196" s="740"/>
      <c r="ER196" s="744" t="str">
        <f>IF(DV196="","-",INDEX($A$5:$BP$257,MATCH(DV196,$BN$5:$BN$257,0),39)*(IF(DV196="","-",(1+(((-('Densidade do AR'!$M$4))+('Densidade do AR'!$T$15*1000000))/(IF(INDEX($A$5:$BP$257,MATCH(DV196,$BN$5:$BN$257,0),50)="Aço Inoxidável",('Densidade do AR'!$S$8*1000000),IF(INDEX($A$5:$BP$257,MATCH(DV196,$BN$5:$BN$257,0),50)="Ferro Fundido",('Densidade do AR'!$S$12*1000000),IF(INDEX($A$5:$BP$257,MATCH(DV196,$BN$5:$BN$257,0),50)="Latão",('Densidade do AR'!$S$10*1000000),IF(INDEX($A$5:$BP$257,MATCH(DV196,$BN$5:$BN$257,0),50)="Alumínio",('Densidade do AR'!$S$4*1000000)))))))-(((-('Densidade do AR'!$M$4))+('Densidade do AR'!$T$15*1000000))/('Densidade do AR'!$S$14*1000000))))))</f>
        <v>-</v>
      </c>
      <c r="ES196" s="739"/>
      <c r="ET196" s="739"/>
      <c r="EU196" s="745"/>
      <c r="EV196" s="91" t="str">
        <f t="shared" si="60"/>
        <v>-</v>
      </c>
      <c r="EW196" s="792"/>
      <c r="EX196" s="793"/>
      <c r="EY196" s="738" t="str">
        <f>IF(EW196="","-",(IF(INDEX($A$5:$BP$257,MATCH(EW196,$BN$5:$BN$257,0),50)="Aço Inoxidável",('Densidade do AR'!$S$8*1000000),IF(INDEX($A$5:$BP$257,MATCH(EW196,$BN$5:$BN$257,0),50)="Ferro Fundido",('Densidade do AR'!$S$12*1000000),IF(INDEX($A$5:$BP$257,MATCH(EW196,$BN$5:$BN$257,0),50)="Latão",('Densidade do AR'!$S$10*1000000),IF(INDEX($A$5:$BP$257,MATCH(EW196,$BN$5:$BN$257,0),50)="Alumínio",('Densidade do AR'!$S$4*1000000)))))))</f>
        <v>-</v>
      </c>
      <c r="EZ196" s="739"/>
      <c r="FA196" s="739"/>
      <c r="FB196" s="740"/>
      <c r="FC196" s="741" t="str">
        <f t="shared" si="61"/>
        <v>-</v>
      </c>
      <c r="FD196" s="742"/>
      <c r="FE196" s="742"/>
      <c r="FF196" s="743"/>
      <c r="FG196" s="741" t="str">
        <f t="shared" si="50"/>
        <v>-</v>
      </c>
      <c r="FH196" s="742"/>
      <c r="FI196" s="742"/>
      <c r="FJ196" s="743"/>
      <c r="FK196" s="744" t="str">
        <f t="shared" si="62"/>
        <v>-</v>
      </c>
      <c r="FL196" s="739"/>
      <c r="FM196" s="739"/>
      <c r="FN196" s="740"/>
      <c r="FO196" s="744" t="str">
        <f t="shared" si="51"/>
        <v>-</v>
      </c>
      <c r="FP196" s="739"/>
      <c r="FQ196" s="739"/>
      <c r="FR196" s="740"/>
      <c r="FS196" s="744" t="str">
        <f>IF(EW196="","-",INDEX($A$5:$BP$257,MATCH(EW196,$BN$5:$BN$257,0),39)*(IF(EW196="","-",(1+(((-('Densidade do AR'!$M$4))+('Densidade do AR'!$T$15*1000000))/(IF(INDEX($A$5:$BP$257,MATCH(EW196,$BN$5:$BN$257,0),50)="Aço Inoxidável",('Densidade do AR'!$S$8*1000000),IF(INDEX($A$5:$BP$257,MATCH(EW196,$BN$5:$BN$257,0),50)="Ferro Fundido",('Densidade do AR'!$S$12*1000000),IF(INDEX($A$5:$BP$257,MATCH(EW196,$BN$5:$BN$257,0),50)="Latão",('Densidade do AR'!$S$10*1000000),IF(INDEX($A$5:$BP$257,MATCH(EW196,$BN$5:$BN$257,0),50)="Alumínio",('Densidade do AR'!$S$4*1000000)))))))-(((-('Densidade do AR'!$M$4))+('Densidade do AR'!$T$15*1000000))/('Densidade do AR'!$S$14*1000000))))))</f>
        <v>-</v>
      </c>
      <c r="FT196" s="739"/>
      <c r="FU196" s="739"/>
      <c r="FV196" s="745"/>
      <c r="FW196" s="91" t="str">
        <f t="shared" si="63"/>
        <v>-</v>
      </c>
      <c r="FX196" s="135"/>
    </row>
    <row r="197" spans="1:180" ht="12.75" customHeight="1" x14ac:dyDescent="0.2">
      <c r="A197" s="717">
        <v>193</v>
      </c>
      <c r="B197" s="713"/>
      <c r="C197" s="708"/>
      <c r="D197" s="709"/>
      <c r="E197" s="709"/>
      <c r="F197" s="709"/>
      <c r="G197" s="710"/>
      <c r="H197" s="711"/>
      <c r="I197" s="712"/>
      <c r="J197" s="712"/>
      <c r="K197" s="713"/>
      <c r="L197" s="708"/>
      <c r="M197" s="709"/>
      <c r="N197" s="709"/>
      <c r="O197" s="709"/>
      <c r="P197" s="708"/>
      <c r="Q197" s="709"/>
      <c r="R197" s="709"/>
      <c r="S197" s="709"/>
      <c r="T197" s="710"/>
      <c r="U197" s="714"/>
      <c r="V197" s="715"/>
      <c r="W197" s="715"/>
      <c r="X197" s="715"/>
      <c r="Y197" s="715"/>
      <c r="Z197" s="715"/>
      <c r="AA197" s="716"/>
      <c r="AB197" s="850"/>
      <c r="AC197" s="851"/>
      <c r="AD197" s="851"/>
      <c r="AE197" s="851"/>
      <c r="AF197" s="851"/>
      <c r="AG197" s="851"/>
      <c r="AH197" s="851"/>
      <c r="AI197" s="851"/>
      <c r="AJ197" s="851"/>
      <c r="AK197" s="851"/>
      <c r="AL197" s="852"/>
      <c r="AM197" s="917"/>
      <c r="AN197" s="712"/>
      <c r="AO197" s="712"/>
      <c r="AP197" s="712"/>
      <c r="AQ197" s="712"/>
      <c r="AR197" s="712"/>
      <c r="AS197" s="713"/>
      <c r="AT197" s="917"/>
      <c r="AU197" s="712"/>
      <c r="AV197" s="712"/>
      <c r="AW197" s="713"/>
      <c r="AX197" s="917"/>
      <c r="AY197" s="712"/>
      <c r="AZ197" s="712"/>
      <c r="BA197" s="712"/>
      <c r="BB197" s="712"/>
      <c r="BC197" s="713"/>
      <c r="BD197" s="917"/>
      <c r="BE197" s="712"/>
      <c r="BF197" s="712"/>
      <c r="BG197" s="713"/>
      <c r="BH197" s="918"/>
      <c r="BI197" s="712"/>
      <c r="BJ197" s="712"/>
      <c r="BK197" s="712"/>
      <c r="BL197" s="910"/>
      <c r="BN197" s="878"/>
      <c r="BO197" s="879"/>
      <c r="BP197" s="880"/>
      <c r="BT197" s="794"/>
      <c r="BU197" s="795"/>
      <c r="BV197" s="784" t="str">
        <f>IF(BT197="","-",(IF(INDEX($A$5:$BP$257,MATCH(BT197,$BN$5:$BN$257,0),50)="Aço Inoxidável",('Densidade do AR'!$S$8*1000000),IF(INDEX($A$5:$BP$257,MATCH(BT197,$BN$5:$BN$257,0),50)="Ferro Fundido",('Densidade do AR'!$S$12*1000000),IF(INDEX($A$5:$BP$257,MATCH(BT197,$BN$5:$BN$257,0),50)="Latão",('Densidade do AR'!$S$10*1000000),IF(INDEX($A$5:$BP$257,MATCH(BT197,$BN$5:$BN$257,0),50)="Alumínio",('Densidade do AR'!$S$4*1000000)))))))</f>
        <v>-</v>
      </c>
      <c r="BW197" s="785"/>
      <c r="BX197" s="785"/>
      <c r="BY197" s="786"/>
      <c r="BZ197" s="787" t="str">
        <f t="shared" si="52"/>
        <v>-</v>
      </c>
      <c r="CA197" s="788"/>
      <c r="CB197" s="788"/>
      <c r="CC197" s="789"/>
      <c r="CD197" s="787" t="str">
        <f t="shared" ref="CD197:CD257" si="64">IF(BT197="","-",IF($BT$259="micrograma (µg)",(((1000*INDEX($A$5:$BP$257,MATCH(BT197,$BN$5:$BN$257,0),56)/INDEX($A$5:$BP$257,MATCH(BT197,$BN$5:$BN$257,0),60))^4)/BZ197),IF($BT$259="miligrama (mg)",(((INDEX($A$5:$BP$257,MATCH(BT197,$BN$5:$BN$257,0),56)/INDEX($A$5:$BP$257,MATCH(BT197,$BN$5:$BN$257,0),60))^4)/BZ197),IF($BT$259="grama (g)",(((INDEX($A$5:$BP$257,MATCH(BT197,$BN$5:$BN$257,0),56)/(1000*INDEX($A$5:$BP$257,MATCH(BT197,$BN$5:$BN$257,0),60)))^4)/BZ197),IF($BT$259="quilograma (kg)",(((INDEX($A$5:$BP$257,MATCH(BT197,$BN$5:$BN$257,0),56)/(1000000*INDEX($A$5:$BP$257,MATCH(BT197,$BN$5:$BN$257,0),60)))^4)/BZ197),IF($BT$259="tonelada (t)",(((INDEX($A$5:$BP$257,MATCH(BT197,$BN$5:$BN$257,0),56)/(1000000000*INDEX($A$5:$BP$257,MATCH(BT197,$BN$5:$BN$257,0),60)))^4)/BZ197)))))))</f>
        <v>-</v>
      </c>
      <c r="CE197" s="788"/>
      <c r="CF197" s="788"/>
      <c r="CG197" s="789"/>
      <c r="CH197" s="790" t="str">
        <f t="shared" si="53"/>
        <v>-</v>
      </c>
      <c r="CI197" s="785"/>
      <c r="CJ197" s="785"/>
      <c r="CK197" s="786"/>
      <c r="CL197" s="790" t="str">
        <f t="shared" ref="CL197:CL257" si="65">IF(BT197="","-",INDEX($A$5:$BP$257,MATCH(BT197,$BN$5:$BN$257,0),56)/INDEX($A$5:$BP$257,MATCH(BT197,$BN$5:$BN$257,0),60))</f>
        <v>-</v>
      </c>
      <c r="CM197" s="785"/>
      <c r="CN197" s="785"/>
      <c r="CO197" s="786"/>
      <c r="CP197" s="790" t="str">
        <f>IF(BT197="","-",INDEX($A$5:$BP$257,MATCH(BT197,$BN$5:$BN$257,0),39)*(IF(BT197="","-",(1+(((-('Densidade do AR'!$M$4))+('Densidade do AR'!$T$15*1000000))/(IF(INDEX($A$5:$BP$257,MATCH(BT197,$BN$5:$BN$257,0),50)="Aço Inoxidável",('Densidade do AR'!$S$8*1000000),IF(INDEX($A$5:$BP$257,MATCH(BT197,$BN$5:$BN$257,0),50)="Ferro Fundido",('Densidade do AR'!$S$12*1000000),IF(INDEX($A$5:$BP$257,MATCH(BT197,$BN$5:$BN$257,0),50)="Latão",('Densidade do AR'!$S$10*1000000),IF(INDEX($A$5:$BP$257,MATCH(BT197,$BN$5:$BN$257,0),50)="Alumínio",('Densidade do AR'!$S$4*1000000)))))))-(((-('Densidade do AR'!$M$4))+('Densidade do AR'!$T$15*1000000))/('Densidade do AR'!$S$14*1000000))))))</f>
        <v>-</v>
      </c>
      <c r="CQ197" s="785"/>
      <c r="CR197" s="785"/>
      <c r="CS197" s="791"/>
      <c r="CT197" s="91" t="str">
        <f t="shared" si="54"/>
        <v>-</v>
      </c>
      <c r="CU197" s="794"/>
      <c r="CV197" s="795"/>
      <c r="CW197" s="784" t="str">
        <f>IF(CU197="","-",(IF(INDEX($A$5:$BP$257,MATCH(CU197,$BN$5:$BN$257,0),50)="Aço Inoxidável",('Densidade do AR'!$S$8*1000000),IF(INDEX($A$5:$BP$257,MATCH(CU197,$BN$5:$BN$257,0),50)="Ferro Fundido",('Densidade do AR'!$S$12*1000000),IF(INDEX($A$5:$BP$257,MATCH(CU197,$BN$5:$BN$257,0),50)="Latão",('Densidade do AR'!$S$10*1000000),IF(INDEX($A$5:$BP$257,MATCH(CU197,$BN$5:$BN$257,0),50)="Alumínio",('Densidade do AR'!$S$4*1000000)))))))</f>
        <v>-</v>
      </c>
      <c r="CX197" s="785"/>
      <c r="CY197" s="785"/>
      <c r="CZ197" s="786"/>
      <c r="DA197" s="787" t="str">
        <f t="shared" si="55"/>
        <v>-</v>
      </c>
      <c r="DB197" s="788"/>
      <c r="DC197" s="788"/>
      <c r="DD197" s="789"/>
      <c r="DE197" s="787" t="str">
        <f t="shared" ref="DE197:DE257" si="66">IF(CU197="","-",IF($BT$259="micrograma (µg)",(((1000*INDEX($A$5:$BP$257,MATCH(CU197,$BN$5:$BN$257,0),56)/INDEX($A$5:$BP$257,MATCH(CU197,$BN$5:$BN$257,0),60))^4)/DA197),IF($BT$259="miligrama (mg)",(((INDEX($A$5:$BP$257,MATCH(CU197,$BN$5:$BN$257,0),56)/INDEX($A$5:$BP$257,MATCH(CU197,$BN$5:$BN$257,0),60))^4)/DA197),IF($BT$259="grama (g)",(((INDEX($A$5:$BP$257,MATCH(CU197,$BN$5:$BN$257,0),56)/(1000*INDEX($A$5:$BP$257,MATCH(CU197,$BN$5:$BN$257,0),60)))^4)/DA197),IF($BT$259="quilograma (kg)",(((INDEX($A$5:$BP$257,MATCH(CU197,$BN$5:$BN$257,0),56)/(1000000*INDEX($A$5:$BP$257,MATCH(CU197,$BN$5:$BN$257,0),60)))^4)/DA197),IF($BT$259="tonelada (t)",(((INDEX($A$5:$BP$257,MATCH(CU197,$BN$5:$BN$257,0),56)/(1000000000*INDEX($A$5:$BP$257,MATCH(CU197,$BN$5:$BN$257,0),60)))^4)/DA197)))))))</f>
        <v>-</v>
      </c>
      <c r="DF197" s="788"/>
      <c r="DG197" s="788"/>
      <c r="DH197" s="789"/>
      <c r="DI197" s="790" t="str">
        <f t="shared" si="56"/>
        <v>-</v>
      </c>
      <c r="DJ197" s="785"/>
      <c r="DK197" s="785"/>
      <c r="DL197" s="786"/>
      <c r="DM197" s="790" t="str">
        <f t="shared" ref="DM197:DM257" si="67">IF(CU197="","-",INDEX($A$5:$BP$257,MATCH(CU197,$BN$5:$BN$257,0),56)/INDEX($A$5:$BP$257,MATCH(CU197,$BN$5:$BN$257,0),60))</f>
        <v>-</v>
      </c>
      <c r="DN197" s="785"/>
      <c r="DO197" s="785"/>
      <c r="DP197" s="786"/>
      <c r="DQ197" s="790" t="str">
        <f>IF(CU197="","-",INDEX($A$5:$BP$257,MATCH(CU197,$BN$5:$BN$257,0),39)*(IF(CU197="","-",(1+(((-('Densidade do AR'!$M$4))+('Densidade do AR'!$T$15*1000000))/(IF(INDEX($A$5:$BP$257,MATCH(CU197,$BN$5:$BN$257,0),50)="Aço Inoxidável",('Densidade do AR'!$S$8*1000000),IF(INDEX($A$5:$BP$257,MATCH(CU197,$BN$5:$BN$257,0),50)="Ferro Fundido",('Densidade do AR'!$S$12*1000000),IF(INDEX($A$5:$BP$257,MATCH(CU197,$BN$5:$BN$257,0),50)="Latão",('Densidade do AR'!$S$10*1000000),IF(INDEX($A$5:$BP$257,MATCH(CU197,$BN$5:$BN$257,0),50)="Alumínio",('Densidade do AR'!$S$4*1000000)))))))-(((-('Densidade do AR'!$M$4))+('Densidade do AR'!$T$15*1000000))/('Densidade do AR'!$S$14*1000000))))))</f>
        <v>-</v>
      </c>
      <c r="DR197" s="785"/>
      <c r="DS197" s="785"/>
      <c r="DT197" s="791"/>
      <c r="DU197" s="91" t="str">
        <f t="shared" si="57"/>
        <v>-</v>
      </c>
      <c r="DV197" s="794"/>
      <c r="DW197" s="795"/>
      <c r="DX197" s="784" t="str">
        <f>IF(DV197="","-",(IF(INDEX($A$5:$BP$257,MATCH(DV197,$BN$5:$BN$257,0),50)="Aço Inoxidável",('Densidade do AR'!$S$8*1000000),IF(INDEX($A$5:$BP$257,MATCH(DV197,$BN$5:$BN$257,0),50)="Ferro Fundido",('Densidade do AR'!$S$12*1000000),IF(INDEX($A$5:$BP$257,MATCH(DV197,$BN$5:$BN$257,0),50)="Latão",('Densidade do AR'!$S$10*1000000),IF(INDEX($A$5:$BP$257,MATCH(DV197,$BN$5:$BN$257,0),50)="Alumínio",('Densidade do AR'!$S$4*1000000)))))))</f>
        <v>-</v>
      </c>
      <c r="DY197" s="785"/>
      <c r="DZ197" s="785"/>
      <c r="EA197" s="786"/>
      <c r="EB197" s="787" t="str">
        <f t="shared" si="58"/>
        <v>-</v>
      </c>
      <c r="EC197" s="788"/>
      <c r="ED197" s="788"/>
      <c r="EE197" s="789"/>
      <c r="EF197" s="787" t="str">
        <f t="shared" ref="EF197:EF257" si="68">IF(DV197="","-",IF($BT$259="micrograma (µg)",(((1000*INDEX($A$5:$BP$257,MATCH(DV197,$BN$5:$BN$257,0),56)/INDEX($A$5:$BP$257,MATCH(DV197,$BN$5:$BN$257,0),60))^4)/EB197),IF($BT$259="miligrama (mg)",(((INDEX($A$5:$BP$257,MATCH(DV197,$BN$5:$BN$257,0),56)/INDEX($A$5:$BP$257,MATCH(DV197,$BN$5:$BN$257,0),60))^4)/EB197),IF($BT$259="grama (g)",(((INDEX($A$5:$BP$257,MATCH(DV197,$BN$5:$BN$257,0),56)/(1000*INDEX($A$5:$BP$257,MATCH(DV197,$BN$5:$BN$257,0),60)))^4)/EB197),IF($BT$259="quilograma (kg)",(((INDEX($A$5:$BP$257,MATCH(DV197,$BN$5:$BN$257,0),56)/(1000000*INDEX($A$5:$BP$257,MATCH(DV197,$BN$5:$BN$257,0),60)))^4)/EB197),IF($BT$259="tonelada (t)",(((INDEX($A$5:$BP$257,MATCH(DV197,$BN$5:$BN$257,0),56)/(1000000000*INDEX($A$5:$BP$257,MATCH(DV197,$BN$5:$BN$257,0),60)))^4)/EB197)))))))</f>
        <v>-</v>
      </c>
      <c r="EG197" s="788"/>
      <c r="EH197" s="788"/>
      <c r="EI197" s="789"/>
      <c r="EJ197" s="790" t="str">
        <f t="shared" si="59"/>
        <v>-</v>
      </c>
      <c r="EK197" s="785"/>
      <c r="EL197" s="785"/>
      <c r="EM197" s="786"/>
      <c r="EN197" s="790" t="str">
        <f t="shared" ref="EN197:EN257" si="69">IF(DV197="","-",INDEX($A$5:$BP$257,MATCH(DV197,$BN$5:$BN$257,0),56)/INDEX($A$5:$BP$257,MATCH(DV197,$BN$5:$BN$257,0),60))</f>
        <v>-</v>
      </c>
      <c r="EO197" s="785"/>
      <c r="EP197" s="785"/>
      <c r="EQ197" s="786"/>
      <c r="ER197" s="790" t="str">
        <f>IF(DV197="","-",INDEX($A$5:$BP$257,MATCH(DV197,$BN$5:$BN$257,0),39)*(IF(DV197="","-",(1+(((-('Densidade do AR'!$M$4))+('Densidade do AR'!$T$15*1000000))/(IF(INDEX($A$5:$BP$257,MATCH(DV197,$BN$5:$BN$257,0),50)="Aço Inoxidável",('Densidade do AR'!$S$8*1000000),IF(INDEX($A$5:$BP$257,MATCH(DV197,$BN$5:$BN$257,0),50)="Ferro Fundido",('Densidade do AR'!$S$12*1000000),IF(INDEX($A$5:$BP$257,MATCH(DV197,$BN$5:$BN$257,0),50)="Latão",('Densidade do AR'!$S$10*1000000),IF(INDEX($A$5:$BP$257,MATCH(DV197,$BN$5:$BN$257,0),50)="Alumínio",('Densidade do AR'!$S$4*1000000)))))))-(((-('Densidade do AR'!$M$4))+('Densidade do AR'!$T$15*1000000))/('Densidade do AR'!$S$14*1000000))))))</f>
        <v>-</v>
      </c>
      <c r="ES197" s="785"/>
      <c r="ET197" s="785"/>
      <c r="EU197" s="791"/>
      <c r="EV197" s="91" t="str">
        <f t="shared" si="60"/>
        <v>-</v>
      </c>
      <c r="EW197" s="794"/>
      <c r="EX197" s="795"/>
      <c r="EY197" s="784" t="str">
        <f>IF(EW197="","-",(IF(INDEX($A$5:$BP$257,MATCH(EW197,$BN$5:$BN$257,0),50)="Aço Inoxidável",('Densidade do AR'!$S$8*1000000),IF(INDEX($A$5:$BP$257,MATCH(EW197,$BN$5:$BN$257,0),50)="Ferro Fundido",('Densidade do AR'!$S$12*1000000),IF(INDEX($A$5:$BP$257,MATCH(EW197,$BN$5:$BN$257,0),50)="Latão",('Densidade do AR'!$S$10*1000000),IF(INDEX($A$5:$BP$257,MATCH(EW197,$BN$5:$BN$257,0),50)="Alumínio",('Densidade do AR'!$S$4*1000000)))))))</f>
        <v>-</v>
      </c>
      <c r="EZ197" s="785"/>
      <c r="FA197" s="785"/>
      <c r="FB197" s="786"/>
      <c r="FC197" s="787" t="str">
        <f t="shared" si="61"/>
        <v>-</v>
      </c>
      <c r="FD197" s="788"/>
      <c r="FE197" s="788"/>
      <c r="FF197" s="789"/>
      <c r="FG197" s="787" t="str">
        <f t="shared" ref="FG197:FG257" si="70">IF(EW197="","-",IF($BT$259="micrograma (µg)",(((1000*INDEX($A$5:$BP$257,MATCH(EW197,$BN$5:$BN$257,0),56)/INDEX($A$5:$BP$257,MATCH(EW197,$BN$5:$BN$257,0),60))^4)/FC197),IF($BT$259="miligrama (mg)",(((INDEX($A$5:$BP$257,MATCH(EW197,$BN$5:$BN$257,0),56)/INDEX($A$5:$BP$257,MATCH(EW197,$BN$5:$BN$257,0),60))^4)/FC197),IF($BT$259="grama (g)",(((INDEX($A$5:$BP$257,MATCH(EW197,$BN$5:$BN$257,0),56)/(1000*INDEX($A$5:$BP$257,MATCH(EW197,$BN$5:$BN$257,0),60)))^4)/FC197),IF($BT$259="quilograma (kg)",(((INDEX($A$5:$BP$257,MATCH(EW197,$BN$5:$BN$257,0),56)/(1000000*INDEX($A$5:$BP$257,MATCH(EW197,$BN$5:$BN$257,0),60)))^4)/FC197),IF($BT$259="tonelada (t)",(((INDEX($A$5:$BP$257,MATCH(EW197,$BN$5:$BN$257,0),56)/(1000000000*INDEX($A$5:$BP$257,MATCH(EW197,$BN$5:$BN$257,0),60)))^4)/FC197)))))))</f>
        <v>-</v>
      </c>
      <c r="FH197" s="788"/>
      <c r="FI197" s="788"/>
      <c r="FJ197" s="789"/>
      <c r="FK197" s="790" t="str">
        <f t="shared" si="62"/>
        <v>-</v>
      </c>
      <c r="FL197" s="785"/>
      <c r="FM197" s="785"/>
      <c r="FN197" s="786"/>
      <c r="FO197" s="790" t="str">
        <f t="shared" ref="FO197:FO257" si="71">IF(EW197="","-",INDEX($A$5:$BP$257,MATCH(EW197,$BN$5:$BN$257,0),56)/INDEX($A$5:$BP$257,MATCH(EW197,$BN$5:$BN$257,0),60))</f>
        <v>-</v>
      </c>
      <c r="FP197" s="785"/>
      <c r="FQ197" s="785"/>
      <c r="FR197" s="786"/>
      <c r="FS197" s="790" t="str">
        <f>IF(EW197="","-",INDEX($A$5:$BP$257,MATCH(EW197,$BN$5:$BN$257,0),39)*(IF(EW197="","-",(1+(((-('Densidade do AR'!$M$4))+('Densidade do AR'!$T$15*1000000))/(IF(INDEX($A$5:$BP$257,MATCH(EW197,$BN$5:$BN$257,0),50)="Aço Inoxidável",('Densidade do AR'!$S$8*1000000),IF(INDEX($A$5:$BP$257,MATCH(EW197,$BN$5:$BN$257,0),50)="Ferro Fundido",('Densidade do AR'!$S$12*1000000),IF(INDEX($A$5:$BP$257,MATCH(EW197,$BN$5:$BN$257,0),50)="Latão",('Densidade do AR'!$S$10*1000000),IF(INDEX($A$5:$BP$257,MATCH(EW197,$BN$5:$BN$257,0),50)="Alumínio",('Densidade do AR'!$S$4*1000000)))))))-(((-('Densidade do AR'!$M$4))+('Densidade do AR'!$T$15*1000000))/('Densidade do AR'!$S$14*1000000))))))</f>
        <v>-</v>
      </c>
      <c r="FT197" s="785"/>
      <c r="FU197" s="785"/>
      <c r="FV197" s="791"/>
      <c r="FW197" s="91" t="str">
        <f t="shared" si="63"/>
        <v>-</v>
      </c>
      <c r="FX197" s="135"/>
    </row>
    <row r="198" spans="1:180" ht="12.75" customHeight="1" x14ac:dyDescent="0.2">
      <c r="A198" s="718">
        <v>194</v>
      </c>
      <c r="B198" s="713"/>
      <c r="C198" s="719"/>
      <c r="D198" s="709"/>
      <c r="E198" s="709"/>
      <c r="F198" s="709"/>
      <c r="G198" s="710"/>
      <c r="H198" s="720"/>
      <c r="I198" s="712"/>
      <c r="J198" s="712"/>
      <c r="K198" s="713"/>
      <c r="L198" s="719"/>
      <c r="M198" s="709"/>
      <c r="N198" s="709"/>
      <c r="O198" s="709"/>
      <c r="P198" s="719"/>
      <c r="Q198" s="709"/>
      <c r="R198" s="709"/>
      <c r="S198" s="709"/>
      <c r="T198" s="710"/>
      <c r="U198" s="721"/>
      <c r="V198" s="722"/>
      <c r="W198" s="722"/>
      <c r="X198" s="722"/>
      <c r="Y198" s="722"/>
      <c r="Z198" s="722"/>
      <c r="AA198" s="723"/>
      <c r="AB198" s="853"/>
      <c r="AC198" s="854"/>
      <c r="AD198" s="854"/>
      <c r="AE198" s="854"/>
      <c r="AF198" s="854"/>
      <c r="AG198" s="854"/>
      <c r="AH198" s="854"/>
      <c r="AI198" s="854"/>
      <c r="AJ198" s="854"/>
      <c r="AK198" s="854"/>
      <c r="AL198" s="855"/>
      <c r="AM198" s="909"/>
      <c r="AN198" s="712"/>
      <c r="AO198" s="712"/>
      <c r="AP198" s="712"/>
      <c r="AQ198" s="712"/>
      <c r="AR198" s="712"/>
      <c r="AS198" s="713"/>
      <c r="AT198" s="909"/>
      <c r="AU198" s="712"/>
      <c r="AV198" s="712"/>
      <c r="AW198" s="713"/>
      <c r="AX198" s="908"/>
      <c r="AY198" s="712"/>
      <c r="AZ198" s="712"/>
      <c r="BA198" s="712"/>
      <c r="BB198" s="712"/>
      <c r="BC198" s="713"/>
      <c r="BD198" s="909"/>
      <c r="BE198" s="712"/>
      <c r="BF198" s="712"/>
      <c r="BG198" s="713"/>
      <c r="BH198" s="908"/>
      <c r="BI198" s="712"/>
      <c r="BJ198" s="712"/>
      <c r="BK198" s="712"/>
      <c r="BL198" s="910"/>
      <c r="BN198" s="881"/>
      <c r="BO198" s="882"/>
      <c r="BP198" s="883"/>
      <c r="BT198" s="792"/>
      <c r="BU198" s="793"/>
      <c r="BV198" s="738" t="str">
        <f>IF(BT198="","-",(IF(INDEX($A$5:$BP$257,MATCH(BT198,$BN$5:$BN$257,0),50)="Aço Inoxidável",('Densidade do AR'!$S$8*1000000),IF(INDEX($A$5:$BP$257,MATCH(BT198,$BN$5:$BN$257,0),50)="Ferro Fundido",('Densidade do AR'!$S$12*1000000),IF(INDEX($A$5:$BP$257,MATCH(BT198,$BN$5:$BN$257,0),50)="Latão",('Densidade do AR'!$S$10*1000000),IF(INDEX($A$5:$BP$257,MATCH(BT198,$BN$5:$BN$257,0),50)="Alumínio",('Densidade do AR'!$S$4*1000000)))))))</f>
        <v>-</v>
      </c>
      <c r="BW198" s="739"/>
      <c r="BX198" s="739"/>
      <c r="BY198" s="740"/>
      <c r="BZ198" s="741" t="str">
        <f t="shared" ref="BZ198:BZ257" si="72">IF(BT198="","-",IFERROR(INDEX($A$287:$I$320,MATCH(INDEX($A$5:$BP$257,MATCH(BT198,$BN$5:$BN$257,0),60),$A$287:$A$320,0),6),IFERROR(INDEX($A$287:$I$320,MATCH(INDEX($A$5:$BP$257,MATCH(BT198,$BN$5:$BN$257,0),60),$A$287:$A$320,1),6),INDEX($A$287:$I$320,MATCH(INDEX($A$5:$BP$257,MATCH(BT198,$BN$5:$BN$257,0),60),$A$287:$A$320,-1),6))))</f>
        <v>-</v>
      </c>
      <c r="CA198" s="742"/>
      <c r="CB198" s="742"/>
      <c r="CC198" s="743"/>
      <c r="CD198" s="741" t="str">
        <f t="shared" si="64"/>
        <v>-</v>
      </c>
      <c r="CE198" s="742"/>
      <c r="CF198" s="742"/>
      <c r="CG198" s="743"/>
      <c r="CH198" s="744" t="str">
        <f t="shared" ref="CH198:CH257" si="73">IF(BT198="","-",INDEX($A$5:$BP$257,MATCH(BT198,$BN$5:$BN$257,0),28))</f>
        <v>-</v>
      </c>
      <c r="CI198" s="739"/>
      <c r="CJ198" s="739"/>
      <c r="CK198" s="740"/>
      <c r="CL198" s="744" t="str">
        <f t="shared" si="65"/>
        <v>-</v>
      </c>
      <c r="CM198" s="739"/>
      <c r="CN198" s="739"/>
      <c r="CO198" s="740"/>
      <c r="CP198" s="744" t="str">
        <f>IF(BT198="","-",INDEX($A$5:$BP$257,MATCH(BT198,$BN$5:$BN$257,0),39)*(IF(BT198="","-",(1+(((-('Densidade do AR'!$M$4))+('Densidade do AR'!$T$15*1000000))/(IF(INDEX($A$5:$BP$257,MATCH(BT198,$BN$5:$BN$257,0),50)="Aço Inoxidável",('Densidade do AR'!$S$8*1000000),IF(INDEX($A$5:$BP$257,MATCH(BT198,$BN$5:$BN$257,0),50)="Ferro Fundido",('Densidade do AR'!$S$12*1000000),IF(INDEX($A$5:$BP$257,MATCH(BT198,$BN$5:$BN$257,0),50)="Latão",('Densidade do AR'!$S$10*1000000),IF(INDEX($A$5:$BP$257,MATCH(BT198,$BN$5:$BN$257,0),50)="Alumínio",('Densidade do AR'!$S$4*1000000)))))))-(((-('Densidade do AR'!$M$4))+('Densidade do AR'!$T$15*1000000))/('Densidade do AR'!$S$14*1000000))))))</f>
        <v>-</v>
      </c>
      <c r="CQ198" s="739"/>
      <c r="CR198" s="739"/>
      <c r="CS198" s="745"/>
      <c r="CT198" s="91" t="str">
        <f t="shared" ref="CT198:CT257" si="74">IF(BT198="","-",INDEX($A$5:$BP$257,MATCH(BT198,$BN$5:$BN$257,0),16))</f>
        <v>-</v>
      </c>
      <c r="CU198" s="792"/>
      <c r="CV198" s="793"/>
      <c r="CW198" s="738" t="str">
        <f>IF(CU198="","-",(IF(INDEX($A$5:$BP$257,MATCH(CU198,$BN$5:$BN$257,0),50)="Aço Inoxidável",('Densidade do AR'!$S$8*1000000),IF(INDEX($A$5:$BP$257,MATCH(CU198,$BN$5:$BN$257,0),50)="Ferro Fundido",('Densidade do AR'!$S$12*1000000),IF(INDEX($A$5:$BP$257,MATCH(CU198,$BN$5:$BN$257,0),50)="Latão",('Densidade do AR'!$S$10*1000000),IF(INDEX($A$5:$BP$257,MATCH(CU198,$BN$5:$BN$257,0),50)="Alumínio",('Densidade do AR'!$S$4*1000000)))))))</f>
        <v>-</v>
      </c>
      <c r="CX198" s="739"/>
      <c r="CY198" s="739"/>
      <c r="CZ198" s="740"/>
      <c r="DA198" s="741" t="str">
        <f t="shared" ref="DA198:DA257" si="75">IF(CU198="","-",IFERROR(INDEX($A$287:$I$320,MATCH(INDEX($A$5:$BP$257,MATCH(CU198,$BN$5:$BN$257,0),60),$A$287:$A$320,0),6),IFERROR(INDEX($A$287:$I$320,MATCH(INDEX($A$5:$BP$257,MATCH(CU198,$BN$5:$BN$257,0),60),$A$287:$A$320,1),6),INDEX($A$287:$I$320,MATCH(INDEX($A$5:$BP$257,MATCH(CU198,$BN$5:$BN$257,0),60),$A$287:$A$320,-1),6))))</f>
        <v>-</v>
      </c>
      <c r="DB198" s="742"/>
      <c r="DC198" s="742"/>
      <c r="DD198" s="743"/>
      <c r="DE198" s="741" t="str">
        <f t="shared" si="66"/>
        <v>-</v>
      </c>
      <c r="DF198" s="742"/>
      <c r="DG198" s="742"/>
      <c r="DH198" s="743"/>
      <c r="DI198" s="744" t="str">
        <f t="shared" ref="DI198:DI257" si="76">IF(CU198="","-",INDEX($A$5:$BP$257,MATCH(CU198,$BN$5:$BN$257,0),28))</f>
        <v>-</v>
      </c>
      <c r="DJ198" s="739"/>
      <c r="DK198" s="739"/>
      <c r="DL198" s="740"/>
      <c r="DM198" s="744" t="str">
        <f t="shared" si="67"/>
        <v>-</v>
      </c>
      <c r="DN198" s="739"/>
      <c r="DO198" s="739"/>
      <c r="DP198" s="740"/>
      <c r="DQ198" s="744" t="str">
        <f>IF(CU198="","-",INDEX($A$5:$BP$257,MATCH(CU198,$BN$5:$BN$257,0),39)*(IF(CU198="","-",(1+(((-('Densidade do AR'!$M$4))+('Densidade do AR'!$T$15*1000000))/(IF(INDEX($A$5:$BP$257,MATCH(CU198,$BN$5:$BN$257,0),50)="Aço Inoxidável",('Densidade do AR'!$S$8*1000000),IF(INDEX($A$5:$BP$257,MATCH(CU198,$BN$5:$BN$257,0),50)="Ferro Fundido",('Densidade do AR'!$S$12*1000000),IF(INDEX($A$5:$BP$257,MATCH(CU198,$BN$5:$BN$257,0),50)="Latão",('Densidade do AR'!$S$10*1000000),IF(INDEX($A$5:$BP$257,MATCH(CU198,$BN$5:$BN$257,0),50)="Alumínio",('Densidade do AR'!$S$4*1000000)))))))-(((-('Densidade do AR'!$M$4))+('Densidade do AR'!$T$15*1000000))/('Densidade do AR'!$S$14*1000000))))))</f>
        <v>-</v>
      </c>
      <c r="DR198" s="739"/>
      <c r="DS198" s="739"/>
      <c r="DT198" s="745"/>
      <c r="DU198" s="91" t="str">
        <f t="shared" ref="DU198:DU257" si="77">IF(CU198="","-",INDEX($A$5:$BP$257,MATCH(CU198,$BN$5:$BN$257,0),16))</f>
        <v>-</v>
      </c>
      <c r="DV198" s="792"/>
      <c r="DW198" s="793"/>
      <c r="DX198" s="738" t="str">
        <f>IF(DV198="","-",(IF(INDEX($A$5:$BP$257,MATCH(DV198,$BN$5:$BN$257,0),50)="Aço Inoxidável",('Densidade do AR'!$S$8*1000000),IF(INDEX($A$5:$BP$257,MATCH(DV198,$BN$5:$BN$257,0),50)="Ferro Fundido",('Densidade do AR'!$S$12*1000000),IF(INDEX($A$5:$BP$257,MATCH(DV198,$BN$5:$BN$257,0),50)="Latão",('Densidade do AR'!$S$10*1000000),IF(INDEX($A$5:$BP$257,MATCH(DV198,$BN$5:$BN$257,0),50)="Alumínio",('Densidade do AR'!$S$4*1000000)))))))</f>
        <v>-</v>
      </c>
      <c r="DY198" s="739"/>
      <c r="DZ198" s="739"/>
      <c r="EA198" s="740"/>
      <c r="EB198" s="741" t="str">
        <f t="shared" ref="EB198:EB257" si="78">IF(DV198="","-",IFERROR(INDEX($A$287:$I$320,MATCH(INDEX($A$5:$BP$257,MATCH(DV198,$BN$5:$BN$257,0),60),$A$287:$A$320,0),6),IFERROR(INDEX($A$287:$I$320,MATCH(INDEX($A$5:$BP$257,MATCH(DV198,$BN$5:$BN$257,0),60),$A$287:$A$320,1),6),INDEX($A$287:$I$320,MATCH(INDEX($A$5:$BP$257,MATCH(DV198,$BN$5:$BN$257,0),60),$A$287:$A$320,-1),6))))</f>
        <v>-</v>
      </c>
      <c r="EC198" s="742"/>
      <c r="ED198" s="742"/>
      <c r="EE198" s="743"/>
      <c r="EF198" s="741" t="str">
        <f t="shared" si="68"/>
        <v>-</v>
      </c>
      <c r="EG198" s="742"/>
      <c r="EH198" s="742"/>
      <c r="EI198" s="743"/>
      <c r="EJ198" s="744" t="str">
        <f t="shared" ref="EJ198:EJ257" si="79">IF(DV198="","-",INDEX($A$5:$BP$257,MATCH(DV198,$BN$5:$BN$257,0),28))</f>
        <v>-</v>
      </c>
      <c r="EK198" s="739"/>
      <c r="EL198" s="739"/>
      <c r="EM198" s="740"/>
      <c r="EN198" s="744" t="str">
        <f t="shared" si="69"/>
        <v>-</v>
      </c>
      <c r="EO198" s="739"/>
      <c r="EP198" s="739"/>
      <c r="EQ198" s="740"/>
      <c r="ER198" s="744" t="str">
        <f>IF(DV198="","-",INDEX($A$5:$BP$257,MATCH(DV198,$BN$5:$BN$257,0),39)*(IF(DV198="","-",(1+(((-('Densidade do AR'!$M$4))+('Densidade do AR'!$T$15*1000000))/(IF(INDEX($A$5:$BP$257,MATCH(DV198,$BN$5:$BN$257,0),50)="Aço Inoxidável",('Densidade do AR'!$S$8*1000000),IF(INDEX($A$5:$BP$257,MATCH(DV198,$BN$5:$BN$257,0),50)="Ferro Fundido",('Densidade do AR'!$S$12*1000000),IF(INDEX($A$5:$BP$257,MATCH(DV198,$BN$5:$BN$257,0),50)="Latão",('Densidade do AR'!$S$10*1000000),IF(INDEX($A$5:$BP$257,MATCH(DV198,$BN$5:$BN$257,0),50)="Alumínio",('Densidade do AR'!$S$4*1000000)))))))-(((-('Densidade do AR'!$M$4))+('Densidade do AR'!$T$15*1000000))/('Densidade do AR'!$S$14*1000000))))))</f>
        <v>-</v>
      </c>
      <c r="ES198" s="739"/>
      <c r="ET198" s="739"/>
      <c r="EU198" s="745"/>
      <c r="EV198" s="91" t="str">
        <f t="shared" ref="EV198:EV257" si="80">IF(DV198="","-",INDEX($A$5:$BP$257,MATCH(DV198,$BN$5:$BN$257,0),16))</f>
        <v>-</v>
      </c>
      <c r="EW198" s="792"/>
      <c r="EX198" s="793"/>
      <c r="EY198" s="738" t="str">
        <f>IF(EW198="","-",(IF(INDEX($A$5:$BP$257,MATCH(EW198,$BN$5:$BN$257,0),50)="Aço Inoxidável",('Densidade do AR'!$S$8*1000000),IF(INDEX($A$5:$BP$257,MATCH(EW198,$BN$5:$BN$257,0),50)="Ferro Fundido",('Densidade do AR'!$S$12*1000000),IF(INDEX($A$5:$BP$257,MATCH(EW198,$BN$5:$BN$257,0),50)="Latão",('Densidade do AR'!$S$10*1000000),IF(INDEX($A$5:$BP$257,MATCH(EW198,$BN$5:$BN$257,0),50)="Alumínio",('Densidade do AR'!$S$4*1000000)))))))</f>
        <v>-</v>
      </c>
      <c r="EZ198" s="739"/>
      <c r="FA198" s="739"/>
      <c r="FB198" s="740"/>
      <c r="FC198" s="741" t="str">
        <f t="shared" ref="FC198:FC257" si="81">IF(EW198="","-",IFERROR(INDEX($A$287:$I$320,MATCH(INDEX($A$5:$BP$257,MATCH(EW198,$BN$5:$BN$257,0),60),$A$287:$A$320,0),6),IFERROR(INDEX($A$287:$I$320,MATCH(INDEX($A$5:$BP$257,MATCH(EW198,$BN$5:$BN$257,0),60),$A$287:$A$320,1),6),INDEX($A$287:$I$320,MATCH(INDEX($A$5:$BP$257,MATCH(EW198,$BN$5:$BN$257,0),60),$A$287:$A$320,-1),6))))</f>
        <v>-</v>
      </c>
      <c r="FD198" s="742"/>
      <c r="FE198" s="742"/>
      <c r="FF198" s="743"/>
      <c r="FG198" s="741" t="str">
        <f t="shared" si="70"/>
        <v>-</v>
      </c>
      <c r="FH198" s="742"/>
      <c r="FI198" s="742"/>
      <c r="FJ198" s="743"/>
      <c r="FK198" s="744" t="str">
        <f t="shared" ref="FK198:FK257" si="82">IF(EW198="","-",INDEX($A$5:$BP$257,MATCH(EW198,$BN$5:$BN$257,0),28))</f>
        <v>-</v>
      </c>
      <c r="FL198" s="739"/>
      <c r="FM198" s="739"/>
      <c r="FN198" s="740"/>
      <c r="FO198" s="744" t="str">
        <f t="shared" si="71"/>
        <v>-</v>
      </c>
      <c r="FP198" s="739"/>
      <c r="FQ198" s="739"/>
      <c r="FR198" s="740"/>
      <c r="FS198" s="744" t="str">
        <f>IF(EW198="","-",INDEX($A$5:$BP$257,MATCH(EW198,$BN$5:$BN$257,0),39)*(IF(EW198="","-",(1+(((-('Densidade do AR'!$M$4))+('Densidade do AR'!$T$15*1000000))/(IF(INDEX($A$5:$BP$257,MATCH(EW198,$BN$5:$BN$257,0),50)="Aço Inoxidável",('Densidade do AR'!$S$8*1000000),IF(INDEX($A$5:$BP$257,MATCH(EW198,$BN$5:$BN$257,0),50)="Ferro Fundido",('Densidade do AR'!$S$12*1000000),IF(INDEX($A$5:$BP$257,MATCH(EW198,$BN$5:$BN$257,0),50)="Latão",('Densidade do AR'!$S$10*1000000),IF(INDEX($A$5:$BP$257,MATCH(EW198,$BN$5:$BN$257,0),50)="Alumínio",('Densidade do AR'!$S$4*1000000)))))))-(((-('Densidade do AR'!$M$4))+('Densidade do AR'!$T$15*1000000))/('Densidade do AR'!$S$14*1000000))))))</f>
        <v>-</v>
      </c>
      <c r="FT198" s="739"/>
      <c r="FU198" s="739"/>
      <c r="FV198" s="745"/>
      <c r="FW198" s="91" t="str">
        <f t="shared" ref="FW198:FW257" si="83">IF(EW198="","-",INDEX($A$5:$BP$257,MATCH(EW198,$BN$5:$BN$257,0),16))</f>
        <v>-</v>
      </c>
      <c r="FX198" s="135"/>
    </row>
    <row r="199" spans="1:180" ht="12.75" customHeight="1" x14ac:dyDescent="0.2">
      <c r="A199" s="717">
        <v>195</v>
      </c>
      <c r="B199" s="713"/>
      <c r="C199" s="708"/>
      <c r="D199" s="709"/>
      <c r="E199" s="709"/>
      <c r="F199" s="709"/>
      <c r="G199" s="710"/>
      <c r="H199" s="711"/>
      <c r="I199" s="712"/>
      <c r="J199" s="712"/>
      <c r="K199" s="713"/>
      <c r="L199" s="708"/>
      <c r="M199" s="709"/>
      <c r="N199" s="709"/>
      <c r="O199" s="709"/>
      <c r="P199" s="708"/>
      <c r="Q199" s="709"/>
      <c r="R199" s="709"/>
      <c r="S199" s="709"/>
      <c r="T199" s="710"/>
      <c r="U199" s="714"/>
      <c r="V199" s="715"/>
      <c r="W199" s="715"/>
      <c r="X199" s="715"/>
      <c r="Y199" s="715"/>
      <c r="Z199" s="715"/>
      <c r="AA199" s="716"/>
      <c r="AB199" s="850"/>
      <c r="AC199" s="851"/>
      <c r="AD199" s="851"/>
      <c r="AE199" s="851"/>
      <c r="AF199" s="851"/>
      <c r="AG199" s="851"/>
      <c r="AH199" s="851"/>
      <c r="AI199" s="851"/>
      <c r="AJ199" s="851"/>
      <c r="AK199" s="851"/>
      <c r="AL199" s="852"/>
      <c r="AM199" s="917"/>
      <c r="AN199" s="712"/>
      <c r="AO199" s="712"/>
      <c r="AP199" s="712"/>
      <c r="AQ199" s="712"/>
      <c r="AR199" s="712"/>
      <c r="AS199" s="713"/>
      <c r="AT199" s="917"/>
      <c r="AU199" s="712"/>
      <c r="AV199" s="712"/>
      <c r="AW199" s="713"/>
      <c r="AX199" s="917"/>
      <c r="AY199" s="712"/>
      <c r="AZ199" s="712"/>
      <c r="BA199" s="712"/>
      <c r="BB199" s="712"/>
      <c r="BC199" s="713"/>
      <c r="BD199" s="917"/>
      <c r="BE199" s="712"/>
      <c r="BF199" s="712"/>
      <c r="BG199" s="713"/>
      <c r="BH199" s="918"/>
      <c r="BI199" s="712"/>
      <c r="BJ199" s="712"/>
      <c r="BK199" s="712"/>
      <c r="BL199" s="910"/>
      <c r="BN199" s="878"/>
      <c r="BO199" s="879"/>
      <c r="BP199" s="880"/>
      <c r="BT199" s="794"/>
      <c r="BU199" s="795"/>
      <c r="BV199" s="784" t="str">
        <f>IF(BT199="","-",(IF(INDEX($A$5:$BP$257,MATCH(BT199,$BN$5:$BN$257,0),50)="Aço Inoxidável",('Densidade do AR'!$S$8*1000000),IF(INDEX($A$5:$BP$257,MATCH(BT199,$BN$5:$BN$257,0),50)="Ferro Fundido",('Densidade do AR'!$S$12*1000000),IF(INDEX($A$5:$BP$257,MATCH(BT199,$BN$5:$BN$257,0),50)="Latão",('Densidade do AR'!$S$10*1000000),IF(INDEX($A$5:$BP$257,MATCH(BT199,$BN$5:$BN$257,0),50)="Alumínio",('Densidade do AR'!$S$4*1000000)))))))</f>
        <v>-</v>
      </c>
      <c r="BW199" s="785"/>
      <c r="BX199" s="785"/>
      <c r="BY199" s="786"/>
      <c r="BZ199" s="787" t="str">
        <f t="shared" si="72"/>
        <v>-</v>
      </c>
      <c r="CA199" s="788"/>
      <c r="CB199" s="788"/>
      <c r="CC199" s="789"/>
      <c r="CD199" s="787" t="str">
        <f t="shared" si="64"/>
        <v>-</v>
      </c>
      <c r="CE199" s="788"/>
      <c r="CF199" s="788"/>
      <c r="CG199" s="789"/>
      <c r="CH199" s="790" t="str">
        <f t="shared" si="73"/>
        <v>-</v>
      </c>
      <c r="CI199" s="785"/>
      <c r="CJ199" s="785"/>
      <c r="CK199" s="786"/>
      <c r="CL199" s="790" t="str">
        <f t="shared" si="65"/>
        <v>-</v>
      </c>
      <c r="CM199" s="785"/>
      <c r="CN199" s="785"/>
      <c r="CO199" s="786"/>
      <c r="CP199" s="790" t="str">
        <f>IF(BT199="","-",INDEX($A$5:$BP$257,MATCH(BT199,$BN$5:$BN$257,0),39)*(IF(BT199="","-",(1+(((-('Densidade do AR'!$M$4))+('Densidade do AR'!$T$15*1000000))/(IF(INDEX($A$5:$BP$257,MATCH(BT199,$BN$5:$BN$257,0),50)="Aço Inoxidável",('Densidade do AR'!$S$8*1000000),IF(INDEX($A$5:$BP$257,MATCH(BT199,$BN$5:$BN$257,0),50)="Ferro Fundido",('Densidade do AR'!$S$12*1000000),IF(INDEX($A$5:$BP$257,MATCH(BT199,$BN$5:$BN$257,0),50)="Latão",('Densidade do AR'!$S$10*1000000),IF(INDEX($A$5:$BP$257,MATCH(BT199,$BN$5:$BN$257,0),50)="Alumínio",('Densidade do AR'!$S$4*1000000)))))))-(((-('Densidade do AR'!$M$4))+('Densidade do AR'!$T$15*1000000))/('Densidade do AR'!$S$14*1000000))))))</f>
        <v>-</v>
      </c>
      <c r="CQ199" s="785"/>
      <c r="CR199" s="785"/>
      <c r="CS199" s="791"/>
      <c r="CT199" s="91" t="str">
        <f t="shared" si="74"/>
        <v>-</v>
      </c>
      <c r="CU199" s="794"/>
      <c r="CV199" s="795"/>
      <c r="CW199" s="784" t="str">
        <f>IF(CU199="","-",(IF(INDEX($A$5:$BP$257,MATCH(CU199,$BN$5:$BN$257,0),50)="Aço Inoxidável",('Densidade do AR'!$S$8*1000000),IF(INDEX($A$5:$BP$257,MATCH(CU199,$BN$5:$BN$257,0),50)="Ferro Fundido",('Densidade do AR'!$S$12*1000000),IF(INDEX($A$5:$BP$257,MATCH(CU199,$BN$5:$BN$257,0),50)="Latão",('Densidade do AR'!$S$10*1000000),IF(INDEX($A$5:$BP$257,MATCH(CU199,$BN$5:$BN$257,0),50)="Alumínio",('Densidade do AR'!$S$4*1000000)))))))</f>
        <v>-</v>
      </c>
      <c r="CX199" s="785"/>
      <c r="CY199" s="785"/>
      <c r="CZ199" s="786"/>
      <c r="DA199" s="787" t="str">
        <f t="shared" si="75"/>
        <v>-</v>
      </c>
      <c r="DB199" s="788"/>
      <c r="DC199" s="788"/>
      <c r="DD199" s="789"/>
      <c r="DE199" s="787" t="str">
        <f t="shared" si="66"/>
        <v>-</v>
      </c>
      <c r="DF199" s="788"/>
      <c r="DG199" s="788"/>
      <c r="DH199" s="789"/>
      <c r="DI199" s="790" t="str">
        <f t="shared" si="76"/>
        <v>-</v>
      </c>
      <c r="DJ199" s="785"/>
      <c r="DK199" s="785"/>
      <c r="DL199" s="786"/>
      <c r="DM199" s="790" t="str">
        <f t="shared" si="67"/>
        <v>-</v>
      </c>
      <c r="DN199" s="785"/>
      <c r="DO199" s="785"/>
      <c r="DP199" s="786"/>
      <c r="DQ199" s="790" t="str">
        <f>IF(CU199="","-",INDEX($A$5:$BP$257,MATCH(CU199,$BN$5:$BN$257,0),39)*(IF(CU199="","-",(1+(((-('Densidade do AR'!$M$4))+('Densidade do AR'!$T$15*1000000))/(IF(INDEX($A$5:$BP$257,MATCH(CU199,$BN$5:$BN$257,0),50)="Aço Inoxidável",('Densidade do AR'!$S$8*1000000),IF(INDEX($A$5:$BP$257,MATCH(CU199,$BN$5:$BN$257,0),50)="Ferro Fundido",('Densidade do AR'!$S$12*1000000),IF(INDEX($A$5:$BP$257,MATCH(CU199,$BN$5:$BN$257,0),50)="Latão",('Densidade do AR'!$S$10*1000000),IF(INDEX($A$5:$BP$257,MATCH(CU199,$BN$5:$BN$257,0),50)="Alumínio",('Densidade do AR'!$S$4*1000000)))))))-(((-('Densidade do AR'!$M$4))+('Densidade do AR'!$T$15*1000000))/('Densidade do AR'!$S$14*1000000))))))</f>
        <v>-</v>
      </c>
      <c r="DR199" s="785"/>
      <c r="DS199" s="785"/>
      <c r="DT199" s="791"/>
      <c r="DU199" s="91" t="str">
        <f t="shared" si="77"/>
        <v>-</v>
      </c>
      <c r="DV199" s="794"/>
      <c r="DW199" s="795"/>
      <c r="DX199" s="784" t="str">
        <f>IF(DV199="","-",(IF(INDEX($A$5:$BP$257,MATCH(DV199,$BN$5:$BN$257,0),50)="Aço Inoxidável",('Densidade do AR'!$S$8*1000000),IF(INDEX($A$5:$BP$257,MATCH(DV199,$BN$5:$BN$257,0),50)="Ferro Fundido",('Densidade do AR'!$S$12*1000000),IF(INDEX($A$5:$BP$257,MATCH(DV199,$BN$5:$BN$257,0),50)="Latão",('Densidade do AR'!$S$10*1000000),IF(INDEX($A$5:$BP$257,MATCH(DV199,$BN$5:$BN$257,0),50)="Alumínio",('Densidade do AR'!$S$4*1000000)))))))</f>
        <v>-</v>
      </c>
      <c r="DY199" s="785"/>
      <c r="DZ199" s="785"/>
      <c r="EA199" s="786"/>
      <c r="EB199" s="787" t="str">
        <f t="shared" si="78"/>
        <v>-</v>
      </c>
      <c r="EC199" s="788"/>
      <c r="ED199" s="788"/>
      <c r="EE199" s="789"/>
      <c r="EF199" s="787" t="str">
        <f t="shared" si="68"/>
        <v>-</v>
      </c>
      <c r="EG199" s="788"/>
      <c r="EH199" s="788"/>
      <c r="EI199" s="789"/>
      <c r="EJ199" s="790" t="str">
        <f t="shared" si="79"/>
        <v>-</v>
      </c>
      <c r="EK199" s="785"/>
      <c r="EL199" s="785"/>
      <c r="EM199" s="786"/>
      <c r="EN199" s="790" t="str">
        <f t="shared" si="69"/>
        <v>-</v>
      </c>
      <c r="EO199" s="785"/>
      <c r="EP199" s="785"/>
      <c r="EQ199" s="786"/>
      <c r="ER199" s="790" t="str">
        <f>IF(DV199="","-",INDEX($A$5:$BP$257,MATCH(DV199,$BN$5:$BN$257,0),39)*(IF(DV199="","-",(1+(((-('Densidade do AR'!$M$4))+('Densidade do AR'!$T$15*1000000))/(IF(INDEX($A$5:$BP$257,MATCH(DV199,$BN$5:$BN$257,0),50)="Aço Inoxidável",('Densidade do AR'!$S$8*1000000),IF(INDEX($A$5:$BP$257,MATCH(DV199,$BN$5:$BN$257,0),50)="Ferro Fundido",('Densidade do AR'!$S$12*1000000),IF(INDEX($A$5:$BP$257,MATCH(DV199,$BN$5:$BN$257,0),50)="Latão",('Densidade do AR'!$S$10*1000000),IF(INDEX($A$5:$BP$257,MATCH(DV199,$BN$5:$BN$257,0),50)="Alumínio",('Densidade do AR'!$S$4*1000000)))))))-(((-('Densidade do AR'!$M$4))+('Densidade do AR'!$T$15*1000000))/('Densidade do AR'!$S$14*1000000))))))</f>
        <v>-</v>
      </c>
      <c r="ES199" s="785"/>
      <c r="ET199" s="785"/>
      <c r="EU199" s="791"/>
      <c r="EV199" s="91" t="str">
        <f t="shared" si="80"/>
        <v>-</v>
      </c>
      <c r="EW199" s="794"/>
      <c r="EX199" s="795"/>
      <c r="EY199" s="784" t="str">
        <f>IF(EW199="","-",(IF(INDEX($A$5:$BP$257,MATCH(EW199,$BN$5:$BN$257,0),50)="Aço Inoxidável",('Densidade do AR'!$S$8*1000000),IF(INDEX($A$5:$BP$257,MATCH(EW199,$BN$5:$BN$257,0),50)="Ferro Fundido",('Densidade do AR'!$S$12*1000000),IF(INDEX($A$5:$BP$257,MATCH(EW199,$BN$5:$BN$257,0),50)="Latão",('Densidade do AR'!$S$10*1000000),IF(INDEX($A$5:$BP$257,MATCH(EW199,$BN$5:$BN$257,0),50)="Alumínio",('Densidade do AR'!$S$4*1000000)))))))</f>
        <v>-</v>
      </c>
      <c r="EZ199" s="785"/>
      <c r="FA199" s="785"/>
      <c r="FB199" s="786"/>
      <c r="FC199" s="787" t="str">
        <f t="shared" si="81"/>
        <v>-</v>
      </c>
      <c r="FD199" s="788"/>
      <c r="FE199" s="788"/>
      <c r="FF199" s="789"/>
      <c r="FG199" s="787" t="str">
        <f t="shared" si="70"/>
        <v>-</v>
      </c>
      <c r="FH199" s="788"/>
      <c r="FI199" s="788"/>
      <c r="FJ199" s="789"/>
      <c r="FK199" s="790" t="str">
        <f t="shared" si="82"/>
        <v>-</v>
      </c>
      <c r="FL199" s="785"/>
      <c r="FM199" s="785"/>
      <c r="FN199" s="786"/>
      <c r="FO199" s="790" t="str">
        <f t="shared" si="71"/>
        <v>-</v>
      </c>
      <c r="FP199" s="785"/>
      <c r="FQ199" s="785"/>
      <c r="FR199" s="786"/>
      <c r="FS199" s="790" t="str">
        <f>IF(EW199="","-",INDEX($A$5:$BP$257,MATCH(EW199,$BN$5:$BN$257,0),39)*(IF(EW199="","-",(1+(((-('Densidade do AR'!$M$4))+('Densidade do AR'!$T$15*1000000))/(IF(INDEX($A$5:$BP$257,MATCH(EW199,$BN$5:$BN$257,0),50)="Aço Inoxidável",('Densidade do AR'!$S$8*1000000),IF(INDEX($A$5:$BP$257,MATCH(EW199,$BN$5:$BN$257,0),50)="Ferro Fundido",('Densidade do AR'!$S$12*1000000),IF(INDEX($A$5:$BP$257,MATCH(EW199,$BN$5:$BN$257,0),50)="Latão",('Densidade do AR'!$S$10*1000000),IF(INDEX($A$5:$BP$257,MATCH(EW199,$BN$5:$BN$257,0),50)="Alumínio",('Densidade do AR'!$S$4*1000000)))))))-(((-('Densidade do AR'!$M$4))+('Densidade do AR'!$T$15*1000000))/('Densidade do AR'!$S$14*1000000))))))</f>
        <v>-</v>
      </c>
      <c r="FT199" s="785"/>
      <c r="FU199" s="785"/>
      <c r="FV199" s="791"/>
      <c r="FW199" s="91" t="str">
        <f t="shared" si="83"/>
        <v>-</v>
      </c>
      <c r="FX199" s="135"/>
    </row>
    <row r="200" spans="1:180" ht="12.75" customHeight="1" x14ac:dyDescent="0.2">
      <c r="A200" s="718">
        <v>196</v>
      </c>
      <c r="B200" s="713"/>
      <c r="C200" s="719"/>
      <c r="D200" s="709"/>
      <c r="E200" s="709"/>
      <c r="F200" s="709"/>
      <c r="G200" s="710"/>
      <c r="H200" s="720"/>
      <c r="I200" s="712"/>
      <c r="J200" s="712"/>
      <c r="K200" s="713"/>
      <c r="L200" s="719"/>
      <c r="M200" s="709"/>
      <c r="N200" s="709"/>
      <c r="O200" s="709"/>
      <c r="P200" s="719"/>
      <c r="Q200" s="709"/>
      <c r="R200" s="709"/>
      <c r="S200" s="709"/>
      <c r="T200" s="710"/>
      <c r="U200" s="721"/>
      <c r="V200" s="722"/>
      <c r="W200" s="722"/>
      <c r="X200" s="722"/>
      <c r="Y200" s="722"/>
      <c r="Z200" s="722"/>
      <c r="AA200" s="723"/>
      <c r="AB200" s="853"/>
      <c r="AC200" s="854"/>
      <c r="AD200" s="854"/>
      <c r="AE200" s="854"/>
      <c r="AF200" s="854"/>
      <c r="AG200" s="854"/>
      <c r="AH200" s="854"/>
      <c r="AI200" s="854"/>
      <c r="AJ200" s="854"/>
      <c r="AK200" s="854"/>
      <c r="AL200" s="855"/>
      <c r="AM200" s="909"/>
      <c r="AN200" s="712"/>
      <c r="AO200" s="712"/>
      <c r="AP200" s="712"/>
      <c r="AQ200" s="712"/>
      <c r="AR200" s="712"/>
      <c r="AS200" s="713"/>
      <c r="AT200" s="909"/>
      <c r="AU200" s="712"/>
      <c r="AV200" s="712"/>
      <c r="AW200" s="713"/>
      <c r="AX200" s="908"/>
      <c r="AY200" s="712"/>
      <c r="AZ200" s="712"/>
      <c r="BA200" s="712"/>
      <c r="BB200" s="712"/>
      <c r="BC200" s="713"/>
      <c r="BD200" s="909"/>
      <c r="BE200" s="712"/>
      <c r="BF200" s="712"/>
      <c r="BG200" s="713"/>
      <c r="BH200" s="908"/>
      <c r="BI200" s="712"/>
      <c r="BJ200" s="712"/>
      <c r="BK200" s="712"/>
      <c r="BL200" s="910"/>
      <c r="BN200" s="881"/>
      <c r="BO200" s="882"/>
      <c r="BP200" s="883"/>
      <c r="BT200" s="792"/>
      <c r="BU200" s="793"/>
      <c r="BV200" s="738" t="str">
        <f>IF(BT200="","-",(IF(INDEX($A$5:$BP$257,MATCH(BT200,$BN$5:$BN$257,0),50)="Aço Inoxidável",('Densidade do AR'!$S$8*1000000),IF(INDEX($A$5:$BP$257,MATCH(BT200,$BN$5:$BN$257,0),50)="Ferro Fundido",('Densidade do AR'!$S$12*1000000),IF(INDEX($A$5:$BP$257,MATCH(BT200,$BN$5:$BN$257,0),50)="Latão",('Densidade do AR'!$S$10*1000000),IF(INDEX($A$5:$BP$257,MATCH(BT200,$BN$5:$BN$257,0),50)="Alumínio",('Densidade do AR'!$S$4*1000000)))))))</f>
        <v>-</v>
      </c>
      <c r="BW200" s="739"/>
      <c r="BX200" s="739"/>
      <c r="BY200" s="740"/>
      <c r="BZ200" s="741" t="str">
        <f t="shared" si="72"/>
        <v>-</v>
      </c>
      <c r="CA200" s="742"/>
      <c r="CB200" s="742"/>
      <c r="CC200" s="743"/>
      <c r="CD200" s="741" t="str">
        <f t="shared" si="64"/>
        <v>-</v>
      </c>
      <c r="CE200" s="742"/>
      <c r="CF200" s="742"/>
      <c r="CG200" s="743"/>
      <c r="CH200" s="744" t="str">
        <f t="shared" si="73"/>
        <v>-</v>
      </c>
      <c r="CI200" s="739"/>
      <c r="CJ200" s="739"/>
      <c r="CK200" s="740"/>
      <c r="CL200" s="744" t="str">
        <f t="shared" si="65"/>
        <v>-</v>
      </c>
      <c r="CM200" s="739"/>
      <c r="CN200" s="739"/>
      <c r="CO200" s="740"/>
      <c r="CP200" s="744" t="str">
        <f>IF(BT200="","-",INDEX($A$5:$BP$257,MATCH(BT200,$BN$5:$BN$257,0),39)*(IF(BT200="","-",(1+(((-('Densidade do AR'!$M$4))+('Densidade do AR'!$T$15*1000000))/(IF(INDEX($A$5:$BP$257,MATCH(BT200,$BN$5:$BN$257,0),50)="Aço Inoxidável",('Densidade do AR'!$S$8*1000000),IF(INDEX($A$5:$BP$257,MATCH(BT200,$BN$5:$BN$257,0),50)="Ferro Fundido",('Densidade do AR'!$S$12*1000000),IF(INDEX($A$5:$BP$257,MATCH(BT200,$BN$5:$BN$257,0),50)="Latão",('Densidade do AR'!$S$10*1000000),IF(INDEX($A$5:$BP$257,MATCH(BT200,$BN$5:$BN$257,0),50)="Alumínio",('Densidade do AR'!$S$4*1000000)))))))-(((-('Densidade do AR'!$M$4))+('Densidade do AR'!$T$15*1000000))/('Densidade do AR'!$S$14*1000000))))))</f>
        <v>-</v>
      </c>
      <c r="CQ200" s="739"/>
      <c r="CR200" s="739"/>
      <c r="CS200" s="745"/>
      <c r="CT200" s="91" t="str">
        <f t="shared" si="74"/>
        <v>-</v>
      </c>
      <c r="CU200" s="792"/>
      <c r="CV200" s="793"/>
      <c r="CW200" s="738" t="str">
        <f>IF(CU200="","-",(IF(INDEX($A$5:$BP$257,MATCH(CU200,$BN$5:$BN$257,0),50)="Aço Inoxidável",('Densidade do AR'!$S$8*1000000),IF(INDEX($A$5:$BP$257,MATCH(CU200,$BN$5:$BN$257,0),50)="Ferro Fundido",('Densidade do AR'!$S$12*1000000),IF(INDEX($A$5:$BP$257,MATCH(CU200,$BN$5:$BN$257,0),50)="Latão",('Densidade do AR'!$S$10*1000000),IF(INDEX($A$5:$BP$257,MATCH(CU200,$BN$5:$BN$257,0),50)="Alumínio",('Densidade do AR'!$S$4*1000000)))))))</f>
        <v>-</v>
      </c>
      <c r="CX200" s="739"/>
      <c r="CY200" s="739"/>
      <c r="CZ200" s="740"/>
      <c r="DA200" s="741" t="str">
        <f t="shared" si="75"/>
        <v>-</v>
      </c>
      <c r="DB200" s="742"/>
      <c r="DC200" s="742"/>
      <c r="DD200" s="743"/>
      <c r="DE200" s="741" t="str">
        <f t="shared" si="66"/>
        <v>-</v>
      </c>
      <c r="DF200" s="742"/>
      <c r="DG200" s="742"/>
      <c r="DH200" s="743"/>
      <c r="DI200" s="744" t="str">
        <f t="shared" si="76"/>
        <v>-</v>
      </c>
      <c r="DJ200" s="739"/>
      <c r="DK200" s="739"/>
      <c r="DL200" s="740"/>
      <c r="DM200" s="744" t="str">
        <f t="shared" si="67"/>
        <v>-</v>
      </c>
      <c r="DN200" s="739"/>
      <c r="DO200" s="739"/>
      <c r="DP200" s="740"/>
      <c r="DQ200" s="744" t="str">
        <f>IF(CU200="","-",INDEX($A$5:$BP$257,MATCH(CU200,$BN$5:$BN$257,0),39)*(IF(CU200="","-",(1+(((-('Densidade do AR'!$M$4))+('Densidade do AR'!$T$15*1000000))/(IF(INDEX($A$5:$BP$257,MATCH(CU200,$BN$5:$BN$257,0),50)="Aço Inoxidável",('Densidade do AR'!$S$8*1000000),IF(INDEX($A$5:$BP$257,MATCH(CU200,$BN$5:$BN$257,0),50)="Ferro Fundido",('Densidade do AR'!$S$12*1000000),IF(INDEX($A$5:$BP$257,MATCH(CU200,$BN$5:$BN$257,0),50)="Latão",('Densidade do AR'!$S$10*1000000),IF(INDEX($A$5:$BP$257,MATCH(CU200,$BN$5:$BN$257,0),50)="Alumínio",('Densidade do AR'!$S$4*1000000)))))))-(((-('Densidade do AR'!$M$4))+('Densidade do AR'!$T$15*1000000))/('Densidade do AR'!$S$14*1000000))))))</f>
        <v>-</v>
      </c>
      <c r="DR200" s="739"/>
      <c r="DS200" s="739"/>
      <c r="DT200" s="745"/>
      <c r="DU200" s="91" t="str">
        <f t="shared" si="77"/>
        <v>-</v>
      </c>
      <c r="DV200" s="792"/>
      <c r="DW200" s="793"/>
      <c r="DX200" s="738" t="str">
        <f>IF(DV200="","-",(IF(INDEX($A$5:$BP$257,MATCH(DV200,$BN$5:$BN$257,0),50)="Aço Inoxidável",('Densidade do AR'!$S$8*1000000),IF(INDEX($A$5:$BP$257,MATCH(DV200,$BN$5:$BN$257,0),50)="Ferro Fundido",('Densidade do AR'!$S$12*1000000),IF(INDEX($A$5:$BP$257,MATCH(DV200,$BN$5:$BN$257,0),50)="Latão",('Densidade do AR'!$S$10*1000000),IF(INDEX($A$5:$BP$257,MATCH(DV200,$BN$5:$BN$257,0),50)="Alumínio",('Densidade do AR'!$S$4*1000000)))))))</f>
        <v>-</v>
      </c>
      <c r="DY200" s="739"/>
      <c r="DZ200" s="739"/>
      <c r="EA200" s="740"/>
      <c r="EB200" s="741" t="str">
        <f t="shared" si="78"/>
        <v>-</v>
      </c>
      <c r="EC200" s="742"/>
      <c r="ED200" s="742"/>
      <c r="EE200" s="743"/>
      <c r="EF200" s="741" t="str">
        <f t="shared" si="68"/>
        <v>-</v>
      </c>
      <c r="EG200" s="742"/>
      <c r="EH200" s="742"/>
      <c r="EI200" s="743"/>
      <c r="EJ200" s="744" t="str">
        <f t="shared" si="79"/>
        <v>-</v>
      </c>
      <c r="EK200" s="739"/>
      <c r="EL200" s="739"/>
      <c r="EM200" s="740"/>
      <c r="EN200" s="744" t="str">
        <f t="shared" si="69"/>
        <v>-</v>
      </c>
      <c r="EO200" s="739"/>
      <c r="EP200" s="739"/>
      <c r="EQ200" s="740"/>
      <c r="ER200" s="744" t="str">
        <f>IF(DV200="","-",INDEX($A$5:$BP$257,MATCH(DV200,$BN$5:$BN$257,0),39)*(IF(DV200="","-",(1+(((-('Densidade do AR'!$M$4))+('Densidade do AR'!$T$15*1000000))/(IF(INDEX($A$5:$BP$257,MATCH(DV200,$BN$5:$BN$257,0),50)="Aço Inoxidável",('Densidade do AR'!$S$8*1000000),IF(INDEX($A$5:$BP$257,MATCH(DV200,$BN$5:$BN$257,0),50)="Ferro Fundido",('Densidade do AR'!$S$12*1000000),IF(INDEX($A$5:$BP$257,MATCH(DV200,$BN$5:$BN$257,0),50)="Latão",('Densidade do AR'!$S$10*1000000),IF(INDEX($A$5:$BP$257,MATCH(DV200,$BN$5:$BN$257,0),50)="Alumínio",('Densidade do AR'!$S$4*1000000)))))))-(((-('Densidade do AR'!$M$4))+('Densidade do AR'!$T$15*1000000))/('Densidade do AR'!$S$14*1000000))))))</f>
        <v>-</v>
      </c>
      <c r="ES200" s="739"/>
      <c r="ET200" s="739"/>
      <c r="EU200" s="745"/>
      <c r="EV200" s="91" t="str">
        <f t="shared" si="80"/>
        <v>-</v>
      </c>
      <c r="EW200" s="792"/>
      <c r="EX200" s="793"/>
      <c r="EY200" s="738" t="str">
        <f>IF(EW200="","-",(IF(INDEX($A$5:$BP$257,MATCH(EW200,$BN$5:$BN$257,0),50)="Aço Inoxidável",('Densidade do AR'!$S$8*1000000),IF(INDEX($A$5:$BP$257,MATCH(EW200,$BN$5:$BN$257,0),50)="Ferro Fundido",('Densidade do AR'!$S$12*1000000),IF(INDEX($A$5:$BP$257,MATCH(EW200,$BN$5:$BN$257,0),50)="Latão",('Densidade do AR'!$S$10*1000000),IF(INDEX($A$5:$BP$257,MATCH(EW200,$BN$5:$BN$257,0),50)="Alumínio",('Densidade do AR'!$S$4*1000000)))))))</f>
        <v>-</v>
      </c>
      <c r="EZ200" s="739"/>
      <c r="FA200" s="739"/>
      <c r="FB200" s="740"/>
      <c r="FC200" s="741" t="str">
        <f t="shared" si="81"/>
        <v>-</v>
      </c>
      <c r="FD200" s="742"/>
      <c r="FE200" s="742"/>
      <c r="FF200" s="743"/>
      <c r="FG200" s="741" t="str">
        <f t="shared" si="70"/>
        <v>-</v>
      </c>
      <c r="FH200" s="742"/>
      <c r="FI200" s="742"/>
      <c r="FJ200" s="743"/>
      <c r="FK200" s="744" t="str">
        <f t="shared" si="82"/>
        <v>-</v>
      </c>
      <c r="FL200" s="739"/>
      <c r="FM200" s="739"/>
      <c r="FN200" s="740"/>
      <c r="FO200" s="744" t="str">
        <f t="shared" si="71"/>
        <v>-</v>
      </c>
      <c r="FP200" s="739"/>
      <c r="FQ200" s="739"/>
      <c r="FR200" s="740"/>
      <c r="FS200" s="744" t="str">
        <f>IF(EW200="","-",INDEX($A$5:$BP$257,MATCH(EW200,$BN$5:$BN$257,0),39)*(IF(EW200="","-",(1+(((-('Densidade do AR'!$M$4))+('Densidade do AR'!$T$15*1000000))/(IF(INDEX($A$5:$BP$257,MATCH(EW200,$BN$5:$BN$257,0),50)="Aço Inoxidável",('Densidade do AR'!$S$8*1000000),IF(INDEX($A$5:$BP$257,MATCH(EW200,$BN$5:$BN$257,0),50)="Ferro Fundido",('Densidade do AR'!$S$12*1000000),IF(INDEX($A$5:$BP$257,MATCH(EW200,$BN$5:$BN$257,0),50)="Latão",('Densidade do AR'!$S$10*1000000),IF(INDEX($A$5:$BP$257,MATCH(EW200,$BN$5:$BN$257,0),50)="Alumínio",('Densidade do AR'!$S$4*1000000)))))))-(((-('Densidade do AR'!$M$4))+('Densidade do AR'!$T$15*1000000))/('Densidade do AR'!$S$14*1000000))))))</f>
        <v>-</v>
      </c>
      <c r="FT200" s="739"/>
      <c r="FU200" s="739"/>
      <c r="FV200" s="745"/>
      <c r="FW200" s="91" t="str">
        <f t="shared" si="83"/>
        <v>-</v>
      </c>
      <c r="FX200" s="135"/>
    </row>
    <row r="201" spans="1:180" ht="12.75" customHeight="1" x14ac:dyDescent="0.2">
      <c r="A201" s="717">
        <v>197</v>
      </c>
      <c r="B201" s="713"/>
      <c r="C201" s="708"/>
      <c r="D201" s="709"/>
      <c r="E201" s="709"/>
      <c r="F201" s="709"/>
      <c r="G201" s="710"/>
      <c r="H201" s="711"/>
      <c r="I201" s="712"/>
      <c r="J201" s="712"/>
      <c r="K201" s="713"/>
      <c r="L201" s="708"/>
      <c r="M201" s="709"/>
      <c r="N201" s="709"/>
      <c r="O201" s="709"/>
      <c r="P201" s="708"/>
      <c r="Q201" s="709"/>
      <c r="R201" s="709"/>
      <c r="S201" s="709"/>
      <c r="T201" s="710"/>
      <c r="U201" s="714"/>
      <c r="V201" s="715"/>
      <c r="W201" s="715"/>
      <c r="X201" s="715"/>
      <c r="Y201" s="715"/>
      <c r="Z201" s="715"/>
      <c r="AA201" s="716"/>
      <c r="AB201" s="850"/>
      <c r="AC201" s="851"/>
      <c r="AD201" s="851"/>
      <c r="AE201" s="851"/>
      <c r="AF201" s="851"/>
      <c r="AG201" s="851"/>
      <c r="AH201" s="851"/>
      <c r="AI201" s="851"/>
      <c r="AJ201" s="851"/>
      <c r="AK201" s="851"/>
      <c r="AL201" s="852"/>
      <c r="AM201" s="917"/>
      <c r="AN201" s="712"/>
      <c r="AO201" s="712"/>
      <c r="AP201" s="712"/>
      <c r="AQ201" s="712"/>
      <c r="AR201" s="712"/>
      <c r="AS201" s="713"/>
      <c r="AT201" s="917"/>
      <c r="AU201" s="712"/>
      <c r="AV201" s="712"/>
      <c r="AW201" s="713"/>
      <c r="AX201" s="917"/>
      <c r="AY201" s="712"/>
      <c r="AZ201" s="712"/>
      <c r="BA201" s="712"/>
      <c r="BB201" s="712"/>
      <c r="BC201" s="713"/>
      <c r="BD201" s="917"/>
      <c r="BE201" s="712"/>
      <c r="BF201" s="712"/>
      <c r="BG201" s="713"/>
      <c r="BH201" s="918"/>
      <c r="BI201" s="712"/>
      <c r="BJ201" s="712"/>
      <c r="BK201" s="712"/>
      <c r="BL201" s="910"/>
      <c r="BN201" s="878"/>
      <c r="BO201" s="879"/>
      <c r="BP201" s="880"/>
      <c r="BT201" s="794"/>
      <c r="BU201" s="795"/>
      <c r="BV201" s="784" t="str">
        <f>IF(BT201="","-",(IF(INDEX($A$5:$BP$257,MATCH(BT201,$BN$5:$BN$257,0),50)="Aço Inoxidável",('Densidade do AR'!$S$8*1000000),IF(INDEX($A$5:$BP$257,MATCH(BT201,$BN$5:$BN$257,0),50)="Ferro Fundido",('Densidade do AR'!$S$12*1000000),IF(INDEX($A$5:$BP$257,MATCH(BT201,$BN$5:$BN$257,0),50)="Latão",('Densidade do AR'!$S$10*1000000),IF(INDEX($A$5:$BP$257,MATCH(BT201,$BN$5:$BN$257,0),50)="Alumínio",('Densidade do AR'!$S$4*1000000)))))))</f>
        <v>-</v>
      </c>
      <c r="BW201" s="785"/>
      <c r="BX201" s="785"/>
      <c r="BY201" s="786"/>
      <c r="BZ201" s="787" t="str">
        <f t="shared" si="72"/>
        <v>-</v>
      </c>
      <c r="CA201" s="788"/>
      <c r="CB201" s="788"/>
      <c r="CC201" s="789"/>
      <c r="CD201" s="787" t="str">
        <f t="shared" si="64"/>
        <v>-</v>
      </c>
      <c r="CE201" s="788"/>
      <c r="CF201" s="788"/>
      <c r="CG201" s="789"/>
      <c r="CH201" s="790" t="str">
        <f t="shared" si="73"/>
        <v>-</v>
      </c>
      <c r="CI201" s="785"/>
      <c r="CJ201" s="785"/>
      <c r="CK201" s="786"/>
      <c r="CL201" s="790" t="str">
        <f t="shared" si="65"/>
        <v>-</v>
      </c>
      <c r="CM201" s="785"/>
      <c r="CN201" s="785"/>
      <c r="CO201" s="786"/>
      <c r="CP201" s="790" t="str">
        <f>IF(BT201="","-",INDEX($A$5:$BP$257,MATCH(BT201,$BN$5:$BN$257,0),39)*(IF(BT201="","-",(1+(((-('Densidade do AR'!$M$4))+('Densidade do AR'!$T$15*1000000))/(IF(INDEX($A$5:$BP$257,MATCH(BT201,$BN$5:$BN$257,0),50)="Aço Inoxidável",('Densidade do AR'!$S$8*1000000),IF(INDEX($A$5:$BP$257,MATCH(BT201,$BN$5:$BN$257,0),50)="Ferro Fundido",('Densidade do AR'!$S$12*1000000),IF(INDEX($A$5:$BP$257,MATCH(BT201,$BN$5:$BN$257,0),50)="Latão",('Densidade do AR'!$S$10*1000000),IF(INDEX($A$5:$BP$257,MATCH(BT201,$BN$5:$BN$257,0),50)="Alumínio",('Densidade do AR'!$S$4*1000000)))))))-(((-('Densidade do AR'!$M$4))+('Densidade do AR'!$T$15*1000000))/('Densidade do AR'!$S$14*1000000))))))</f>
        <v>-</v>
      </c>
      <c r="CQ201" s="785"/>
      <c r="CR201" s="785"/>
      <c r="CS201" s="791"/>
      <c r="CT201" s="91" t="str">
        <f t="shared" si="74"/>
        <v>-</v>
      </c>
      <c r="CU201" s="794"/>
      <c r="CV201" s="795"/>
      <c r="CW201" s="784" t="str">
        <f>IF(CU201="","-",(IF(INDEX($A$5:$BP$257,MATCH(CU201,$BN$5:$BN$257,0),50)="Aço Inoxidável",('Densidade do AR'!$S$8*1000000),IF(INDEX($A$5:$BP$257,MATCH(CU201,$BN$5:$BN$257,0),50)="Ferro Fundido",('Densidade do AR'!$S$12*1000000),IF(INDEX($A$5:$BP$257,MATCH(CU201,$BN$5:$BN$257,0),50)="Latão",('Densidade do AR'!$S$10*1000000),IF(INDEX($A$5:$BP$257,MATCH(CU201,$BN$5:$BN$257,0),50)="Alumínio",('Densidade do AR'!$S$4*1000000)))))))</f>
        <v>-</v>
      </c>
      <c r="CX201" s="785"/>
      <c r="CY201" s="785"/>
      <c r="CZ201" s="786"/>
      <c r="DA201" s="787" t="str">
        <f t="shared" si="75"/>
        <v>-</v>
      </c>
      <c r="DB201" s="788"/>
      <c r="DC201" s="788"/>
      <c r="DD201" s="789"/>
      <c r="DE201" s="787" t="str">
        <f t="shared" si="66"/>
        <v>-</v>
      </c>
      <c r="DF201" s="788"/>
      <c r="DG201" s="788"/>
      <c r="DH201" s="789"/>
      <c r="DI201" s="790" t="str">
        <f t="shared" si="76"/>
        <v>-</v>
      </c>
      <c r="DJ201" s="785"/>
      <c r="DK201" s="785"/>
      <c r="DL201" s="786"/>
      <c r="DM201" s="790" t="str">
        <f t="shared" si="67"/>
        <v>-</v>
      </c>
      <c r="DN201" s="785"/>
      <c r="DO201" s="785"/>
      <c r="DP201" s="786"/>
      <c r="DQ201" s="790" t="str">
        <f>IF(CU201="","-",INDEX($A$5:$BP$257,MATCH(CU201,$BN$5:$BN$257,0),39)*(IF(CU201="","-",(1+(((-('Densidade do AR'!$M$4))+('Densidade do AR'!$T$15*1000000))/(IF(INDEX($A$5:$BP$257,MATCH(CU201,$BN$5:$BN$257,0),50)="Aço Inoxidável",('Densidade do AR'!$S$8*1000000),IF(INDEX($A$5:$BP$257,MATCH(CU201,$BN$5:$BN$257,0),50)="Ferro Fundido",('Densidade do AR'!$S$12*1000000),IF(INDEX($A$5:$BP$257,MATCH(CU201,$BN$5:$BN$257,0),50)="Latão",('Densidade do AR'!$S$10*1000000),IF(INDEX($A$5:$BP$257,MATCH(CU201,$BN$5:$BN$257,0),50)="Alumínio",('Densidade do AR'!$S$4*1000000)))))))-(((-('Densidade do AR'!$M$4))+('Densidade do AR'!$T$15*1000000))/('Densidade do AR'!$S$14*1000000))))))</f>
        <v>-</v>
      </c>
      <c r="DR201" s="785"/>
      <c r="DS201" s="785"/>
      <c r="DT201" s="791"/>
      <c r="DU201" s="91" t="str">
        <f t="shared" si="77"/>
        <v>-</v>
      </c>
      <c r="DV201" s="794"/>
      <c r="DW201" s="795"/>
      <c r="DX201" s="784" t="str">
        <f>IF(DV201="","-",(IF(INDEX($A$5:$BP$257,MATCH(DV201,$BN$5:$BN$257,0),50)="Aço Inoxidável",('Densidade do AR'!$S$8*1000000),IF(INDEX($A$5:$BP$257,MATCH(DV201,$BN$5:$BN$257,0),50)="Ferro Fundido",('Densidade do AR'!$S$12*1000000),IF(INDEX($A$5:$BP$257,MATCH(DV201,$BN$5:$BN$257,0),50)="Latão",('Densidade do AR'!$S$10*1000000),IF(INDEX($A$5:$BP$257,MATCH(DV201,$BN$5:$BN$257,0),50)="Alumínio",('Densidade do AR'!$S$4*1000000)))))))</f>
        <v>-</v>
      </c>
      <c r="DY201" s="785"/>
      <c r="DZ201" s="785"/>
      <c r="EA201" s="786"/>
      <c r="EB201" s="787" t="str">
        <f t="shared" si="78"/>
        <v>-</v>
      </c>
      <c r="EC201" s="788"/>
      <c r="ED201" s="788"/>
      <c r="EE201" s="789"/>
      <c r="EF201" s="787" t="str">
        <f t="shared" si="68"/>
        <v>-</v>
      </c>
      <c r="EG201" s="788"/>
      <c r="EH201" s="788"/>
      <c r="EI201" s="789"/>
      <c r="EJ201" s="790" t="str">
        <f t="shared" si="79"/>
        <v>-</v>
      </c>
      <c r="EK201" s="785"/>
      <c r="EL201" s="785"/>
      <c r="EM201" s="786"/>
      <c r="EN201" s="790" t="str">
        <f t="shared" si="69"/>
        <v>-</v>
      </c>
      <c r="EO201" s="785"/>
      <c r="EP201" s="785"/>
      <c r="EQ201" s="786"/>
      <c r="ER201" s="790" t="str">
        <f>IF(DV201="","-",INDEX($A$5:$BP$257,MATCH(DV201,$BN$5:$BN$257,0),39)*(IF(DV201="","-",(1+(((-('Densidade do AR'!$M$4))+('Densidade do AR'!$T$15*1000000))/(IF(INDEX($A$5:$BP$257,MATCH(DV201,$BN$5:$BN$257,0),50)="Aço Inoxidável",('Densidade do AR'!$S$8*1000000),IF(INDEX($A$5:$BP$257,MATCH(DV201,$BN$5:$BN$257,0),50)="Ferro Fundido",('Densidade do AR'!$S$12*1000000),IF(INDEX($A$5:$BP$257,MATCH(DV201,$BN$5:$BN$257,0),50)="Latão",('Densidade do AR'!$S$10*1000000),IF(INDEX($A$5:$BP$257,MATCH(DV201,$BN$5:$BN$257,0),50)="Alumínio",('Densidade do AR'!$S$4*1000000)))))))-(((-('Densidade do AR'!$M$4))+('Densidade do AR'!$T$15*1000000))/('Densidade do AR'!$S$14*1000000))))))</f>
        <v>-</v>
      </c>
      <c r="ES201" s="785"/>
      <c r="ET201" s="785"/>
      <c r="EU201" s="791"/>
      <c r="EV201" s="91" t="str">
        <f t="shared" si="80"/>
        <v>-</v>
      </c>
      <c r="EW201" s="794"/>
      <c r="EX201" s="795"/>
      <c r="EY201" s="784" t="str">
        <f>IF(EW201="","-",(IF(INDEX($A$5:$BP$257,MATCH(EW201,$BN$5:$BN$257,0),50)="Aço Inoxidável",('Densidade do AR'!$S$8*1000000),IF(INDEX($A$5:$BP$257,MATCH(EW201,$BN$5:$BN$257,0),50)="Ferro Fundido",('Densidade do AR'!$S$12*1000000),IF(INDEX($A$5:$BP$257,MATCH(EW201,$BN$5:$BN$257,0),50)="Latão",('Densidade do AR'!$S$10*1000000),IF(INDEX($A$5:$BP$257,MATCH(EW201,$BN$5:$BN$257,0),50)="Alumínio",('Densidade do AR'!$S$4*1000000)))))))</f>
        <v>-</v>
      </c>
      <c r="EZ201" s="785"/>
      <c r="FA201" s="785"/>
      <c r="FB201" s="786"/>
      <c r="FC201" s="787" t="str">
        <f t="shared" si="81"/>
        <v>-</v>
      </c>
      <c r="FD201" s="788"/>
      <c r="FE201" s="788"/>
      <c r="FF201" s="789"/>
      <c r="FG201" s="787" t="str">
        <f t="shared" si="70"/>
        <v>-</v>
      </c>
      <c r="FH201" s="788"/>
      <c r="FI201" s="788"/>
      <c r="FJ201" s="789"/>
      <c r="FK201" s="790" t="str">
        <f t="shared" si="82"/>
        <v>-</v>
      </c>
      <c r="FL201" s="785"/>
      <c r="FM201" s="785"/>
      <c r="FN201" s="786"/>
      <c r="FO201" s="790" t="str">
        <f t="shared" si="71"/>
        <v>-</v>
      </c>
      <c r="FP201" s="785"/>
      <c r="FQ201" s="785"/>
      <c r="FR201" s="786"/>
      <c r="FS201" s="790" t="str">
        <f>IF(EW201="","-",INDEX($A$5:$BP$257,MATCH(EW201,$BN$5:$BN$257,0),39)*(IF(EW201="","-",(1+(((-('Densidade do AR'!$M$4))+('Densidade do AR'!$T$15*1000000))/(IF(INDEX($A$5:$BP$257,MATCH(EW201,$BN$5:$BN$257,0),50)="Aço Inoxidável",('Densidade do AR'!$S$8*1000000),IF(INDEX($A$5:$BP$257,MATCH(EW201,$BN$5:$BN$257,0),50)="Ferro Fundido",('Densidade do AR'!$S$12*1000000),IF(INDEX($A$5:$BP$257,MATCH(EW201,$BN$5:$BN$257,0),50)="Latão",('Densidade do AR'!$S$10*1000000),IF(INDEX($A$5:$BP$257,MATCH(EW201,$BN$5:$BN$257,0),50)="Alumínio",('Densidade do AR'!$S$4*1000000)))))))-(((-('Densidade do AR'!$M$4))+('Densidade do AR'!$T$15*1000000))/('Densidade do AR'!$S$14*1000000))))))</f>
        <v>-</v>
      </c>
      <c r="FT201" s="785"/>
      <c r="FU201" s="785"/>
      <c r="FV201" s="791"/>
      <c r="FW201" s="91" t="str">
        <f t="shared" si="83"/>
        <v>-</v>
      </c>
      <c r="FX201" s="135"/>
    </row>
    <row r="202" spans="1:180" ht="12.75" customHeight="1" x14ac:dyDescent="0.2">
      <c r="A202" s="718">
        <v>198</v>
      </c>
      <c r="B202" s="713"/>
      <c r="C202" s="719"/>
      <c r="D202" s="709"/>
      <c r="E202" s="709"/>
      <c r="F202" s="709"/>
      <c r="G202" s="710"/>
      <c r="H202" s="720"/>
      <c r="I202" s="712"/>
      <c r="J202" s="712"/>
      <c r="K202" s="713"/>
      <c r="L202" s="719"/>
      <c r="M202" s="709"/>
      <c r="N202" s="709"/>
      <c r="O202" s="709"/>
      <c r="P202" s="719"/>
      <c r="Q202" s="709"/>
      <c r="R202" s="709"/>
      <c r="S202" s="709"/>
      <c r="T202" s="710"/>
      <c r="U202" s="721"/>
      <c r="V202" s="722"/>
      <c r="W202" s="722"/>
      <c r="X202" s="722"/>
      <c r="Y202" s="722"/>
      <c r="Z202" s="722"/>
      <c r="AA202" s="723"/>
      <c r="AB202" s="853"/>
      <c r="AC202" s="854"/>
      <c r="AD202" s="854"/>
      <c r="AE202" s="854"/>
      <c r="AF202" s="854"/>
      <c r="AG202" s="854"/>
      <c r="AH202" s="854"/>
      <c r="AI202" s="854"/>
      <c r="AJ202" s="854"/>
      <c r="AK202" s="854"/>
      <c r="AL202" s="855"/>
      <c r="AM202" s="909"/>
      <c r="AN202" s="712"/>
      <c r="AO202" s="712"/>
      <c r="AP202" s="712"/>
      <c r="AQ202" s="712"/>
      <c r="AR202" s="712"/>
      <c r="AS202" s="713"/>
      <c r="AT202" s="909"/>
      <c r="AU202" s="712"/>
      <c r="AV202" s="712"/>
      <c r="AW202" s="713"/>
      <c r="AX202" s="908"/>
      <c r="AY202" s="712"/>
      <c r="AZ202" s="712"/>
      <c r="BA202" s="712"/>
      <c r="BB202" s="712"/>
      <c r="BC202" s="713"/>
      <c r="BD202" s="909"/>
      <c r="BE202" s="712"/>
      <c r="BF202" s="712"/>
      <c r="BG202" s="713"/>
      <c r="BH202" s="908"/>
      <c r="BI202" s="712"/>
      <c r="BJ202" s="712"/>
      <c r="BK202" s="712"/>
      <c r="BL202" s="910"/>
      <c r="BN202" s="881"/>
      <c r="BO202" s="882"/>
      <c r="BP202" s="883"/>
      <c r="BT202" s="792"/>
      <c r="BU202" s="793"/>
      <c r="BV202" s="738" t="str">
        <f>IF(BT202="","-",(IF(INDEX($A$5:$BP$257,MATCH(BT202,$BN$5:$BN$257,0),50)="Aço Inoxidável",('Densidade do AR'!$S$8*1000000),IF(INDEX($A$5:$BP$257,MATCH(BT202,$BN$5:$BN$257,0),50)="Ferro Fundido",('Densidade do AR'!$S$12*1000000),IF(INDEX($A$5:$BP$257,MATCH(BT202,$BN$5:$BN$257,0),50)="Latão",('Densidade do AR'!$S$10*1000000),IF(INDEX($A$5:$BP$257,MATCH(BT202,$BN$5:$BN$257,0),50)="Alumínio",('Densidade do AR'!$S$4*1000000)))))))</f>
        <v>-</v>
      </c>
      <c r="BW202" s="739"/>
      <c r="BX202" s="739"/>
      <c r="BY202" s="740"/>
      <c r="BZ202" s="741" t="str">
        <f t="shared" si="72"/>
        <v>-</v>
      </c>
      <c r="CA202" s="742"/>
      <c r="CB202" s="742"/>
      <c r="CC202" s="743"/>
      <c r="CD202" s="741" t="str">
        <f t="shared" si="64"/>
        <v>-</v>
      </c>
      <c r="CE202" s="742"/>
      <c r="CF202" s="742"/>
      <c r="CG202" s="743"/>
      <c r="CH202" s="744" t="str">
        <f t="shared" si="73"/>
        <v>-</v>
      </c>
      <c r="CI202" s="739"/>
      <c r="CJ202" s="739"/>
      <c r="CK202" s="740"/>
      <c r="CL202" s="744" t="str">
        <f t="shared" si="65"/>
        <v>-</v>
      </c>
      <c r="CM202" s="739"/>
      <c r="CN202" s="739"/>
      <c r="CO202" s="740"/>
      <c r="CP202" s="744" t="str">
        <f>IF(BT202="","-",INDEX($A$5:$BP$257,MATCH(BT202,$BN$5:$BN$257,0),39)*(IF(BT202="","-",(1+(((-('Densidade do AR'!$M$4))+('Densidade do AR'!$T$15*1000000))/(IF(INDEX($A$5:$BP$257,MATCH(BT202,$BN$5:$BN$257,0),50)="Aço Inoxidável",('Densidade do AR'!$S$8*1000000),IF(INDEX($A$5:$BP$257,MATCH(BT202,$BN$5:$BN$257,0),50)="Ferro Fundido",('Densidade do AR'!$S$12*1000000),IF(INDEX($A$5:$BP$257,MATCH(BT202,$BN$5:$BN$257,0),50)="Latão",('Densidade do AR'!$S$10*1000000),IF(INDEX($A$5:$BP$257,MATCH(BT202,$BN$5:$BN$257,0),50)="Alumínio",('Densidade do AR'!$S$4*1000000)))))))-(((-('Densidade do AR'!$M$4))+('Densidade do AR'!$T$15*1000000))/('Densidade do AR'!$S$14*1000000))))))</f>
        <v>-</v>
      </c>
      <c r="CQ202" s="739"/>
      <c r="CR202" s="739"/>
      <c r="CS202" s="745"/>
      <c r="CT202" s="91" t="str">
        <f t="shared" si="74"/>
        <v>-</v>
      </c>
      <c r="CU202" s="792"/>
      <c r="CV202" s="793"/>
      <c r="CW202" s="738" t="str">
        <f>IF(CU202="","-",(IF(INDEX($A$5:$BP$257,MATCH(CU202,$BN$5:$BN$257,0),50)="Aço Inoxidável",('Densidade do AR'!$S$8*1000000),IF(INDEX($A$5:$BP$257,MATCH(CU202,$BN$5:$BN$257,0),50)="Ferro Fundido",('Densidade do AR'!$S$12*1000000),IF(INDEX($A$5:$BP$257,MATCH(CU202,$BN$5:$BN$257,0),50)="Latão",('Densidade do AR'!$S$10*1000000),IF(INDEX($A$5:$BP$257,MATCH(CU202,$BN$5:$BN$257,0),50)="Alumínio",('Densidade do AR'!$S$4*1000000)))))))</f>
        <v>-</v>
      </c>
      <c r="CX202" s="739"/>
      <c r="CY202" s="739"/>
      <c r="CZ202" s="740"/>
      <c r="DA202" s="741" t="str">
        <f t="shared" si="75"/>
        <v>-</v>
      </c>
      <c r="DB202" s="742"/>
      <c r="DC202" s="742"/>
      <c r="DD202" s="743"/>
      <c r="DE202" s="741" t="str">
        <f t="shared" si="66"/>
        <v>-</v>
      </c>
      <c r="DF202" s="742"/>
      <c r="DG202" s="742"/>
      <c r="DH202" s="743"/>
      <c r="DI202" s="744" t="str">
        <f t="shared" si="76"/>
        <v>-</v>
      </c>
      <c r="DJ202" s="739"/>
      <c r="DK202" s="739"/>
      <c r="DL202" s="740"/>
      <c r="DM202" s="744" t="str">
        <f t="shared" si="67"/>
        <v>-</v>
      </c>
      <c r="DN202" s="739"/>
      <c r="DO202" s="739"/>
      <c r="DP202" s="740"/>
      <c r="DQ202" s="744" t="str">
        <f>IF(CU202="","-",INDEX($A$5:$BP$257,MATCH(CU202,$BN$5:$BN$257,0),39)*(IF(CU202="","-",(1+(((-('Densidade do AR'!$M$4))+('Densidade do AR'!$T$15*1000000))/(IF(INDEX($A$5:$BP$257,MATCH(CU202,$BN$5:$BN$257,0),50)="Aço Inoxidável",('Densidade do AR'!$S$8*1000000),IF(INDEX($A$5:$BP$257,MATCH(CU202,$BN$5:$BN$257,0),50)="Ferro Fundido",('Densidade do AR'!$S$12*1000000),IF(INDEX($A$5:$BP$257,MATCH(CU202,$BN$5:$BN$257,0),50)="Latão",('Densidade do AR'!$S$10*1000000),IF(INDEX($A$5:$BP$257,MATCH(CU202,$BN$5:$BN$257,0),50)="Alumínio",('Densidade do AR'!$S$4*1000000)))))))-(((-('Densidade do AR'!$M$4))+('Densidade do AR'!$T$15*1000000))/('Densidade do AR'!$S$14*1000000))))))</f>
        <v>-</v>
      </c>
      <c r="DR202" s="739"/>
      <c r="DS202" s="739"/>
      <c r="DT202" s="745"/>
      <c r="DU202" s="91" t="str">
        <f t="shared" si="77"/>
        <v>-</v>
      </c>
      <c r="DV202" s="792"/>
      <c r="DW202" s="793"/>
      <c r="DX202" s="738" t="str">
        <f>IF(DV202="","-",(IF(INDEX($A$5:$BP$257,MATCH(DV202,$BN$5:$BN$257,0),50)="Aço Inoxidável",('Densidade do AR'!$S$8*1000000),IF(INDEX($A$5:$BP$257,MATCH(DV202,$BN$5:$BN$257,0),50)="Ferro Fundido",('Densidade do AR'!$S$12*1000000),IF(INDEX($A$5:$BP$257,MATCH(DV202,$BN$5:$BN$257,0),50)="Latão",('Densidade do AR'!$S$10*1000000),IF(INDEX($A$5:$BP$257,MATCH(DV202,$BN$5:$BN$257,0),50)="Alumínio",('Densidade do AR'!$S$4*1000000)))))))</f>
        <v>-</v>
      </c>
      <c r="DY202" s="739"/>
      <c r="DZ202" s="739"/>
      <c r="EA202" s="740"/>
      <c r="EB202" s="741" t="str">
        <f t="shared" si="78"/>
        <v>-</v>
      </c>
      <c r="EC202" s="742"/>
      <c r="ED202" s="742"/>
      <c r="EE202" s="743"/>
      <c r="EF202" s="741" t="str">
        <f t="shared" si="68"/>
        <v>-</v>
      </c>
      <c r="EG202" s="742"/>
      <c r="EH202" s="742"/>
      <c r="EI202" s="743"/>
      <c r="EJ202" s="744" t="str">
        <f t="shared" si="79"/>
        <v>-</v>
      </c>
      <c r="EK202" s="739"/>
      <c r="EL202" s="739"/>
      <c r="EM202" s="740"/>
      <c r="EN202" s="744" t="str">
        <f t="shared" si="69"/>
        <v>-</v>
      </c>
      <c r="EO202" s="739"/>
      <c r="EP202" s="739"/>
      <c r="EQ202" s="740"/>
      <c r="ER202" s="744" t="str">
        <f>IF(DV202="","-",INDEX($A$5:$BP$257,MATCH(DV202,$BN$5:$BN$257,0),39)*(IF(DV202="","-",(1+(((-('Densidade do AR'!$M$4))+('Densidade do AR'!$T$15*1000000))/(IF(INDEX($A$5:$BP$257,MATCH(DV202,$BN$5:$BN$257,0),50)="Aço Inoxidável",('Densidade do AR'!$S$8*1000000),IF(INDEX($A$5:$BP$257,MATCH(DV202,$BN$5:$BN$257,0),50)="Ferro Fundido",('Densidade do AR'!$S$12*1000000),IF(INDEX($A$5:$BP$257,MATCH(DV202,$BN$5:$BN$257,0),50)="Latão",('Densidade do AR'!$S$10*1000000),IF(INDEX($A$5:$BP$257,MATCH(DV202,$BN$5:$BN$257,0),50)="Alumínio",('Densidade do AR'!$S$4*1000000)))))))-(((-('Densidade do AR'!$M$4))+('Densidade do AR'!$T$15*1000000))/('Densidade do AR'!$S$14*1000000))))))</f>
        <v>-</v>
      </c>
      <c r="ES202" s="739"/>
      <c r="ET202" s="739"/>
      <c r="EU202" s="745"/>
      <c r="EV202" s="91" t="str">
        <f t="shared" si="80"/>
        <v>-</v>
      </c>
      <c r="EW202" s="792"/>
      <c r="EX202" s="793"/>
      <c r="EY202" s="738" t="str">
        <f>IF(EW202="","-",(IF(INDEX($A$5:$BP$257,MATCH(EW202,$BN$5:$BN$257,0),50)="Aço Inoxidável",('Densidade do AR'!$S$8*1000000),IF(INDEX($A$5:$BP$257,MATCH(EW202,$BN$5:$BN$257,0),50)="Ferro Fundido",('Densidade do AR'!$S$12*1000000),IF(INDEX($A$5:$BP$257,MATCH(EW202,$BN$5:$BN$257,0),50)="Latão",('Densidade do AR'!$S$10*1000000),IF(INDEX($A$5:$BP$257,MATCH(EW202,$BN$5:$BN$257,0),50)="Alumínio",('Densidade do AR'!$S$4*1000000)))))))</f>
        <v>-</v>
      </c>
      <c r="EZ202" s="739"/>
      <c r="FA202" s="739"/>
      <c r="FB202" s="740"/>
      <c r="FC202" s="741" t="str">
        <f t="shared" si="81"/>
        <v>-</v>
      </c>
      <c r="FD202" s="742"/>
      <c r="FE202" s="742"/>
      <c r="FF202" s="743"/>
      <c r="FG202" s="741" t="str">
        <f t="shared" si="70"/>
        <v>-</v>
      </c>
      <c r="FH202" s="742"/>
      <c r="FI202" s="742"/>
      <c r="FJ202" s="743"/>
      <c r="FK202" s="744" t="str">
        <f t="shared" si="82"/>
        <v>-</v>
      </c>
      <c r="FL202" s="739"/>
      <c r="FM202" s="739"/>
      <c r="FN202" s="740"/>
      <c r="FO202" s="744" t="str">
        <f t="shared" si="71"/>
        <v>-</v>
      </c>
      <c r="FP202" s="739"/>
      <c r="FQ202" s="739"/>
      <c r="FR202" s="740"/>
      <c r="FS202" s="744" t="str">
        <f>IF(EW202="","-",INDEX($A$5:$BP$257,MATCH(EW202,$BN$5:$BN$257,0),39)*(IF(EW202="","-",(1+(((-('Densidade do AR'!$M$4))+('Densidade do AR'!$T$15*1000000))/(IF(INDEX($A$5:$BP$257,MATCH(EW202,$BN$5:$BN$257,0),50)="Aço Inoxidável",('Densidade do AR'!$S$8*1000000),IF(INDEX($A$5:$BP$257,MATCH(EW202,$BN$5:$BN$257,0),50)="Ferro Fundido",('Densidade do AR'!$S$12*1000000),IF(INDEX($A$5:$BP$257,MATCH(EW202,$BN$5:$BN$257,0),50)="Latão",('Densidade do AR'!$S$10*1000000),IF(INDEX($A$5:$BP$257,MATCH(EW202,$BN$5:$BN$257,0),50)="Alumínio",('Densidade do AR'!$S$4*1000000)))))))-(((-('Densidade do AR'!$M$4))+('Densidade do AR'!$T$15*1000000))/('Densidade do AR'!$S$14*1000000))))))</f>
        <v>-</v>
      </c>
      <c r="FT202" s="739"/>
      <c r="FU202" s="739"/>
      <c r="FV202" s="745"/>
      <c r="FW202" s="91" t="str">
        <f t="shared" si="83"/>
        <v>-</v>
      </c>
      <c r="FX202" s="135"/>
    </row>
    <row r="203" spans="1:180" ht="12.75" customHeight="1" x14ac:dyDescent="0.2">
      <c r="A203" s="717">
        <v>199</v>
      </c>
      <c r="B203" s="713"/>
      <c r="C203" s="708"/>
      <c r="D203" s="709"/>
      <c r="E203" s="709"/>
      <c r="F203" s="709"/>
      <c r="G203" s="710"/>
      <c r="H203" s="711"/>
      <c r="I203" s="712"/>
      <c r="J203" s="712"/>
      <c r="K203" s="713"/>
      <c r="L203" s="708"/>
      <c r="M203" s="709"/>
      <c r="N203" s="709"/>
      <c r="O203" s="709"/>
      <c r="P203" s="708"/>
      <c r="Q203" s="709"/>
      <c r="R203" s="709"/>
      <c r="S203" s="709"/>
      <c r="T203" s="710"/>
      <c r="U203" s="714"/>
      <c r="V203" s="715"/>
      <c r="W203" s="715"/>
      <c r="X203" s="715"/>
      <c r="Y203" s="715"/>
      <c r="Z203" s="715"/>
      <c r="AA203" s="716"/>
      <c r="AB203" s="850"/>
      <c r="AC203" s="851"/>
      <c r="AD203" s="851"/>
      <c r="AE203" s="851"/>
      <c r="AF203" s="851"/>
      <c r="AG203" s="851"/>
      <c r="AH203" s="851"/>
      <c r="AI203" s="851"/>
      <c r="AJ203" s="851"/>
      <c r="AK203" s="851"/>
      <c r="AL203" s="852"/>
      <c r="AM203" s="917"/>
      <c r="AN203" s="712"/>
      <c r="AO203" s="712"/>
      <c r="AP203" s="712"/>
      <c r="AQ203" s="712"/>
      <c r="AR203" s="712"/>
      <c r="AS203" s="713"/>
      <c r="AT203" s="917"/>
      <c r="AU203" s="712"/>
      <c r="AV203" s="712"/>
      <c r="AW203" s="713"/>
      <c r="AX203" s="917"/>
      <c r="AY203" s="712"/>
      <c r="AZ203" s="712"/>
      <c r="BA203" s="712"/>
      <c r="BB203" s="712"/>
      <c r="BC203" s="713"/>
      <c r="BD203" s="917"/>
      <c r="BE203" s="712"/>
      <c r="BF203" s="712"/>
      <c r="BG203" s="713"/>
      <c r="BH203" s="918"/>
      <c r="BI203" s="712"/>
      <c r="BJ203" s="712"/>
      <c r="BK203" s="712"/>
      <c r="BL203" s="910"/>
      <c r="BN203" s="878"/>
      <c r="BO203" s="879"/>
      <c r="BP203" s="880"/>
      <c r="BT203" s="794"/>
      <c r="BU203" s="795"/>
      <c r="BV203" s="784" t="str">
        <f>IF(BT203="","-",(IF(INDEX($A$5:$BP$257,MATCH(BT203,$BN$5:$BN$257,0),50)="Aço Inoxidável",('Densidade do AR'!$S$8*1000000),IF(INDEX($A$5:$BP$257,MATCH(BT203,$BN$5:$BN$257,0),50)="Ferro Fundido",('Densidade do AR'!$S$12*1000000),IF(INDEX($A$5:$BP$257,MATCH(BT203,$BN$5:$BN$257,0),50)="Latão",('Densidade do AR'!$S$10*1000000),IF(INDEX($A$5:$BP$257,MATCH(BT203,$BN$5:$BN$257,0),50)="Alumínio",('Densidade do AR'!$S$4*1000000)))))))</f>
        <v>-</v>
      </c>
      <c r="BW203" s="785"/>
      <c r="BX203" s="785"/>
      <c r="BY203" s="786"/>
      <c r="BZ203" s="787" t="str">
        <f t="shared" si="72"/>
        <v>-</v>
      </c>
      <c r="CA203" s="788"/>
      <c r="CB203" s="788"/>
      <c r="CC203" s="789"/>
      <c r="CD203" s="787" t="str">
        <f t="shared" si="64"/>
        <v>-</v>
      </c>
      <c r="CE203" s="788"/>
      <c r="CF203" s="788"/>
      <c r="CG203" s="789"/>
      <c r="CH203" s="790" t="str">
        <f t="shared" si="73"/>
        <v>-</v>
      </c>
      <c r="CI203" s="785"/>
      <c r="CJ203" s="785"/>
      <c r="CK203" s="786"/>
      <c r="CL203" s="790" t="str">
        <f t="shared" si="65"/>
        <v>-</v>
      </c>
      <c r="CM203" s="785"/>
      <c r="CN203" s="785"/>
      <c r="CO203" s="786"/>
      <c r="CP203" s="790" t="str">
        <f>IF(BT203="","-",INDEX($A$5:$BP$257,MATCH(BT203,$BN$5:$BN$257,0),39)*(IF(BT203="","-",(1+(((-('Densidade do AR'!$M$4))+('Densidade do AR'!$T$15*1000000))/(IF(INDEX($A$5:$BP$257,MATCH(BT203,$BN$5:$BN$257,0),50)="Aço Inoxidável",('Densidade do AR'!$S$8*1000000),IF(INDEX($A$5:$BP$257,MATCH(BT203,$BN$5:$BN$257,0),50)="Ferro Fundido",('Densidade do AR'!$S$12*1000000),IF(INDEX($A$5:$BP$257,MATCH(BT203,$BN$5:$BN$257,0),50)="Latão",('Densidade do AR'!$S$10*1000000),IF(INDEX($A$5:$BP$257,MATCH(BT203,$BN$5:$BN$257,0),50)="Alumínio",('Densidade do AR'!$S$4*1000000)))))))-(((-('Densidade do AR'!$M$4))+('Densidade do AR'!$T$15*1000000))/('Densidade do AR'!$S$14*1000000))))))</f>
        <v>-</v>
      </c>
      <c r="CQ203" s="785"/>
      <c r="CR203" s="785"/>
      <c r="CS203" s="791"/>
      <c r="CT203" s="91" t="str">
        <f t="shared" si="74"/>
        <v>-</v>
      </c>
      <c r="CU203" s="794"/>
      <c r="CV203" s="795"/>
      <c r="CW203" s="784" t="str">
        <f>IF(CU203="","-",(IF(INDEX($A$5:$BP$257,MATCH(CU203,$BN$5:$BN$257,0),50)="Aço Inoxidável",('Densidade do AR'!$S$8*1000000),IF(INDEX($A$5:$BP$257,MATCH(CU203,$BN$5:$BN$257,0),50)="Ferro Fundido",('Densidade do AR'!$S$12*1000000),IF(INDEX($A$5:$BP$257,MATCH(CU203,$BN$5:$BN$257,0),50)="Latão",('Densidade do AR'!$S$10*1000000),IF(INDEX($A$5:$BP$257,MATCH(CU203,$BN$5:$BN$257,0),50)="Alumínio",('Densidade do AR'!$S$4*1000000)))))))</f>
        <v>-</v>
      </c>
      <c r="CX203" s="785"/>
      <c r="CY203" s="785"/>
      <c r="CZ203" s="786"/>
      <c r="DA203" s="787" t="str">
        <f t="shared" si="75"/>
        <v>-</v>
      </c>
      <c r="DB203" s="788"/>
      <c r="DC203" s="788"/>
      <c r="DD203" s="789"/>
      <c r="DE203" s="787" t="str">
        <f t="shared" si="66"/>
        <v>-</v>
      </c>
      <c r="DF203" s="788"/>
      <c r="DG203" s="788"/>
      <c r="DH203" s="789"/>
      <c r="DI203" s="790" t="str">
        <f t="shared" si="76"/>
        <v>-</v>
      </c>
      <c r="DJ203" s="785"/>
      <c r="DK203" s="785"/>
      <c r="DL203" s="786"/>
      <c r="DM203" s="790" t="str">
        <f t="shared" si="67"/>
        <v>-</v>
      </c>
      <c r="DN203" s="785"/>
      <c r="DO203" s="785"/>
      <c r="DP203" s="786"/>
      <c r="DQ203" s="790" t="str">
        <f>IF(CU203="","-",INDEX($A$5:$BP$257,MATCH(CU203,$BN$5:$BN$257,0),39)*(IF(CU203="","-",(1+(((-('Densidade do AR'!$M$4))+('Densidade do AR'!$T$15*1000000))/(IF(INDEX($A$5:$BP$257,MATCH(CU203,$BN$5:$BN$257,0),50)="Aço Inoxidável",('Densidade do AR'!$S$8*1000000),IF(INDEX($A$5:$BP$257,MATCH(CU203,$BN$5:$BN$257,0),50)="Ferro Fundido",('Densidade do AR'!$S$12*1000000),IF(INDEX($A$5:$BP$257,MATCH(CU203,$BN$5:$BN$257,0),50)="Latão",('Densidade do AR'!$S$10*1000000),IF(INDEX($A$5:$BP$257,MATCH(CU203,$BN$5:$BN$257,0),50)="Alumínio",('Densidade do AR'!$S$4*1000000)))))))-(((-('Densidade do AR'!$M$4))+('Densidade do AR'!$T$15*1000000))/('Densidade do AR'!$S$14*1000000))))))</f>
        <v>-</v>
      </c>
      <c r="DR203" s="785"/>
      <c r="DS203" s="785"/>
      <c r="DT203" s="791"/>
      <c r="DU203" s="91" t="str">
        <f t="shared" si="77"/>
        <v>-</v>
      </c>
      <c r="DV203" s="794"/>
      <c r="DW203" s="795"/>
      <c r="DX203" s="784" t="str">
        <f>IF(DV203="","-",(IF(INDEX($A$5:$BP$257,MATCH(DV203,$BN$5:$BN$257,0),50)="Aço Inoxidável",('Densidade do AR'!$S$8*1000000),IF(INDEX($A$5:$BP$257,MATCH(DV203,$BN$5:$BN$257,0),50)="Ferro Fundido",('Densidade do AR'!$S$12*1000000),IF(INDEX($A$5:$BP$257,MATCH(DV203,$BN$5:$BN$257,0),50)="Latão",('Densidade do AR'!$S$10*1000000),IF(INDEX($A$5:$BP$257,MATCH(DV203,$BN$5:$BN$257,0),50)="Alumínio",('Densidade do AR'!$S$4*1000000)))))))</f>
        <v>-</v>
      </c>
      <c r="DY203" s="785"/>
      <c r="DZ203" s="785"/>
      <c r="EA203" s="786"/>
      <c r="EB203" s="787" t="str">
        <f t="shared" si="78"/>
        <v>-</v>
      </c>
      <c r="EC203" s="788"/>
      <c r="ED203" s="788"/>
      <c r="EE203" s="789"/>
      <c r="EF203" s="787" t="str">
        <f t="shared" si="68"/>
        <v>-</v>
      </c>
      <c r="EG203" s="788"/>
      <c r="EH203" s="788"/>
      <c r="EI203" s="789"/>
      <c r="EJ203" s="790" t="str">
        <f t="shared" si="79"/>
        <v>-</v>
      </c>
      <c r="EK203" s="785"/>
      <c r="EL203" s="785"/>
      <c r="EM203" s="786"/>
      <c r="EN203" s="790" t="str">
        <f t="shared" si="69"/>
        <v>-</v>
      </c>
      <c r="EO203" s="785"/>
      <c r="EP203" s="785"/>
      <c r="EQ203" s="786"/>
      <c r="ER203" s="790" t="str">
        <f>IF(DV203="","-",INDEX($A$5:$BP$257,MATCH(DV203,$BN$5:$BN$257,0),39)*(IF(DV203="","-",(1+(((-('Densidade do AR'!$M$4))+('Densidade do AR'!$T$15*1000000))/(IF(INDEX($A$5:$BP$257,MATCH(DV203,$BN$5:$BN$257,0),50)="Aço Inoxidável",('Densidade do AR'!$S$8*1000000),IF(INDEX($A$5:$BP$257,MATCH(DV203,$BN$5:$BN$257,0),50)="Ferro Fundido",('Densidade do AR'!$S$12*1000000),IF(INDEX($A$5:$BP$257,MATCH(DV203,$BN$5:$BN$257,0),50)="Latão",('Densidade do AR'!$S$10*1000000),IF(INDEX($A$5:$BP$257,MATCH(DV203,$BN$5:$BN$257,0),50)="Alumínio",('Densidade do AR'!$S$4*1000000)))))))-(((-('Densidade do AR'!$M$4))+('Densidade do AR'!$T$15*1000000))/('Densidade do AR'!$S$14*1000000))))))</f>
        <v>-</v>
      </c>
      <c r="ES203" s="785"/>
      <c r="ET203" s="785"/>
      <c r="EU203" s="791"/>
      <c r="EV203" s="91" t="str">
        <f t="shared" si="80"/>
        <v>-</v>
      </c>
      <c r="EW203" s="794"/>
      <c r="EX203" s="795"/>
      <c r="EY203" s="784" t="str">
        <f>IF(EW203="","-",(IF(INDEX($A$5:$BP$257,MATCH(EW203,$BN$5:$BN$257,0),50)="Aço Inoxidável",('Densidade do AR'!$S$8*1000000),IF(INDEX($A$5:$BP$257,MATCH(EW203,$BN$5:$BN$257,0),50)="Ferro Fundido",('Densidade do AR'!$S$12*1000000),IF(INDEX($A$5:$BP$257,MATCH(EW203,$BN$5:$BN$257,0),50)="Latão",('Densidade do AR'!$S$10*1000000),IF(INDEX($A$5:$BP$257,MATCH(EW203,$BN$5:$BN$257,0),50)="Alumínio",('Densidade do AR'!$S$4*1000000)))))))</f>
        <v>-</v>
      </c>
      <c r="EZ203" s="785"/>
      <c r="FA203" s="785"/>
      <c r="FB203" s="786"/>
      <c r="FC203" s="787" t="str">
        <f t="shared" si="81"/>
        <v>-</v>
      </c>
      <c r="FD203" s="788"/>
      <c r="FE203" s="788"/>
      <c r="FF203" s="789"/>
      <c r="FG203" s="787" t="str">
        <f t="shared" si="70"/>
        <v>-</v>
      </c>
      <c r="FH203" s="788"/>
      <c r="FI203" s="788"/>
      <c r="FJ203" s="789"/>
      <c r="FK203" s="790" t="str">
        <f t="shared" si="82"/>
        <v>-</v>
      </c>
      <c r="FL203" s="785"/>
      <c r="FM203" s="785"/>
      <c r="FN203" s="786"/>
      <c r="FO203" s="790" t="str">
        <f t="shared" si="71"/>
        <v>-</v>
      </c>
      <c r="FP203" s="785"/>
      <c r="FQ203" s="785"/>
      <c r="FR203" s="786"/>
      <c r="FS203" s="790" t="str">
        <f>IF(EW203="","-",INDEX($A$5:$BP$257,MATCH(EW203,$BN$5:$BN$257,0),39)*(IF(EW203="","-",(1+(((-('Densidade do AR'!$M$4))+('Densidade do AR'!$T$15*1000000))/(IF(INDEX($A$5:$BP$257,MATCH(EW203,$BN$5:$BN$257,0),50)="Aço Inoxidável",('Densidade do AR'!$S$8*1000000),IF(INDEX($A$5:$BP$257,MATCH(EW203,$BN$5:$BN$257,0),50)="Ferro Fundido",('Densidade do AR'!$S$12*1000000),IF(INDEX($A$5:$BP$257,MATCH(EW203,$BN$5:$BN$257,0),50)="Latão",('Densidade do AR'!$S$10*1000000),IF(INDEX($A$5:$BP$257,MATCH(EW203,$BN$5:$BN$257,0),50)="Alumínio",('Densidade do AR'!$S$4*1000000)))))))-(((-('Densidade do AR'!$M$4))+('Densidade do AR'!$T$15*1000000))/('Densidade do AR'!$S$14*1000000))))))</f>
        <v>-</v>
      </c>
      <c r="FT203" s="785"/>
      <c r="FU203" s="785"/>
      <c r="FV203" s="791"/>
      <c r="FW203" s="91" t="str">
        <f t="shared" si="83"/>
        <v>-</v>
      </c>
      <c r="FX203" s="135"/>
    </row>
    <row r="204" spans="1:180" ht="12.75" customHeight="1" x14ac:dyDescent="0.2">
      <c r="A204" s="718">
        <v>200</v>
      </c>
      <c r="B204" s="713"/>
      <c r="C204" s="719"/>
      <c r="D204" s="709"/>
      <c r="E204" s="709"/>
      <c r="F204" s="709"/>
      <c r="G204" s="710"/>
      <c r="H204" s="720"/>
      <c r="I204" s="712"/>
      <c r="J204" s="712"/>
      <c r="K204" s="713"/>
      <c r="L204" s="719"/>
      <c r="M204" s="709"/>
      <c r="N204" s="709"/>
      <c r="O204" s="709"/>
      <c r="P204" s="719"/>
      <c r="Q204" s="709"/>
      <c r="R204" s="709"/>
      <c r="S204" s="709"/>
      <c r="T204" s="710"/>
      <c r="U204" s="721"/>
      <c r="V204" s="722"/>
      <c r="W204" s="722"/>
      <c r="X204" s="722"/>
      <c r="Y204" s="722"/>
      <c r="Z204" s="722"/>
      <c r="AA204" s="723"/>
      <c r="AB204" s="853"/>
      <c r="AC204" s="854"/>
      <c r="AD204" s="854"/>
      <c r="AE204" s="854"/>
      <c r="AF204" s="854"/>
      <c r="AG204" s="854"/>
      <c r="AH204" s="854"/>
      <c r="AI204" s="854"/>
      <c r="AJ204" s="854"/>
      <c r="AK204" s="854"/>
      <c r="AL204" s="855"/>
      <c r="AM204" s="909"/>
      <c r="AN204" s="712"/>
      <c r="AO204" s="712"/>
      <c r="AP204" s="712"/>
      <c r="AQ204" s="712"/>
      <c r="AR204" s="712"/>
      <c r="AS204" s="713"/>
      <c r="AT204" s="909"/>
      <c r="AU204" s="712"/>
      <c r="AV204" s="712"/>
      <c r="AW204" s="713"/>
      <c r="AX204" s="908"/>
      <c r="AY204" s="712"/>
      <c r="AZ204" s="712"/>
      <c r="BA204" s="712"/>
      <c r="BB204" s="712"/>
      <c r="BC204" s="713"/>
      <c r="BD204" s="909"/>
      <c r="BE204" s="712"/>
      <c r="BF204" s="712"/>
      <c r="BG204" s="713"/>
      <c r="BH204" s="908"/>
      <c r="BI204" s="712"/>
      <c r="BJ204" s="712"/>
      <c r="BK204" s="712"/>
      <c r="BL204" s="910"/>
      <c r="BN204" s="881"/>
      <c r="BO204" s="882"/>
      <c r="BP204" s="883"/>
      <c r="BT204" s="792"/>
      <c r="BU204" s="796"/>
      <c r="BV204" s="744" t="str">
        <f>IF(BT204="","-",(IF(INDEX($A$5:$BP$257,MATCH(BT204,$BN$5:$BN$257,0),50)="Aço Inoxidável",('Densidade do AR'!$S$8*1000000),IF(INDEX($A$5:$BP$257,MATCH(BT204,$BN$5:$BN$257,0),50)="Ferro Fundido",('Densidade do AR'!$S$12*1000000),IF(INDEX($A$5:$BP$257,MATCH(BT204,$BN$5:$BN$257,0),50)="Latão",('Densidade do AR'!$S$10*1000000),IF(INDEX($A$5:$BP$257,MATCH(BT204,$BN$5:$BN$257,0),50)="Alumínio",('Densidade do AR'!$S$4*1000000)))))))</f>
        <v>-</v>
      </c>
      <c r="BW204" s="739"/>
      <c r="BX204" s="739"/>
      <c r="BY204" s="740"/>
      <c r="BZ204" s="741" t="str">
        <f t="shared" si="72"/>
        <v>-</v>
      </c>
      <c r="CA204" s="742"/>
      <c r="CB204" s="742"/>
      <c r="CC204" s="743"/>
      <c r="CD204" s="741" t="str">
        <f t="shared" si="64"/>
        <v>-</v>
      </c>
      <c r="CE204" s="742"/>
      <c r="CF204" s="742"/>
      <c r="CG204" s="743"/>
      <c r="CH204" s="744" t="str">
        <f t="shared" si="73"/>
        <v>-</v>
      </c>
      <c r="CI204" s="739"/>
      <c r="CJ204" s="739"/>
      <c r="CK204" s="740"/>
      <c r="CL204" s="744" t="str">
        <f t="shared" si="65"/>
        <v>-</v>
      </c>
      <c r="CM204" s="739"/>
      <c r="CN204" s="739"/>
      <c r="CO204" s="740"/>
      <c r="CP204" s="744" t="str">
        <f>IF(BT204="","-",INDEX($A$5:$BP$257,MATCH(BT204,$BN$5:$BN$257,0),39)*(IF(BT204="","-",(1+(((-('Densidade do AR'!$M$4))+('Densidade do AR'!$T$15*1000000))/(IF(INDEX($A$5:$BP$257,MATCH(BT204,$BN$5:$BN$257,0),50)="Aço Inoxidável",('Densidade do AR'!$S$8*1000000),IF(INDEX($A$5:$BP$257,MATCH(BT204,$BN$5:$BN$257,0),50)="Ferro Fundido",('Densidade do AR'!$S$12*1000000),IF(INDEX($A$5:$BP$257,MATCH(BT204,$BN$5:$BN$257,0),50)="Latão",('Densidade do AR'!$S$10*1000000),IF(INDEX($A$5:$BP$257,MATCH(BT204,$BN$5:$BN$257,0),50)="Alumínio",('Densidade do AR'!$S$4*1000000)))))))-(((-('Densidade do AR'!$M$4))+('Densidade do AR'!$T$15*1000000))/('Densidade do AR'!$S$14*1000000))))))</f>
        <v>-</v>
      </c>
      <c r="CQ204" s="739"/>
      <c r="CR204" s="739"/>
      <c r="CS204" s="745"/>
      <c r="CT204" s="91" t="str">
        <f t="shared" si="74"/>
        <v>-</v>
      </c>
      <c r="CU204" s="792"/>
      <c r="CV204" s="796"/>
      <c r="CW204" s="744" t="str">
        <f>IF(CU204="","-",(IF(INDEX($A$5:$BP$257,MATCH(CU204,$BN$5:$BN$257,0),50)="Aço Inoxidável",('Densidade do AR'!$S$8*1000000),IF(INDEX($A$5:$BP$257,MATCH(CU204,$BN$5:$BN$257,0),50)="Ferro Fundido",('Densidade do AR'!$S$12*1000000),IF(INDEX($A$5:$BP$257,MATCH(CU204,$BN$5:$BN$257,0),50)="Latão",('Densidade do AR'!$S$10*1000000),IF(INDEX($A$5:$BP$257,MATCH(CU204,$BN$5:$BN$257,0),50)="Alumínio",('Densidade do AR'!$S$4*1000000)))))))</f>
        <v>-</v>
      </c>
      <c r="CX204" s="739"/>
      <c r="CY204" s="739"/>
      <c r="CZ204" s="740"/>
      <c r="DA204" s="741" t="str">
        <f t="shared" si="75"/>
        <v>-</v>
      </c>
      <c r="DB204" s="742"/>
      <c r="DC204" s="742"/>
      <c r="DD204" s="743"/>
      <c r="DE204" s="741" t="str">
        <f t="shared" si="66"/>
        <v>-</v>
      </c>
      <c r="DF204" s="742"/>
      <c r="DG204" s="742"/>
      <c r="DH204" s="743"/>
      <c r="DI204" s="744" t="str">
        <f t="shared" si="76"/>
        <v>-</v>
      </c>
      <c r="DJ204" s="739"/>
      <c r="DK204" s="739"/>
      <c r="DL204" s="740"/>
      <c r="DM204" s="744" t="str">
        <f t="shared" si="67"/>
        <v>-</v>
      </c>
      <c r="DN204" s="739"/>
      <c r="DO204" s="739"/>
      <c r="DP204" s="740"/>
      <c r="DQ204" s="744" t="str">
        <f>IF(CU204="","-",INDEX($A$5:$BP$257,MATCH(CU204,$BN$5:$BN$257,0),39)*(IF(CU204="","-",(1+(((-('Densidade do AR'!$M$4))+('Densidade do AR'!$T$15*1000000))/(IF(INDEX($A$5:$BP$257,MATCH(CU204,$BN$5:$BN$257,0),50)="Aço Inoxidável",('Densidade do AR'!$S$8*1000000),IF(INDEX($A$5:$BP$257,MATCH(CU204,$BN$5:$BN$257,0),50)="Ferro Fundido",('Densidade do AR'!$S$12*1000000),IF(INDEX($A$5:$BP$257,MATCH(CU204,$BN$5:$BN$257,0),50)="Latão",('Densidade do AR'!$S$10*1000000),IF(INDEX($A$5:$BP$257,MATCH(CU204,$BN$5:$BN$257,0),50)="Alumínio",('Densidade do AR'!$S$4*1000000)))))))-(((-('Densidade do AR'!$M$4))+('Densidade do AR'!$T$15*1000000))/('Densidade do AR'!$S$14*1000000))))))</f>
        <v>-</v>
      </c>
      <c r="DR204" s="739"/>
      <c r="DS204" s="739"/>
      <c r="DT204" s="745"/>
      <c r="DU204" s="91" t="str">
        <f t="shared" si="77"/>
        <v>-</v>
      </c>
      <c r="DV204" s="792"/>
      <c r="DW204" s="796"/>
      <c r="DX204" s="744" t="str">
        <f>IF(DV204="","-",(IF(INDEX($A$5:$BP$257,MATCH(DV204,$BN$5:$BN$257,0),50)="Aço Inoxidável",('Densidade do AR'!$S$8*1000000),IF(INDEX($A$5:$BP$257,MATCH(DV204,$BN$5:$BN$257,0),50)="Ferro Fundido",('Densidade do AR'!$S$12*1000000),IF(INDEX($A$5:$BP$257,MATCH(DV204,$BN$5:$BN$257,0),50)="Latão",('Densidade do AR'!$S$10*1000000),IF(INDEX($A$5:$BP$257,MATCH(DV204,$BN$5:$BN$257,0),50)="Alumínio",('Densidade do AR'!$S$4*1000000)))))))</f>
        <v>-</v>
      </c>
      <c r="DY204" s="739"/>
      <c r="DZ204" s="739"/>
      <c r="EA204" s="740"/>
      <c r="EB204" s="741" t="str">
        <f t="shared" si="78"/>
        <v>-</v>
      </c>
      <c r="EC204" s="742"/>
      <c r="ED204" s="742"/>
      <c r="EE204" s="743"/>
      <c r="EF204" s="741" t="str">
        <f t="shared" si="68"/>
        <v>-</v>
      </c>
      <c r="EG204" s="742"/>
      <c r="EH204" s="742"/>
      <c r="EI204" s="743"/>
      <c r="EJ204" s="744" t="str">
        <f t="shared" si="79"/>
        <v>-</v>
      </c>
      <c r="EK204" s="739"/>
      <c r="EL204" s="739"/>
      <c r="EM204" s="740"/>
      <c r="EN204" s="744" t="str">
        <f t="shared" si="69"/>
        <v>-</v>
      </c>
      <c r="EO204" s="739"/>
      <c r="EP204" s="739"/>
      <c r="EQ204" s="740"/>
      <c r="ER204" s="744" t="str">
        <f>IF(DV204="","-",INDEX($A$5:$BP$257,MATCH(DV204,$BN$5:$BN$257,0),39)*(IF(DV204="","-",(1+(((-('Densidade do AR'!$M$4))+('Densidade do AR'!$T$15*1000000))/(IF(INDEX($A$5:$BP$257,MATCH(DV204,$BN$5:$BN$257,0),50)="Aço Inoxidável",('Densidade do AR'!$S$8*1000000),IF(INDEX($A$5:$BP$257,MATCH(DV204,$BN$5:$BN$257,0),50)="Ferro Fundido",('Densidade do AR'!$S$12*1000000),IF(INDEX($A$5:$BP$257,MATCH(DV204,$BN$5:$BN$257,0),50)="Latão",('Densidade do AR'!$S$10*1000000),IF(INDEX($A$5:$BP$257,MATCH(DV204,$BN$5:$BN$257,0),50)="Alumínio",('Densidade do AR'!$S$4*1000000)))))))-(((-('Densidade do AR'!$M$4))+('Densidade do AR'!$T$15*1000000))/('Densidade do AR'!$S$14*1000000))))))</f>
        <v>-</v>
      </c>
      <c r="ES204" s="739"/>
      <c r="ET204" s="739"/>
      <c r="EU204" s="745"/>
      <c r="EV204" s="91" t="str">
        <f t="shared" si="80"/>
        <v>-</v>
      </c>
      <c r="EW204" s="792"/>
      <c r="EX204" s="796"/>
      <c r="EY204" s="744" t="str">
        <f>IF(EW204="","-",(IF(INDEX($A$5:$BP$257,MATCH(EW204,$BN$5:$BN$257,0),50)="Aço Inoxidável",('Densidade do AR'!$S$8*1000000),IF(INDEX($A$5:$BP$257,MATCH(EW204,$BN$5:$BN$257,0),50)="Ferro Fundido",('Densidade do AR'!$S$12*1000000),IF(INDEX($A$5:$BP$257,MATCH(EW204,$BN$5:$BN$257,0),50)="Latão",('Densidade do AR'!$S$10*1000000),IF(INDEX($A$5:$BP$257,MATCH(EW204,$BN$5:$BN$257,0),50)="Alumínio",('Densidade do AR'!$S$4*1000000)))))))</f>
        <v>-</v>
      </c>
      <c r="EZ204" s="739"/>
      <c r="FA204" s="739"/>
      <c r="FB204" s="740"/>
      <c r="FC204" s="741" t="str">
        <f t="shared" si="81"/>
        <v>-</v>
      </c>
      <c r="FD204" s="742"/>
      <c r="FE204" s="742"/>
      <c r="FF204" s="743"/>
      <c r="FG204" s="741" t="str">
        <f t="shared" si="70"/>
        <v>-</v>
      </c>
      <c r="FH204" s="742"/>
      <c r="FI204" s="742"/>
      <c r="FJ204" s="743"/>
      <c r="FK204" s="744" t="str">
        <f t="shared" si="82"/>
        <v>-</v>
      </c>
      <c r="FL204" s="739"/>
      <c r="FM204" s="739"/>
      <c r="FN204" s="740"/>
      <c r="FO204" s="744" t="str">
        <f t="shared" si="71"/>
        <v>-</v>
      </c>
      <c r="FP204" s="739"/>
      <c r="FQ204" s="739"/>
      <c r="FR204" s="740"/>
      <c r="FS204" s="744" t="str">
        <f>IF(EW204="","-",INDEX($A$5:$BP$257,MATCH(EW204,$BN$5:$BN$257,0),39)*(IF(EW204="","-",(1+(((-('Densidade do AR'!$M$4))+('Densidade do AR'!$T$15*1000000))/(IF(INDEX($A$5:$BP$257,MATCH(EW204,$BN$5:$BN$257,0),50)="Aço Inoxidável",('Densidade do AR'!$S$8*1000000),IF(INDEX($A$5:$BP$257,MATCH(EW204,$BN$5:$BN$257,0),50)="Ferro Fundido",('Densidade do AR'!$S$12*1000000),IF(INDEX($A$5:$BP$257,MATCH(EW204,$BN$5:$BN$257,0),50)="Latão",('Densidade do AR'!$S$10*1000000),IF(INDEX($A$5:$BP$257,MATCH(EW204,$BN$5:$BN$257,0),50)="Alumínio",('Densidade do AR'!$S$4*1000000)))))))-(((-('Densidade do AR'!$M$4))+('Densidade do AR'!$T$15*1000000))/('Densidade do AR'!$S$14*1000000))))))</f>
        <v>-</v>
      </c>
      <c r="FT204" s="739"/>
      <c r="FU204" s="739"/>
      <c r="FV204" s="745"/>
      <c r="FW204" s="91" t="str">
        <f t="shared" si="83"/>
        <v>-</v>
      </c>
      <c r="FX204" s="135"/>
    </row>
    <row r="205" spans="1:180" ht="12.75" customHeight="1" x14ac:dyDescent="0.2">
      <c r="A205" s="717">
        <v>201</v>
      </c>
      <c r="B205" s="713"/>
      <c r="C205" s="708"/>
      <c r="D205" s="709"/>
      <c r="E205" s="709"/>
      <c r="F205" s="709"/>
      <c r="G205" s="710"/>
      <c r="H205" s="711"/>
      <c r="I205" s="712"/>
      <c r="J205" s="712"/>
      <c r="K205" s="713"/>
      <c r="L205" s="708"/>
      <c r="M205" s="709"/>
      <c r="N205" s="709"/>
      <c r="O205" s="709"/>
      <c r="P205" s="708"/>
      <c r="Q205" s="709"/>
      <c r="R205" s="709"/>
      <c r="S205" s="709"/>
      <c r="T205" s="710"/>
      <c r="U205" s="714"/>
      <c r="V205" s="715"/>
      <c r="W205" s="715"/>
      <c r="X205" s="715"/>
      <c r="Y205" s="715"/>
      <c r="Z205" s="715"/>
      <c r="AA205" s="716"/>
      <c r="AB205" s="850"/>
      <c r="AC205" s="851"/>
      <c r="AD205" s="851"/>
      <c r="AE205" s="851"/>
      <c r="AF205" s="851"/>
      <c r="AG205" s="851"/>
      <c r="AH205" s="851"/>
      <c r="AI205" s="851"/>
      <c r="AJ205" s="851"/>
      <c r="AK205" s="851"/>
      <c r="AL205" s="852"/>
      <c r="AM205" s="917"/>
      <c r="AN205" s="712"/>
      <c r="AO205" s="712"/>
      <c r="AP205" s="712"/>
      <c r="AQ205" s="712"/>
      <c r="AR205" s="712"/>
      <c r="AS205" s="713"/>
      <c r="AT205" s="917"/>
      <c r="AU205" s="712"/>
      <c r="AV205" s="712"/>
      <c r="AW205" s="713"/>
      <c r="AX205" s="917"/>
      <c r="AY205" s="712"/>
      <c r="AZ205" s="712"/>
      <c r="BA205" s="712"/>
      <c r="BB205" s="712"/>
      <c r="BC205" s="713"/>
      <c r="BD205" s="917"/>
      <c r="BE205" s="712"/>
      <c r="BF205" s="712"/>
      <c r="BG205" s="713"/>
      <c r="BH205" s="918"/>
      <c r="BI205" s="712"/>
      <c r="BJ205" s="712"/>
      <c r="BK205" s="712"/>
      <c r="BL205" s="910"/>
      <c r="BN205" s="878"/>
      <c r="BO205" s="879"/>
      <c r="BP205" s="880"/>
      <c r="BT205" s="815"/>
      <c r="BU205" s="816"/>
      <c r="BV205" s="784" t="str">
        <f>IF(BT205="","-",(IF(INDEX($A$5:$BP$257,MATCH(BT205,$BN$5:$BN$257,0),50)="Aço Inoxidável",('Densidade do AR'!$S$8*1000000),IF(INDEX($A$5:$BP$257,MATCH(BT205,$BN$5:$BN$257,0),50)="Ferro Fundido",('Densidade do AR'!$S$12*1000000),IF(INDEX($A$5:$BP$257,MATCH(BT205,$BN$5:$BN$257,0),50)="Latão",('Densidade do AR'!$S$10*1000000),IF(INDEX($A$5:$BP$257,MATCH(BT205,$BN$5:$BN$257,0),50)="Alumínio",('Densidade do AR'!$S$4*1000000)))))))</f>
        <v>-</v>
      </c>
      <c r="BW205" s="785"/>
      <c r="BX205" s="785"/>
      <c r="BY205" s="786"/>
      <c r="BZ205" s="787" t="str">
        <f t="shared" si="72"/>
        <v>-</v>
      </c>
      <c r="CA205" s="788"/>
      <c r="CB205" s="788"/>
      <c r="CC205" s="789"/>
      <c r="CD205" s="787" t="str">
        <f t="shared" si="64"/>
        <v>-</v>
      </c>
      <c r="CE205" s="788"/>
      <c r="CF205" s="788"/>
      <c r="CG205" s="789"/>
      <c r="CH205" s="790" t="str">
        <f t="shared" si="73"/>
        <v>-</v>
      </c>
      <c r="CI205" s="785"/>
      <c r="CJ205" s="785"/>
      <c r="CK205" s="786"/>
      <c r="CL205" s="790" t="str">
        <f t="shared" si="65"/>
        <v>-</v>
      </c>
      <c r="CM205" s="785"/>
      <c r="CN205" s="785"/>
      <c r="CO205" s="786"/>
      <c r="CP205" s="790" t="str">
        <f>IF(BT205="","-",INDEX($A$5:$BP$257,MATCH(BT205,$BN$5:$BN$257,0),39)*(IF(BT205="","-",(1+(((-('Densidade do AR'!$M$4))+('Densidade do AR'!$T$15*1000000))/(IF(INDEX($A$5:$BP$257,MATCH(BT205,$BN$5:$BN$257,0),50)="Aço Inoxidável",('Densidade do AR'!$S$8*1000000),IF(INDEX($A$5:$BP$257,MATCH(BT205,$BN$5:$BN$257,0),50)="Ferro Fundido",('Densidade do AR'!$S$12*1000000),IF(INDEX($A$5:$BP$257,MATCH(BT205,$BN$5:$BN$257,0),50)="Latão",('Densidade do AR'!$S$10*1000000),IF(INDEX($A$5:$BP$257,MATCH(BT205,$BN$5:$BN$257,0),50)="Alumínio",('Densidade do AR'!$S$4*1000000)))))))-(((-('Densidade do AR'!$M$4))+('Densidade do AR'!$T$15*1000000))/('Densidade do AR'!$S$14*1000000))))))</f>
        <v>-</v>
      </c>
      <c r="CQ205" s="785"/>
      <c r="CR205" s="785"/>
      <c r="CS205" s="791"/>
      <c r="CT205" s="91" t="str">
        <f t="shared" si="74"/>
        <v>-</v>
      </c>
      <c r="CU205" s="815"/>
      <c r="CV205" s="816"/>
      <c r="CW205" s="784" t="str">
        <f>IF(CU205="","-",(IF(INDEX($A$5:$BP$257,MATCH(CU205,$BN$5:$BN$257,0),50)="Aço Inoxidável",('Densidade do AR'!$S$8*1000000),IF(INDEX($A$5:$BP$257,MATCH(CU205,$BN$5:$BN$257,0),50)="Ferro Fundido",('Densidade do AR'!$S$12*1000000),IF(INDEX($A$5:$BP$257,MATCH(CU205,$BN$5:$BN$257,0),50)="Latão",('Densidade do AR'!$S$10*1000000),IF(INDEX($A$5:$BP$257,MATCH(CU205,$BN$5:$BN$257,0),50)="Alumínio",('Densidade do AR'!$S$4*1000000)))))))</f>
        <v>-</v>
      </c>
      <c r="CX205" s="785"/>
      <c r="CY205" s="785"/>
      <c r="CZ205" s="786"/>
      <c r="DA205" s="787" t="str">
        <f t="shared" si="75"/>
        <v>-</v>
      </c>
      <c r="DB205" s="788"/>
      <c r="DC205" s="788"/>
      <c r="DD205" s="789"/>
      <c r="DE205" s="787" t="str">
        <f t="shared" si="66"/>
        <v>-</v>
      </c>
      <c r="DF205" s="788"/>
      <c r="DG205" s="788"/>
      <c r="DH205" s="789"/>
      <c r="DI205" s="790" t="str">
        <f t="shared" si="76"/>
        <v>-</v>
      </c>
      <c r="DJ205" s="785"/>
      <c r="DK205" s="785"/>
      <c r="DL205" s="786"/>
      <c r="DM205" s="790" t="str">
        <f t="shared" si="67"/>
        <v>-</v>
      </c>
      <c r="DN205" s="785"/>
      <c r="DO205" s="785"/>
      <c r="DP205" s="786"/>
      <c r="DQ205" s="790" t="str">
        <f>IF(CU205="","-",INDEX($A$5:$BP$257,MATCH(CU205,$BN$5:$BN$257,0),39)*(IF(CU205="","-",(1+(((-('Densidade do AR'!$M$4))+('Densidade do AR'!$T$15*1000000))/(IF(INDEX($A$5:$BP$257,MATCH(CU205,$BN$5:$BN$257,0),50)="Aço Inoxidável",('Densidade do AR'!$S$8*1000000),IF(INDEX($A$5:$BP$257,MATCH(CU205,$BN$5:$BN$257,0),50)="Ferro Fundido",('Densidade do AR'!$S$12*1000000),IF(INDEX($A$5:$BP$257,MATCH(CU205,$BN$5:$BN$257,0),50)="Latão",('Densidade do AR'!$S$10*1000000),IF(INDEX($A$5:$BP$257,MATCH(CU205,$BN$5:$BN$257,0),50)="Alumínio",('Densidade do AR'!$S$4*1000000)))))))-(((-('Densidade do AR'!$M$4))+('Densidade do AR'!$T$15*1000000))/('Densidade do AR'!$S$14*1000000))))))</f>
        <v>-</v>
      </c>
      <c r="DR205" s="785"/>
      <c r="DS205" s="785"/>
      <c r="DT205" s="791"/>
      <c r="DU205" s="91" t="str">
        <f t="shared" si="77"/>
        <v>-</v>
      </c>
      <c r="DV205" s="815"/>
      <c r="DW205" s="816"/>
      <c r="DX205" s="784" t="str">
        <f>IF(DV205="","-",(IF(INDEX($A$5:$BP$257,MATCH(DV205,$BN$5:$BN$257,0),50)="Aço Inoxidável",('Densidade do AR'!$S$8*1000000),IF(INDEX($A$5:$BP$257,MATCH(DV205,$BN$5:$BN$257,0),50)="Ferro Fundido",('Densidade do AR'!$S$12*1000000),IF(INDEX($A$5:$BP$257,MATCH(DV205,$BN$5:$BN$257,0),50)="Latão",('Densidade do AR'!$S$10*1000000),IF(INDEX($A$5:$BP$257,MATCH(DV205,$BN$5:$BN$257,0),50)="Alumínio",('Densidade do AR'!$S$4*1000000)))))))</f>
        <v>-</v>
      </c>
      <c r="DY205" s="785"/>
      <c r="DZ205" s="785"/>
      <c r="EA205" s="786"/>
      <c r="EB205" s="787" t="str">
        <f t="shared" si="78"/>
        <v>-</v>
      </c>
      <c r="EC205" s="788"/>
      <c r="ED205" s="788"/>
      <c r="EE205" s="789"/>
      <c r="EF205" s="787" t="str">
        <f t="shared" si="68"/>
        <v>-</v>
      </c>
      <c r="EG205" s="788"/>
      <c r="EH205" s="788"/>
      <c r="EI205" s="789"/>
      <c r="EJ205" s="790" t="str">
        <f t="shared" si="79"/>
        <v>-</v>
      </c>
      <c r="EK205" s="785"/>
      <c r="EL205" s="785"/>
      <c r="EM205" s="786"/>
      <c r="EN205" s="790" t="str">
        <f t="shared" si="69"/>
        <v>-</v>
      </c>
      <c r="EO205" s="785"/>
      <c r="EP205" s="785"/>
      <c r="EQ205" s="786"/>
      <c r="ER205" s="790" t="str">
        <f>IF(DV205="","-",INDEX($A$5:$BP$257,MATCH(DV205,$BN$5:$BN$257,0),39)*(IF(DV205="","-",(1+(((-('Densidade do AR'!$M$4))+('Densidade do AR'!$T$15*1000000))/(IF(INDEX($A$5:$BP$257,MATCH(DV205,$BN$5:$BN$257,0),50)="Aço Inoxidável",('Densidade do AR'!$S$8*1000000),IF(INDEX($A$5:$BP$257,MATCH(DV205,$BN$5:$BN$257,0),50)="Ferro Fundido",('Densidade do AR'!$S$12*1000000),IF(INDEX($A$5:$BP$257,MATCH(DV205,$BN$5:$BN$257,0),50)="Latão",('Densidade do AR'!$S$10*1000000),IF(INDEX($A$5:$BP$257,MATCH(DV205,$BN$5:$BN$257,0),50)="Alumínio",('Densidade do AR'!$S$4*1000000)))))))-(((-('Densidade do AR'!$M$4))+('Densidade do AR'!$T$15*1000000))/('Densidade do AR'!$S$14*1000000))))))</f>
        <v>-</v>
      </c>
      <c r="ES205" s="785"/>
      <c r="ET205" s="785"/>
      <c r="EU205" s="791"/>
      <c r="EV205" s="91" t="str">
        <f t="shared" si="80"/>
        <v>-</v>
      </c>
      <c r="EW205" s="815"/>
      <c r="EX205" s="816"/>
      <c r="EY205" s="784" t="str">
        <f>IF(EW205="","-",(IF(INDEX($A$5:$BP$257,MATCH(EW205,$BN$5:$BN$257,0),50)="Aço Inoxidável",('Densidade do AR'!$S$8*1000000),IF(INDEX($A$5:$BP$257,MATCH(EW205,$BN$5:$BN$257,0),50)="Ferro Fundido",('Densidade do AR'!$S$12*1000000),IF(INDEX($A$5:$BP$257,MATCH(EW205,$BN$5:$BN$257,0),50)="Latão",('Densidade do AR'!$S$10*1000000),IF(INDEX($A$5:$BP$257,MATCH(EW205,$BN$5:$BN$257,0),50)="Alumínio",('Densidade do AR'!$S$4*1000000)))))))</f>
        <v>-</v>
      </c>
      <c r="EZ205" s="785"/>
      <c r="FA205" s="785"/>
      <c r="FB205" s="786"/>
      <c r="FC205" s="787" t="str">
        <f t="shared" si="81"/>
        <v>-</v>
      </c>
      <c r="FD205" s="788"/>
      <c r="FE205" s="788"/>
      <c r="FF205" s="789"/>
      <c r="FG205" s="787" t="str">
        <f t="shared" si="70"/>
        <v>-</v>
      </c>
      <c r="FH205" s="788"/>
      <c r="FI205" s="788"/>
      <c r="FJ205" s="789"/>
      <c r="FK205" s="790" t="str">
        <f t="shared" si="82"/>
        <v>-</v>
      </c>
      <c r="FL205" s="785"/>
      <c r="FM205" s="785"/>
      <c r="FN205" s="786"/>
      <c r="FO205" s="790" t="str">
        <f t="shared" si="71"/>
        <v>-</v>
      </c>
      <c r="FP205" s="785"/>
      <c r="FQ205" s="785"/>
      <c r="FR205" s="786"/>
      <c r="FS205" s="790" t="str">
        <f>IF(EW205="","-",INDEX($A$5:$BP$257,MATCH(EW205,$BN$5:$BN$257,0),39)*(IF(EW205="","-",(1+(((-('Densidade do AR'!$M$4))+('Densidade do AR'!$T$15*1000000))/(IF(INDEX($A$5:$BP$257,MATCH(EW205,$BN$5:$BN$257,0),50)="Aço Inoxidável",('Densidade do AR'!$S$8*1000000),IF(INDEX($A$5:$BP$257,MATCH(EW205,$BN$5:$BN$257,0),50)="Ferro Fundido",('Densidade do AR'!$S$12*1000000),IF(INDEX($A$5:$BP$257,MATCH(EW205,$BN$5:$BN$257,0),50)="Latão",('Densidade do AR'!$S$10*1000000),IF(INDEX($A$5:$BP$257,MATCH(EW205,$BN$5:$BN$257,0),50)="Alumínio",('Densidade do AR'!$S$4*1000000)))))))-(((-('Densidade do AR'!$M$4))+('Densidade do AR'!$T$15*1000000))/('Densidade do AR'!$S$14*1000000))))))</f>
        <v>-</v>
      </c>
      <c r="FT205" s="785"/>
      <c r="FU205" s="785"/>
      <c r="FV205" s="791"/>
      <c r="FW205" s="91" t="str">
        <f t="shared" si="83"/>
        <v>-</v>
      </c>
      <c r="FX205" s="135"/>
    </row>
    <row r="206" spans="1:180" ht="12.75" customHeight="1" x14ac:dyDescent="0.2">
      <c r="A206" s="718">
        <v>202</v>
      </c>
      <c r="B206" s="713"/>
      <c r="C206" s="719"/>
      <c r="D206" s="709"/>
      <c r="E206" s="709"/>
      <c r="F206" s="709"/>
      <c r="G206" s="710"/>
      <c r="H206" s="720"/>
      <c r="I206" s="712"/>
      <c r="J206" s="712"/>
      <c r="K206" s="713"/>
      <c r="L206" s="719"/>
      <c r="M206" s="709"/>
      <c r="N206" s="709"/>
      <c r="O206" s="709"/>
      <c r="P206" s="719"/>
      <c r="Q206" s="709"/>
      <c r="R206" s="709"/>
      <c r="S206" s="709"/>
      <c r="T206" s="710"/>
      <c r="U206" s="721"/>
      <c r="V206" s="722"/>
      <c r="W206" s="722"/>
      <c r="X206" s="722"/>
      <c r="Y206" s="722"/>
      <c r="Z206" s="722"/>
      <c r="AA206" s="723"/>
      <c r="AB206" s="853"/>
      <c r="AC206" s="854"/>
      <c r="AD206" s="854"/>
      <c r="AE206" s="854"/>
      <c r="AF206" s="854"/>
      <c r="AG206" s="854"/>
      <c r="AH206" s="854"/>
      <c r="AI206" s="854"/>
      <c r="AJ206" s="854"/>
      <c r="AK206" s="854"/>
      <c r="AL206" s="855"/>
      <c r="AM206" s="909"/>
      <c r="AN206" s="712"/>
      <c r="AO206" s="712"/>
      <c r="AP206" s="712"/>
      <c r="AQ206" s="712"/>
      <c r="AR206" s="712"/>
      <c r="AS206" s="713"/>
      <c r="AT206" s="909"/>
      <c r="AU206" s="712"/>
      <c r="AV206" s="712"/>
      <c r="AW206" s="713"/>
      <c r="AX206" s="908"/>
      <c r="AY206" s="712"/>
      <c r="AZ206" s="712"/>
      <c r="BA206" s="712"/>
      <c r="BB206" s="712"/>
      <c r="BC206" s="713"/>
      <c r="BD206" s="909"/>
      <c r="BE206" s="712"/>
      <c r="BF206" s="712"/>
      <c r="BG206" s="713"/>
      <c r="BH206" s="908"/>
      <c r="BI206" s="712"/>
      <c r="BJ206" s="712"/>
      <c r="BK206" s="712"/>
      <c r="BL206" s="910"/>
      <c r="BN206" s="881"/>
      <c r="BO206" s="882"/>
      <c r="BP206" s="883"/>
      <c r="BT206" s="736"/>
      <c r="BU206" s="737"/>
      <c r="BV206" s="738" t="str">
        <f>IF(BT206="","-",(IF(INDEX($A$5:$BP$257,MATCH(BT206,$BN$5:$BN$257,0),50)="Aço Inoxidável",('Densidade do AR'!$S$8*1000000),IF(INDEX($A$5:$BP$257,MATCH(BT206,$BN$5:$BN$257,0),50)="Ferro Fundido",('Densidade do AR'!$S$12*1000000),IF(INDEX($A$5:$BP$257,MATCH(BT206,$BN$5:$BN$257,0),50)="Latão",('Densidade do AR'!$S$10*1000000),IF(INDEX($A$5:$BP$257,MATCH(BT206,$BN$5:$BN$257,0),50)="Alumínio",('Densidade do AR'!$S$4*1000000)))))))</f>
        <v>-</v>
      </c>
      <c r="BW206" s="739"/>
      <c r="BX206" s="739"/>
      <c r="BY206" s="740"/>
      <c r="BZ206" s="741" t="str">
        <f t="shared" si="72"/>
        <v>-</v>
      </c>
      <c r="CA206" s="742"/>
      <c r="CB206" s="742"/>
      <c r="CC206" s="743"/>
      <c r="CD206" s="741" t="str">
        <f t="shared" si="64"/>
        <v>-</v>
      </c>
      <c r="CE206" s="742"/>
      <c r="CF206" s="742"/>
      <c r="CG206" s="743"/>
      <c r="CH206" s="744" t="str">
        <f t="shared" si="73"/>
        <v>-</v>
      </c>
      <c r="CI206" s="739"/>
      <c r="CJ206" s="739"/>
      <c r="CK206" s="740"/>
      <c r="CL206" s="744" t="str">
        <f t="shared" si="65"/>
        <v>-</v>
      </c>
      <c r="CM206" s="739"/>
      <c r="CN206" s="739"/>
      <c r="CO206" s="740"/>
      <c r="CP206" s="744" t="str">
        <f>IF(BT206="","-",INDEX($A$5:$BP$257,MATCH(BT206,$BN$5:$BN$257,0),39)*(IF(BT206="","-",(1+(((-('Densidade do AR'!$M$4))+('Densidade do AR'!$T$15*1000000))/(IF(INDEX($A$5:$BP$257,MATCH(BT206,$BN$5:$BN$257,0),50)="Aço Inoxidável",('Densidade do AR'!$S$8*1000000),IF(INDEX($A$5:$BP$257,MATCH(BT206,$BN$5:$BN$257,0),50)="Ferro Fundido",('Densidade do AR'!$S$12*1000000),IF(INDEX($A$5:$BP$257,MATCH(BT206,$BN$5:$BN$257,0),50)="Latão",('Densidade do AR'!$S$10*1000000),IF(INDEX($A$5:$BP$257,MATCH(BT206,$BN$5:$BN$257,0),50)="Alumínio",('Densidade do AR'!$S$4*1000000)))))))-(((-('Densidade do AR'!$M$4))+('Densidade do AR'!$T$15*1000000))/('Densidade do AR'!$S$14*1000000))))))</f>
        <v>-</v>
      </c>
      <c r="CQ206" s="739"/>
      <c r="CR206" s="739"/>
      <c r="CS206" s="745"/>
      <c r="CT206" s="92" t="str">
        <f t="shared" si="74"/>
        <v>-</v>
      </c>
      <c r="CU206" s="736"/>
      <c r="CV206" s="737"/>
      <c r="CW206" s="738" t="str">
        <f>IF(CU206="","-",(IF(INDEX($A$5:$BP$257,MATCH(CU206,$BN$5:$BN$257,0),50)="Aço Inoxidável",('Densidade do AR'!$S$8*1000000),IF(INDEX($A$5:$BP$257,MATCH(CU206,$BN$5:$BN$257,0),50)="Ferro Fundido",('Densidade do AR'!$S$12*1000000),IF(INDEX($A$5:$BP$257,MATCH(CU206,$BN$5:$BN$257,0),50)="Latão",('Densidade do AR'!$S$10*1000000),IF(INDEX($A$5:$BP$257,MATCH(CU206,$BN$5:$BN$257,0),50)="Alumínio",('Densidade do AR'!$S$4*1000000)))))))</f>
        <v>-</v>
      </c>
      <c r="CX206" s="739"/>
      <c r="CY206" s="739"/>
      <c r="CZ206" s="740"/>
      <c r="DA206" s="741" t="str">
        <f t="shared" si="75"/>
        <v>-</v>
      </c>
      <c r="DB206" s="742"/>
      <c r="DC206" s="742"/>
      <c r="DD206" s="743"/>
      <c r="DE206" s="741" t="str">
        <f t="shared" si="66"/>
        <v>-</v>
      </c>
      <c r="DF206" s="742"/>
      <c r="DG206" s="742"/>
      <c r="DH206" s="743"/>
      <c r="DI206" s="744" t="str">
        <f t="shared" si="76"/>
        <v>-</v>
      </c>
      <c r="DJ206" s="739"/>
      <c r="DK206" s="739"/>
      <c r="DL206" s="740"/>
      <c r="DM206" s="744" t="str">
        <f t="shared" si="67"/>
        <v>-</v>
      </c>
      <c r="DN206" s="739"/>
      <c r="DO206" s="739"/>
      <c r="DP206" s="740"/>
      <c r="DQ206" s="744" t="str">
        <f>IF(CU206="","-",INDEX($A$5:$BP$257,MATCH(CU206,$BN$5:$BN$257,0),39)*(IF(CU206="","-",(1+(((-('Densidade do AR'!$M$4))+('Densidade do AR'!$T$15*1000000))/(IF(INDEX($A$5:$BP$257,MATCH(CU206,$BN$5:$BN$257,0),50)="Aço Inoxidável",('Densidade do AR'!$S$8*1000000),IF(INDEX($A$5:$BP$257,MATCH(CU206,$BN$5:$BN$257,0),50)="Ferro Fundido",('Densidade do AR'!$S$12*1000000),IF(INDEX($A$5:$BP$257,MATCH(CU206,$BN$5:$BN$257,0),50)="Latão",('Densidade do AR'!$S$10*1000000),IF(INDEX($A$5:$BP$257,MATCH(CU206,$BN$5:$BN$257,0),50)="Alumínio",('Densidade do AR'!$S$4*1000000)))))))-(((-('Densidade do AR'!$M$4))+('Densidade do AR'!$T$15*1000000))/('Densidade do AR'!$S$14*1000000))))))</f>
        <v>-</v>
      </c>
      <c r="DR206" s="739"/>
      <c r="DS206" s="739"/>
      <c r="DT206" s="745"/>
      <c r="DU206" s="92" t="str">
        <f t="shared" si="77"/>
        <v>-</v>
      </c>
      <c r="DV206" s="736"/>
      <c r="DW206" s="737"/>
      <c r="DX206" s="738" t="str">
        <f>IF(DV206="","-",(IF(INDEX($A$5:$BP$257,MATCH(DV206,$BN$5:$BN$257,0),50)="Aço Inoxidável",('Densidade do AR'!$S$8*1000000),IF(INDEX($A$5:$BP$257,MATCH(DV206,$BN$5:$BN$257,0),50)="Ferro Fundido",('Densidade do AR'!$S$12*1000000),IF(INDEX($A$5:$BP$257,MATCH(DV206,$BN$5:$BN$257,0),50)="Latão",('Densidade do AR'!$S$10*1000000),IF(INDEX($A$5:$BP$257,MATCH(DV206,$BN$5:$BN$257,0),50)="Alumínio",('Densidade do AR'!$S$4*1000000)))))))</f>
        <v>-</v>
      </c>
      <c r="DY206" s="739"/>
      <c r="DZ206" s="739"/>
      <c r="EA206" s="740"/>
      <c r="EB206" s="741" t="str">
        <f t="shared" si="78"/>
        <v>-</v>
      </c>
      <c r="EC206" s="742"/>
      <c r="ED206" s="742"/>
      <c r="EE206" s="743"/>
      <c r="EF206" s="741" t="str">
        <f t="shared" si="68"/>
        <v>-</v>
      </c>
      <c r="EG206" s="742"/>
      <c r="EH206" s="742"/>
      <c r="EI206" s="743"/>
      <c r="EJ206" s="744" t="str">
        <f t="shared" si="79"/>
        <v>-</v>
      </c>
      <c r="EK206" s="739"/>
      <c r="EL206" s="739"/>
      <c r="EM206" s="740"/>
      <c r="EN206" s="744" t="str">
        <f t="shared" si="69"/>
        <v>-</v>
      </c>
      <c r="EO206" s="739"/>
      <c r="EP206" s="739"/>
      <c r="EQ206" s="740"/>
      <c r="ER206" s="744" t="str">
        <f>IF(DV206="","-",INDEX($A$5:$BP$257,MATCH(DV206,$BN$5:$BN$257,0),39)*(IF(DV206="","-",(1+(((-('Densidade do AR'!$M$4))+('Densidade do AR'!$T$15*1000000))/(IF(INDEX($A$5:$BP$257,MATCH(DV206,$BN$5:$BN$257,0),50)="Aço Inoxidável",('Densidade do AR'!$S$8*1000000),IF(INDEX($A$5:$BP$257,MATCH(DV206,$BN$5:$BN$257,0),50)="Ferro Fundido",('Densidade do AR'!$S$12*1000000),IF(INDEX($A$5:$BP$257,MATCH(DV206,$BN$5:$BN$257,0),50)="Latão",('Densidade do AR'!$S$10*1000000),IF(INDEX($A$5:$BP$257,MATCH(DV206,$BN$5:$BN$257,0),50)="Alumínio",('Densidade do AR'!$S$4*1000000)))))))-(((-('Densidade do AR'!$M$4))+('Densidade do AR'!$T$15*1000000))/('Densidade do AR'!$S$14*1000000))))))</f>
        <v>-</v>
      </c>
      <c r="ES206" s="739"/>
      <c r="ET206" s="739"/>
      <c r="EU206" s="745"/>
      <c r="EV206" s="92" t="str">
        <f t="shared" si="80"/>
        <v>-</v>
      </c>
      <c r="EW206" s="736"/>
      <c r="EX206" s="737"/>
      <c r="EY206" s="738" t="str">
        <f>IF(EW206="","-",(IF(INDEX($A$5:$BP$257,MATCH(EW206,$BN$5:$BN$257,0),50)="Aço Inoxidável",('Densidade do AR'!$S$8*1000000),IF(INDEX($A$5:$BP$257,MATCH(EW206,$BN$5:$BN$257,0),50)="Ferro Fundido",('Densidade do AR'!$S$12*1000000),IF(INDEX($A$5:$BP$257,MATCH(EW206,$BN$5:$BN$257,0),50)="Latão",('Densidade do AR'!$S$10*1000000),IF(INDEX($A$5:$BP$257,MATCH(EW206,$BN$5:$BN$257,0),50)="Alumínio",('Densidade do AR'!$S$4*1000000)))))))</f>
        <v>-</v>
      </c>
      <c r="EZ206" s="739"/>
      <c r="FA206" s="739"/>
      <c r="FB206" s="740"/>
      <c r="FC206" s="741" t="str">
        <f t="shared" si="81"/>
        <v>-</v>
      </c>
      <c r="FD206" s="742"/>
      <c r="FE206" s="742"/>
      <c r="FF206" s="743"/>
      <c r="FG206" s="741" t="str">
        <f t="shared" si="70"/>
        <v>-</v>
      </c>
      <c r="FH206" s="742"/>
      <c r="FI206" s="742"/>
      <c r="FJ206" s="743"/>
      <c r="FK206" s="744" t="str">
        <f t="shared" si="82"/>
        <v>-</v>
      </c>
      <c r="FL206" s="739"/>
      <c r="FM206" s="739"/>
      <c r="FN206" s="740"/>
      <c r="FO206" s="744" t="str">
        <f t="shared" si="71"/>
        <v>-</v>
      </c>
      <c r="FP206" s="739"/>
      <c r="FQ206" s="739"/>
      <c r="FR206" s="740"/>
      <c r="FS206" s="744" t="str">
        <f>IF(EW206="","-",INDEX($A$5:$BP$257,MATCH(EW206,$BN$5:$BN$257,0),39)*(IF(EW206="","-",(1+(((-('Densidade do AR'!$M$4))+('Densidade do AR'!$T$15*1000000))/(IF(INDEX($A$5:$BP$257,MATCH(EW206,$BN$5:$BN$257,0),50)="Aço Inoxidável",('Densidade do AR'!$S$8*1000000),IF(INDEX($A$5:$BP$257,MATCH(EW206,$BN$5:$BN$257,0),50)="Ferro Fundido",('Densidade do AR'!$S$12*1000000),IF(INDEX($A$5:$BP$257,MATCH(EW206,$BN$5:$BN$257,0),50)="Latão",('Densidade do AR'!$S$10*1000000),IF(INDEX($A$5:$BP$257,MATCH(EW206,$BN$5:$BN$257,0),50)="Alumínio",('Densidade do AR'!$S$4*1000000)))))))-(((-('Densidade do AR'!$M$4))+('Densidade do AR'!$T$15*1000000))/('Densidade do AR'!$S$14*1000000))))))</f>
        <v>-</v>
      </c>
      <c r="FT206" s="739"/>
      <c r="FU206" s="739"/>
      <c r="FV206" s="745"/>
      <c r="FW206" s="92" t="str">
        <f t="shared" si="83"/>
        <v>-</v>
      </c>
      <c r="FX206" s="135"/>
    </row>
    <row r="207" spans="1:180" ht="12.75" customHeight="1" x14ac:dyDescent="0.2">
      <c r="A207" s="717">
        <v>203</v>
      </c>
      <c r="B207" s="713"/>
      <c r="C207" s="708"/>
      <c r="D207" s="709"/>
      <c r="E207" s="709"/>
      <c r="F207" s="709"/>
      <c r="G207" s="710"/>
      <c r="H207" s="711"/>
      <c r="I207" s="712"/>
      <c r="J207" s="712"/>
      <c r="K207" s="713"/>
      <c r="L207" s="708"/>
      <c r="M207" s="709"/>
      <c r="N207" s="709"/>
      <c r="O207" s="709"/>
      <c r="P207" s="708"/>
      <c r="Q207" s="709"/>
      <c r="R207" s="709"/>
      <c r="S207" s="709"/>
      <c r="T207" s="710"/>
      <c r="U207" s="714"/>
      <c r="V207" s="715"/>
      <c r="W207" s="715"/>
      <c r="X207" s="715"/>
      <c r="Y207" s="715"/>
      <c r="Z207" s="715"/>
      <c r="AA207" s="716"/>
      <c r="AB207" s="850"/>
      <c r="AC207" s="851"/>
      <c r="AD207" s="851"/>
      <c r="AE207" s="851"/>
      <c r="AF207" s="851"/>
      <c r="AG207" s="851"/>
      <c r="AH207" s="851"/>
      <c r="AI207" s="851"/>
      <c r="AJ207" s="851"/>
      <c r="AK207" s="851"/>
      <c r="AL207" s="852"/>
      <c r="AM207" s="917"/>
      <c r="AN207" s="712"/>
      <c r="AO207" s="712"/>
      <c r="AP207" s="712"/>
      <c r="AQ207" s="712"/>
      <c r="AR207" s="712"/>
      <c r="AS207" s="713"/>
      <c r="AT207" s="917"/>
      <c r="AU207" s="712"/>
      <c r="AV207" s="712"/>
      <c r="AW207" s="713"/>
      <c r="AX207" s="917"/>
      <c r="AY207" s="712"/>
      <c r="AZ207" s="712"/>
      <c r="BA207" s="712"/>
      <c r="BB207" s="712"/>
      <c r="BC207" s="713"/>
      <c r="BD207" s="917"/>
      <c r="BE207" s="712"/>
      <c r="BF207" s="712"/>
      <c r="BG207" s="713"/>
      <c r="BH207" s="918"/>
      <c r="BI207" s="712"/>
      <c r="BJ207" s="712"/>
      <c r="BK207" s="712"/>
      <c r="BL207" s="910"/>
      <c r="BN207" s="878"/>
      <c r="BO207" s="879"/>
      <c r="BP207" s="880"/>
      <c r="BT207" s="746"/>
      <c r="BU207" s="747"/>
      <c r="BV207" s="784" t="str">
        <f>IF(BT207="","-",(IF(INDEX($A$5:$BP$257,MATCH(BT207,$BN$5:$BN$257,0),50)="Aço Inoxidável",('Densidade do AR'!$S$8*1000000),IF(INDEX($A$5:$BP$257,MATCH(BT207,$BN$5:$BN$257,0),50)="Ferro Fundido",('Densidade do AR'!$S$12*1000000),IF(INDEX($A$5:$BP$257,MATCH(BT207,$BN$5:$BN$257,0),50)="Latão",('Densidade do AR'!$S$10*1000000),IF(INDEX($A$5:$BP$257,MATCH(BT207,$BN$5:$BN$257,0),50)="Alumínio",('Densidade do AR'!$S$4*1000000)))))))</f>
        <v>-</v>
      </c>
      <c r="BW207" s="785"/>
      <c r="BX207" s="785"/>
      <c r="BY207" s="786"/>
      <c r="BZ207" s="787" t="str">
        <f t="shared" si="72"/>
        <v>-</v>
      </c>
      <c r="CA207" s="788"/>
      <c r="CB207" s="788"/>
      <c r="CC207" s="789"/>
      <c r="CD207" s="787" t="str">
        <f t="shared" si="64"/>
        <v>-</v>
      </c>
      <c r="CE207" s="788"/>
      <c r="CF207" s="788"/>
      <c r="CG207" s="789"/>
      <c r="CH207" s="790" t="str">
        <f t="shared" si="73"/>
        <v>-</v>
      </c>
      <c r="CI207" s="785"/>
      <c r="CJ207" s="785"/>
      <c r="CK207" s="786"/>
      <c r="CL207" s="790" t="str">
        <f t="shared" si="65"/>
        <v>-</v>
      </c>
      <c r="CM207" s="785"/>
      <c r="CN207" s="785"/>
      <c r="CO207" s="786"/>
      <c r="CP207" s="790" t="str">
        <f>IF(BT207="","-",INDEX($A$5:$BP$257,MATCH(BT207,$BN$5:$BN$257,0),39)*(IF(BT207="","-",(1+(((-('Densidade do AR'!$M$4))+('Densidade do AR'!$T$15*1000000))/(IF(INDEX($A$5:$BP$257,MATCH(BT207,$BN$5:$BN$257,0),50)="Aço Inoxidável",('Densidade do AR'!$S$8*1000000),IF(INDEX($A$5:$BP$257,MATCH(BT207,$BN$5:$BN$257,0),50)="Ferro Fundido",('Densidade do AR'!$S$12*1000000),IF(INDEX($A$5:$BP$257,MATCH(BT207,$BN$5:$BN$257,0),50)="Latão",('Densidade do AR'!$S$10*1000000),IF(INDEX($A$5:$BP$257,MATCH(BT207,$BN$5:$BN$257,0),50)="Alumínio",('Densidade do AR'!$S$4*1000000)))))))-(((-('Densidade do AR'!$M$4))+('Densidade do AR'!$T$15*1000000))/('Densidade do AR'!$S$14*1000000))))))</f>
        <v>-</v>
      </c>
      <c r="CQ207" s="785"/>
      <c r="CR207" s="785"/>
      <c r="CS207" s="791"/>
      <c r="CT207" s="92" t="str">
        <f t="shared" si="74"/>
        <v>-</v>
      </c>
      <c r="CU207" s="746"/>
      <c r="CV207" s="747"/>
      <c r="CW207" s="784" t="str">
        <f>IF(CU207="","-",(IF(INDEX($A$5:$BP$257,MATCH(CU207,$BN$5:$BN$257,0),50)="Aço Inoxidável",('Densidade do AR'!$S$8*1000000),IF(INDEX($A$5:$BP$257,MATCH(CU207,$BN$5:$BN$257,0),50)="Ferro Fundido",('Densidade do AR'!$S$12*1000000),IF(INDEX($A$5:$BP$257,MATCH(CU207,$BN$5:$BN$257,0),50)="Latão",('Densidade do AR'!$S$10*1000000),IF(INDEX($A$5:$BP$257,MATCH(CU207,$BN$5:$BN$257,0),50)="Alumínio",('Densidade do AR'!$S$4*1000000)))))))</f>
        <v>-</v>
      </c>
      <c r="CX207" s="785"/>
      <c r="CY207" s="785"/>
      <c r="CZ207" s="786"/>
      <c r="DA207" s="787" t="str">
        <f t="shared" si="75"/>
        <v>-</v>
      </c>
      <c r="DB207" s="788"/>
      <c r="DC207" s="788"/>
      <c r="DD207" s="789"/>
      <c r="DE207" s="787" t="str">
        <f t="shared" si="66"/>
        <v>-</v>
      </c>
      <c r="DF207" s="788"/>
      <c r="DG207" s="788"/>
      <c r="DH207" s="789"/>
      <c r="DI207" s="790" t="str">
        <f t="shared" si="76"/>
        <v>-</v>
      </c>
      <c r="DJ207" s="785"/>
      <c r="DK207" s="785"/>
      <c r="DL207" s="786"/>
      <c r="DM207" s="790" t="str">
        <f t="shared" si="67"/>
        <v>-</v>
      </c>
      <c r="DN207" s="785"/>
      <c r="DO207" s="785"/>
      <c r="DP207" s="786"/>
      <c r="DQ207" s="790" t="str">
        <f>IF(CU207="","-",INDEX($A$5:$BP$257,MATCH(CU207,$BN$5:$BN$257,0),39)*(IF(CU207="","-",(1+(((-('Densidade do AR'!$M$4))+('Densidade do AR'!$T$15*1000000))/(IF(INDEX($A$5:$BP$257,MATCH(CU207,$BN$5:$BN$257,0),50)="Aço Inoxidável",('Densidade do AR'!$S$8*1000000),IF(INDEX($A$5:$BP$257,MATCH(CU207,$BN$5:$BN$257,0),50)="Ferro Fundido",('Densidade do AR'!$S$12*1000000),IF(INDEX($A$5:$BP$257,MATCH(CU207,$BN$5:$BN$257,0),50)="Latão",('Densidade do AR'!$S$10*1000000),IF(INDEX($A$5:$BP$257,MATCH(CU207,$BN$5:$BN$257,0),50)="Alumínio",('Densidade do AR'!$S$4*1000000)))))))-(((-('Densidade do AR'!$M$4))+('Densidade do AR'!$T$15*1000000))/('Densidade do AR'!$S$14*1000000))))))</f>
        <v>-</v>
      </c>
      <c r="DR207" s="785"/>
      <c r="DS207" s="785"/>
      <c r="DT207" s="791"/>
      <c r="DU207" s="92" t="str">
        <f t="shared" si="77"/>
        <v>-</v>
      </c>
      <c r="DV207" s="746"/>
      <c r="DW207" s="747"/>
      <c r="DX207" s="784" t="str">
        <f>IF(DV207="","-",(IF(INDEX($A$5:$BP$257,MATCH(DV207,$BN$5:$BN$257,0),50)="Aço Inoxidável",('Densidade do AR'!$S$8*1000000),IF(INDEX($A$5:$BP$257,MATCH(DV207,$BN$5:$BN$257,0),50)="Ferro Fundido",('Densidade do AR'!$S$12*1000000),IF(INDEX($A$5:$BP$257,MATCH(DV207,$BN$5:$BN$257,0),50)="Latão",('Densidade do AR'!$S$10*1000000),IF(INDEX($A$5:$BP$257,MATCH(DV207,$BN$5:$BN$257,0),50)="Alumínio",('Densidade do AR'!$S$4*1000000)))))))</f>
        <v>-</v>
      </c>
      <c r="DY207" s="785"/>
      <c r="DZ207" s="785"/>
      <c r="EA207" s="786"/>
      <c r="EB207" s="787" t="str">
        <f t="shared" si="78"/>
        <v>-</v>
      </c>
      <c r="EC207" s="788"/>
      <c r="ED207" s="788"/>
      <c r="EE207" s="789"/>
      <c r="EF207" s="787" t="str">
        <f t="shared" si="68"/>
        <v>-</v>
      </c>
      <c r="EG207" s="788"/>
      <c r="EH207" s="788"/>
      <c r="EI207" s="789"/>
      <c r="EJ207" s="790" t="str">
        <f t="shared" si="79"/>
        <v>-</v>
      </c>
      <c r="EK207" s="785"/>
      <c r="EL207" s="785"/>
      <c r="EM207" s="786"/>
      <c r="EN207" s="790" t="str">
        <f t="shared" si="69"/>
        <v>-</v>
      </c>
      <c r="EO207" s="785"/>
      <c r="EP207" s="785"/>
      <c r="EQ207" s="786"/>
      <c r="ER207" s="790" t="str">
        <f>IF(DV207="","-",INDEX($A$5:$BP$257,MATCH(DV207,$BN$5:$BN$257,0),39)*(IF(DV207="","-",(1+(((-('Densidade do AR'!$M$4))+('Densidade do AR'!$T$15*1000000))/(IF(INDEX($A$5:$BP$257,MATCH(DV207,$BN$5:$BN$257,0),50)="Aço Inoxidável",('Densidade do AR'!$S$8*1000000),IF(INDEX($A$5:$BP$257,MATCH(DV207,$BN$5:$BN$257,0),50)="Ferro Fundido",('Densidade do AR'!$S$12*1000000),IF(INDEX($A$5:$BP$257,MATCH(DV207,$BN$5:$BN$257,0),50)="Latão",('Densidade do AR'!$S$10*1000000),IF(INDEX($A$5:$BP$257,MATCH(DV207,$BN$5:$BN$257,0),50)="Alumínio",('Densidade do AR'!$S$4*1000000)))))))-(((-('Densidade do AR'!$M$4))+('Densidade do AR'!$T$15*1000000))/('Densidade do AR'!$S$14*1000000))))))</f>
        <v>-</v>
      </c>
      <c r="ES207" s="785"/>
      <c r="ET207" s="785"/>
      <c r="EU207" s="791"/>
      <c r="EV207" s="92" t="str">
        <f t="shared" si="80"/>
        <v>-</v>
      </c>
      <c r="EW207" s="746"/>
      <c r="EX207" s="747"/>
      <c r="EY207" s="784" t="str">
        <f>IF(EW207="","-",(IF(INDEX($A$5:$BP$257,MATCH(EW207,$BN$5:$BN$257,0),50)="Aço Inoxidável",('Densidade do AR'!$S$8*1000000),IF(INDEX($A$5:$BP$257,MATCH(EW207,$BN$5:$BN$257,0),50)="Ferro Fundido",('Densidade do AR'!$S$12*1000000),IF(INDEX($A$5:$BP$257,MATCH(EW207,$BN$5:$BN$257,0),50)="Latão",('Densidade do AR'!$S$10*1000000),IF(INDEX($A$5:$BP$257,MATCH(EW207,$BN$5:$BN$257,0),50)="Alumínio",('Densidade do AR'!$S$4*1000000)))))))</f>
        <v>-</v>
      </c>
      <c r="EZ207" s="785"/>
      <c r="FA207" s="785"/>
      <c r="FB207" s="786"/>
      <c r="FC207" s="787" t="str">
        <f t="shared" si="81"/>
        <v>-</v>
      </c>
      <c r="FD207" s="788"/>
      <c r="FE207" s="788"/>
      <c r="FF207" s="789"/>
      <c r="FG207" s="787" t="str">
        <f t="shared" si="70"/>
        <v>-</v>
      </c>
      <c r="FH207" s="788"/>
      <c r="FI207" s="788"/>
      <c r="FJ207" s="789"/>
      <c r="FK207" s="790" t="str">
        <f t="shared" si="82"/>
        <v>-</v>
      </c>
      <c r="FL207" s="785"/>
      <c r="FM207" s="785"/>
      <c r="FN207" s="786"/>
      <c r="FO207" s="790" t="str">
        <f t="shared" si="71"/>
        <v>-</v>
      </c>
      <c r="FP207" s="785"/>
      <c r="FQ207" s="785"/>
      <c r="FR207" s="786"/>
      <c r="FS207" s="790" t="str">
        <f>IF(EW207="","-",INDEX($A$5:$BP$257,MATCH(EW207,$BN$5:$BN$257,0),39)*(IF(EW207="","-",(1+(((-('Densidade do AR'!$M$4))+('Densidade do AR'!$T$15*1000000))/(IF(INDEX($A$5:$BP$257,MATCH(EW207,$BN$5:$BN$257,0),50)="Aço Inoxidável",('Densidade do AR'!$S$8*1000000),IF(INDEX($A$5:$BP$257,MATCH(EW207,$BN$5:$BN$257,0),50)="Ferro Fundido",('Densidade do AR'!$S$12*1000000),IF(INDEX($A$5:$BP$257,MATCH(EW207,$BN$5:$BN$257,0),50)="Latão",('Densidade do AR'!$S$10*1000000),IF(INDEX($A$5:$BP$257,MATCH(EW207,$BN$5:$BN$257,0),50)="Alumínio",('Densidade do AR'!$S$4*1000000)))))))-(((-('Densidade do AR'!$M$4))+('Densidade do AR'!$T$15*1000000))/('Densidade do AR'!$S$14*1000000))))))</f>
        <v>-</v>
      </c>
      <c r="FT207" s="785"/>
      <c r="FU207" s="785"/>
      <c r="FV207" s="791"/>
      <c r="FW207" s="92" t="str">
        <f t="shared" si="83"/>
        <v>-</v>
      </c>
      <c r="FX207" s="135"/>
    </row>
    <row r="208" spans="1:180" ht="12.75" customHeight="1" x14ac:dyDescent="0.2">
      <c r="A208" s="718">
        <v>204</v>
      </c>
      <c r="B208" s="713"/>
      <c r="C208" s="719"/>
      <c r="D208" s="709"/>
      <c r="E208" s="709"/>
      <c r="F208" s="709"/>
      <c r="G208" s="710"/>
      <c r="H208" s="720"/>
      <c r="I208" s="712"/>
      <c r="J208" s="712"/>
      <c r="K208" s="713"/>
      <c r="L208" s="719"/>
      <c r="M208" s="709"/>
      <c r="N208" s="709"/>
      <c r="O208" s="709"/>
      <c r="P208" s="719"/>
      <c r="Q208" s="709"/>
      <c r="R208" s="709"/>
      <c r="S208" s="709"/>
      <c r="T208" s="710"/>
      <c r="U208" s="721"/>
      <c r="V208" s="722"/>
      <c r="W208" s="722"/>
      <c r="X208" s="722"/>
      <c r="Y208" s="722"/>
      <c r="Z208" s="722"/>
      <c r="AA208" s="723"/>
      <c r="AB208" s="853"/>
      <c r="AC208" s="854"/>
      <c r="AD208" s="854"/>
      <c r="AE208" s="854"/>
      <c r="AF208" s="854"/>
      <c r="AG208" s="854"/>
      <c r="AH208" s="854"/>
      <c r="AI208" s="854"/>
      <c r="AJ208" s="854"/>
      <c r="AK208" s="854"/>
      <c r="AL208" s="855"/>
      <c r="AM208" s="909"/>
      <c r="AN208" s="712"/>
      <c r="AO208" s="712"/>
      <c r="AP208" s="712"/>
      <c r="AQ208" s="712"/>
      <c r="AR208" s="712"/>
      <c r="AS208" s="713"/>
      <c r="AT208" s="909"/>
      <c r="AU208" s="712"/>
      <c r="AV208" s="712"/>
      <c r="AW208" s="713"/>
      <c r="AX208" s="908"/>
      <c r="AY208" s="712"/>
      <c r="AZ208" s="712"/>
      <c r="BA208" s="712"/>
      <c r="BB208" s="712"/>
      <c r="BC208" s="713"/>
      <c r="BD208" s="909"/>
      <c r="BE208" s="712"/>
      <c r="BF208" s="712"/>
      <c r="BG208" s="713"/>
      <c r="BH208" s="908"/>
      <c r="BI208" s="712"/>
      <c r="BJ208" s="712"/>
      <c r="BK208" s="712"/>
      <c r="BL208" s="910"/>
      <c r="BN208" s="881"/>
      <c r="BO208" s="882"/>
      <c r="BP208" s="883"/>
      <c r="BT208" s="736"/>
      <c r="BU208" s="737"/>
      <c r="BV208" s="738" t="str">
        <f>IF(BT208="","-",(IF(INDEX($A$5:$BP$257,MATCH(BT208,$BN$5:$BN$257,0),50)="Aço Inoxidável",('Densidade do AR'!$S$8*1000000),IF(INDEX($A$5:$BP$257,MATCH(BT208,$BN$5:$BN$257,0),50)="Ferro Fundido",('Densidade do AR'!$S$12*1000000),IF(INDEX($A$5:$BP$257,MATCH(BT208,$BN$5:$BN$257,0),50)="Latão",('Densidade do AR'!$S$10*1000000),IF(INDEX($A$5:$BP$257,MATCH(BT208,$BN$5:$BN$257,0),50)="Alumínio",('Densidade do AR'!$S$4*1000000)))))))</f>
        <v>-</v>
      </c>
      <c r="BW208" s="739"/>
      <c r="BX208" s="739"/>
      <c r="BY208" s="740"/>
      <c r="BZ208" s="741" t="str">
        <f t="shared" si="72"/>
        <v>-</v>
      </c>
      <c r="CA208" s="742"/>
      <c r="CB208" s="742"/>
      <c r="CC208" s="743"/>
      <c r="CD208" s="741" t="str">
        <f t="shared" si="64"/>
        <v>-</v>
      </c>
      <c r="CE208" s="742"/>
      <c r="CF208" s="742"/>
      <c r="CG208" s="743"/>
      <c r="CH208" s="744" t="str">
        <f t="shared" si="73"/>
        <v>-</v>
      </c>
      <c r="CI208" s="739"/>
      <c r="CJ208" s="739"/>
      <c r="CK208" s="740"/>
      <c r="CL208" s="744" t="str">
        <f t="shared" si="65"/>
        <v>-</v>
      </c>
      <c r="CM208" s="739"/>
      <c r="CN208" s="739"/>
      <c r="CO208" s="740"/>
      <c r="CP208" s="744" t="str">
        <f>IF(BT208="","-",INDEX($A$5:$BP$257,MATCH(BT208,$BN$5:$BN$257,0),39)*(IF(BT208="","-",(1+(((-('Densidade do AR'!$M$4))+('Densidade do AR'!$T$15*1000000))/(IF(INDEX($A$5:$BP$257,MATCH(BT208,$BN$5:$BN$257,0),50)="Aço Inoxidável",('Densidade do AR'!$S$8*1000000),IF(INDEX($A$5:$BP$257,MATCH(BT208,$BN$5:$BN$257,0),50)="Ferro Fundido",('Densidade do AR'!$S$12*1000000),IF(INDEX($A$5:$BP$257,MATCH(BT208,$BN$5:$BN$257,0),50)="Latão",('Densidade do AR'!$S$10*1000000),IF(INDEX($A$5:$BP$257,MATCH(BT208,$BN$5:$BN$257,0),50)="Alumínio",('Densidade do AR'!$S$4*1000000)))))))-(((-('Densidade do AR'!$M$4))+('Densidade do AR'!$T$15*1000000))/('Densidade do AR'!$S$14*1000000))))))</f>
        <v>-</v>
      </c>
      <c r="CQ208" s="739"/>
      <c r="CR208" s="739"/>
      <c r="CS208" s="745"/>
      <c r="CT208" s="91" t="str">
        <f t="shared" si="74"/>
        <v>-</v>
      </c>
      <c r="CU208" s="736"/>
      <c r="CV208" s="737"/>
      <c r="CW208" s="738" t="str">
        <f>IF(CU208="","-",(IF(INDEX($A$5:$BP$257,MATCH(CU208,$BN$5:$BN$257,0),50)="Aço Inoxidável",('Densidade do AR'!$S$8*1000000),IF(INDEX($A$5:$BP$257,MATCH(CU208,$BN$5:$BN$257,0),50)="Ferro Fundido",('Densidade do AR'!$S$12*1000000),IF(INDEX($A$5:$BP$257,MATCH(CU208,$BN$5:$BN$257,0),50)="Latão",('Densidade do AR'!$S$10*1000000),IF(INDEX($A$5:$BP$257,MATCH(CU208,$BN$5:$BN$257,0),50)="Alumínio",('Densidade do AR'!$S$4*1000000)))))))</f>
        <v>-</v>
      </c>
      <c r="CX208" s="739"/>
      <c r="CY208" s="739"/>
      <c r="CZ208" s="740"/>
      <c r="DA208" s="741" t="str">
        <f t="shared" si="75"/>
        <v>-</v>
      </c>
      <c r="DB208" s="742"/>
      <c r="DC208" s="742"/>
      <c r="DD208" s="743"/>
      <c r="DE208" s="741" t="str">
        <f t="shared" si="66"/>
        <v>-</v>
      </c>
      <c r="DF208" s="742"/>
      <c r="DG208" s="742"/>
      <c r="DH208" s="743"/>
      <c r="DI208" s="744" t="str">
        <f t="shared" si="76"/>
        <v>-</v>
      </c>
      <c r="DJ208" s="739"/>
      <c r="DK208" s="739"/>
      <c r="DL208" s="740"/>
      <c r="DM208" s="744" t="str">
        <f t="shared" si="67"/>
        <v>-</v>
      </c>
      <c r="DN208" s="739"/>
      <c r="DO208" s="739"/>
      <c r="DP208" s="740"/>
      <c r="DQ208" s="744" t="str">
        <f>IF(CU208="","-",INDEX($A$5:$BP$257,MATCH(CU208,$BN$5:$BN$257,0),39)*(IF(CU208="","-",(1+(((-('Densidade do AR'!$M$4))+('Densidade do AR'!$T$15*1000000))/(IF(INDEX($A$5:$BP$257,MATCH(CU208,$BN$5:$BN$257,0),50)="Aço Inoxidável",('Densidade do AR'!$S$8*1000000),IF(INDEX($A$5:$BP$257,MATCH(CU208,$BN$5:$BN$257,0),50)="Ferro Fundido",('Densidade do AR'!$S$12*1000000),IF(INDEX($A$5:$BP$257,MATCH(CU208,$BN$5:$BN$257,0),50)="Latão",('Densidade do AR'!$S$10*1000000),IF(INDEX($A$5:$BP$257,MATCH(CU208,$BN$5:$BN$257,0),50)="Alumínio",('Densidade do AR'!$S$4*1000000)))))))-(((-('Densidade do AR'!$M$4))+('Densidade do AR'!$T$15*1000000))/('Densidade do AR'!$S$14*1000000))))))</f>
        <v>-</v>
      </c>
      <c r="DR208" s="739"/>
      <c r="DS208" s="739"/>
      <c r="DT208" s="745"/>
      <c r="DU208" s="91" t="str">
        <f t="shared" si="77"/>
        <v>-</v>
      </c>
      <c r="DV208" s="736"/>
      <c r="DW208" s="737"/>
      <c r="DX208" s="738" t="str">
        <f>IF(DV208="","-",(IF(INDEX($A$5:$BP$257,MATCH(DV208,$BN$5:$BN$257,0),50)="Aço Inoxidável",('Densidade do AR'!$S$8*1000000),IF(INDEX($A$5:$BP$257,MATCH(DV208,$BN$5:$BN$257,0),50)="Ferro Fundido",('Densidade do AR'!$S$12*1000000),IF(INDEX($A$5:$BP$257,MATCH(DV208,$BN$5:$BN$257,0),50)="Latão",('Densidade do AR'!$S$10*1000000),IF(INDEX($A$5:$BP$257,MATCH(DV208,$BN$5:$BN$257,0),50)="Alumínio",('Densidade do AR'!$S$4*1000000)))))))</f>
        <v>-</v>
      </c>
      <c r="DY208" s="739"/>
      <c r="DZ208" s="739"/>
      <c r="EA208" s="740"/>
      <c r="EB208" s="741" t="str">
        <f t="shared" si="78"/>
        <v>-</v>
      </c>
      <c r="EC208" s="742"/>
      <c r="ED208" s="742"/>
      <c r="EE208" s="743"/>
      <c r="EF208" s="741" t="str">
        <f t="shared" si="68"/>
        <v>-</v>
      </c>
      <c r="EG208" s="742"/>
      <c r="EH208" s="742"/>
      <c r="EI208" s="743"/>
      <c r="EJ208" s="744" t="str">
        <f t="shared" si="79"/>
        <v>-</v>
      </c>
      <c r="EK208" s="739"/>
      <c r="EL208" s="739"/>
      <c r="EM208" s="740"/>
      <c r="EN208" s="744" t="str">
        <f t="shared" si="69"/>
        <v>-</v>
      </c>
      <c r="EO208" s="739"/>
      <c r="EP208" s="739"/>
      <c r="EQ208" s="740"/>
      <c r="ER208" s="744" t="str">
        <f>IF(DV208="","-",INDEX($A$5:$BP$257,MATCH(DV208,$BN$5:$BN$257,0),39)*(IF(DV208="","-",(1+(((-('Densidade do AR'!$M$4))+('Densidade do AR'!$T$15*1000000))/(IF(INDEX($A$5:$BP$257,MATCH(DV208,$BN$5:$BN$257,0),50)="Aço Inoxidável",('Densidade do AR'!$S$8*1000000),IF(INDEX($A$5:$BP$257,MATCH(DV208,$BN$5:$BN$257,0),50)="Ferro Fundido",('Densidade do AR'!$S$12*1000000),IF(INDEX($A$5:$BP$257,MATCH(DV208,$BN$5:$BN$257,0),50)="Latão",('Densidade do AR'!$S$10*1000000),IF(INDEX($A$5:$BP$257,MATCH(DV208,$BN$5:$BN$257,0),50)="Alumínio",('Densidade do AR'!$S$4*1000000)))))))-(((-('Densidade do AR'!$M$4))+('Densidade do AR'!$T$15*1000000))/('Densidade do AR'!$S$14*1000000))))))</f>
        <v>-</v>
      </c>
      <c r="ES208" s="739"/>
      <c r="ET208" s="739"/>
      <c r="EU208" s="745"/>
      <c r="EV208" s="91" t="str">
        <f t="shared" si="80"/>
        <v>-</v>
      </c>
      <c r="EW208" s="736"/>
      <c r="EX208" s="737"/>
      <c r="EY208" s="738" t="str">
        <f>IF(EW208="","-",(IF(INDEX($A$5:$BP$257,MATCH(EW208,$BN$5:$BN$257,0),50)="Aço Inoxidável",('Densidade do AR'!$S$8*1000000),IF(INDEX($A$5:$BP$257,MATCH(EW208,$BN$5:$BN$257,0),50)="Ferro Fundido",('Densidade do AR'!$S$12*1000000),IF(INDEX($A$5:$BP$257,MATCH(EW208,$BN$5:$BN$257,0),50)="Latão",('Densidade do AR'!$S$10*1000000),IF(INDEX($A$5:$BP$257,MATCH(EW208,$BN$5:$BN$257,0),50)="Alumínio",('Densidade do AR'!$S$4*1000000)))))))</f>
        <v>-</v>
      </c>
      <c r="EZ208" s="739"/>
      <c r="FA208" s="739"/>
      <c r="FB208" s="740"/>
      <c r="FC208" s="741" t="str">
        <f t="shared" si="81"/>
        <v>-</v>
      </c>
      <c r="FD208" s="742"/>
      <c r="FE208" s="742"/>
      <c r="FF208" s="743"/>
      <c r="FG208" s="741" t="str">
        <f t="shared" si="70"/>
        <v>-</v>
      </c>
      <c r="FH208" s="742"/>
      <c r="FI208" s="742"/>
      <c r="FJ208" s="743"/>
      <c r="FK208" s="744" t="str">
        <f t="shared" si="82"/>
        <v>-</v>
      </c>
      <c r="FL208" s="739"/>
      <c r="FM208" s="739"/>
      <c r="FN208" s="740"/>
      <c r="FO208" s="744" t="str">
        <f t="shared" si="71"/>
        <v>-</v>
      </c>
      <c r="FP208" s="739"/>
      <c r="FQ208" s="739"/>
      <c r="FR208" s="740"/>
      <c r="FS208" s="744" t="str">
        <f>IF(EW208="","-",INDEX($A$5:$BP$257,MATCH(EW208,$BN$5:$BN$257,0),39)*(IF(EW208="","-",(1+(((-('Densidade do AR'!$M$4))+('Densidade do AR'!$T$15*1000000))/(IF(INDEX($A$5:$BP$257,MATCH(EW208,$BN$5:$BN$257,0),50)="Aço Inoxidável",('Densidade do AR'!$S$8*1000000),IF(INDEX($A$5:$BP$257,MATCH(EW208,$BN$5:$BN$257,0),50)="Ferro Fundido",('Densidade do AR'!$S$12*1000000),IF(INDEX($A$5:$BP$257,MATCH(EW208,$BN$5:$BN$257,0),50)="Latão",('Densidade do AR'!$S$10*1000000),IF(INDEX($A$5:$BP$257,MATCH(EW208,$BN$5:$BN$257,0),50)="Alumínio",('Densidade do AR'!$S$4*1000000)))))))-(((-('Densidade do AR'!$M$4))+('Densidade do AR'!$T$15*1000000))/('Densidade do AR'!$S$14*1000000))))))</f>
        <v>-</v>
      </c>
      <c r="FT208" s="739"/>
      <c r="FU208" s="739"/>
      <c r="FV208" s="745"/>
      <c r="FW208" s="91" t="str">
        <f t="shared" si="83"/>
        <v>-</v>
      </c>
      <c r="FX208" s="135"/>
    </row>
    <row r="209" spans="1:180" ht="12.75" customHeight="1" x14ac:dyDescent="0.2">
      <c r="A209" s="717">
        <v>205</v>
      </c>
      <c r="B209" s="713"/>
      <c r="C209" s="708"/>
      <c r="D209" s="709"/>
      <c r="E209" s="709"/>
      <c r="F209" s="709"/>
      <c r="G209" s="710"/>
      <c r="H209" s="711"/>
      <c r="I209" s="712"/>
      <c r="J209" s="712"/>
      <c r="K209" s="713"/>
      <c r="L209" s="708"/>
      <c r="M209" s="709"/>
      <c r="N209" s="709"/>
      <c r="O209" s="709"/>
      <c r="P209" s="708"/>
      <c r="Q209" s="709"/>
      <c r="R209" s="709"/>
      <c r="S209" s="709"/>
      <c r="T209" s="710"/>
      <c r="U209" s="714"/>
      <c r="V209" s="715"/>
      <c r="W209" s="715"/>
      <c r="X209" s="715"/>
      <c r="Y209" s="715"/>
      <c r="Z209" s="715"/>
      <c r="AA209" s="716"/>
      <c r="AB209" s="850"/>
      <c r="AC209" s="851"/>
      <c r="AD209" s="851"/>
      <c r="AE209" s="851"/>
      <c r="AF209" s="851"/>
      <c r="AG209" s="851"/>
      <c r="AH209" s="851"/>
      <c r="AI209" s="851"/>
      <c r="AJ209" s="851"/>
      <c r="AK209" s="851"/>
      <c r="AL209" s="852"/>
      <c r="AM209" s="917"/>
      <c r="AN209" s="712"/>
      <c r="AO209" s="712"/>
      <c r="AP209" s="712"/>
      <c r="AQ209" s="712"/>
      <c r="AR209" s="712"/>
      <c r="AS209" s="713"/>
      <c r="AT209" s="917"/>
      <c r="AU209" s="712"/>
      <c r="AV209" s="712"/>
      <c r="AW209" s="713"/>
      <c r="AX209" s="917"/>
      <c r="AY209" s="712"/>
      <c r="AZ209" s="712"/>
      <c r="BA209" s="712"/>
      <c r="BB209" s="712"/>
      <c r="BC209" s="713"/>
      <c r="BD209" s="917"/>
      <c r="BE209" s="712"/>
      <c r="BF209" s="712"/>
      <c r="BG209" s="713"/>
      <c r="BH209" s="918"/>
      <c r="BI209" s="712"/>
      <c r="BJ209" s="712"/>
      <c r="BK209" s="712"/>
      <c r="BL209" s="910"/>
      <c r="BN209" s="878"/>
      <c r="BO209" s="879"/>
      <c r="BP209" s="880"/>
      <c r="BT209" s="746"/>
      <c r="BU209" s="747"/>
      <c r="BV209" s="784" t="str">
        <f>IF(BT209="","-",(IF(INDEX($A$5:$BP$257,MATCH(BT209,$BN$5:$BN$257,0),50)="Aço Inoxidável",('Densidade do AR'!$S$8*1000000),IF(INDEX($A$5:$BP$257,MATCH(BT209,$BN$5:$BN$257,0),50)="Ferro Fundido",('Densidade do AR'!$S$12*1000000),IF(INDEX($A$5:$BP$257,MATCH(BT209,$BN$5:$BN$257,0),50)="Latão",('Densidade do AR'!$S$10*1000000),IF(INDEX($A$5:$BP$257,MATCH(BT209,$BN$5:$BN$257,0),50)="Alumínio",('Densidade do AR'!$S$4*1000000)))))))</f>
        <v>-</v>
      </c>
      <c r="BW209" s="785"/>
      <c r="BX209" s="785"/>
      <c r="BY209" s="786"/>
      <c r="BZ209" s="787" t="str">
        <f t="shared" si="72"/>
        <v>-</v>
      </c>
      <c r="CA209" s="788"/>
      <c r="CB209" s="788"/>
      <c r="CC209" s="789"/>
      <c r="CD209" s="787" t="str">
        <f t="shared" si="64"/>
        <v>-</v>
      </c>
      <c r="CE209" s="788"/>
      <c r="CF209" s="788"/>
      <c r="CG209" s="789"/>
      <c r="CH209" s="790" t="str">
        <f t="shared" si="73"/>
        <v>-</v>
      </c>
      <c r="CI209" s="785"/>
      <c r="CJ209" s="785"/>
      <c r="CK209" s="786"/>
      <c r="CL209" s="790" t="str">
        <f t="shared" si="65"/>
        <v>-</v>
      </c>
      <c r="CM209" s="785"/>
      <c r="CN209" s="785"/>
      <c r="CO209" s="786"/>
      <c r="CP209" s="790" t="str">
        <f>IF(BT209="","-",INDEX($A$5:$BP$257,MATCH(BT209,$BN$5:$BN$257,0),39)*(IF(BT209="","-",(1+(((-('Densidade do AR'!$M$4))+('Densidade do AR'!$T$15*1000000))/(IF(INDEX($A$5:$BP$257,MATCH(BT209,$BN$5:$BN$257,0),50)="Aço Inoxidável",('Densidade do AR'!$S$8*1000000),IF(INDEX($A$5:$BP$257,MATCH(BT209,$BN$5:$BN$257,0),50)="Ferro Fundido",('Densidade do AR'!$S$12*1000000),IF(INDEX($A$5:$BP$257,MATCH(BT209,$BN$5:$BN$257,0),50)="Latão",('Densidade do AR'!$S$10*1000000),IF(INDEX($A$5:$BP$257,MATCH(BT209,$BN$5:$BN$257,0),50)="Alumínio",('Densidade do AR'!$S$4*1000000)))))))-(((-('Densidade do AR'!$M$4))+('Densidade do AR'!$T$15*1000000))/('Densidade do AR'!$S$14*1000000))))))</f>
        <v>-</v>
      </c>
      <c r="CQ209" s="785"/>
      <c r="CR209" s="785"/>
      <c r="CS209" s="791"/>
      <c r="CT209" s="91" t="str">
        <f t="shared" si="74"/>
        <v>-</v>
      </c>
      <c r="CU209" s="746"/>
      <c r="CV209" s="747"/>
      <c r="CW209" s="784" t="str">
        <f>IF(CU209="","-",(IF(INDEX($A$5:$BP$257,MATCH(CU209,$BN$5:$BN$257,0),50)="Aço Inoxidável",('Densidade do AR'!$S$8*1000000),IF(INDEX($A$5:$BP$257,MATCH(CU209,$BN$5:$BN$257,0),50)="Ferro Fundido",('Densidade do AR'!$S$12*1000000),IF(INDEX($A$5:$BP$257,MATCH(CU209,$BN$5:$BN$257,0),50)="Latão",('Densidade do AR'!$S$10*1000000),IF(INDEX($A$5:$BP$257,MATCH(CU209,$BN$5:$BN$257,0),50)="Alumínio",('Densidade do AR'!$S$4*1000000)))))))</f>
        <v>-</v>
      </c>
      <c r="CX209" s="785"/>
      <c r="CY209" s="785"/>
      <c r="CZ209" s="786"/>
      <c r="DA209" s="787" t="str">
        <f t="shared" si="75"/>
        <v>-</v>
      </c>
      <c r="DB209" s="788"/>
      <c r="DC209" s="788"/>
      <c r="DD209" s="789"/>
      <c r="DE209" s="787" t="str">
        <f t="shared" si="66"/>
        <v>-</v>
      </c>
      <c r="DF209" s="788"/>
      <c r="DG209" s="788"/>
      <c r="DH209" s="789"/>
      <c r="DI209" s="790" t="str">
        <f t="shared" si="76"/>
        <v>-</v>
      </c>
      <c r="DJ209" s="785"/>
      <c r="DK209" s="785"/>
      <c r="DL209" s="786"/>
      <c r="DM209" s="790" t="str">
        <f t="shared" si="67"/>
        <v>-</v>
      </c>
      <c r="DN209" s="785"/>
      <c r="DO209" s="785"/>
      <c r="DP209" s="786"/>
      <c r="DQ209" s="790" t="str">
        <f>IF(CU209="","-",INDEX($A$5:$BP$257,MATCH(CU209,$BN$5:$BN$257,0),39)*(IF(CU209="","-",(1+(((-('Densidade do AR'!$M$4))+('Densidade do AR'!$T$15*1000000))/(IF(INDEX($A$5:$BP$257,MATCH(CU209,$BN$5:$BN$257,0),50)="Aço Inoxidável",('Densidade do AR'!$S$8*1000000),IF(INDEX($A$5:$BP$257,MATCH(CU209,$BN$5:$BN$257,0),50)="Ferro Fundido",('Densidade do AR'!$S$12*1000000),IF(INDEX($A$5:$BP$257,MATCH(CU209,$BN$5:$BN$257,0),50)="Latão",('Densidade do AR'!$S$10*1000000),IF(INDEX($A$5:$BP$257,MATCH(CU209,$BN$5:$BN$257,0),50)="Alumínio",('Densidade do AR'!$S$4*1000000)))))))-(((-('Densidade do AR'!$M$4))+('Densidade do AR'!$T$15*1000000))/('Densidade do AR'!$S$14*1000000))))))</f>
        <v>-</v>
      </c>
      <c r="DR209" s="785"/>
      <c r="DS209" s="785"/>
      <c r="DT209" s="791"/>
      <c r="DU209" s="91" t="str">
        <f t="shared" si="77"/>
        <v>-</v>
      </c>
      <c r="DV209" s="746"/>
      <c r="DW209" s="747"/>
      <c r="DX209" s="784" t="str">
        <f>IF(DV209="","-",(IF(INDEX($A$5:$BP$257,MATCH(DV209,$BN$5:$BN$257,0),50)="Aço Inoxidável",('Densidade do AR'!$S$8*1000000),IF(INDEX($A$5:$BP$257,MATCH(DV209,$BN$5:$BN$257,0),50)="Ferro Fundido",('Densidade do AR'!$S$12*1000000),IF(INDEX($A$5:$BP$257,MATCH(DV209,$BN$5:$BN$257,0),50)="Latão",('Densidade do AR'!$S$10*1000000),IF(INDEX($A$5:$BP$257,MATCH(DV209,$BN$5:$BN$257,0),50)="Alumínio",('Densidade do AR'!$S$4*1000000)))))))</f>
        <v>-</v>
      </c>
      <c r="DY209" s="785"/>
      <c r="DZ209" s="785"/>
      <c r="EA209" s="786"/>
      <c r="EB209" s="787" t="str">
        <f t="shared" si="78"/>
        <v>-</v>
      </c>
      <c r="EC209" s="788"/>
      <c r="ED209" s="788"/>
      <c r="EE209" s="789"/>
      <c r="EF209" s="787" t="str">
        <f t="shared" si="68"/>
        <v>-</v>
      </c>
      <c r="EG209" s="788"/>
      <c r="EH209" s="788"/>
      <c r="EI209" s="789"/>
      <c r="EJ209" s="790" t="str">
        <f t="shared" si="79"/>
        <v>-</v>
      </c>
      <c r="EK209" s="785"/>
      <c r="EL209" s="785"/>
      <c r="EM209" s="786"/>
      <c r="EN209" s="790" t="str">
        <f t="shared" si="69"/>
        <v>-</v>
      </c>
      <c r="EO209" s="785"/>
      <c r="EP209" s="785"/>
      <c r="EQ209" s="786"/>
      <c r="ER209" s="790" t="str">
        <f>IF(DV209="","-",INDEX($A$5:$BP$257,MATCH(DV209,$BN$5:$BN$257,0),39)*(IF(DV209="","-",(1+(((-('Densidade do AR'!$M$4))+('Densidade do AR'!$T$15*1000000))/(IF(INDEX($A$5:$BP$257,MATCH(DV209,$BN$5:$BN$257,0),50)="Aço Inoxidável",('Densidade do AR'!$S$8*1000000),IF(INDEX($A$5:$BP$257,MATCH(DV209,$BN$5:$BN$257,0),50)="Ferro Fundido",('Densidade do AR'!$S$12*1000000),IF(INDEX($A$5:$BP$257,MATCH(DV209,$BN$5:$BN$257,0),50)="Latão",('Densidade do AR'!$S$10*1000000),IF(INDEX($A$5:$BP$257,MATCH(DV209,$BN$5:$BN$257,0),50)="Alumínio",('Densidade do AR'!$S$4*1000000)))))))-(((-('Densidade do AR'!$M$4))+('Densidade do AR'!$T$15*1000000))/('Densidade do AR'!$S$14*1000000))))))</f>
        <v>-</v>
      </c>
      <c r="ES209" s="785"/>
      <c r="ET209" s="785"/>
      <c r="EU209" s="791"/>
      <c r="EV209" s="91" t="str">
        <f t="shared" si="80"/>
        <v>-</v>
      </c>
      <c r="EW209" s="746"/>
      <c r="EX209" s="747"/>
      <c r="EY209" s="784" t="str">
        <f>IF(EW209="","-",(IF(INDEX($A$5:$BP$257,MATCH(EW209,$BN$5:$BN$257,0),50)="Aço Inoxidável",('Densidade do AR'!$S$8*1000000),IF(INDEX($A$5:$BP$257,MATCH(EW209,$BN$5:$BN$257,0),50)="Ferro Fundido",('Densidade do AR'!$S$12*1000000),IF(INDEX($A$5:$BP$257,MATCH(EW209,$BN$5:$BN$257,0),50)="Latão",('Densidade do AR'!$S$10*1000000),IF(INDEX($A$5:$BP$257,MATCH(EW209,$BN$5:$BN$257,0),50)="Alumínio",('Densidade do AR'!$S$4*1000000)))))))</f>
        <v>-</v>
      </c>
      <c r="EZ209" s="785"/>
      <c r="FA209" s="785"/>
      <c r="FB209" s="786"/>
      <c r="FC209" s="787" t="str">
        <f t="shared" si="81"/>
        <v>-</v>
      </c>
      <c r="FD209" s="788"/>
      <c r="FE209" s="788"/>
      <c r="FF209" s="789"/>
      <c r="FG209" s="787" t="str">
        <f t="shared" si="70"/>
        <v>-</v>
      </c>
      <c r="FH209" s="788"/>
      <c r="FI209" s="788"/>
      <c r="FJ209" s="789"/>
      <c r="FK209" s="790" t="str">
        <f t="shared" si="82"/>
        <v>-</v>
      </c>
      <c r="FL209" s="785"/>
      <c r="FM209" s="785"/>
      <c r="FN209" s="786"/>
      <c r="FO209" s="790" t="str">
        <f t="shared" si="71"/>
        <v>-</v>
      </c>
      <c r="FP209" s="785"/>
      <c r="FQ209" s="785"/>
      <c r="FR209" s="786"/>
      <c r="FS209" s="790" t="str">
        <f>IF(EW209="","-",INDEX($A$5:$BP$257,MATCH(EW209,$BN$5:$BN$257,0),39)*(IF(EW209="","-",(1+(((-('Densidade do AR'!$M$4))+('Densidade do AR'!$T$15*1000000))/(IF(INDEX($A$5:$BP$257,MATCH(EW209,$BN$5:$BN$257,0),50)="Aço Inoxidável",('Densidade do AR'!$S$8*1000000),IF(INDEX($A$5:$BP$257,MATCH(EW209,$BN$5:$BN$257,0),50)="Ferro Fundido",('Densidade do AR'!$S$12*1000000),IF(INDEX($A$5:$BP$257,MATCH(EW209,$BN$5:$BN$257,0),50)="Latão",('Densidade do AR'!$S$10*1000000),IF(INDEX($A$5:$BP$257,MATCH(EW209,$BN$5:$BN$257,0),50)="Alumínio",('Densidade do AR'!$S$4*1000000)))))))-(((-('Densidade do AR'!$M$4))+('Densidade do AR'!$T$15*1000000))/('Densidade do AR'!$S$14*1000000))))))</f>
        <v>-</v>
      </c>
      <c r="FT209" s="785"/>
      <c r="FU209" s="785"/>
      <c r="FV209" s="791"/>
      <c r="FW209" s="91" t="str">
        <f t="shared" si="83"/>
        <v>-</v>
      </c>
      <c r="FX209" s="135"/>
    </row>
    <row r="210" spans="1:180" ht="12.75" customHeight="1" x14ac:dyDescent="0.2">
      <c r="A210" s="718">
        <v>206</v>
      </c>
      <c r="B210" s="713"/>
      <c r="C210" s="719"/>
      <c r="D210" s="709"/>
      <c r="E210" s="709"/>
      <c r="F210" s="709"/>
      <c r="G210" s="710"/>
      <c r="H210" s="720"/>
      <c r="I210" s="712"/>
      <c r="J210" s="712"/>
      <c r="K210" s="713"/>
      <c r="L210" s="719"/>
      <c r="M210" s="709"/>
      <c r="N210" s="709"/>
      <c r="O210" s="709"/>
      <c r="P210" s="719"/>
      <c r="Q210" s="709"/>
      <c r="R210" s="709"/>
      <c r="S210" s="709"/>
      <c r="T210" s="710"/>
      <c r="U210" s="721"/>
      <c r="V210" s="722"/>
      <c r="W210" s="722"/>
      <c r="X210" s="722"/>
      <c r="Y210" s="722"/>
      <c r="Z210" s="722"/>
      <c r="AA210" s="723"/>
      <c r="AB210" s="853"/>
      <c r="AC210" s="854"/>
      <c r="AD210" s="854"/>
      <c r="AE210" s="854"/>
      <c r="AF210" s="854"/>
      <c r="AG210" s="854"/>
      <c r="AH210" s="854"/>
      <c r="AI210" s="854"/>
      <c r="AJ210" s="854"/>
      <c r="AK210" s="854"/>
      <c r="AL210" s="855"/>
      <c r="AM210" s="909"/>
      <c r="AN210" s="712"/>
      <c r="AO210" s="712"/>
      <c r="AP210" s="712"/>
      <c r="AQ210" s="712"/>
      <c r="AR210" s="712"/>
      <c r="AS210" s="713"/>
      <c r="AT210" s="909"/>
      <c r="AU210" s="712"/>
      <c r="AV210" s="712"/>
      <c r="AW210" s="713"/>
      <c r="AX210" s="908"/>
      <c r="AY210" s="712"/>
      <c r="AZ210" s="712"/>
      <c r="BA210" s="712"/>
      <c r="BB210" s="712"/>
      <c r="BC210" s="713"/>
      <c r="BD210" s="909"/>
      <c r="BE210" s="712"/>
      <c r="BF210" s="712"/>
      <c r="BG210" s="713"/>
      <c r="BH210" s="908"/>
      <c r="BI210" s="712"/>
      <c r="BJ210" s="712"/>
      <c r="BK210" s="712"/>
      <c r="BL210" s="910"/>
      <c r="BN210" s="881"/>
      <c r="BO210" s="882"/>
      <c r="BP210" s="883"/>
      <c r="BT210" s="736"/>
      <c r="BU210" s="737"/>
      <c r="BV210" s="738" t="str">
        <f>IF(BT210="","-",(IF(INDEX($A$5:$BP$257,MATCH(BT210,$BN$5:$BN$257,0),50)="Aço Inoxidável",('Densidade do AR'!$S$8*1000000),IF(INDEX($A$5:$BP$257,MATCH(BT210,$BN$5:$BN$257,0),50)="Ferro Fundido",('Densidade do AR'!$S$12*1000000),IF(INDEX($A$5:$BP$257,MATCH(BT210,$BN$5:$BN$257,0),50)="Latão",('Densidade do AR'!$S$10*1000000),IF(INDEX($A$5:$BP$257,MATCH(BT210,$BN$5:$BN$257,0),50)="Alumínio",('Densidade do AR'!$S$4*1000000)))))))</f>
        <v>-</v>
      </c>
      <c r="BW210" s="739"/>
      <c r="BX210" s="739"/>
      <c r="BY210" s="740"/>
      <c r="BZ210" s="741" t="str">
        <f t="shared" si="72"/>
        <v>-</v>
      </c>
      <c r="CA210" s="742"/>
      <c r="CB210" s="742"/>
      <c r="CC210" s="743"/>
      <c r="CD210" s="741" t="str">
        <f t="shared" si="64"/>
        <v>-</v>
      </c>
      <c r="CE210" s="742"/>
      <c r="CF210" s="742"/>
      <c r="CG210" s="743"/>
      <c r="CH210" s="744" t="str">
        <f t="shared" si="73"/>
        <v>-</v>
      </c>
      <c r="CI210" s="739"/>
      <c r="CJ210" s="739"/>
      <c r="CK210" s="740"/>
      <c r="CL210" s="744" t="str">
        <f t="shared" si="65"/>
        <v>-</v>
      </c>
      <c r="CM210" s="739"/>
      <c r="CN210" s="739"/>
      <c r="CO210" s="740"/>
      <c r="CP210" s="744" t="str">
        <f>IF(BT210="","-",INDEX($A$5:$BP$257,MATCH(BT210,$BN$5:$BN$257,0),39)*(IF(BT210="","-",(1+(((-('Densidade do AR'!$M$4))+('Densidade do AR'!$T$15*1000000))/(IF(INDEX($A$5:$BP$257,MATCH(BT210,$BN$5:$BN$257,0),50)="Aço Inoxidável",('Densidade do AR'!$S$8*1000000),IF(INDEX($A$5:$BP$257,MATCH(BT210,$BN$5:$BN$257,0),50)="Ferro Fundido",('Densidade do AR'!$S$12*1000000),IF(INDEX($A$5:$BP$257,MATCH(BT210,$BN$5:$BN$257,0),50)="Latão",('Densidade do AR'!$S$10*1000000),IF(INDEX($A$5:$BP$257,MATCH(BT210,$BN$5:$BN$257,0),50)="Alumínio",('Densidade do AR'!$S$4*1000000)))))))-(((-('Densidade do AR'!$M$4))+('Densidade do AR'!$T$15*1000000))/('Densidade do AR'!$S$14*1000000))))))</f>
        <v>-</v>
      </c>
      <c r="CQ210" s="739"/>
      <c r="CR210" s="739"/>
      <c r="CS210" s="745"/>
      <c r="CT210" s="91" t="str">
        <f t="shared" si="74"/>
        <v>-</v>
      </c>
      <c r="CU210" s="736"/>
      <c r="CV210" s="737"/>
      <c r="CW210" s="738" t="str">
        <f>IF(CU210="","-",(IF(INDEX($A$5:$BP$257,MATCH(CU210,$BN$5:$BN$257,0),50)="Aço Inoxidável",('Densidade do AR'!$S$8*1000000),IF(INDEX($A$5:$BP$257,MATCH(CU210,$BN$5:$BN$257,0),50)="Ferro Fundido",('Densidade do AR'!$S$12*1000000),IF(INDEX($A$5:$BP$257,MATCH(CU210,$BN$5:$BN$257,0),50)="Latão",('Densidade do AR'!$S$10*1000000),IF(INDEX($A$5:$BP$257,MATCH(CU210,$BN$5:$BN$257,0),50)="Alumínio",('Densidade do AR'!$S$4*1000000)))))))</f>
        <v>-</v>
      </c>
      <c r="CX210" s="739"/>
      <c r="CY210" s="739"/>
      <c r="CZ210" s="740"/>
      <c r="DA210" s="741" t="str">
        <f t="shared" si="75"/>
        <v>-</v>
      </c>
      <c r="DB210" s="742"/>
      <c r="DC210" s="742"/>
      <c r="DD210" s="743"/>
      <c r="DE210" s="741" t="str">
        <f t="shared" si="66"/>
        <v>-</v>
      </c>
      <c r="DF210" s="742"/>
      <c r="DG210" s="742"/>
      <c r="DH210" s="743"/>
      <c r="DI210" s="744" t="str">
        <f t="shared" si="76"/>
        <v>-</v>
      </c>
      <c r="DJ210" s="739"/>
      <c r="DK210" s="739"/>
      <c r="DL210" s="740"/>
      <c r="DM210" s="744" t="str">
        <f t="shared" si="67"/>
        <v>-</v>
      </c>
      <c r="DN210" s="739"/>
      <c r="DO210" s="739"/>
      <c r="DP210" s="740"/>
      <c r="DQ210" s="744" t="str">
        <f>IF(CU210="","-",INDEX($A$5:$BP$257,MATCH(CU210,$BN$5:$BN$257,0),39)*(IF(CU210="","-",(1+(((-('Densidade do AR'!$M$4))+('Densidade do AR'!$T$15*1000000))/(IF(INDEX($A$5:$BP$257,MATCH(CU210,$BN$5:$BN$257,0),50)="Aço Inoxidável",('Densidade do AR'!$S$8*1000000),IF(INDEX($A$5:$BP$257,MATCH(CU210,$BN$5:$BN$257,0),50)="Ferro Fundido",('Densidade do AR'!$S$12*1000000),IF(INDEX($A$5:$BP$257,MATCH(CU210,$BN$5:$BN$257,0),50)="Latão",('Densidade do AR'!$S$10*1000000),IF(INDEX($A$5:$BP$257,MATCH(CU210,$BN$5:$BN$257,0),50)="Alumínio",('Densidade do AR'!$S$4*1000000)))))))-(((-('Densidade do AR'!$M$4))+('Densidade do AR'!$T$15*1000000))/('Densidade do AR'!$S$14*1000000))))))</f>
        <v>-</v>
      </c>
      <c r="DR210" s="739"/>
      <c r="DS210" s="739"/>
      <c r="DT210" s="745"/>
      <c r="DU210" s="91" t="str">
        <f t="shared" si="77"/>
        <v>-</v>
      </c>
      <c r="DV210" s="736"/>
      <c r="DW210" s="737"/>
      <c r="DX210" s="738" t="str">
        <f>IF(DV210="","-",(IF(INDEX($A$5:$BP$257,MATCH(DV210,$BN$5:$BN$257,0),50)="Aço Inoxidável",('Densidade do AR'!$S$8*1000000),IF(INDEX($A$5:$BP$257,MATCH(DV210,$BN$5:$BN$257,0),50)="Ferro Fundido",('Densidade do AR'!$S$12*1000000),IF(INDEX($A$5:$BP$257,MATCH(DV210,$BN$5:$BN$257,0),50)="Latão",('Densidade do AR'!$S$10*1000000),IF(INDEX($A$5:$BP$257,MATCH(DV210,$BN$5:$BN$257,0),50)="Alumínio",('Densidade do AR'!$S$4*1000000)))))))</f>
        <v>-</v>
      </c>
      <c r="DY210" s="739"/>
      <c r="DZ210" s="739"/>
      <c r="EA210" s="740"/>
      <c r="EB210" s="741" t="str">
        <f t="shared" si="78"/>
        <v>-</v>
      </c>
      <c r="EC210" s="742"/>
      <c r="ED210" s="742"/>
      <c r="EE210" s="743"/>
      <c r="EF210" s="741" t="str">
        <f t="shared" si="68"/>
        <v>-</v>
      </c>
      <c r="EG210" s="742"/>
      <c r="EH210" s="742"/>
      <c r="EI210" s="743"/>
      <c r="EJ210" s="744" t="str">
        <f t="shared" si="79"/>
        <v>-</v>
      </c>
      <c r="EK210" s="739"/>
      <c r="EL210" s="739"/>
      <c r="EM210" s="740"/>
      <c r="EN210" s="744" t="str">
        <f t="shared" si="69"/>
        <v>-</v>
      </c>
      <c r="EO210" s="739"/>
      <c r="EP210" s="739"/>
      <c r="EQ210" s="740"/>
      <c r="ER210" s="744" t="str">
        <f>IF(DV210="","-",INDEX($A$5:$BP$257,MATCH(DV210,$BN$5:$BN$257,0),39)*(IF(DV210="","-",(1+(((-('Densidade do AR'!$M$4))+('Densidade do AR'!$T$15*1000000))/(IF(INDEX($A$5:$BP$257,MATCH(DV210,$BN$5:$BN$257,0),50)="Aço Inoxidável",('Densidade do AR'!$S$8*1000000),IF(INDEX($A$5:$BP$257,MATCH(DV210,$BN$5:$BN$257,0),50)="Ferro Fundido",('Densidade do AR'!$S$12*1000000),IF(INDEX($A$5:$BP$257,MATCH(DV210,$BN$5:$BN$257,0),50)="Latão",('Densidade do AR'!$S$10*1000000),IF(INDEX($A$5:$BP$257,MATCH(DV210,$BN$5:$BN$257,0),50)="Alumínio",('Densidade do AR'!$S$4*1000000)))))))-(((-('Densidade do AR'!$M$4))+('Densidade do AR'!$T$15*1000000))/('Densidade do AR'!$S$14*1000000))))))</f>
        <v>-</v>
      </c>
      <c r="ES210" s="739"/>
      <c r="ET210" s="739"/>
      <c r="EU210" s="745"/>
      <c r="EV210" s="91" t="str">
        <f t="shared" si="80"/>
        <v>-</v>
      </c>
      <c r="EW210" s="736"/>
      <c r="EX210" s="737"/>
      <c r="EY210" s="738" t="str">
        <f>IF(EW210="","-",(IF(INDEX($A$5:$BP$257,MATCH(EW210,$BN$5:$BN$257,0),50)="Aço Inoxidável",('Densidade do AR'!$S$8*1000000),IF(INDEX($A$5:$BP$257,MATCH(EW210,$BN$5:$BN$257,0),50)="Ferro Fundido",('Densidade do AR'!$S$12*1000000),IF(INDEX($A$5:$BP$257,MATCH(EW210,$BN$5:$BN$257,0),50)="Latão",('Densidade do AR'!$S$10*1000000),IF(INDEX($A$5:$BP$257,MATCH(EW210,$BN$5:$BN$257,0),50)="Alumínio",('Densidade do AR'!$S$4*1000000)))))))</f>
        <v>-</v>
      </c>
      <c r="EZ210" s="739"/>
      <c r="FA210" s="739"/>
      <c r="FB210" s="740"/>
      <c r="FC210" s="741" t="str">
        <f t="shared" si="81"/>
        <v>-</v>
      </c>
      <c r="FD210" s="742"/>
      <c r="FE210" s="742"/>
      <c r="FF210" s="743"/>
      <c r="FG210" s="741" t="str">
        <f t="shared" si="70"/>
        <v>-</v>
      </c>
      <c r="FH210" s="742"/>
      <c r="FI210" s="742"/>
      <c r="FJ210" s="743"/>
      <c r="FK210" s="744" t="str">
        <f t="shared" si="82"/>
        <v>-</v>
      </c>
      <c r="FL210" s="739"/>
      <c r="FM210" s="739"/>
      <c r="FN210" s="740"/>
      <c r="FO210" s="744" t="str">
        <f t="shared" si="71"/>
        <v>-</v>
      </c>
      <c r="FP210" s="739"/>
      <c r="FQ210" s="739"/>
      <c r="FR210" s="740"/>
      <c r="FS210" s="744" t="str">
        <f>IF(EW210="","-",INDEX($A$5:$BP$257,MATCH(EW210,$BN$5:$BN$257,0),39)*(IF(EW210="","-",(1+(((-('Densidade do AR'!$M$4))+('Densidade do AR'!$T$15*1000000))/(IF(INDEX($A$5:$BP$257,MATCH(EW210,$BN$5:$BN$257,0),50)="Aço Inoxidável",('Densidade do AR'!$S$8*1000000),IF(INDEX($A$5:$BP$257,MATCH(EW210,$BN$5:$BN$257,0),50)="Ferro Fundido",('Densidade do AR'!$S$12*1000000),IF(INDEX($A$5:$BP$257,MATCH(EW210,$BN$5:$BN$257,0),50)="Latão",('Densidade do AR'!$S$10*1000000),IF(INDEX($A$5:$BP$257,MATCH(EW210,$BN$5:$BN$257,0),50)="Alumínio",('Densidade do AR'!$S$4*1000000)))))))-(((-('Densidade do AR'!$M$4))+('Densidade do AR'!$T$15*1000000))/('Densidade do AR'!$S$14*1000000))))))</f>
        <v>-</v>
      </c>
      <c r="FT210" s="739"/>
      <c r="FU210" s="739"/>
      <c r="FV210" s="745"/>
      <c r="FW210" s="91" t="str">
        <f t="shared" si="83"/>
        <v>-</v>
      </c>
      <c r="FX210" s="135"/>
    </row>
    <row r="211" spans="1:180" ht="12.75" customHeight="1" x14ac:dyDescent="0.2">
      <c r="A211" s="717">
        <v>207</v>
      </c>
      <c r="B211" s="713"/>
      <c r="C211" s="708"/>
      <c r="D211" s="709"/>
      <c r="E211" s="709"/>
      <c r="F211" s="709"/>
      <c r="G211" s="710"/>
      <c r="H211" s="711"/>
      <c r="I211" s="712"/>
      <c r="J211" s="712"/>
      <c r="K211" s="713"/>
      <c r="L211" s="708"/>
      <c r="M211" s="709"/>
      <c r="N211" s="709"/>
      <c r="O211" s="709"/>
      <c r="P211" s="708"/>
      <c r="Q211" s="709"/>
      <c r="R211" s="709"/>
      <c r="S211" s="709"/>
      <c r="T211" s="710"/>
      <c r="U211" s="714"/>
      <c r="V211" s="715"/>
      <c r="W211" s="715"/>
      <c r="X211" s="715"/>
      <c r="Y211" s="715"/>
      <c r="Z211" s="715"/>
      <c r="AA211" s="716"/>
      <c r="AB211" s="850"/>
      <c r="AC211" s="851"/>
      <c r="AD211" s="851"/>
      <c r="AE211" s="851"/>
      <c r="AF211" s="851"/>
      <c r="AG211" s="851"/>
      <c r="AH211" s="851"/>
      <c r="AI211" s="851"/>
      <c r="AJ211" s="851"/>
      <c r="AK211" s="851"/>
      <c r="AL211" s="852"/>
      <c r="AM211" s="917"/>
      <c r="AN211" s="712"/>
      <c r="AO211" s="712"/>
      <c r="AP211" s="712"/>
      <c r="AQ211" s="712"/>
      <c r="AR211" s="712"/>
      <c r="AS211" s="713"/>
      <c r="AT211" s="917"/>
      <c r="AU211" s="712"/>
      <c r="AV211" s="712"/>
      <c r="AW211" s="713"/>
      <c r="AX211" s="917"/>
      <c r="AY211" s="712"/>
      <c r="AZ211" s="712"/>
      <c r="BA211" s="712"/>
      <c r="BB211" s="712"/>
      <c r="BC211" s="713"/>
      <c r="BD211" s="917"/>
      <c r="BE211" s="712"/>
      <c r="BF211" s="712"/>
      <c r="BG211" s="713"/>
      <c r="BH211" s="918"/>
      <c r="BI211" s="712"/>
      <c r="BJ211" s="712"/>
      <c r="BK211" s="712"/>
      <c r="BL211" s="910"/>
      <c r="BN211" s="878"/>
      <c r="BO211" s="879"/>
      <c r="BP211" s="880"/>
      <c r="BT211" s="746"/>
      <c r="BU211" s="747"/>
      <c r="BV211" s="784" t="str">
        <f>IF(BT211="","-",(IF(INDEX($A$5:$BP$257,MATCH(BT211,$BN$5:$BN$257,0),50)="Aço Inoxidável",('Densidade do AR'!$S$8*1000000),IF(INDEX($A$5:$BP$257,MATCH(BT211,$BN$5:$BN$257,0),50)="Ferro Fundido",('Densidade do AR'!$S$12*1000000),IF(INDEX($A$5:$BP$257,MATCH(BT211,$BN$5:$BN$257,0),50)="Latão",('Densidade do AR'!$S$10*1000000),IF(INDEX($A$5:$BP$257,MATCH(BT211,$BN$5:$BN$257,0),50)="Alumínio",('Densidade do AR'!$S$4*1000000)))))))</f>
        <v>-</v>
      </c>
      <c r="BW211" s="785"/>
      <c r="BX211" s="785"/>
      <c r="BY211" s="786"/>
      <c r="BZ211" s="787" t="str">
        <f t="shared" si="72"/>
        <v>-</v>
      </c>
      <c r="CA211" s="788"/>
      <c r="CB211" s="788"/>
      <c r="CC211" s="789"/>
      <c r="CD211" s="787" t="str">
        <f t="shared" si="64"/>
        <v>-</v>
      </c>
      <c r="CE211" s="788"/>
      <c r="CF211" s="788"/>
      <c r="CG211" s="789"/>
      <c r="CH211" s="790" t="str">
        <f t="shared" si="73"/>
        <v>-</v>
      </c>
      <c r="CI211" s="785"/>
      <c r="CJ211" s="785"/>
      <c r="CK211" s="786"/>
      <c r="CL211" s="790" t="str">
        <f t="shared" si="65"/>
        <v>-</v>
      </c>
      <c r="CM211" s="785"/>
      <c r="CN211" s="785"/>
      <c r="CO211" s="786"/>
      <c r="CP211" s="790" t="str">
        <f>IF(BT211="","-",INDEX($A$5:$BP$257,MATCH(BT211,$BN$5:$BN$257,0),39)*(IF(BT211="","-",(1+(((-('Densidade do AR'!$M$4))+('Densidade do AR'!$T$15*1000000))/(IF(INDEX($A$5:$BP$257,MATCH(BT211,$BN$5:$BN$257,0),50)="Aço Inoxidável",('Densidade do AR'!$S$8*1000000),IF(INDEX($A$5:$BP$257,MATCH(BT211,$BN$5:$BN$257,0),50)="Ferro Fundido",('Densidade do AR'!$S$12*1000000),IF(INDEX($A$5:$BP$257,MATCH(BT211,$BN$5:$BN$257,0),50)="Latão",('Densidade do AR'!$S$10*1000000),IF(INDEX($A$5:$BP$257,MATCH(BT211,$BN$5:$BN$257,0),50)="Alumínio",('Densidade do AR'!$S$4*1000000)))))))-(((-('Densidade do AR'!$M$4))+('Densidade do AR'!$T$15*1000000))/('Densidade do AR'!$S$14*1000000))))))</f>
        <v>-</v>
      </c>
      <c r="CQ211" s="785"/>
      <c r="CR211" s="785"/>
      <c r="CS211" s="791"/>
      <c r="CT211" s="91" t="str">
        <f t="shared" si="74"/>
        <v>-</v>
      </c>
      <c r="CU211" s="746"/>
      <c r="CV211" s="747"/>
      <c r="CW211" s="784" t="str">
        <f>IF(CU211="","-",(IF(INDEX($A$5:$BP$257,MATCH(CU211,$BN$5:$BN$257,0),50)="Aço Inoxidável",('Densidade do AR'!$S$8*1000000),IF(INDEX($A$5:$BP$257,MATCH(CU211,$BN$5:$BN$257,0),50)="Ferro Fundido",('Densidade do AR'!$S$12*1000000),IF(INDEX($A$5:$BP$257,MATCH(CU211,$BN$5:$BN$257,0),50)="Latão",('Densidade do AR'!$S$10*1000000),IF(INDEX($A$5:$BP$257,MATCH(CU211,$BN$5:$BN$257,0),50)="Alumínio",('Densidade do AR'!$S$4*1000000)))))))</f>
        <v>-</v>
      </c>
      <c r="CX211" s="785"/>
      <c r="CY211" s="785"/>
      <c r="CZ211" s="786"/>
      <c r="DA211" s="787" t="str">
        <f t="shared" si="75"/>
        <v>-</v>
      </c>
      <c r="DB211" s="788"/>
      <c r="DC211" s="788"/>
      <c r="DD211" s="789"/>
      <c r="DE211" s="787" t="str">
        <f t="shared" si="66"/>
        <v>-</v>
      </c>
      <c r="DF211" s="788"/>
      <c r="DG211" s="788"/>
      <c r="DH211" s="789"/>
      <c r="DI211" s="790" t="str">
        <f t="shared" si="76"/>
        <v>-</v>
      </c>
      <c r="DJ211" s="785"/>
      <c r="DK211" s="785"/>
      <c r="DL211" s="786"/>
      <c r="DM211" s="790" t="str">
        <f t="shared" si="67"/>
        <v>-</v>
      </c>
      <c r="DN211" s="785"/>
      <c r="DO211" s="785"/>
      <c r="DP211" s="786"/>
      <c r="DQ211" s="790" t="str">
        <f>IF(CU211="","-",INDEX($A$5:$BP$257,MATCH(CU211,$BN$5:$BN$257,0),39)*(IF(CU211="","-",(1+(((-('Densidade do AR'!$M$4))+('Densidade do AR'!$T$15*1000000))/(IF(INDEX($A$5:$BP$257,MATCH(CU211,$BN$5:$BN$257,0),50)="Aço Inoxidável",('Densidade do AR'!$S$8*1000000),IF(INDEX($A$5:$BP$257,MATCH(CU211,$BN$5:$BN$257,0),50)="Ferro Fundido",('Densidade do AR'!$S$12*1000000),IF(INDEX($A$5:$BP$257,MATCH(CU211,$BN$5:$BN$257,0),50)="Latão",('Densidade do AR'!$S$10*1000000),IF(INDEX($A$5:$BP$257,MATCH(CU211,$BN$5:$BN$257,0),50)="Alumínio",('Densidade do AR'!$S$4*1000000)))))))-(((-('Densidade do AR'!$M$4))+('Densidade do AR'!$T$15*1000000))/('Densidade do AR'!$S$14*1000000))))))</f>
        <v>-</v>
      </c>
      <c r="DR211" s="785"/>
      <c r="DS211" s="785"/>
      <c r="DT211" s="791"/>
      <c r="DU211" s="91" t="str">
        <f t="shared" si="77"/>
        <v>-</v>
      </c>
      <c r="DV211" s="746"/>
      <c r="DW211" s="747"/>
      <c r="DX211" s="784" t="str">
        <f>IF(DV211="","-",(IF(INDEX($A$5:$BP$257,MATCH(DV211,$BN$5:$BN$257,0),50)="Aço Inoxidável",('Densidade do AR'!$S$8*1000000),IF(INDEX($A$5:$BP$257,MATCH(DV211,$BN$5:$BN$257,0),50)="Ferro Fundido",('Densidade do AR'!$S$12*1000000),IF(INDEX($A$5:$BP$257,MATCH(DV211,$BN$5:$BN$257,0),50)="Latão",('Densidade do AR'!$S$10*1000000),IF(INDEX($A$5:$BP$257,MATCH(DV211,$BN$5:$BN$257,0),50)="Alumínio",('Densidade do AR'!$S$4*1000000)))))))</f>
        <v>-</v>
      </c>
      <c r="DY211" s="785"/>
      <c r="DZ211" s="785"/>
      <c r="EA211" s="786"/>
      <c r="EB211" s="787" t="str">
        <f t="shared" si="78"/>
        <v>-</v>
      </c>
      <c r="EC211" s="788"/>
      <c r="ED211" s="788"/>
      <c r="EE211" s="789"/>
      <c r="EF211" s="787" t="str">
        <f t="shared" si="68"/>
        <v>-</v>
      </c>
      <c r="EG211" s="788"/>
      <c r="EH211" s="788"/>
      <c r="EI211" s="789"/>
      <c r="EJ211" s="790" t="str">
        <f t="shared" si="79"/>
        <v>-</v>
      </c>
      <c r="EK211" s="785"/>
      <c r="EL211" s="785"/>
      <c r="EM211" s="786"/>
      <c r="EN211" s="790" t="str">
        <f t="shared" si="69"/>
        <v>-</v>
      </c>
      <c r="EO211" s="785"/>
      <c r="EP211" s="785"/>
      <c r="EQ211" s="786"/>
      <c r="ER211" s="790" t="str">
        <f>IF(DV211="","-",INDEX($A$5:$BP$257,MATCH(DV211,$BN$5:$BN$257,0),39)*(IF(DV211="","-",(1+(((-('Densidade do AR'!$M$4))+('Densidade do AR'!$T$15*1000000))/(IF(INDEX($A$5:$BP$257,MATCH(DV211,$BN$5:$BN$257,0),50)="Aço Inoxidável",('Densidade do AR'!$S$8*1000000),IF(INDEX($A$5:$BP$257,MATCH(DV211,$BN$5:$BN$257,0),50)="Ferro Fundido",('Densidade do AR'!$S$12*1000000),IF(INDEX($A$5:$BP$257,MATCH(DV211,$BN$5:$BN$257,0),50)="Latão",('Densidade do AR'!$S$10*1000000),IF(INDEX($A$5:$BP$257,MATCH(DV211,$BN$5:$BN$257,0),50)="Alumínio",('Densidade do AR'!$S$4*1000000)))))))-(((-('Densidade do AR'!$M$4))+('Densidade do AR'!$T$15*1000000))/('Densidade do AR'!$S$14*1000000))))))</f>
        <v>-</v>
      </c>
      <c r="ES211" s="785"/>
      <c r="ET211" s="785"/>
      <c r="EU211" s="791"/>
      <c r="EV211" s="91" t="str">
        <f t="shared" si="80"/>
        <v>-</v>
      </c>
      <c r="EW211" s="746"/>
      <c r="EX211" s="747"/>
      <c r="EY211" s="784" t="str">
        <f>IF(EW211="","-",(IF(INDEX($A$5:$BP$257,MATCH(EW211,$BN$5:$BN$257,0),50)="Aço Inoxidável",('Densidade do AR'!$S$8*1000000),IF(INDEX($A$5:$BP$257,MATCH(EW211,$BN$5:$BN$257,0),50)="Ferro Fundido",('Densidade do AR'!$S$12*1000000),IF(INDEX($A$5:$BP$257,MATCH(EW211,$BN$5:$BN$257,0),50)="Latão",('Densidade do AR'!$S$10*1000000),IF(INDEX($A$5:$BP$257,MATCH(EW211,$BN$5:$BN$257,0),50)="Alumínio",('Densidade do AR'!$S$4*1000000)))))))</f>
        <v>-</v>
      </c>
      <c r="EZ211" s="785"/>
      <c r="FA211" s="785"/>
      <c r="FB211" s="786"/>
      <c r="FC211" s="787" t="str">
        <f t="shared" si="81"/>
        <v>-</v>
      </c>
      <c r="FD211" s="788"/>
      <c r="FE211" s="788"/>
      <c r="FF211" s="789"/>
      <c r="FG211" s="787" t="str">
        <f t="shared" si="70"/>
        <v>-</v>
      </c>
      <c r="FH211" s="788"/>
      <c r="FI211" s="788"/>
      <c r="FJ211" s="789"/>
      <c r="FK211" s="790" t="str">
        <f t="shared" si="82"/>
        <v>-</v>
      </c>
      <c r="FL211" s="785"/>
      <c r="FM211" s="785"/>
      <c r="FN211" s="786"/>
      <c r="FO211" s="790" t="str">
        <f t="shared" si="71"/>
        <v>-</v>
      </c>
      <c r="FP211" s="785"/>
      <c r="FQ211" s="785"/>
      <c r="FR211" s="786"/>
      <c r="FS211" s="790" t="str">
        <f>IF(EW211="","-",INDEX($A$5:$BP$257,MATCH(EW211,$BN$5:$BN$257,0),39)*(IF(EW211="","-",(1+(((-('Densidade do AR'!$M$4))+('Densidade do AR'!$T$15*1000000))/(IF(INDEX($A$5:$BP$257,MATCH(EW211,$BN$5:$BN$257,0),50)="Aço Inoxidável",('Densidade do AR'!$S$8*1000000),IF(INDEX($A$5:$BP$257,MATCH(EW211,$BN$5:$BN$257,0),50)="Ferro Fundido",('Densidade do AR'!$S$12*1000000),IF(INDEX($A$5:$BP$257,MATCH(EW211,$BN$5:$BN$257,0),50)="Latão",('Densidade do AR'!$S$10*1000000),IF(INDEX($A$5:$BP$257,MATCH(EW211,$BN$5:$BN$257,0),50)="Alumínio",('Densidade do AR'!$S$4*1000000)))))))-(((-('Densidade do AR'!$M$4))+('Densidade do AR'!$T$15*1000000))/('Densidade do AR'!$S$14*1000000))))))</f>
        <v>-</v>
      </c>
      <c r="FT211" s="785"/>
      <c r="FU211" s="785"/>
      <c r="FV211" s="791"/>
      <c r="FW211" s="91" t="str">
        <f t="shared" si="83"/>
        <v>-</v>
      </c>
      <c r="FX211" s="135"/>
    </row>
    <row r="212" spans="1:180" ht="12.75" customHeight="1" x14ac:dyDescent="0.2">
      <c r="A212" s="718">
        <v>208</v>
      </c>
      <c r="B212" s="713"/>
      <c r="C212" s="719"/>
      <c r="D212" s="709"/>
      <c r="E212" s="709"/>
      <c r="F212" s="709"/>
      <c r="G212" s="710"/>
      <c r="H212" s="720"/>
      <c r="I212" s="712"/>
      <c r="J212" s="712"/>
      <c r="K212" s="713"/>
      <c r="L212" s="719"/>
      <c r="M212" s="709"/>
      <c r="N212" s="709"/>
      <c r="O212" s="709"/>
      <c r="P212" s="719"/>
      <c r="Q212" s="709"/>
      <c r="R212" s="709"/>
      <c r="S212" s="709"/>
      <c r="T212" s="710"/>
      <c r="U212" s="721"/>
      <c r="V212" s="722"/>
      <c r="W212" s="722"/>
      <c r="X212" s="722"/>
      <c r="Y212" s="722"/>
      <c r="Z212" s="722"/>
      <c r="AA212" s="723"/>
      <c r="AB212" s="853"/>
      <c r="AC212" s="854"/>
      <c r="AD212" s="854"/>
      <c r="AE212" s="854"/>
      <c r="AF212" s="854"/>
      <c r="AG212" s="854"/>
      <c r="AH212" s="854"/>
      <c r="AI212" s="854"/>
      <c r="AJ212" s="854"/>
      <c r="AK212" s="854"/>
      <c r="AL212" s="855"/>
      <c r="AM212" s="909"/>
      <c r="AN212" s="712"/>
      <c r="AO212" s="712"/>
      <c r="AP212" s="712"/>
      <c r="AQ212" s="712"/>
      <c r="AR212" s="712"/>
      <c r="AS212" s="713"/>
      <c r="AT212" s="909"/>
      <c r="AU212" s="712"/>
      <c r="AV212" s="712"/>
      <c r="AW212" s="713"/>
      <c r="AX212" s="908"/>
      <c r="AY212" s="712"/>
      <c r="AZ212" s="712"/>
      <c r="BA212" s="712"/>
      <c r="BB212" s="712"/>
      <c r="BC212" s="713"/>
      <c r="BD212" s="909"/>
      <c r="BE212" s="712"/>
      <c r="BF212" s="712"/>
      <c r="BG212" s="713"/>
      <c r="BH212" s="908"/>
      <c r="BI212" s="712"/>
      <c r="BJ212" s="712"/>
      <c r="BK212" s="712"/>
      <c r="BL212" s="910"/>
      <c r="BN212" s="881"/>
      <c r="BO212" s="882"/>
      <c r="BP212" s="883"/>
      <c r="BT212" s="736"/>
      <c r="BU212" s="737"/>
      <c r="BV212" s="738" t="str">
        <f>IF(BT212="","-",(IF(INDEX($A$5:$BP$257,MATCH(BT212,$BN$5:$BN$257,0),50)="Aço Inoxidável",('Densidade do AR'!$S$8*1000000),IF(INDEX($A$5:$BP$257,MATCH(BT212,$BN$5:$BN$257,0),50)="Ferro Fundido",('Densidade do AR'!$S$12*1000000),IF(INDEX($A$5:$BP$257,MATCH(BT212,$BN$5:$BN$257,0),50)="Latão",('Densidade do AR'!$S$10*1000000),IF(INDEX($A$5:$BP$257,MATCH(BT212,$BN$5:$BN$257,0),50)="Alumínio",('Densidade do AR'!$S$4*1000000)))))))</f>
        <v>-</v>
      </c>
      <c r="BW212" s="739"/>
      <c r="BX212" s="739"/>
      <c r="BY212" s="740"/>
      <c r="BZ212" s="741" t="str">
        <f t="shared" si="72"/>
        <v>-</v>
      </c>
      <c r="CA212" s="742"/>
      <c r="CB212" s="742"/>
      <c r="CC212" s="743"/>
      <c r="CD212" s="741" t="str">
        <f t="shared" si="64"/>
        <v>-</v>
      </c>
      <c r="CE212" s="742"/>
      <c r="CF212" s="742"/>
      <c r="CG212" s="743"/>
      <c r="CH212" s="744" t="str">
        <f t="shared" si="73"/>
        <v>-</v>
      </c>
      <c r="CI212" s="739"/>
      <c r="CJ212" s="739"/>
      <c r="CK212" s="740"/>
      <c r="CL212" s="744" t="str">
        <f t="shared" si="65"/>
        <v>-</v>
      </c>
      <c r="CM212" s="739"/>
      <c r="CN212" s="739"/>
      <c r="CO212" s="740"/>
      <c r="CP212" s="744" t="str">
        <f>IF(BT212="","-",INDEX($A$5:$BP$257,MATCH(BT212,$BN$5:$BN$257,0),39)*(IF(BT212="","-",(1+(((-('Densidade do AR'!$M$4))+('Densidade do AR'!$T$15*1000000))/(IF(INDEX($A$5:$BP$257,MATCH(BT212,$BN$5:$BN$257,0),50)="Aço Inoxidável",('Densidade do AR'!$S$8*1000000),IF(INDEX($A$5:$BP$257,MATCH(BT212,$BN$5:$BN$257,0),50)="Ferro Fundido",('Densidade do AR'!$S$12*1000000),IF(INDEX($A$5:$BP$257,MATCH(BT212,$BN$5:$BN$257,0),50)="Latão",('Densidade do AR'!$S$10*1000000),IF(INDEX($A$5:$BP$257,MATCH(BT212,$BN$5:$BN$257,0),50)="Alumínio",('Densidade do AR'!$S$4*1000000)))))))-(((-('Densidade do AR'!$M$4))+('Densidade do AR'!$T$15*1000000))/('Densidade do AR'!$S$14*1000000))))))</f>
        <v>-</v>
      </c>
      <c r="CQ212" s="739"/>
      <c r="CR212" s="739"/>
      <c r="CS212" s="745"/>
      <c r="CT212" s="91" t="str">
        <f t="shared" si="74"/>
        <v>-</v>
      </c>
      <c r="CU212" s="736"/>
      <c r="CV212" s="737"/>
      <c r="CW212" s="738" t="str">
        <f>IF(CU212="","-",(IF(INDEX($A$5:$BP$257,MATCH(CU212,$BN$5:$BN$257,0),50)="Aço Inoxidável",('Densidade do AR'!$S$8*1000000),IF(INDEX($A$5:$BP$257,MATCH(CU212,$BN$5:$BN$257,0),50)="Ferro Fundido",('Densidade do AR'!$S$12*1000000),IF(INDEX($A$5:$BP$257,MATCH(CU212,$BN$5:$BN$257,0),50)="Latão",('Densidade do AR'!$S$10*1000000),IF(INDEX($A$5:$BP$257,MATCH(CU212,$BN$5:$BN$257,0),50)="Alumínio",('Densidade do AR'!$S$4*1000000)))))))</f>
        <v>-</v>
      </c>
      <c r="CX212" s="739"/>
      <c r="CY212" s="739"/>
      <c r="CZ212" s="740"/>
      <c r="DA212" s="741" t="str">
        <f t="shared" si="75"/>
        <v>-</v>
      </c>
      <c r="DB212" s="742"/>
      <c r="DC212" s="742"/>
      <c r="DD212" s="743"/>
      <c r="DE212" s="741" t="str">
        <f t="shared" si="66"/>
        <v>-</v>
      </c>
      <c r="DF212" s="742"/>
      <c r="DG212" s="742"/>
      <c r="DH212" s="743"/>
      <c r="DI212" s="744" t="str">
        <f t="shared" si="76"/>
        <v>-</v>
      </c>
      <c r="DJ212" s="739"/>
      <c r="DK212" s="739"/>
      <c r="DL212" s="740"/>
      <c r="DM212" s="744" t="str">
        <f t="shared" si="67"/>
        <v>-</v>
      </c>
      <c r="DN212" s="739"/>
      <c r="DO212" s="739"/>
      <c r="DP212" s="740"/>
      <c r="DQ212" s="744" t="str">
        <f>IF(CU212="","-",INDEX($A$5:$BP$257,MATCH(CU212,$BN$5:$BN$257,0),39)*(IF(CU212="","-",(1+(((-('Densidade do AR'!$M$4))+('Densidade do AR'!$T$15*1000000))/(IF(INDEX($A$5:$BP$257,MATCH(CU212,$BN$5:$BN$257,0),50)="Aço Inoxidável",('Densidade do AR'!$S$8*1000000),IF(INDEX($A$5:$BP$257,MATCH(CU212,$BN$5:$BN$257,0),50)="Ferro Fundido",('Densidade do AR'!$S$12*1000000),IF(INDEX($A$5:$BP$257,MATCH(CU212,$BN$5:$BN$257,0),50)="Latão",('Densidade do AR'!$S$10*1000000),IF(INDEX($A$5:$BP$257,MATCH(CU212,$BN$5:$BN$257,0),50)="Alumínio",('Densidade do AR'!$S$4*1000000)))))))-(((-('Densidade do AR'!$M$4))+('Densidade do AR'!$T$15*1000000))/('Densidade do AR'!$S$14*1000000))))))</f>
        <v>-</v>
      </c>
      <c r="DR212" s="739"/>
      <c r="DS212" s="739"/>
      <c r="DT212" s="745"/>
      <c r="DU212" s="91" t="str">
        <f t="shared" si="77"/>
        <v>-</v>
      </c>
      <c r="DV212" s="736"/>
      <c r="DW212" s="737"/>
      <c r="DX212" s="738" t="str">
        <f>IF(DV212="","-",(IF(INDEX($A$5:$BP$257,MATCH(DV212,$BN$5:$BN$257,0),50)="Aço Inoxidável",('Densidade do AR'!$S$8*1000000),IF(INDEX($A$5:$BP$257,MATCH(DV212,$BN$5:$BN$257,0),50)="Ferro Fundido",('Densidade do AR'!$S$12*1000000),IF(INDEX($A$5:$BP$257,MATCH(DV212,$BN$5:$BN$257,0),50)="Latão",('Densidade do AR'!$S$10*1000000),IF(INDEX($A$5:$BP$257,MATCH(DV212,$BN$5:$BN$257,0),50)="Alumínio",('Densidade do AR'!$S$4*1000000)))))))</f>
        <v>-</v>
      </c>
      <c r="DY212" s="739"/>
      <c r="DZ212" s="739"/>
      <c r="EA212" s="740"/>
      <c r="EB212" s="741" t="str">
        <f t="shared" si="78"/>
        <v>-</v>
      </c>
      <c r="EC212" s="742"/>
      <c r="ED212" s="742"/>
      <c r="EE212" s="743"/>
      <c r="EF212" s="741" t="str">
        <f t="shared" si="68"/>
        <v>-</v>
      </c>
      <c r="EG212" s="742"/>
      <c r="EH212" s="742"/>
      <c r="EI212" s="743"/>
      <c r="EJ212" s="744" t="str">
        <f t="shared" si="79"/>
        <v>-</v>
      </c>
      <c r="EK212" s="739"/>
      <c r="EL212" s="739"/>
      <c r="EM212" s="740"/>
      <c r="EN212" s="744" t="str">
        <f t="shared" si="69"/>
        <v>-</v>
      </c>
      <c r="EO212" s="739"/>
      <c r="EP212" s="739"/>
      <c r="EQ212" s="740"/>
      <c r="ER212" s="744" t="str">
        <f>IF(DV212="","-",INDEX($A$5:$BP$257,MATCH(DV212,$BN$5:$BN$257,0),39)*(IF(DV212="","-",(1+(((-('Densidade do AR'!$M$4))+('Densidade do AR'!$T$15*1000000))/(IF(INDEX($A$5:$BP$257,MATCH(DV212,$BN$5:$BN$257,0),50)="Aço Inoxidável",('Densidade do AR'!$S$8*1000000),IF(INDEX($A$5:$BP$257,MATCH(DV212,$BN$5:$BN$257,0),50)="Ferro Fundido",('Densidade do AR'!$S$12*1000000),IF(INDEX($A$5:$BP$257,MATCH(DV212,$BN$5:$BN$257,0),50)="Latão",('Densidade do AR'!$S$10*1000000),IF(INDEX($A$5:$BP$257,MATCH(DV212,$BN$5:$BN$257,0),50)="Alumínio",('Densidade do AR'!$S$4*1000000)))))))-(((-('Densidade do AR'!$M$4))+('Densidade do AR'!$T$15*1000000))/('Densidade do AR'!$S$14*1000000))))))</f>
        <v>-</v>
      </c>
      <c r="ES212" s="739"/>
      <c r="ET212" s="739"/>
      <c r="EU212" s="745"/>
      <c r="EV212" s="91" t="str">
        <f t="shared" si="80"/>
        <v>-</v>
      </c>
      <c r="EW212" s="736"/>
      <c r="EX212" s="737"/>
      <c r="EY212" s="738" t="str">
        <f>IF(EW212="","-",(IF(INDEX($A$5:$BP$257,MATCH(EW212,$BN$5:$BN$257,0),50)="Aço Inoxidável",('Densidade do AR'!$S$8*1000000),IF(INDEX($A$5:$BP$257,MATCH(EW212,$BN$5:$BN$257,0),50)="Ferro Fundido",('Densidade do AR'!$S$12*1000000),IF(INDEX($A$5:$BP$257,MATCH(EW212,$BN$5:$BN$257,0),50)="Latão",('Densidade do AR'!$S$10*1000000),IF(INDEX($A$5:$BP$257,MATCH(EW212,$BN$5:$BN$257,0),50)="Alumínio",('Densidade do AR'!$S$4*1000000)))))))</f>
        <v>-</v>
      </c>
      <c r="EZ212" s="739"/>
      <c r="FA212" s="739"/>
      <c r="FB212" s="740"/>
      <c r="FC212" s="741" t="str">
        <f t="shared" si="81"/>
        <v>-</v>
      </c>
      <c r="FD212" s="742"/>
      <c r="FE212" s="742"/>
      <c r="FF212" s="743"/>
      <c r="FG212" s="741" t="str">
        <f t="shared" si="70"/>
        <v>-</v>
      </c>
      <c r="FH212" s="742"/>
      <c r="FI212" s="742"/>
      <c r="FJ212" s="743"/>
      <c r="FK212" s="744" t="str">
        <f t="shared" si="82"/>
        <v>-</v>
      </c>
      <c r="FL212" s="739"/>
      <c r="FM212" s="739"/>
      <c r="FN212" s="740"/>
      <c r="FO212" s="744" t="str">
        <f t="shared" si="71"/>
        <v>-</v>
      </c>
      <c r="FP212" s="739"/>
      <c r="FQ212" s="739"/>
      <c r="FR212" s="740"/>
      <c r="FS212" s="744" t="str">
        <f>IF(EW212="","-",INDEX($A$5:$BP$257,MATCH(EW212,$BN$5:$BN$257,0),39)*(IF(EW212="","-",(1+(((-('Densidade do AR'!$M$4))+('Densidade do AR'!$T$15*1000000))/(IF(INDEX($A$5:$BP$257,MATCH(EW212,$BN$5:$BN$257,0),50)="Aço Inoxidável",('Densidade do AR'!$S$8*1000000),IF(INDEX($A$5:$BP$257,MATCH(EW212,$BN$5:$BN$257,0),50)="Ferro Fundido",('Densidade do AR'!$S$12*1000000),IF(INDEX($A$5:$BP$257,MATCH(EW212,$BN$5:$BN$257,0),50)="Latão",('Densidade do AR'!$S$10*1000000),IF(INDEX($A$5:$BP$257,MATCH(EW212,$BN$5:$BN$257,0),50)="Alumínio",('Densidade do AR'!$S$4*1000000)))))))-(((-('Densidade do AR'!$M$4))+('Densidade do AR'!$T$15*1000000))/('Densidade do AR'!$S$14*1000000))))))</f>
        <v>-</v>
      </c>
      <c r="FT212" s="739"/>
      <c r="FU212" s="739"/>
      <c r="FV212" s="745"/>
      <c r="FW212" s="91" t="str">
        <f t="shared" si="83"/>
        <v>-</v>
      </c>
      <c r="FX212" s="135"/>
    </row>
    <row r="213" spans="1:180" ht="12.75" customHeight="1" x14ac:dyDescent="0.2">
      <c r="A213" s="717">
        <v>209</v>
      </c>
      <c r="B213" s="713"/>
      <c r="C213" s="708"/>
      <c r="D213" s="709"/>
      <c r="E213" s="709"/>
      <c r="F213" s="709"/>
      <c r="G213" s="710"/>
      <c r="H213" s="711"/>
      <c r="I213" s="712"/>
      <c r="J213" s="712"/>
      <c r="K213" s="713"/>
      <c r="L213" s="708"/>
      <c r="M213" s="709"/>
      <c r="N213" s="709"/>
      <c r="O213" s="709"/>
      <c r="P213" s="708"/>
      <c r="Q213" s="709"/>
      <c r="R213" s="709"/>
      <c r="S213" s="709"/>
      <c r="T213" s="710"/>
      <c r="U213" s="714"/>
      <c r="V213" s="715"/>
      <c r="W213" s="715"/>
      <c r="X213" s="715"/>
      <c r="Y213" s="715"/>
      <c r="Z213" s="715"/>
      <c r="AA213" s="716"/>
      <c r="AB213" s="850"/>
      <c r="AC213" s="851"/>
      <c r="AD213" s="851"/>
      <c r="AE213" s="851"/>
      <c r="AF213" s="851"/>
      <c r="AG213" s="851"/>
      <c r="AH213" s="851"/>
      <c r="AI213" s="851"/>
      <c r="AJ213" s="851"/>
      <c r="AK213" s="851"/>
      <c r="AL213" s="852"/>
      <c r="AM213" s="917"/>
      <c r="AN213" s="712"/>
      <c r="AO213" s="712"/>
      <c r="AP213" s="712"/>
      <c r="AQ213" s="712"/>
      <c r="AR213" s="712"/>
      <c r="AS213" s="713"/>
      <c r="AT213" s="917"/>
      <c r="AU213" s="712"/>
      <c r="AV213" s="712"/>
      <c r="AW213" s="713"/>
      <c r="AX213" s="917"/>
      <c r="AY213" s="712"/>
      <c r="AZ213" s="712"/>
      <c r="BA213" s="712"/>
      <c r="BB213" s="712"/>
      <c r="BC213" s="713"/>
      <c r="BD213" s="917"/>
      <c r="BE213" s="712"/>
      <c r="BF213" s="712"/>
      <c r="BG213" s="713"/>
      <c r="BH213" s="918"/>
      <c r="BI213" s="712"/>
      <c r="BJ213" s="712"/>
      <c r="BK213" s="712"/>
      <c r="BL213" s="910"/>
      <c r="BN213" s="878"/>
      <c r="BO213" s="879"/>
      <c r="BP213" s="880"/>
      <c r="BT213" s="746"/>
      <c r="BU213" s="747"/>
      <c r="BV213" s="784" t="str">
        <f>IF(BT213="","-",(IF(INDEX($A$5:$BP$257,MATCH(BT213,$BN$5:$BN$257,0),50)="Aço Inoxidável",('Densidade do AR'!$S$8*1000000),IF(INDEX($A$5:$BP$257,MATCH(BT213,$BN$5:$BN$257,0),50)="Ferro Fundido",('Densidade do AR'!$S$12*1000000),IF(INDEX($A$5:$BP$257,MATCH(BT213,$BN$5:$BN$257,0),50)="Latão",('Densidade do AR'!$S$10*1000000),IF(INDEX($A$5:$BP$257,MATCH(BT213,$BN$5:$BN$257,0),50)="Alumínio",('Densidade do AR'!$S$4*1000000)))))))</f>
        <v>-</v>
      </c>
      <c r="BW213" s="785"/>
      <c r="BX213" s="785"/>
      <c r="BY213" s="786"/>
      <c r="BZ213" s="787" t="str">
        <f t="shared" si="72"/>
        <v>-</v>
      </c>
      <c r="CA213" s="788"/>
      <c r="CB213" s="788"/>
      <c r="CC213" s="789"/>
      <c r="CD213" s="787" t="str">
        <f t="shared" si="64"/>
        <v>-</v>
      </c>
      <c r="CE213" s="788"/>
      <c r="CF213" s="788"/>
      <c r="CG213" s="789"/>
      <c r="CH213" s="790" t="str">
        <f t="shared" si="73"/>
        <v>-</v>
      </c>
      <c r="CI213" s="785"/>
      <c r="CJ213" s="785"/>
      <c r="CK213" s="786"/>
      <c r="CL213" s="790" t="str">
        <f t="shared" si="65"/>
        <v>-</v>
      </c>
      <c r="CM213" s="785"/>
      <c r="CN213" s="785"/>
      <c r="CO213" s="786"/>
      <c r="CP213" s="790" t="str">
        <f>IF(BT213="","-",INDEX($A$5:$BP$257,MATCH(BT213,$BN$5:$BN$257,0),39)*(IF(BT213="","-",(1+(((-('Densidade do AR'!$M$4))+('Densidade do AR'!$T$15*1000000))/(IF(INDEX($A$5:$BP$257,MATCH(BT213,$BN$5:$BN$257,0),50)="Aço Inoxidável",('Densidade do AR'!$S$8*1000000),IF(INDEX($A$5:$BP$257,MATCH(BT213,$BN$5:$BN$257,0),50)="Ferro Fundido",('Densidade do AR'!$S$12*1000000),IF(INDEX($A$5:$BP$257,MATCH(BT213,$BN$5:$BN$257,0),50)="Latão",('Densidade do AR'!$S$10*1000000),IF(INDEX($A$5:$BP$257,MATCH(BT213,$BN$5:$BN$257,0),50)="Alumínio",('Densidade do AR'!$S$4*1000000)))))))-(((-('Densidade do AR'!$M$4))+('Densidade do AR'!$T$15*1000000))/('Densidade do AR'!$S$14*1000000))))))</f>
        <v>-</v>
      </c>
      <c r="CQ213" s="785"/>
      <c r="CR213" s="785"/>
      <c r="CS213" s="791"/>
      <c r="CT213" s="91" t="str">
        <f t="shared" si="74"/>
        <v>-</v>
      </c>
      <c r="CU213" s="746"/>
      <c r="CV213" s="747"/>
      <c r="CW213" s="784" t="str">
        <f>IF(CU213="","-",(IF(INDEX($A$5:$BP$257,MATCH(CU213,$BN$5:$BN$257,0),50)="Aço Inoxidável",('Densidade do AR'!$S$8*1000000),IF(INDEX($A$5:$BP$257,MATCH(CU213,$BN$5:$BN$257,0),50)="Ferro Fundido",('Densidade do AR'!$S$12*1000000),IF(INDEX($A$5:$BP$257,MATCH(CU213,$BN$5:$BN$257,0),50)="Latão",('Densidade do AR'!$S$10*1000000),IF(INDEX($A$5:$BP$257,MATCH(CU213,$BN$5:$BN$257,0),50)="Alumínio",('Densidade do AR'!$S$4*1000000)))))))</f>
        <v>-</v>
      </c>
      <c r="CX213" s="785"/>
      <c r="CY213" s="785"/>
      <c r="CZ213" s="786"/>
      <c r="DA213" s="787" t="str">
        <f t="shared" si="75"/>
        <v>-</v>
      </c>
      <c r="DB213" s="788"/>
      <c r="DC213" s="788"/>
      <c r="DD213" s="789"/>
      <c r="DE213" s="787" t="str">
        <f t="shared" si="66"/>
        <v>-</v>
      </c>
      <c r="DF213" s="788"/>
      <c r="DG213" s="788"/>
      <c r="DH213" s="789"/>
      <c r="DI213" s="790" t="str">
        <f t="shared" si="76"/>
        <v>-</v>
      </c>
      <c r="DJ213" s="785"/>
      <c r="DK213" s="785"/>
      <c r="DL213" s="786"/>
      <c r="DM213" s="790" t="str">
        <f t="shared" si="67"/>
        <v>-</v>
      </c>
      <c r="DN213" s="785"/>
      <c r="DO213" s="785"/>
      <c r="DP213" s="786"/>
      <c r="DQ213" s="790" t="str">
        <f>IF(CU213="","-",INDEX($A$5:$BP$257,MATCH(CU213,$BN$5:$BN$257,0),39)*(IF(CU213="","-",(1+(((-('Densidade do AR'!$M$4))+('Densidade do AR'!$T$15*1000000))/(IF(INDEX($A$5:$BP$257,MATCH(CU213,$BN$5:$BN$257,0),50)="Aço Inoxidável",('Densidade do AR'!$S$8*1000000),IF(INDEX($A$5:$BP$257,MATCH(CU213,$BN$5:$BN$257,0),50)="Ferro Fundido",('Densidade do AR'!$S$12*1000000),IF(INDEX($A$5:$BP$257,MATCH(CU213,$BN$5:$BN$257,0),50)="Latão",('Densidade do AR'!$S$10*1000000),IF(INDEX($A$5:$BP$257,MATCH(CU213,$BN$5:$BN$257,0),50)="Alumínio",('Densidade do AR'!$S$4*1000000)))))))-(((-('Densidade do AR'!$M$4))+('Densidade do AR'!$T$15*1000000))/('Densidade do AR'!$S$14*1000000))))))</f>
        <v>-</v>
      </c>
      <c r="DR213" s="785"/>
      <c r="DS213" s="785"/>
      <c r="DT213" s="791"/>
      <c r="DU213" s="91" t="str">
        <f t="shared" si="77"/>
        <v>-</v>
      </c>
      <c r="DV213" s="746"/>
      <c r="DW213" s="747"/>
      <c r="DX213" s="784" t="str">
        <f>IF(DV213="","-",(IF(INDEX($A$5:$BP$257,MATCH(DV213,$BN$5:$BN$257,0),50)="Aço Inoxidável",('Densidade do AR'!$S$8*1000000),IF(INDEX($A$5:$BP$257,MATCH(DV213,$BN$5:$BN$257,0),50)="Ferro Fundido",('Densidade do AR'!$S$12*1000000),IF(INDEX($A$5:$BP$257,MATCH(DV213,$BN$5:$BN$257,0),50)="Latão",('Densidade do AR'!$S$10*1000000),IF(INDEX($A$5:$BP$257,MATCH(DV213,$BN$5:$BN$257,0),50)="Alumínio",('Densidade do AR'!$S$4*1000000)))))))</f>
        <v>-</v>
      </c>
      <c r="DY213" s="785"/>
      <c r="DZ213" s="785"/>
      <c r="EA213" s="786"/>
      <c r="EB213" s="787" t="str">
        <f t="shared" si="78"/>
        <v>-</v>
      </c>
      <c r="EC213" s="788"/>
      <c r="ED213" s="788"/>
      <c r="EE213" s="789"/>
      <c r="EF213" s="787" t="str">
        <f t="shared" si="68"/>
        <v>-</v>
      </c>
      <c r="EG213" s="788"/>
      <c r="EH213" s="788"/>
      <c r="EI213" s="789"/>
      <c r="EJ213" s="790" t="str">
        <f t="shared" si="79"/>
        <v>-</v>
      </c>
      <c r="EK213" s="785"/>
      <c r="EL213" s="785"/>
      <c r="EM213" s="786"/>
      <c r="EN213" s="790" t="str">
        <f t="shared" si="69"/>
        <v>-</v>
      </c>
      <c r="EO213" s="785"/>
      <c r="EP213" s="785"/>
      <c r="EQ213" s="786"/>
      <c r="ER213" s="790" t="str">
        <f>IF(DV213="","-",INDEX($A$5:$BP$257,MATCH(DV213,$BN$5:$BN$257,0),39)*(IF(DV213="","-",(1+(((-('Densidade do AR'!$M$4))+('Densidade do AR'!$T$15*1000000))/(IF(INDEX($A$5:$BP$257,MATCH(DV213,$BN$5:$BN$257,0),50)="Aço Inoxidável",('Densidade do AR'!$S$8*1000000),IF(INDEX($A$5:$BP$257,MATCH(DV213,$BN$5:$BN$257,0),50)="Ferro Fundido",('Densidade do AR'!$S$12*1000000),IF(INDEX($A$5:$BP$257,MATCH(DV213,$BN$5:$BN$257,0),50)="Latão",('Densidade do AR'!$S$10*1000000),IF(INDEX($A$5:$BP$257,MATCH(DV213,$BN$5:$BN$257,0),50)="Alumínio",('Densidade do AR'!$S$4*1000000)))))))-(((-('Densidade do AR'!$M$4))+('Densidade do AR'!$T$15*1000000))/('Densidade do AR'!$S$14*1000000))))))</f>
        <v>-</v>
      </c>
      <c r="ES213" s="785"/>
      <c r="ET213" s="785"/>
      <c r="EU213" s="791"/>
      <c r="EV213" s="91" t="str">
        <f t="shared" si="80"/>
        <v>-</v>
      </c>
      <c r="EW213" s="746"/>
      <c r="EX213" s="747"/>
      <c r="EY213" s="784" t="str">
        <f>IF(EW213="","-",(IF(INDEX($A$5:$BP$257,MATCH(EW213,$BN$5:$BN$257,0),50)="Aço Inoxidável",('Densidade do AR'!$S$8*1000000),IF(INDEX($A$5:$BP$257,MATCH(EW213,$BN$5:$BN$257,0),50)="Ferro Fundido",('Densidade do AR'!$S$12*1000000),IF(INDEX($A$5:$BP$257,MATCH(EW213,$BN$5:$BN$257,0),50)="Latão",('Densidade do AR'!$S$10*1000000),IF(INDEX($A$5:$BP$257,MATCH(EW213,$BN$5:$BN$257,0),50)="Alumínio",('Densidade do AR'!$S$4*1000000)))))))</f>
        <v>-</v>
      </c>
      <c r="EZ213" s="785"/>
      <c r="FA213" s="785"/>
      <c r="FB213" s="786"/>
      <c r="FC213" s="787" t="str">
        <f t="shared" si="81"/>
        <v>-</v>
      </c>
      <c r="FD213" s="788"/>
      <c r="FE213" s="788"/>
      <c r="FF213" s="789"/>
      <c r="FG213" s="787" t="str">
        <f t="shared" si="70"/>
        <v>-</v>
      </c>
      <c r="FH213" s="788"/>
      <c r="FI213" s="788"/>
      <c r="FJ213" s="789"/>
      <c r="FK213" s="790" t="str">
        <f t="shared" si="82"/>
        <v>-</v>
      </c>
      <c r="FL213" s="785"/>
      <c r="FM213" s="785"/>
      <c r="FN213" s="786"/>
      <c r="FO213" s="790" t="str">
        <f t="shared" si="71"/>
        <v>-</v>
      </c>
      <c r="FP213" s="785"/>
      <c r="FQ213" s="785"/>
      <c r="FR213" s="786"/>
      <c r="FS213" s="790" t="str">
        <f>IF(EW213="","-",INDEX($A$5:$BP$257,MATCH(EW213,$BN$5:$BN$257,0),39)*(IF(EW213="","-",(1+(((-('Densidade do AR'!$M$4))+('Densidade do AR'!$T$15*1000000))/(IF(INDEX($A$5:$BP$257,MATCH(EW213,$BN$5:$BN$257,0),50)="Aço Inoxidável",('Densidade do AR'!$S$8*1000000),IF(INDEX($A$5:$BP$257,MATCH(EW213,$BN$5:$BN$257,0),50)="Ferro Fundido",('Densidade do AR'!$S$12*1000000),IF(INDEX($A$5:$BP$257,MATCH(EW213,$BN$5:$BN$257,0),50)="Latão",('Densidade do AR'!$S$10*1000000),IF(INDEX($A$5:$BP$257,MATCH(EW213,$BN$5:$BN$257,0),50)="Alumínio",('Densidade do AR'!$S$4*1000000)))))))-(((-('Densidade do AR'!$M$4))+('Densidade do AR'!$T$15*1000000))/('Densidade do AR'!$S$14*1000000))))))</f>
        <v>-</v>
      </c>
      <c r="FT213" s="785"/>
      <c r="FU213" s="785"/>
      <c r="FV213" s="791"/>
      <c r="FW213" s="91" t="str">
        <f t="shared" si="83"/>
        <v>-</v>
      </c>
      <c r="FX213" s="135"/>
    </row>
    <row r="214" spans="1:180" ht="12.75" customHeight="1" x14ac:dyDescent="0.2">
      <c r="A214" s="718">
        <v>210</v>
      </c>
      <c r="B214" s="713"/>
      <c r="C214" s="719"/>
      <c r="D214" s="709"/>
      <c r="E214" s="709"/>
      <c r="F214" s="709"/>
      <c r="G214" s="710"/>
      <c r="H214" s="720"/>
      <c r="I214" s="712"/>
      <c r="J214" s="712"/>
      <c r="K214" s="713"/>
      <c r="L214" s="719"/>
      <c r="M214" s="709"/>
      <c r="N214" s="709"/>
      <c r="O214" s="709"/>
      <c r="P214" s="719"/>
      <c r="Q214" s="709"/>
      <c r="R214" s="709"/>
      <c r="S214" s="709"/>
      <c r="T214" s="710"/>
      <c r="U214" s="721"/>
      <c r="V214" s="722"/>
      <c r="W214" s="722"/>
      <c r="X214" s="722"/>
      <c r="Y214" s="722"/>
      <c r="Z214" s="722"/>
      <c r="AA214" s="723"/>
      <c r="AB214" s="853"/>
      <c r="AC214" s="854"/>
      <c r="AD214" s="854"/>
      <c r="AE214" s="854"/>
      <c r="AF214" s="854"/>
      <c r="AG214" s="854"/>
      <c r="AH214" s="854"/>
      <c r="AI214" s="854"/>
      <c r="AJ214" s="854"/>
      <c r="AK214" s="854"/>
      <c r="AL214" s="855"/>
      <c r="AM214" s="909"/>
      <c r="AN214" s="712"/>
      <c r="AO214" s="712"/>
      <c r="AP214" s="712"/>
      <c r="AQ214" s="712"/>
      <c r="AR214" s="712"/>
      <c r="AS214" s="713"/>
      <c r="AT214" s="909"/>
      <c r="AU214" s="712"/>
      <c r="AV214" s="712"/>
      <c r="AW214" s="713"/>
      <c r="AX214" s="908"/>
      <c r="AY214" s="712"/>
      <c r="AZ214" s="712"/>
      <c r="BA214" s="712"/>
      <c r="BB214" s="712"/>
      <c r="BC214" s="713"/>
      <c r="BD214" s="909"/>
      <c r="BE214" s="712"/>
      <c r="BF214" s="712"/>
      <c r="BG214" s="713"/>
      <c r="BH214" s="908"/>
      <c r="BI214" s="712"/>
      <c r="BJ214" s="712"/>
      <c r="BK214" s="712"/>
      <c r="BL214" s="910"/>
      <c r="BN214" s="881"/>
      <c r="BO214" s="882"/>
      <c r="BP214" s="883"/>
      <c r="BT214" s="736"/>
      <c r="BU214" s="737"/>
      <c r="BV214" s="738" t="str">
        <f>IF(BT214="","-",(IF(INDEX($A$5:$BP$257,MATCH(BT214,$BN$5:$BN$257,0),50)="Aço Inoxidável",('Densidade do AR'!$S$8*1000000),IF(INDEX($A$5:$BP$257,MATCH(BT214,$BN$5:$BN$257,0),50)="Ferro Fundido",('Densidade do AR'!$S$12*1000000),IF(INDEX($A$5:$BP$257,MATCH(BT214,$BN$5:$BN$257,0),50)="Latão",('Densidade do AR'!$S$10*1000000),IF(INDEX($A$5:$BP$257,MATCH(BT214,$BN$5:$BN$257,0),50)="Alumínio",('Densidade do AR'!$S$4*1000000)))))))</f>
        <v>-</v>
      </c>
      <c r="BW214" s="739"/>
      <c r="BX214" s="739"/>
      <c r="BY214" s="740"/>
      <c r="BZ214" s="741" t="str">
        <f t="shared" si="72"/>
        <v>-</v>
      </c>
      <c r="CA214" s="742"/>
      <c r="CB214" s="742"/>
      <c r="CC214" s="743"/>
      <c r="CD214" s="741" t="str">
        <f t="shared" si="64"/>
        <v>-</v>
      </c>
      <c r="CE214" s="742"/>
      <c r="CF214" s="742"/>
      <c r="CG214" s="743"/>
      <c r="CH214" s="744" t="str">
        <f t="shared" si="73"/>
        <v>-</v>
      </c>
      <c r="CI214" s="739"/>
      <c r="CJ214" s="739"/>
      <c r="CK214" s="740"/>
      <c r="CL214" s="744" t="str">
        <f t="shared" si="65"/>
        <v>-</v>
      </c>
      <c r="CM214" s="739"/>
      <c r="CN214" s="739"/>
      <c r="CO214" s="740"/>
      <c r="CP214" s="744" t="str">
        <f>IF(BT214="","-",INDEX($A$5:$BP$257,MATCH(BT214,$BN$5:$BN$257,0),39)*(IF(BT214="","-",(1+(((-('Densidade do AR'!$M$4))+('Densidade do AR'!$T$15*1000000))/(IF(INDEX($A$5:$BP$257,MATCH(BT214,$BN$5:$BN$257,0),50)="Aço Inoxidável",('Densidade do AR'!$S$8*1000000),IF(INDEX($A$5:$BP$257,MATCH(BT214,$BN$5:$BN$257,0),50)="Ferro Fundido",('Densidade do AR'!$S$12*1000000),IF(INDEX($A$5:$BP$257,MATCH(BT214,$BN$5:$BN$257,0),50)="Latão",('Densidade do AR'!$S$10*1000000),IF(INDEX($A$5:$BP$257,MATCH(BT214,$BN$5:$BN$257,0),50)="Alumínio",('Densidade do AR'!$S$4*1000000)))))))-(((-('Densidade do AR'!$M$4))+('Densidade do AR'!$T$15*1000000))/('Densidade do AR'!$S$14*1000000))))))</f>
        <v>-</v>
      </c>
      <c r="CQ214" s="739"/>
      <c r="CR214" s="739"/>
      <c r="CS214" s="745"/>
      <c r="CT214" s="91" t="str">
        <f t="shared" si="74"/>
        <v>-</v>
      </c>
      <c r="CU214" s="736"/>
      <c r="CV214" s="737"/>
      <c r="CW214" s="738" t="str">
        <f>IF(CU214="","-",(IF(INDEX($A$5:$BP$257,MATCH(CU214,$BN$5:$BN$257,0),50)="Aço Inoxidável",('Densidade do AR'!$S$8*1000000),IF(INDEX($A$5:$BP$257,MATCH(CU214,$BN$5:$BN$257,0),50)="Ferro Fundido",('Densidade do AR'!$S$12*1000000),IF(INDEX($A$5:$BP$257,MATCH(CU214,$BN$5:$BN$257,0),50)="Latão",('Densidade do AR'!$S$10*1000000),IF(INDEX($A$5:$BP$257,MATCH(CU214,$BN$5:$BN$257,0),50)="Alumínio",('Densidade do AR'!$S$4*1000000)))))))</f>
        <v>-</v>
      </c>
      <c r="CX214" s="739"/>
      <c r="CY214" s="739"/>
      <c r="CZ214" s="740"/>
      <c r="DA214" s="741" t="str">
        <f t="shared" si="75"/>
        <v>-</v>
      </c>
      <c r="DB214" s="742"/>
      <c r="DC214" s="742"/>
      <c r="DD214" s="743"/>
      <c r="DE214" s="741" t="str">
        <f t="shared" si="66"/>
        <v>-</v>
      </c>
      <c r="DF214" s="742"/>
      <c r="DG214" s="742"/>
      <c r="DH214" s="743"/>
      <c r="DI214" s="744" t="str">
        <f t="shared" si="76"/>
        <v>-</v>
      </c>
      <c r="DJ214" s="739"/>
      <c r="DK214" s="739"/>
      <c r="DL214" s="740"/>
      <c r="DM214" s="744" t="str">
        <f t="shared" si="67"/>
        <v>-</v>
      </c>
      <c r="DN214" s="739"/>
      <c r="DO214" s="739"/>
      <c r="DP214" s="740"/>
      <c r="DQ214" s="744" t="str">
        <f>IF(CU214="","-",INDEX($A$5:$BP$257,MATCH(CU214,$BN$5:$BN$257,0),39)*(IF(CU214="","-",(1+(((-('Densidade do AR'!$M$4))+('Densidade do AR'!$T$15*1000000))/(IF(INDEX($A$5:$BP$257,MATCH(CU214,$BN$5:$BN$257,0),50)="Aço Inoxidável",('Densidade do AR'!$S$8*1000000),IF(INDEX($A$5:$BP$257,MATCH(CU214,$BN$5:$BN$257,0),50)="Ferro Fundido",('Densidade do AR'!$S$12*1000000),IF(INDEX($A$5:$BP$257,MATCH(CU214,$BN$5:$BN$257,0),50)="Latão",('Densidade do AR'!$S$10*1000000),IF(INDEX($A$5:$BP$257,MATCH(CU214,$BN$5:$BN$257,0),50)="Alumínio",('Densidade do AR'!$S$4*1000000)))))))-(((-('Densidade do AR'!$M$4))+('Densidade do AR'!$T$15*1000000))/('Densidade do AR'!$S$14*1000000))))))</f>
        <v>-</v>
      </c>
      <c r="DR214" s="739"/>
      <c r="DS214" s="739"/>
      <c r="DT214" s="745"/>
      <c r="DU214" s="91" t="str">
        <f t="shared" si="77"/>
        <v>-</v>
      </c>
      <c r="DV214" s="736"/>
      <c r="DW214" s="737"/>
      <c r="DX214" s="738" t="str">
        <f>IF(DV214="","-",(IF(INDEX($A$5:$BP$257,MATCH(DV214,$BN$5:$BN$257,0),50)="Aço Inoxidável",('Densidade do AR'!$S$8*1000000),IF(INDEX($A$5:$BP$257,MATCH(DV214,$BN$5:$BN$257,0),50)="Ferro Fundido",('Densidade do AR'!$S$12*1000000),IF(INDEX($A$5:$BP$257,MATCH(DV214,$BN$5:$BN$257,0),50)="Latão",('Densidade do AR'!$S$10*1000000),IF(INDEX($A$5:$BP$257,MATCH(DV214,$BN$5:$BN$257,0),50)="Alumínio",('Densidade do AR'!$S$4*1000000)))))))</f>
        <v>-</v>
      </c>
      <c r="DY214" s="739"/>
      <c r="DZ214" s="739"/>
      <c r="EA214" s="740"/>
      <c r="EB214" s="741" t="str">
        <f t="shared" si="78"/>
        <v>-</v>
      </c>
      <c r="EC214" s="742"/>
      <c r="ED214" s="742"/>
      <c r="EE214" s="743"/>
      <c r="EF214" s="741" t="str">
        <f t="shared" si="68"/>
        <v>-</v>
      </c>
      <c r="EG214" s="742"/>
      <c r="EH214" s="742"/>
      <c r="EI214" s="743"/>
      <c r="EJ214" s="744" t="str">
        <f t="shared" si="79"/>
        <v>-</v>
      </c>
      <c r="EK214" s="739"/>
      <c r="EL214" s="739"/>
      <c r="EM214" s="740"/>
      <c r="EN214" s="744" t="str">
        <f t="shared" si="69"/>
        <v>-</v>
      </c>
      <c r="EO214" s="739"/>
      <c r="EP214" s="739"/>
      <c r="EQ214" s="740"/>
      <c r="ER214" s="744" t="str">
        <f>IF(DV214="","-",INDEX($A$5:$BP$257,MATCH(DV214,$BN$5:$BN$257,0),39)*(IF(DV214="","-",(1+(((-('Densidade do AR'!$M$4))+('Densidade do AR'!$T$15*1000000))/(IF(INDEX($A$5:$BP$257,MATCH(DV214,$BN$5:$BN$257,0),50)="Aço Inoxidável",('Densidade do AR'!$S$8*1000000),IF(INDEX($A$5:$BP$257,MATCH(DV214,$BN$5:$BN$257,0),50)="Ferro Fundido",('Densidade do AR'!$S$12*1000000),IF(INDEX($A$5:$BP$257,MATCH(DV214,$BN$5:$BN$257,0),50)="Latão",('Densidade do AR'!$S$10*1000000),IF(INDEX($A$5:$BP$257,MATCH(DV214,$BN$5:$BN$257,0),50)="Alumínio",('Densidade do AR'!$S$4*1000000)))))))-(((-('Densidade do AR'!$M$4))+('Densidade do AR'!$T$15*1000000))/('Densidade do AR'!$S$14*1000000))))))</f>
        <v>-</v>
      </c>
      <c r="ES214" s="739"/>
      <c r="ET214" s="739"/>
      <c r="EU214" s="745"/>
      <c r="EV214" s="91" t="str">
        <f t="shared" si="80"/>
        <v>-</v>
      </c>
      <c r="EW214" s="736"/>
      <c r="EX214" s="737"/>
      <c r="EY214" s="738" t="str">
        <f>IF(EW214="","-",(IF(INDEX($A$5:$BP$257,MATCH(EW214,$BN$5:$BN$257,0),50)="Aço Inoxidável",('Densidade do AR'!$S$8*1000000),IF(INDEX($A$5:$BP$257,MATCH(EW214,$BN$5:$BN$257,0),50)="Ferro Fundido",('Densidade do AR'!$S$12*1000000),IF(INDEX($A$5:$BP$257,MATCH(EW214,$BN$5:$BN$257,0),50)="Latão",('Densidade do AR'!$S$10*1000000),IF(INDEX($A$5:$BP$257,MATCH(EW214,$BN$5:$BN$257,0),50)="Alumínio",('Densidade do AR'!$S$4*1000000)))))))</f>
        <v>-</v>
      </c>
      <c r="EZ214" s="739"/>
      <c r="FA214" s="739"/>
      <c r="FB214" s="740"/>
      <c r="FC214" s="741" t="str">
        <f t="shared" si="81"/>
        <v>-</v>
      </c>
      <c r="FD214" s="742"/>
      <c r="FE214" s="742"/>
      <c r="FF214" s="743"/>
      <c r="FG214" s="741" t="str">
        <f t="shared" si="70"/>
        <v>-</v>
      </c>
      <c r="FH214" s="742"/>
      <c r="FI214" s="742"/>
      <c r="FJ214" s="743"/>
      <c r="FK214" s="744" t="str">
        <f t="shared" si="82"/>
        <v>-</v>
      </c>
      <c r="FL214" s="739"/>
      <c r="FM214" s="739"/>
      <c r="FN214" s="740"/>
      <c r="FO214" s="744" t="str">
        <f t="shared" si="71"/>
        <v>-</v>
      </c>
      <c r="FP214" s="739"/>
      <c r="FQ214" s="739"/>
      <c r="FR214" s="740"/>
      <c r="FS214" s="744" t="str">
        <f>IF(EW214="","-",INDEX($A$5:$BP$257,MATCH(EW214,$BN$5:$BN$257,0),39)*(IF(EW214="","-",(1+(((-('Densidade do AR'!$M$4))+('Densidade do AR'!$T$15*1000000))/(IF(INDEX($A$5:$BP$257,MATCH(EW214,$BN$5:$BN$257,0),50)="Aço Inoxidável",('Densidade do AR'!$S$8*1000000),IF(INDEX($A$5:$BP$257,MATCH(EW214,$BN$5:$BN$257,0),50)="Ferro Fundido",('Densidade do AR'!$S$12*1000000),IF(INDEX($A$5:$BP$257,MATCH(EW214,$BN$5:$BN$257,0),50)="Latão",('Densidade do AR'!$S$10*1000000),IF(INDEX($A$5:$BP$257,MATCH(EW214,$BN$5:$BN$257,0),50)="Alumínio",('Densidade do AR'!$S$4*1000000)))))))-(((-('Densidade do AR'!$M$4))+('Densidade do AR'!$T$15*1000000))/('Densidade do AR'!$S$14*1000000))))))</f>
        <v>-</v>
      </c>
      <c r="FT214" s="739"/>
      <c r="FU214" s="739"/>
      <c r="FV214" s="745"/>
      <c r="FW214" s="91" t="str">
        <f t="shared" si="83"/>
        <v>-</v>
      </c>
      <c r="FX214" s="135"/>
    </row>
    <row r="215" spans="1:180" ht="13.5" customHeight="1" x14ac:dyDescent="0.2">
      <c r="A215" s="717">
        <v>211</v>
      </c>
      <c r="B215" s="713"/>
      <c r="C215" s="708"/>
      <c r="D215" s="709"/>
      <c r="E215" s="709"/>
      <c r="F215" s="709"/>
      <c r="G215" s="710"/>
      <c r="H215" s="711"/>
      <c r="I215" s="712"/>
      <c r="J215" s="712"/>
      <c r="K215" s="713"/>
      <c r="L215" s="708"/>
      <c r="M215" s="709"/>
      <c r="N215" s="709"/>
      <c r="O215" s="709"/>
      <c r="P215" s="708"/>
      <c r="Q215" s="709"/>
      <c r="R215" s="709"/>
      <c r="S215" s="709"/>
      <c r="T215" s="710"/>
      <c r="U215" s="714"/>
      <c r="V215" s="715"/>
      <c r="W215" s="715"/>
      <c r="X215" s="715"/>
      <c r="Y215" s="715"/>
      <c r="Z215" s="715"/>
      <c r="AA215" s="716"/>
      <c r="AB215" s="850"/>
      <c r="AC215" s="851"/>
      <c r="AD215" s="851"/>
      <c r="AE215" s="851"/>
      <c r="AF215" s="851"/>
      <c r="AG215" s="851"/>
      <c r="AH215" s="851"/>
      <c r="AI215" s="851"/>
      <c r="AJ215" s="851"/>
      <c r="AK215" s="851"/>
      <c r="AL215" s="852"/>
      <c r="AM215" s="917"/>
      <c r="AN215" s="712"/>
      <c r="AO215" s="712"/>
      <c r="AP215" s="712"/>
      <c r="AQ215" s="712"/>
      <c r="AR215" s="712"/>
      <c r="AS215" s="713"/>
      <c r="AT215" s="917"/>
      <c r="AU215" s="712"/>
      <c r="AV215" s="712"/>
      <c r="AW215" s="713"/>
      <c r="AX215" s="917"/>
      <c r="AY215" s="712"/>
      <c r="AZ215" s="712"/>
      <c r="BA215" s="712"/>
      <c r="BB215" s="712"/>
      <c r="BC215" s="713"/>
      <c r="BD215" s="917"/>
      <c r="BE215" s="712"/>
      <c r="BF215" s="712"/>
      <c r="BG215" s="713"/>
      <c r="BH215" s="918"/>
      <c r="BI215" s="712"/>
      <c r="BJ215" s="712"/>
      <c r="BK215" s="712"/>
      <c r="BL215" s="910"/>
      <c r="BN215" s="878"/>
      <c r="BO215" s="879"/>
      <c r="BP215" s="880"/>
      <c r="BT215" s="746"/>
      <c r="BU215" s="747"/>
      <c r="BV215" s="784" t="str">
        <f>IF(BT215="","-",(IF(INDEX($A$5:$BP$257,MATCH(BT215,$BN$5:$BN$257,0),50)="Aço Inoxidável",('Densidade do AR'!$S$8*1000000),IF(INDEX($A$5:$BP$257,MATCH(BT215,$BN$5:$BN$257,0),50)="Ferro Fundido",('Densidade do AR'!$S$12*1000000),IF(INDEX($A$5:$BP$257,MATCH(BT215,$BN$5:$BN$257,0),50)="Latão",('Densidade do AR'!$S$10*1000000),IF(INDEX($A$5:$BP$257,MATCH(BT215,$BN$5:$BN$257,0),50)="Alumínio",('Densidade do AR'!$S$4*1000000)))))))</f>
        <v>-</v>
      </c>
      <c r="BW215" s="785"/>
      <c r="BX215" s="785"/>
      <c r="BY215" s="786"/>
      <c r="BZ215" s="787" t="str">
        <f t="shared" si="72"/>
        <v>-</v>
      </c>
      <c r="CA215" s="788"/>
      <c r="CB215" s="788"/>
      <c r="CC215" s="789"/>
      <c r="CD215" s="787" t="str">
        <f t="shared" si="64"/>
        <v>-</v>
      </c>
      <c r="CE215" s="788"/>
      <c r="CF215" s="788"/>
      <c r="CG215" s="789"/>
      <c r="CH215" s="790" t="str">
        <f t="shared" si="73"/>
        <v>-</v>
      </c>
      <c r="CI215" s="785"/>
      <c r="CJ215" s="785"/>
      <c r="CK215" s="786"/>
      <c r="CL215" s="790" t="str">
        <f t="shared" si="65"/>
        <v>-</v>
      </c>
      <c r="CM215" s="785"/>
      <c r="CN215" s="785"/>
      <c r="CO215" s="786"/>
      <c r="CP215" s="790" t="str">
        <f>IF(BT215="","-",INDEX($A$5:$BP$257,MATCH(BT215,$BN$5:$BN$257,0),39)*(IF(BT215="","-",(1+(((-('Densidade do AR'!$M$4))+('Densidade do AR'!$T$15*1000000))/(IF(INDEX($A$5:$BP$257,MATCH(BT215,$BN$5:$BN$257,0),50)="Aço Inoxidável",('Densidade do AR'!$S$8*1000000),IF(INDEX($A$5:$BP$257,MATCH(BT215,$BN$5:$BN$257,0),50)="Ferro Fundido",('Densidade do AR'!$S$12*1000000),IF(INDEX($A$5:$BP$257,MATCH(BT215,$BN$5:$BN$257,0),50)="Latão",('Densidade do AR'!$S$10*1000000),IF(INDEX($A$5:$BP$257,MATCH(BT215,$BN$5:$BN$257,0),50)="Alumínio",('Densidade do AR'!$S$4*1000000)))))))-(((-('Densidade do AR'!$M$4))+('Densidade do AR'!$T$15*1000000))/('Densidade do AR'!$S$14*1000000))))))</f>
        <v>-</v>
      </c>
      <c r="CQ215" s="785"/>
      <c r="CR215" s="785"/>
      <c r="CS215" s="791"/>
      <c r="CT215" s="92" t="str">
        <f t="shared" si="74"/>
        <v>-</v>
      </c>
      <c r="CU215" s="746"/>
      <c r="CV215" s="747"/>
      <c r="CW215" s="784" t="str">
        <f>IF(CU215="","-",(IF(INDEX($A$5:$BP$257,MATCH(CU215,$BN$5:$BN$257,0),50)="Aço Inoxidável",('Densidade do AR'!$S$8*1000000),IF(INDEX($A$5:$BP$257,MATCH(CU215,$BN$5:$BN$257,0),50)="Ferro Fundido",('Densidade do AR'!$S$12*1000000),IF(INDEX($A$5:$BP$257,MATCH(CU215,$BN$5:$BN$257,0),50)="Latão",('Densidade do AR'!$S$10*1000000),IF(INDEX($A$5:$BP$257,MATCH(CU215,$BN$5:$BN$257,0),50)="Alumínio",('Densidade do AR'!$S$4*1000000)))))))</f>
        <v>-</v>
      </c>
      <c r="CX215" s="785"/>
      <c r="CY215" s="785"/>
      <c r="CZ215" s="786"/>
      <c r="DA215" s="787" t="str">
        <f t="shared" si="75"/>
        <v>-</v>
      </c>
      <c r="DB215" s="788"/>
      <c r="DC215" s="788"/>
      <c r="DD215" s="789"/>
      <c r="DE215" s="787" t="str">
        <f t="shared" si="66"/>
        <v>-</v>
      </c>
      <c r="DF215" s="788"/>
      <c r="DG215" s="788"/>
      <c r="DH215" s="789"/>
      <c r="DI215" s="790" t="str">
        <f t="shared" si="76"/>
        <v>-</v>
      </c>
      <c r="DJ215" s="785"/>
      <c r="DK215" s="785"/>
      <c r="DL215" s="786"/>
      <c r="DM215" s="790" t="str">
        <f t="shared" si="67"/>
        <v>-</v>
      </c>
      <c r="DN215" s="785"/>
      <c r="DO215" s="785"/>
      <c r="DP215" s="786"/>
      <c r="DQ215" s="790" t="str">
        <f>IF(CU215="","-",INDEX($A$5:$BP$257,MATCH(CU215,$BN$5:$BN$257,0),39)*(IF(CU215="","-",(1+(((-('Densidade do AR'!$M$4))+('Densidade do AR'!$T$15*1000000))/(IF(INDEX($A$5:$BP$257,MATCH(CU215,$BN$5:$BN$257,0),50)="Aço Inoxidável",('Densidade do AR'!$S$8*1000000),IF(INDEX($A$5:$BP$257,MATCH(CU215,$BN$5:$BN$257,0),50)="Ferro Fundido",('Densidade do AR'!$S$12*1000000),IF(INDEX($A$5:$BP$257,MATCH(CU215,$BN$5:$BN$257,0),50)="Latão",('Densidade do AR'!$S$10*1000000),IF(INDEX($A$5:$BP$257,MATCH(CU215,$BN$5:$BN$257,0),50)="Alumínio",('Densidade do AR'!$S$4*1000000)))))))-(((-('Densidade do AR'!$M$4))+('Densidade do AR'!$T$15*1000000))/('Densidade do AR'!$S$14*1000000))))))</f>
        <v>-</v>
      </c>
      <c r="DR215" s="785"/>
      <c r="DS215" s="785"/>
      <c r="DT215" s="791"/>
      <c r="DU215" s="92" t="str">
        <f t="shared" si="77"/>
        <v>-</v>
      </c>
      <c r="DV215" s="746"/>
      <c r="DW215" s="747"/>
      <c r="DX215" s="784" t="str">
        <f>IF(DV215="","-",(IF(INDEX($A$5:$BP$257,MATCH(DV215,$BN$5:$BN$257,0),50)="Aço Inoxidável",('Densidade do AR'!$S$8*1000000),IF(INDEX($A$5:$BP$257,MATCH(DV215,$BN$5:$BN$257,0),50)="Ferro Fundido",('Densidade do AR'!$S$12*1000000),IF(INDEX($A$5:$BP$257,MATCH(DV215,$BN$5:$BN$257,0),50)="Latão",('Densidade do AR'!$S$10*1000000),IF(INDEX($A$5:$BP$257,MATCH(DV215,$BN$5:$BN$257,0),50)="Alumínio",('Densidade do AR'!$S$4*1000000)))))))</f>
        <v>-</v>
      </c>
      <c r="DY215" s="785"/>
      <c r="DZ215" s="785"/>
      <c r="EA215" s="786"/>
      <c r="EB215" s="787" t="str">
        <f t="shared" si="78"/>
        <v>-</v>
      </c>
      <c r="EC215" s="788"/>
      <c r="ED215" s="788"/>
      <c r="EE215" s="789"/>
      <c r="EF215" s="787" t="str">
        <f t="shared" si="68"/>
        <v>-</v>
      </c>
      <c r="EG215" s="788"/>
      <c r="EH215" s="788"/>
      <c r="EI215" s="789"/>
      <c r="EJ215" s="790" t="str">
        <f t="shared" si="79"/>
        <v>-</v>
      </c>
      <c r="EK215" s="785"/>
      <c r="EL215" s="785"/>
      <c r="EM215" s="786"/>
      <c r="EN215" s="790" t="str">
        <f t="shared" si="69"/>
        <v>-</v>
      </c>
      <c r="EO215" s="785"/>
      <c r="EP215" s="785"/>
      <c r="EQ215" s="786"/>
      <c r="ER215" s="790" t="str">
        <f>IF(DV215="","-",INDEX($A$5:$BP$257,MATCH(DV215,$BN$5:$BN$257,0),39)*(IF(DV215="","-",(1+(((-('Densidade do AR'!$M$4))+('Densidade do AR'!$T$15*1000000))/(IF(INDEX($A$5:$BP$257,MATCH(DV215,$BN$5:$BN$257,0),50)="Aço Inoxidável",('Densidade do AR'!$S$8*1000000),IF(INDEX($A$5:$BP$257,MATCH(DV215,$BN$5:$BN$257,0),50)="Ferro Fundido",('Densidade do AR'!$S$12*1000000),IF(INDEX($A$5:$BP$257,MATCH(DV215,$BN$5:$BN$257,0),50)="Latão",('Densidade do AR'!$S$10*1000000),IF(INDEX($A$5:$BP$257,MATCH(DV215,$BN$5:$BN$257,0),50)="Alumínio",('Densidade do AR'!$S$4*1000000)))))))-(((-('Densidade do AR'!$M$4))+('Densidade do AR'!$T$15*1000000))/('Densidade do AR'!$S$14*1000000))))))</f>
        <v>-</v>
      </c>
      <c r="ES215" s="785"/>
      <c r="ET215" s="785"/>
      <c r="EU215" s="791"/>
      <c r="EV215" s="92" t="str">
        <f t="shared" si="80"/>
        <v>-</v>
      </c>
      <c r="EW215" s="746"/>
      <c r="EX215" s="747"/>
      <c r="EY215" s="784" t="str">
        <f>IF(EW215="","-",(IF(INDEX($A$5:$BP$257,MATCH(EW215,$BN$5:$BN$257,0),50)="Aço Inoxidável",('Densidade do AR'!$S$8*1000000),IF(INDEX($A$5:$BP$257,MATCH(EW215,$BN$5:$BN$257,0),50)="Ferro Fundido",('Densidade do AR'!$S$12*1000000),IF(INDEX($A$5:$BP$257,MATCH(EW215,$BN$5:$BN$257,0),50)="Latão",('Densidade do AR'!$S$10*1000000),IF(INDEX($A$5:$BP$257,MATCH(EW215,$BN$5:$BN$257,0),50)="Alumínio",('Densidade do AR'!$S$4*1000000)))))))</f>
        <v>-</v>
      </c>
      <c r="EZ215" s="785"/>
      <c r="FA215" s="785"/>
      <c r="FB215" s="786"/>
      <c r="FC215" s="787" t="str">
        <f t="shared" si="81"/>
        <v>-</v>
      </c>
      <c r="FD215" s="788"/>
      <c r="FE215" s="788"/>
      <c r="FF215" s="789"/>
      <c r="FG215" s="787" t="str">
        <f t="shared" si="70"/>
        <v>-</v>
      </c>
      <c r="FH215" s="788"/>
      <c r="FI215" s="788"/>
      <c r="FJ215" s="789"/>
      <c r="FK215" s="790" t="str">
        <f t="shared" si="82"/>
        <v>-</v>
      </c>
      <c r="FL215" s="785"/>
      <c r="FM215" s="785"/>
      <c r="FN215" s="786"/>
      <c r="FO215" s="790" t="str">
        <f t="shared" si="71"/>
        <v>-</v>
      </c>
      <c r="FP215" s="785"/>
      <c r="FQ215" s="785"/>
      <c r="FR215" s="786"/>
      <c r="FS215" s="790" t="str">
        <f>IF(EW215="","-",INDEX($A$5:$BP$257,MATCH(EW215,$BN$5:$BN$257,0),39)*(IF(EW215="","-",(1+(((-('Densidade do AR'!$M$4))+('Densidade do AR'!$T$15*1000000))/(IF(INDEX($A$5:$BP$257,MATCH(EW215,$BN$5:$BN$257,0),50)="Aço Inoxidável",('Densidade do AR'!$S$8*1000000),IF(INDEX($A$5:$BP$257,MATCH(EW215,$BN$5:$BN$257,0),50)="Ferro Fundido",('Densidade do AR'!$S$12*1000000),IF(INDEX($A$5:$BP$257,MATCH(EW215,$BN$5:$BN$257,0),50)="Latão",('Densidade do AR'!$S$10*1000000),IF(INDEX($A$5:$BP$257,MATCH(EW215,$BN$5:$BN$257,0),50)="Alumínio",('Densidade do AR'!$S$4*1000000)))))))-(((-('Densidade do AR'!$M$4))+('Densidade do AR'!$T$15*1000000))/('Densidade do AR'!$S$14*1000000))))))</f>
        <v>-</v>
      </c>
      <c r="FT215" s="785"/>
      <c r="FU215" s="785"/>
      <c r="FV215" s="791"/>
      <c r="FW215" s="92" t="str">
        <f t="shared" si="83"/>
        <v>-</v>
      </c>
      <c r="FX215" s="135"/>
    </row>
    <row r="216" spans="1:180" ht="12.75" customHeight="1" x14ac:dyDescent="0.2">
      <c r="A216" s="718">
        <v>212</v>
      </c>
      <c r="B216" s="713"/>
      <c r="C216" s="719"/>
      <c r="D216" s="709"/>
      <c r="E216" s="709"/>
      <c r="F216" s="709"/>
      <c r="G216" s="710"/>
      <c r="H216" s="720"/>
      <c r="I216" s="712"/>
      <c r="J216" s="712"/>
      <c r="K216" s="713"/>
      <c r="L216" s="719"/>
      <c r="M216" s="709"/>
      <c r="N216" s="709"/>
      <c r="O216" s="709"/>
      <c r="P216" s="719"/>
      <c r="Q216" s="709"/>
      <c r="R216" s="709"/>
      <c r="S216" s="709"/>
      <c r="T216" s="710"/>
      <c r="U216" s="721"/>
      <c r="V216" s="722"/>
      <c r="W216" s="722"/>
      <c r="X216" s="722"/>
      <c r="Y216" s="722"/>
      <c r="Z216" s="722"/>
      <c r="AA216" s="723"/>
      <c r="AB216" s="853"/>
      <c r="AC216" s="854"/>
      <c r="AD216" s="854"/>
      <c r="AE216" s="854"/>
      <c r="AF216" s="854"/>
      <c r="AG216" s="854"/>
      <c r="AH216" s="854"/>
      <c r="AI216" s="854"/>
      <c r="AJ216" s="854"/>
      <c r="AK216" s="854"/>
      <c r="AL216" s="855"/>
      <c r="AM216" s="909"/>
      <c r="AN216" s="712"/>
      <c r="AO216" s="712"/>
      <c r="AP216" s="712"/>
      <c r="AQ216" s="712"/>
      <c r="AR216" s="712"/>
      <c r="AS216" s="713"/>
      <c r="AT216" s="909"/>
      <c r="AU216" s="712"/>
      <c r="AV216" s="712"/>
      <c r="AW216" s="713"/>
      <c r="AX216" s="908"/>
      <c r="AY216" s="712"/>
      <c r="AZ216" s="712"/>
      <c r="BA216" s="712"/>
      <c r="BB216" s="712"/>
      <c r="BC216" s="713"/>
      <c r="BD216" s="909"/>
      <c r="BE216" s="712"/>
      <c r="BF216" s="712"/>
      <c r="BG216" s="713"/>
      <c r="BH216" s="908"/>
      <c r="BI216" s="712"/>
      <c r="BJ216" s="712"/>
      <c r="BK216" s="712"/>
      <c r="BL216" s="910"/>
      <c r="BN216" s="881"/>
      <c r="BO216" s="882"/>
      <c r="BP216" s="883"/>
      <c r="BT216" s="736"/>
      <c r="BU216" s="737"/>
      <c r="BV216" s="738" t="str">
        <f>IF(BT216="","-",(IF(INDEX($A$5:$BP$257,MATCH(BT216,$BN$5:$BN$257,0),50)="Aço Inoxidável",('Densidade do AR'!$S$8*1000000),IF(INDEX($A$5:$BP$257,MATCH(BT216,$BN$5:$BN$257,0),50)="Ferro Fundido",('Densidade do AR'!$S$12*1000000),IF(INDEX($A$5:$BP$257,MATCH(BT216,$BN$5:$BN$257,0),50)="Latão",('Densidade do AR'!$S$10*1000000),IF(INDEX($A$5:$BP$257,MATCH(BT216,$BN$5:$BN$257,0),50)="Alumínio",('Densidade do AR'!$S$4*1000000)))))))</f>
        <v>-</v>
      </c>
      <c r="BW216" s="739"/>
      <c r="BX216" s="739"/>
      <c r="BY216" s="740"/>
      <c r="BZ216" s="741" t="str">
        <f t="shared" si="72"/>
        <v>-</v>
      </c>
      <c r="CA216" s="742"/>
      <c r="CB216" s="742"/>
      <c r="CC216" s="743"/>
      <c r="CD216" s="741" t="str">
        <f t="shared" si="64"/>
        <v>-</v>
      </c>
      <c r="CE216" s="742"/>
      <c r="CF216" s="742"/>
      <c r="CG216" s="743"/>
      <c r="CH216" s="744" t="str">
        <f t="shared" si="73"/>
        <v>-</v>
      </c>
      <c r="CI216" s="739"/>
      <c r="CJ216" s="739"/>
      <c r="CK216" s="740"/>
      <c r="CL216" s="744" t="str">
        <f t="shared" si="65"/>
        <v>-</v>
      </c>
      <c r="CM216" s="739"/>
      <c r="CN216" s="739"/>
      <c r="CO216" s="740"/>
      <c r="CP216" s="744" t="str">
        <f>IF(BT216="","-",INDEX($A$5:$BP$257,MATCH(BT216,$BN$5:$BN$257,0),39)*(IF(BT216="","-",(1+(((-('Densidade do AR'!$M$4))+('Densidade do AR'!$T$15*1000000))/(IF(INDEX($A$5:$BP$257,MATCH(BT216,$BN$5:$BN$257,0),50)="Aço Inoxidável",('Densidade do AR'!$S$8*1000000),IF(INDEX($A$5:$BP$257,MATCH(BT216,$BN$5:$BN$257,0),50)="Ferro Fundido",('Densidade do AR'!$S$12*1000000),IF(INDEX($A$5:$BP$257,MATCH(BT216,$BN$5:$BN$257,0),50)="Latão",('Densidade do AR'!$S$10*1000000),IF(INDEX($A$5:$BP$257,MATCH(BT216,$BN$5:$BN$257,0),50)="Alumínio",('Densidade do AR'!$S$4*1000000)))))))-(((-('Densidade do AR'!$M$4))+('Densidade do AR'!$T$15*1000000))/('Densidade do AR'!$S$14*1000000))))))</f>
        <v>-</v>
      </c>
      <c r="CQ216" s="739"/>
      <c r="CR216" s="739"/>
      <c r="CS216" s="745"/>
      <c r="CT216" s="91" t="str">
        <f t="shared" si="74"/>
        <v>-</v>
      </c>
      <c r="CU216" s="736"/>
      <c r="CV216" s="737"/>
      <c r="CW216" s="738" t="str">
        <f>IF(CU216="","-",(IF(INDEX($A$5:$BP$257,MATCH(CU216,$BN$5:$BN$257,0),50)="Aço Inoxidável",('Densidade do AR'!$S$8*1000000),IF(INDEX($A$5:$BP$257,MATCH(CU216,$BN$5:$BN$257,0),50)="Ferro Fundido",('Densidade do AR'!$S$12*1000000),IF(INDEX($A$5:$BP$257,MATCH(CU216,$BN$5:$BN$257,0),50)="Latão",('Densidade do AR'!$S$10*1000000),IF(INDEX($A$5:$BP$257,MATCH(CU216,$BN$5:$BN$257,0),50)="Alumínio",('Densidade do AR'!$S$4*1000000)))))))</f>
        <v>-</v>
      </c>
      <c r="CX216" s="739"/>
      <c r="CY216" s="739"/>
      <c r="CZ216" s="740"/>
      <c r="DA216" s="741" t="str">
        <f t="shared" si="75"/>
        <v>-</v>
      </c>
      <c r="DB216" s="742"/>
      <c r="DC216" s="742"/>
      <c r="DD216" s="743"/>
      <c r="DE216" s="741" t="str">
        <f t="shared" si="66"/>
        <v>-</v>
      </c>
      <c r="DF216" s="742"/>
      <c r="DG216" s="742"/>
      <c r="DH216" s="743"/>
      <c r="DI216" s="744" t="str">
        <f t="shared" si="76"/>
        <v>-</v>
      </c>
      <c r="DJ216" s="739"/>
      <c r="DK216" s="739"/>
      <c r="DL216" s="740"/>
      <c r="DM216" s="744" t="str">
        <f t="shared" si="67"/>
        <v>-</v>
      </c>
      <c r="DN216" s="739"/>
      <c r="DO216" s="739"/>
      <c r="DP216" s="740"/>
      <c r="DQ216" s="744" t="str">
        <f>IF(CU216="","-",INDEX($A$5:$BP$257,MATCH(CU216,$BN$5:$BN$257,0),39)*(IF(CU216="","-",(1+(((-('Densidade do AR'!$M$4))+('Densidade do AR'!$T$15*1000000))/(IF(INDEX($A$5:$BP$257,MATCH(CU216,$BN$5:$BN$257,0),50)="Aço Inoxidável",('Densidade do AR'!$S$8*1000000),IF(INDEX($A$5:$BP$257,MATCH(CU216,$BN$5:$BN$257,0),50)="Ferro Fundido",('Densidade do AR'!$S$12*1000000),IF(INDEX($A$5:$BP$257,MATCH(CU216,$BN$5:$BN$257,0),50)="Latão",('Densidade do AR'!$S$10*1000000),IF(INDEX($A$5:$BP$257,MATCH(CU216,$BN$5:$BN$257,0),50)="Alumínio",('Densidade do AR'!$S$4*1000000)))))))-(((-('Densidade do AR'!$M$4))+('Densidade do AR'!$T$15*1000000))/('Densidade do AR'!$S$14*1000000))))))</f>
        <v>-</v>
      </c>
      <c r="DR216" s="739"/>
      <c r="DS216" s="739"/>
      <c r="DT216" s="745"/>
      <c r="DU216" s="91" t="str">
        <f t="shared" si="77"/>
        <v>-</v>
      </c>
      <c r="DV216" s="736"/>
      <c r="DW216" s="737"/>
      <c r="DX216" s="738" t="str">
        <f>IF(DV216="","-",(IF(INDEX($A$5:$BP$257,MATCH(DV216,$BN$5:$BN$257,0),50)="Aço Inoxidável",('Densidade do AR'!$S$8*1000000),IF(INDEX($A$5:$BP$257,MATCH(DV216,$BN$5:$BN$257,0),50)="Ferro Fundido",('Densidade do AR'!$S$12*1000000),IF(INDEX($A$5:$BP$257,MATCH(DV216,$BN$5:$BN$257,0),50)="Latão",('Densidade do AR'!$S$10*1000000),IF(INDEX($A$5:$BP$257,MATCH(DV216,$BN$5:$BN$257,0),50)="Alumínio",('Densidade do AR'!$S$4*1000000)))))))</f>
        <v>-</v>
      </c>
      <c r="DY216" s="739"/>
      <c r="DZ216" s="739"/>
      <c r="EA216" s="740"/>
      <c r="EB216" s="741" t="str">
        <f t="shared" si="78"/>
        <v>-</v>
      </c>
      <c r="EC216" s="742"/>
      <c r="ED216" s="742"/>
      <c r="EE216" s="743"/>
      <c r="EF216" s="741" t="str">
        <f t="shared" si="68"/>
        <v>-</v>
      </c>
      <c r="EG216" s="742"/>
      <c r="EH216" s="742"/>
      <c r="EI216" s="743"/>
      <c r="EJ216" s="744" t="str">
        <f t="shared" si="79"/>
        <v>-</v>
      </c>
      <c r="EK216" s="739"/>
      <c r="EL216" s="739"/>
      <c r="EM216" s="740"/>
      <c r="EN216" s="744" t="str">
        <f t="shared" si="69"/>
        <v>-</v>
      </c>
      <c r="EO216" s="739"/>
      <c r="EP216" s="739"/>
      <c r="EQ216" s="740"/>
      <c r="ER216" s="744" t="str">
        <f>IF(DV216="","-",INDEX($A$5:$BP$257,MATCH(DV216,$BN$5:$BN$257,0),39)*(IF(DV216="","-",(1+(((-('Densidade do AR'!$M$4))+('Densidade do AR'!$T$15*1000000))/(IF(INDEX($A$5:$BP$257,MATCH(DV216,$BN$5:$BN$257,0),50)="Aço Inoxidável",('Densidade do AR'!$S$8*1000000),IF(INDEX($A$5:$BP$257,MATCH(DV216,$BN$5:$BN$257,0),50)="Ferro Fundido",('Densidade do AR'!$S$12*1000000),IF(INDEX($A$5:$BP$257,MATCH(DV216,$BN$5:$BN$257,0),50)="Latão",('Densidade do AR'!$S$10*1000000),IF(INDEX($A$5:$BP$257,MATCH(DV216,$BN$5:$BN$257,0),50)="Alumínio",('Densidade do AR'!$S$4*1000000)))))))-(((-('Densidade do AR'!$M$4))+('Densidade do AR'!$T$15*1000000))/('Densidade do AR'!$S$14*1000000))))))</f>
        <v>-</v>
      </c>
      <c r="ES216" s="739"/>
      <c r="ET216" s="739"/>
      <c r="EU216" s="745"/>
      <c r="EV216" s="91" t="str">
        <f t="shared" si="80"/>
        <v>-</v>
      </c>
      <c r="EW216" s="736"/>
      <c r="EX216" s="737"/>
      <c r="EY216" s="738" t="str">
        <f>IF(EW216="","-",(IF(INDEX($A$5:$BP$257,MATCH(EW216,$BN$5:$BN$257,0),50)="Aço Inoxidável",('Densidade do AR'!$S$8*1000000),IF(INDEX($A$5:$BP$257,MATCH(EW216,$BN$5:$BN$257,0),50)="Ferro Fundido",('Densidade do AR'!$S$12*1000000),IF(INDEX($A$5:$BP$257,MATCH(EW216,$BN$5:$BN$257,0),50)="Latão",('Densidade do AR'!$S$10*1000000),IF(INDEX($A$5:$BP$257,MATCH(EW216,$BN$5:$BN$257,0),50)="Alumínio",('Densidade do AR'!$S$4*1000000)))))))</f>
        <v>-</v>
      </c>
      <c r="EZ216" s="739"/>
      <c r="FA216" s="739"/>
      <c r="FB216" s="740"/>
      <c r="FC216" s="741" t="str">
        <f t="shared" si="81"/>
        <v>-</v>
      </c>
      <c r="FD216" s="742"/>
      <c r="FE216" s="742"/>
      <c r="FF216" s="743"/>
      <c r="FG216" s="741" t="str">
        <f t="shared" si="70"/>
        <v>-</v>
      </c>
      <c r="FH216" s="742"/>
      <c r="FI216" s="742"/>
      <c r="FJ216" s="743"/>
      <c r="FK216" s="744" t="str">
        <f t="shared" si="82"/>
        <v>-</v>
      </c>
      <c r="FL216" s="739"/>
      <c r="FM216" s="739"/>
      <c r="FN216" s="740"/>
      <c r="FO216" s="744" t="str">
        <f t="shared" si="71"/>
        <v>-</v>
      </c>
      <c r="FP216" s="739"/>
      <c r="FQ216" s="739"/>
      <c r="FR216" s="740"/>
      <c r="FS216" s="744" t="str">
        <f>IF(EW216="","-",INDEX($A$5:$BP$257,MATCH(EW216,$BN$5:$BN$257,0),39)*(IF(EW216="","-",(1+(((-('Densidade do AR'!$M$4))+('Densidade do AR'!$T$15*1000000))/(IF(INDEX($A$5:$BP$257,MATCH(EW216,$BN$5:$BN$257,0),50)="Aço Inoxidável",('Densidade do AR'!$S$8*1000000),IF(INDEX($A$5:$BP$257,MATCH(EW216,$BN$5:$BN$257,0),50)="Ferro Fundido",('Densidade do AR'!$S$12*1000000),IF(INDEX($A$5:$BP$257,MATCH(EW216,$BN$5:$BN$257,0),50)="Latão",('Densidade do AR'!$S$10*1000000),IF(INDEX($A$5:$BP$257,MATCH(EW216,$BN$5:$BN$257,0),50)="Alumínio",('Densidade do AR'!$S$4*1000000)))))))-(((-('Densidade do AR'!$M$4))+('Densidade do AR'!$T$15*1000000))/('Densidade do AR'!$S$14*1000000))))))</f>
        <v>-</v>
      </c>
      <c r="FT216" s="739"/>
      <c r="FU216" s="739"/>
      <c r="FV216" s="745"/>
      <c r="FW216" s="91" t="str">
        <f t="shared" si="83"/>
        <v>-</v>
      </c>
      <c r="FX216" s="135"/>
    </row>
    <row r="217" spans="1:180" ht="12.75" customHeight="1" x14ac:dyDescent="0.2">
      <c r="A217" s="717">
        <v>213</v>
      </c>
      <c r="B217" s="713"/>
      <c r="C217" s="708"/>
      <c r="D217" s="709"/>
      <c r="E217" s="709"/>
      <c r="F217" s="709"/>
      <c r="G217" s="710"/>
      <c r="H217" s="711"/>
      <c r="I217" s="712"/>
      <c r="J217" s="712"/>
      <c r="K217" s="713"/>
      <c r="L217" s="708"/>
      <c r="M217" s="709"/>
      <c r="N217" s="709"/>
      <c r="O217" s="709"/>
      <c r="P217" s="708"/>
      <c r="Q217" s="709"/>
      <c r="R217" s="709"/>
      <c r="S217" s="709"/>
      <c r="T217" s="710"/>
      <c r="U217" s="714"/>
      <c r="V217" s="715"/>
      <c r="W217" s="715"/>
      <c r="X217" s="715"/>
      <c r="Y217" s="715"/>
      <c r="Z217" s="715"/>
      <c r="AA217" s="716"/>
      <c r="AB217" s="850"/>
      <c r="AC217" s="851"/>
      <c r="AD217" s="851"/>
      <c r="AE217" s="851"/>
      <c r="AF217" s="851"/>
      <c r="AG217" s="851"/>
      <c r="AH217" s="851"/>
      <c r="AI217" s="851"/>
      <c r="AJ217" s="851"/>
      <c r="AK217" s="851"/>
      <c r="AL217" s="852"/>
      <c r="AM217" s="917"/>
      <c r="AN217" s="712"/>
      <c r="AO217" s="712"/>
      <c r="AP217" s="712"/>
      <c r="AQ217" s="712"/>
      <c r="AR217" s="712"/>
      <c r="AS217" s="713"/>
      <c r="AT217" s="917"/>
      <c r="AU217" s="712"/>
      <c r="AV217" s="712"/>
      <c r="AW217" s="713"/>
      <c r="AX217" s="917"/>
      <c r="AY217" s="712"/>
      <c r="AZ217" s="712"/>
      <c r="BA217" s="712"/>
      <c r="BB217" s="712"/>
      <c r="BC217" s="713"/>
      <c r="BD217" s="917"/>
      <c r="BE217" s="712"/>
      <c r="BF217" s="712"/>
      <c r="BG217" s="713"/>
      <c r="BH217" s="918"/>
      <c r="BI217" s="712"/>
      <c r="BJ217" s="712"/>
      <c r="BK217" s="712"/>
      <c r="BL217" s="910"/>
      <c r="BN217" s="878"/>
      <c r="BO217" s="879"/>
      <c r="BP217" s="880"/>
      <c r="BT217" s="746"/>
      <c r="BU217" s="747"/>
      <c r="BV217" s="784" t="str">
        <f>IF(BT217="","-",(IF(INDEX($A$5:$BP$257,MATCH(BT217,$BN$5:$BN$257,0),50)="Aço Inoxidável",('Densidade do AR'!$S$8*1000000),IF(INDEX($A$5:$BP$257,MATCH(BT217,$BN$5:$BN$257,0),50)="Ferro Fundido",('Densidade do AR'!$S$12*1000000),IF(INDEX($A$5:$BP$257,MATCH(BT217,$BN$5:$BN$257,0),50)="Latão",('Densidade do AR'!$S$10*1000000),IF(INDEX($A$5:$BP$257,MATCH(BT217,$BN$5:$BN$257,0),50)="Alumínio",('Densidade do AR'!$S$4*1000000)))))))</f>
        <v>-</v>
      </c>
      <c r="BW217" s="785"/>
      <c r="BX217" s="785"/>
      <c r="BY217" s="786"/>
      <c r="BZ217" s="787" t="str">
        <f t="shared" si="72"/>
        <v>-</v>
      </c>
      <c r="CA217" s="788"/>
      <c r="CB217" s="788"/>
      <c r="CC217" s="789"/>
      <c r="CD217" s="787" t="str">
        <f t="shared" si="64"/>
        <v>-</v>
      </c>
      <c r="CE217" s="788"/>
      <c r="CF217" s="788"/>
      <c r="CG217" s="789"/>
      <c r="CH217" s="790" t="str">
        <f t="shared" si="73"/>
        <v>-</v>
      </c>
      <c r="CI217" s="785"/>
      <c r="CJ217" s="785"/>
      <c r="CK217" s="786"/>
      <c r="CL217" s="790" t="str">
        <f t="shared" si="65"/>
        <v>-</v>
      </c>
      <c r="CM217" s="785"/>
      <c r="CN217" s="785"/>
      <c r="CO217" s="786"/>
      <c r="CP217" s="790" t="str">
        <f>IF(BT217="","-",INDEX($A$5:$BP$257,MATCH(BT217,$BN$5:$BN$257,0),39)*(IF(BT217="","-",(1+(((-('Densidade do AR'!$M$4))+('Densidade do AR'!$T$15*1000000))/(IF(INDEX($A$5:$BP$257,MATCH(BT217,$BN$5:$BN$257,0),50)="Aço Inoxidável",('Densidade do AR'!$S$8*1000000),IF(INDEX($A$5:$BP$257,MATCH(BT217,$BN$5:$BN$257,0),50)="Ferro Fundido",('Densidade do AR'!$S$12*1000000),IF(INDEX($A$5:$BP$257,MATCH(BT217,$BN$5:$BN$257,0),50)="Latão",('Densidade do AR'!$S$10*1000000),IF(INDEX($A$5:$BP$257,MATCH(BT217,$BN$5:$BN$257,0),50)="Alumínio",('Densidade do AR'!$S$4*1000000)))))))-(((-('Densidade do AR'!$M$4))+('Densidade do AR'!$T$15*1000000))/('Densidade do AR'!$S$14*1000000))))))</f>
        <v>-</v>
      </c>
      <c r="CQ217" s="785"/>
      <c r="CR217" s="785"/>
      <c r="CS217" s="791"/>
      <c r="CT217" s="91" t="str">
        <f t="shared" si="74"/>
        <v>-</v>
      </c>
      <c r="CU217" s="746"/>
      <c r="CV217" s="747"/>
      <c r="CW217" s="784" t="str">
        <f>IF(CU217="","-",(IF(INDEX($A$5:$BP$257,MATCH(CU217,$BN$5:$BN$257,0),50)="Aço Inoxidável",('Densidade do AR'!$S$8*1000000),IF(INDEX($A$5:$BP$257,MATCH(CU217,$BN$5:$BN$257,0),50)="Ferro Fundido",('Densidade do AR'!$S$12*1000000),IF(INDEX($A$5:$BP$257,MATCH(CU217,$BN$5:$BN$257,0),50)="Latão",('Densidade do AR'!$S$10*1000000),IF(INDEX($A$5:$BP$257,MATCH(CU217,$BN$5:$BN$257,0),50)="Alumínio",('Densidade do AR'!$S$4*1000000)))))))</f>
        <v>-</v>
      </c>
      <c r="CX217" s="785"/>
      <c r="CY217" s="785"/>
      <c r="CZ217" s="786"/>
      <c r="DA217" s="787" t="str">
        <f t="shared" si="75"/>
        <v>-</v>
      </c>
      <c r="DB217" s="788"/>
      <c r="DC217" s="788"/>
      <c r="DD217" s="789"/>
      <c r="DE217" s="787" t="str">
        <f t="shared" si="66"/>
        <v>-</v>
      </c>
      <c r="DF217" s="788"/>
      <c r="DG217" s="788"/>
      <c r="DH217" s="789"/>
      <c r="DI217" s="790" t="str">
        <f t="shared" si="76"/>
        <v>-</v>
      </c>
      <c r="DJ217" s="785"/>
      <c r="DK217" s="785"/>
      <c r="DL217" s="786"/>
      <c r="DM217" s="790" t="str">
        <f t="shared" si="67"/>
        <v>-</v>
      </c>
      <c r="DN217" s="785"/>
      <c r="DO217" s="785"/>
      <c r="DP217" s="786"/>
      <c r="DQ217" s="790" t="str">
        <f>IF(CU217="","-",INDEX($A$5:$BP$257,MATCH(CU217,$BN$5:$BN$257,0),39)*(IF(CU217="","-",(1+(((-('Densidade do AR'!$M$4))+('Densidade do AR'!$T$15*1000000))/(IF(INDEX($A$5:$BP$257,MATCH(CU217,$BN$5:$BN$257,0),50)="Aço Inoxidável",('Densidade do AR'!$S$8*1000000),IF(INDEX($A$5:$BP$257,MATCH(CU217,$BN$5:$BN$257,0),50)="Ferro Fundido",('Densidade do AR'!$S$12*1000000),IF(INDEX($A$5:$BP$257,MATCH(CU217,$BN$5:$BN$257,0),50)="Latão",('Densidade do AR'!$S$10*1000000),IF(INDEX($A$5:$BP$257,MATCH(CU217,$BN$5:$BN$257,0),50)="Alumínio",('Densidade do AR'!$S$4*1000000)))))))-(((-('Densidade do AR'!$M$4))+('Densidade do AR'!$T$15*1000000))/('Densidade do AR'!$S$14*1000000))))))</f>
        <v>-</v>
      </c>
      <c r="DR217" s="785"/>
      <c r="DS217" s="785"/>
      <c r="DT217" s="791"/>
      <c r="DU217" s="91" t="str">
        <f t="shared" si="77"/>
        <v>-</v>
      </c>
      <c r="DV217" s="746"/>
      <c r="DW217" s="747"/>
      <c r="DX217" s="784" t="str">
        <f>IF(DV217="","-",(IF(INDEX($A$5:$BP$257,MATCH(DV217,$BN$5:$BN$257,0),50)="Aço Inoxidável",('Densidade do AR'!$S$8*1000000),IF(INDEX($A$5:$BP$257,MATCH(DV217,$BN$5:$BN$257,0),50)="Ferro Fundido",('Densidade do AR'!$S$12*1000000),IF(INDEX($A$5:$BP$257,MATCH(DV217,$BN$5:$BN$257,0),50)="Latão",('Densidade do AR'!$S$10*1000000),IF(INDEX($A$5:$BP$257,MATCH(DV217,$BN$5:$BN$257,0),50)="Alumínio",('Densidade do AR'!$S$4*1000000)))))))</f>
        <v>-</v>
      </c>
      <c r="DY217" s="785"/>
      <c r="DZ217" s="785"/>
      <c r="EA217" s="786"/>
      <c r="EB217" s="787" t="str">
        <f t="shared" si="78"/>
        <v>-</v>
      </c>
      <c r="EC217" s="788"/>
      <c r="ED217" s="788"/>
      <c r="EE217" s="789"/>
      <c r="EF217" s="787" t="str">
        <f t="shared" si="68"/>
        <v>-</v>
      </c>
      <c r="EG217" s="788"/>
      <c r="EH217" s="788"/>
      <c r="EI217" s="789"/>
      <c r="EJ217" s="790" t="str">
        <f t="shared" si="79"/>
        <v>-</v>
      </c>
      <c r="EK217" s="785"/>
      <c r="EL217" s="785"/>
      <c r="EM217" s="786"/>
      <c r="EN217" s="790" t="str">
        <f t="shared" si="69"/>
        <v>-</v>
      </c>
      <c r="EO217" s="785"/>
      <c r="EP217" s="785"/>
      <c r="EQ217" s="786"/>
      <c r="ER217" s="790" t="str">
        <f>IF(DV217="","-",INDEX($A$5:$BP$257,MATCH(DV217,$BN$5:$BN$257,0),39)*(IF(DV217="","-",(1+(((-('Densidade do AR'!$M$4))+('Densidade do AR'!$T$15*1000000))/(IF(INDEX($A$5:$BP$257,MATCH(DV217,$BN$5:$BN$257,0),50)="Aço Inoxidável",('Densidade do AR'!$S$8*1000000),IF(INDEX($A$5:$BP$257,MATCH(DV217,$BN$5:$BN$257,0),50)="Ferro Fundido",('Densidade do AR'!$S$12*1000000),IF(INDEX($A$5:$BP$257,MATCH(DV217,$BN$5:$BN$257,0),50)="Latão",('Densidade do AR'!$S$10*1000000),IF(INDEX($A$5:$BP$257,MATCH(DV217,$BN$5:$BN$257,0),50)="Alumínio",('Densidade do AR'!$S$4*1000000)))))))-(((-('Densidade do AR'!$M$4))+('Densidade do AR'!$T$15*1000000))/('Densidade do AR'!$S$14*1000000))))))</f>
        <v>-</v>
      </c>
      <c r="ES217" s="785"/>
      <c r="ET217" s="785"/>
      <c r="EU217" s="791"/>
      <c r="EV217" s="91" t="str">
        <f t="shared" si="80"/>
        <v>-</v>
      </c>
      <c r="EW217" s="746"/>
      <c r="EX217" s="747"/>
      <c r="EY217" s="784" t="str">
        <f>IF(EW217="","-",(IF(INDEX($A$5:$BP$257,MATCH(EW217,$BN$5:$BN$257,0),50)="Aço Inoxidável",('Densidade do AR'!$S$8*1000000),IF(INDEX($A$5:$BP$257,MATCH(EW217,$BN$5:$BN$257,0),50)="Ferro Fundido",('Densidade do AR'!$S$12*1000000),IF(INDEX($A$5:$BP$257,MATCH(EW217,$BN$5:$BN$257,0),50)="Latão",('Densidade do AR'!$S$10*1000000),IF(INDEX($A$5:$BP$257,MATCH(EW217,$BN$5:$BN$257,0),50)="Alumínio",('Densidade do AR'!$S$4*1000000)))))))</f>
        <v>-</v>
      </c>
      <c r="EZ217" s="785"/>
      <c r="FA217" s="785"/>
      <c r="FB217" s="786"/>
      <c r="FC217" s="787" t="str">
        <f t="shared" si="81"/>
        <v>-</v>
      </c>
      <c r="FD217" s="788"/>
      <c r="FE217" s="788"/>
      <c r="FF217" s="789"/>
      <c r="FG217" s="787" t="str">
        <f t="shared" si="70"/>
        <v>-</v>
      </c>
      <c r="FH217" s="788"/>
      <c r="FI217" s="788"/>
      <c r="FJ217" s="789"/>
      <c r="FK217" s="790" t="str">
        <f t="shared" si="82"/>
        <v>-</v>
      </c>
      <c r="FL217" s="785"/>
      <c r="FM217" s="785"/>
      <c r="FN217" s="786"/>
      <c r="FO217" s="790" t="str">
        <f t="shared" si="71"/>
        <v>-</v>
      </c>
      <c r="FP217" s="785"/>
      <c r="FQ217" s="785"/>
      <c r="FR217" s="786"/>
      <c r="FS217" s="790" t="str">
        <f>IF(EW217="","-",INDEX($A$5:$BP$257,MATCH(EW217,$BN$5:$BN$257,0),39)*(IF(EW217="","-",(1+(((-('Densidade do AR'!$M$4))+('Densidade do AR'!$T$15*1000000))/(IF(INDEX($A$5:$BP$257,MATCH(EW217,$BN$5:$BN$257,0),50)="Aço Inoxidável",('Densidade do AR'!$S$8*1000000),IF(INDEX($A$5:$BP$257,MATCH(EW217,$BN$5:$BN$257,0),50)="Ferro Fundido",('Densidade do AR'!$S$12*1000000),IF(INDEX($A$5:$BP$257,MATCH(EW217,$BN$5:$BN$257,0),50)="Latão",('Densidade do AR'!$S$10*1000000),IF(INDEX($A$5:$BP$257,MATCH(EW217,$BN$5:$BN$257,0),50)="Alumínio",('Densidade do AR'!$S$4*1000000)))))))-(((-('Densidade do AR'!$M$4))+('Densidade do AR'!$T$15*1000000))/('Densidade do AR'!$S$14*1000000))))))</f>
        <v>-</v>
      </c>
      <c r="FT217" s="785"/>
      <c r="FU217" s="785"/>
      <c r="FV217" s="791"/>
      <c r="FW217" s="91" t="str">
        <f t="shared" si="83"/>
        <v>-</v>
      </c>
      <c r="FX217" s="135"/>
    </row>
    <row r="218" spans="1:180" ht="12.75" customHeight="1" x14ac:dyDescent="0.2">
      <c r="A218" s="718">
        <v>214</v>
      </c>
      <c r="B218" s="713"/>
      <c r="C218" s="719"/>
      <c r="D218" s="709"/>
      <c r="E218" s="709"/>
      <c r="F218" s="709"/>
      <c r="G218" s="710"/>
      <c r="H218" s="720"/>
      <c r="I218" s="712"/>
      <c r="J218" s="712"/>
      <c r="K218" s="713"/>
      <c r="L218" s="719"/>
      <c r="M218" s="709"/>
      <c r="N218" s="709"/>
      <c r="O218" s="709"/>
      <c r="P218" s="719"/>
      <c r="Q218" s="709"/>
      <c r="R218" s="709"/>
      <c r="S218" s="709"/>
      <c r="T218" s="710"/>
      <c r="U218" s="721"/>
      <c r="V218" s="722"/>
      <c r="W218" s="722"/>
      <c r="X218" s="722"/>
      <c r="Y218" s="722"/>
      <c r="Z218" s="722"/>
      <c r="AA218" s="723"/>
      <c r="AB218" s="853"/>
      <c r="AC218" s="854"/>
      <c r="AD218" s="854"/>
      <c r="AE218" s="854"/>
      <c r="AF218" s="854"/>
      <c r="AG218" s="854"/>
      <c r="AH218" s="854"/>
      <c r="AI218" s="854"/>
      <c r="AJ218" s="854"/>
      <c r="AK218" s="854"/>
      <c r="AL218" s="855"/>
      <c r="AM218" s="909"/>
      <c r="AN218" s="712"/>
      <c r="AO218" s="712"/>
      <c r="AP218" s="712"/>
      <c r="AQ218" s="712"/>
      <c r="AR218" s="712"/>
      <c r="AS218" s="713"/>
      <c r="AT218" s="909"/>
      <c r="AU218" s="712"/>
      <c r="AV218" s="712"/>
      <c r="AW218" s="713"/>
      <c r="AX218" s="908"/>
      <c r="AY218" s="712"/>
      <c r="AZ218" s="712"/>
      <c r="BA218" s="712"/>
      <c r="BB218" s="712"/>
      <c r="BC218" s="713"/>
      <c r="BD218" s="909"/>
      <c r="BE218" s="712"/>
      <c r="BF218" s="712"/>
      <c r="BG218" s="713"/>
      <c r="BH218" s="908"/>
      <c r="BI218" s="712"/>
      <c r="BJ218" s="712"/>
      <c r="BK218" s="712"/>
      <c r="BL218" s="910"/>
      <c r="BN218" s="881"/>
      <c r="BO218" s="709"/>
      <c r="BP218" s="884"/>
      <c r="BT218" s="736"/>
      <c r="BU218" s="737"/>
      <c r="BV218" s="738" t="str">
        <f>IF(BT218="","-",(IF(INDEX($A$5:$BP$257,MATCH(BT218,$BN$5:$BN$257,0),50)="Aço Inoxidável",('Densidade do AR'!$S$8*1000000),IF(INDEX($A$5:$BP$257,MATCH(BT218,$BN$5:$BN$257,0),50)="Ferro Fundido",('Densidade do AR'!$S$12*1000000),IF(INDEX($A$5:$BP$257,MATCH(BT218,$BN$5:$BN$257,0),50)="Latão",('Densidade do AR'!$S$10*1000000),IF(INDEX($A$5:$BP$257,MATCH(BT218,$BN$5:$BN$257,0),50)="Alumínio",('Densidade do AR'!$S$4*1000000)))))))</f>
        <v>-</v>
      </c>
      <c r="BW218" s="739"/>
      <c r="BX218" s="739"/>
      <c r="BY218" s="740"/>
      <c r="BZ218" s="741" t="str">
        <f t="shared" si="72"/>
        <v>-</v>
      </c>
      <c r="CA218" s="742"/>
      <c r="CB218" s="742"/>
      <c r="CC218" s="743"/>
      <c r="CD218" s="741" t="str">
        <f t="shared" si="64"/>
        <v>-</v>
      </c>
      <c r="CE218" s="742"/>
      <c r="CF218" s="742"/>
      <c r="CG218" s="743"/>
      <c r="CH218" s="744" t="str">
        <f t="shared" si="73"/>
        <v>-</v>
      </c>
      <c r="CI218" s="739"/>
      <c r="CJ218" s="739"/>
      <c r="CK218" s="740"/>
      <c r="CL218" s="744" t="str">
        <f t="shared" si="65"/>
        <v>-</v>
      </c>
      <c r="CM218" s="739"/>
      <c r="CN218" s="739"/>
      <c r="CO218" s="740"/>
      <c r="CP218" s="744" t="str">
        <f>IF(BT218="","-",INDEX($A$5:$BP$257,MATCH(BT218,$BN$5:$BN$257,0),39)*(IF(BT218="","-",(1+(((-('Densidade do AR'!$M$4))+('Densidade do AR'!$T$15*1000000))/(IF(INDEX($A$5:$BP$257,MATCH(BT218,$BN$5:$BN$257,0),50)="Aço Inoxidável",('Densidade do AR'!$S$8*1000000),IF(INDEX($A$5:$BP$257,MATCH(BT218,$BN$5:$BN$257,0),50)="Ferro Fundido",('Densidade do AR'!$S$12*1000000),IF(INDEX($A$5:$BP$257,MATCH(BT218,$BN$5:$BN$257,0),50)="Latão",('Densidade do AR'!$S$10*1000000),IF(INDEX($A$5:$BP$257,MATCH(BT218,$BN$5:$BN$257,0),50)="Alumínio",('Densidade do AR'!$S$4*1000000)))))))-(((-('Densidade do AR'!$M$4))+('Densidade do AR'!$T$15*1000000))/('Densidade do AR'!$S$14*1000000))))))</f>
        <v>-</v>
      </c>
      <c r="CQ218" s="739"/>
      <c r="CR218" s="739"/>
      <c r="CS218" s="745"/>
      <c r="CT218" s="93" t="str">
        <f t="shared" si="74"/>
        <v>-</v>
      </c>
      <c r="CU218" s="736"/>
      <c r="CV218" s="737"/>
      <c r="CW218" s="738" t="str">
        <f>IF(CU218="","-",(IF(INDEX($A$5:$BP$257,MATCH(CU218,$BN$5:$BN$257,0),50)="Aço Inoxidável",('Densidade do AR'!$S$8*1000000),IF(INDEX($A$5:$BP$257,MATCH(CU218,$BN$5:$BN$257,0),50)="Ferro Fundido",('Densidade do AR'!$S$12*1000000),IF(INDEX($A$5:$BP$257,MATCH(CU218,$BN$5:$BN$257,0),50)="Latão",('Densidade do AR'!$S$10*1000000),IF(INDEX($A$5:$BP$257,MATCH(CU218,$BN$5:$BN$257,0),50)="Alumínio",('Densidade do AR'!$S$4*1000000)))))))</f>
        <v>-</v>
      </c>
      <c r="CX218" s="739"/>
      <c r="CY218" s="739"/>
      <c r="CZ218" s="740"/>
      <c r="DA218" s="741" t="str">
        <f t="shared" si="75"/>
        <v>-</v>
      </c>
      <c r="DB218" s="742"/>
      <c r="DC218" s="742"/>
      <c r="DD218" s="743"/>
      <c r="DE218" s="741" t="str">
        <f t="shared" si="66"/>
        <v>-</v>
      </c>
      <c r="DF218" s="742"/>
      <c r="DG218" s="742"/>
      <c r="DH218" s="743"/>
      <c r="DI218" s="744" t="str">
        <f t="shared" si="76"/>
        <v>-</v>
      </c>
      <c r="DJ218" s="739"/>
      <c r="DK218" s="739"/>
      <c r="DL218" s="740"/>
      <c r="DM218" s="744" t="str">
        <f t="shared" si="67"/>
        <v>-</v>
      </c>
      <c r="DN218" s="739"/>
      <c r="DO218" s="739"/>
      <c r="DP218" s="740"/>
      <c r="DQ218" s="744" t="str">
        <f>IF(CU218="","-",INDEX($A$5:$BP$257,MATCH(CU218,$BN$5:$BN$257,0),39)*(IF(CU218="","-",(1+(((-('Densidade do AR'!$M$4))+('Densidade do AR'!$T$15*1000000))/(IF(INDEX($A$5:$BP$257,MATCH(CU218,$BN$5:$BN$257,0),50)="Aço Inoxidável",('Densidade do AR'!$S$8*1000000),IF(INDEX($A$5:$BP$257,MATCH(CU218,$BN$5:$BN$257,0),50)="Ferro Fundido",('Densidade do AR'!$S$12*1000000),IF(INDEX($A$5:$BP$257,MATCH(CU218,$BN$5:$BN$257,0),50)="Latão",('Densidade do AR'!$S$10*1000000),IF(INDEX($A$5:$BP$257,MATCH(CU218,$BN$5:$BN$257,0),50)="Alumínio",('Densidade do AR'!$S$4*1000000)))))))-(((-('Densidade do AR'!$M$4))+('Densidade do AR'!$T$15*1000000))/('Densidade do AR'!$S$14*1000000))))))</f>
        <v>-</v>
      </c>
      <c r="DR218" s="739"/>
      <c r="DS218" s="739"/>
      <c r="DT218" s="745"/>
      <c r="DU218" s="93" t="str">
        <f t="shared" si="77"/>
        <v>-</v>
      </c>
      <c r="DV218" s="736"/>
      <c r="DW218" s="737"/>
      <c r="DX218" s="738" t="str">
        <f>IF(DV218="","-",(IF(INDEX($A$5:$BP$257,MATCH(DV218,$BN$5:$BN$257,0),50)="Aço Inoxidável",('Densidade do AR'!$S$8*1000000),IF(INDEX($A$5:$BP$257,MATCH(DV218,$BN$5:$BN$257,0),50)="Ferro Fundido",('Densidade do AR'!$S$12*1000000),IF(INDEX($A$5:$BP$257,MATCH(DV218,$BN$5:$BN$257,0),50)="Latão",('Densidade do AR'!$S$10*1000000),IF(INDEX($A$5:$BP$257,MATCH(DV218,$BN$5:$BN$257,0),50)="Alumínio",('Densidade do AR'!$S$4*1000000)))))))</f>
        <v>-</v>
      </c>
      <c r="DY218" s="739"/>
      <c r="DZ218" s="739"/>
      <c r="EA218" s="740"/>
      <c r="EB218" s="741" t="str">
        <f t="shared" si="78"/>
        <v>-</v>
      </c>
      <c r="EC218" s="742"/>
      <c r="ED218" s="742"/>
      <c r="EE218" s="743"/>
      <c r="EF218" s="741" t="str">
        <f t="shared" si="68"/>
        <v>-</v>
      </c>
      <c r="EG218" s="742"/>
      <c r="EH218" s="742"/>
      <c r="EI218" s="743"/>
      <c r="EJ218" s="744" t="str">
        <f t="shared" si="79"/>
        <v>-</v>
      </c>
      <c r="EK218" s="739"/>
      <c r="EL218" s="739"/>
      <c r="EM218" s="740"/>
      <c r="EN218" s="744" t="str">
        <f t="shared" si="69"/>
        <v>-</v>
      </c>
      <c r="EO218" s="739"/>
      <c r="EP218" s="739"/>
      <c r="EQ218" s="740"/>
      <c r="ER218" s="744" t="str">
        <f>IF(DV218="","-",INDEX($A$5:$BP$257,MATCH(DV218,$BN$5:$BN$257,0),39)*(IF(DV218="","-",(1+(((-('Densidade do AR'!$M$4))+('Densidade do AR'!$T$15*1000000))/(IF(INDEX($A$5:$BP$257,MATCH(DV218,$BN$5:$BN$257,0),50)="Aço Inoxidável",('Densidade do AR'!$S$8*1000000),IF(INDEX($A$5:$BP$257,MATCH(DV218,$BN$5:$BN$257,0),50)="Ferro Fundido",('Densidade do AR'!$S$12*1000000),IF(INDEX($A$5:$BP$257,MATCH(DV218,$BN$5:$BN$257,0),50)="Latão",('Densidade do AR'!$S$10*1000000),IF(INDEX($A$5:$BP$257,MATCH(DV218,$BN$5:$BN$257,0),50)="Alumínio",('Densidade do AR'!$S$4*1000000)))))))-(((-('Densidade do AR'!$M$4))+('Densidade do AR'!$T$15*1000000))/('Densidade do AR'!$S$14*1000000))))))</f>
        <v>-</v>
      </c>
      <c r="ES218" s="739"/>
      <c r="ET218" s="739"/>
      <c r="EU218" s="745"/>
      <c r="EV218" s="93" t="str">
        <f t="shared" si="80"/>
        <v>-</v>
      </c>
      <c r="EW218" s="736"/>
      <c r="EX218" s="737"/>
      <c r="EY218" s="738" t="str">
        <f>IF(EW218="","-",(IF(INDEX($A$5:$BP$257,MATCH(EW218,$BN$5:$BN$257,0),50)="Aço Inoxidável",('Densidade do AR'!$S$8*1000000),IF(INDEX($A$5:$BP$257,MATCH(EW218,$BN$5:$BN$257,0),50)="Ferro Fundido",('Densidade do AR'!$S$12*1000000),IF(INDEX($A$5:$BP$257,MATCH(EW218,$BN$5:$BN$257,0),50)="Latão",('Densidade do AR'!$S$10*1000000),IF(INDEX($A$5:$BP$257,MATCH(EW218,$BN$5:$BN$257,0),50)="Alumínio",('Densidade do AR'!$S$4*1000000)))))))</f>
        <v>-</v>
      </c>
      <c r="EZ218" s="739"/>
      <c r="FA218" s="739"/>
      <c r="FB218" s="740"/>
      <c r="FC218" s="741" t="str">
        <f t="shared" si="81"/>
        <v>-</v>
      </c>
      <c r="FD218" s="742"/>
      <c r="FE218" s="742"/>
      <c r="FF218" s="743"/>
      <c r="FG218" s="741" t="str">
        <f t="shared" si="70"/>
        <v>-</v>
      </c>
      <c r="FH218" s="742"/>
      <c r="FI218" s="742"/>
      <c r="FJ218" s="743"/>
      <c r="FK218" s="744" t="str">
        <f t="shared" si="82"/>
        <v>-</v>
      </c>
      <c r="FL218" s="739"/>
      <c r="FM218" s="739"/>
      <c r="FN218" s="740"/>
      <c r="FO218" s="744" t="str">
        <f t="shared" si="71"/>
        <v>-</v>
      </c>
      <c r="FP218" s="739"/>
      <c r="FQ218" s="739"/>
      <c r="FR218" s="740"/>
      <c r="FS218" s="744" t="str">
        <f>IF(EW218="","-",INDEX($A$5:$BP$257,MATCH(EW218,$BN$5:$BN$257,0),39)*(IF(EW218="","-",(1+(((-('Densidade do AR'!$M$4))+('Densidade do AR'!$T$15*1000000))/(IF(INDEX($A$5:$BP$257,MATCH(EW218,$BN$5:$BN$257,0),50)="Aço Inoxidável",('Densidade do AR'!$S$8*1000000),IF(INDEX($A$5:$BP$257,MATCH(EW218,$BN$5:$BN$257,0),50)="Ferro Fundido",('Densidade do AR'!$S$12*1000000),IF(INDEX($A$5:$BP$257,MATCH(EW218,$BN$5:$BN$257,0),50)="Latão",('Densidade do AR'!$S$10*1000000),IF(INDEX($A$5:$BP$257,MATCH(EW218,$BN$5:$BN$257,0),50)="Alumínio",('Densidade do AR'!$S$4*1000000)))))))-(((-('Densidade do AR'!$M$4))+('Densidade do AR'!$T$15*1000000))/('Densidade do AR'!$S$14*1000000))))))</f>
        <v>-</v>
      </c>
      <c r="FT218" s="739"/>
      <c r="FU218" s="739"/>
      <c r="FV218" s="745"/>
      <c r="FW218" s="93" t="str">
        <f t="shared" si="83"/>
        <v>-</v>
      </c>
      <c r="FX218" s="135"/>
    </row>
    <row r="219" spans="1:180" ht="12.75" customHeight="1" x14ac:dyDescent="0.2">
      <c r="A219" s="717">
        <v>215</v>
      </c>
      <c r="B219" s="713"/>
      <c r="C219" s="708"/>
      <c r="D219" s="709"/>
      <c r="E219" s="709"/>
      <c r="F219" s="709"/>
      <c r="G219" s="710"/>
      <c r="H219" s="711"/>
      <c r="I219" s="712"/>
      <c r="J219" s="712"/>
      <c r="K219" s="713"/>
      <c r="L219" s="708"/>
      <c r="M219" s="709"/>
      <c r="N219" s="709"/>
      <c r="O219" s="709"/>
      <c r="P219" s="708"/>
      <c r="Q219" s="709"/>
      <c r="R219" s="709"/>
      <c r="S219" s="709"/>
      <c r="T219" s="710"/>
      <c r="U219" s="714"/>
      <c r="V219" s="715"/>
      <c r="W219" s="715"/>
      <c r="X219" s="715"/>
      <c r="Y219" s="715"/>
      <c r="Z219" s="715"/>
      <c r="AA219" s="716"/>
      <c r="AB219" s="850"/>
      <c r="AC219" s="851"/>
      <c r="AD219" s="851"/>
      <c r="AE219" s="851"/>
      <c r="AF219" s="851"/>
      <c r="AG219" s="851"/>
      <c r="AH219" s="851"/>
      <c r="AI219" s="851"/>
      <c r="AJ219" s="851"/>
      <c r="AK219" s="851"/>
      <c r="AL219" s="852"/>
      <c r="AM219" s="917"/>
      <c r="AN219" s="712"/>
      <c r="AO219" s="712"/>
      <c r="AP219" s="712"/>
      <c r="AQ219" s="712"/>
      <c r="AR219" s="712"/>
      <c r="AS219" s="713"/>
      <c r="AT219" s="917"/>
      <c r="AU219" s="712"/>
      <c r="AV219" s="712"/>
      <c r="AW219" s="713"/>
      <c r="AX219" s="917"/>
      <c r="AY219" s="712"/>
      <c r="AZ219" s="712"/>
      <c r="BA219" s="712"/>
      <c r="BB219" s="712"/>
      <c r="BC219" s="713"/>
      <c r="BD219" s="917"/>
      <c r="BE219" s="712"/>
      <c r="BF219" s="712"/>
      <c r="BG219" s="713"/>
      <c r="BH219" s="918"/>
      <c r="BI219" s="712"/>
      <c r="BJ219" s="712"/>
      <c r="BK219" s="712"/>
      <c r="BL219" s="910"/>
      <c r="BN219" s="878"/>
      <c r="BO219" s="709"/>
      <c r="BP219" s="884"/>
      <c r="BT219" s="746"/>
      <c r="BU219" s="747"/>
      <c r="BV219" s="784" t="str">
        <f>IF(BT219="","-",(IF(INDEX($A$5:$BP$257,MATCH(BT219,$BN$5:$BN$257,0),50)="Aço Inoxidável",('Densidade do AR'!$S$8*1000000),IF(INDEX($A$5:$BP$257,MATCH(BT219,$BN$5:$BN$257,0),50)="Ferro Fundido",('Densidade do AR'!$S$12*1000000),IF(INDEX($A$5:$BP$257,MATCH(BT219,$BN$5:$BN$257,0),50)="Latão",('Densidade do AR'!$S$10*1000000),IF(INDEX($A$5:$BP$257,MATCH(BT219,$BN$5:$BN$257,0),50)="Alumínio",('Densidade do AR'!$S$4*1000000)))))))</f>
        <v>-</v>
      </c>
      <c r="BW219" s="785"/>
      <c r="BX219" s="785"/>
      <c r="BY219" s="786"/>
      <c r="BZ219" s="787" t="str">
        <f t="shared" si="72"/>
        <v>-</v>
      </c>
      <c r="CA219" s="788"/>
      <c r="CB219" s="788"/>
      <c r="CC219" s="789"/>
      <c r="CD219" s="787" t="str">
        <f t="shared" si="64"/>
        <v>-</v>
      </c>
      <c r="CE219" s="788"/>
      <c r="CF219" s="788"/>
      <c r="CG219" s="789"/>
      <c r="CH219" s="790" t="str">
        <f t="shared" si="73"/>
        <v>-</v>
      </c>
      <c r="CI219" s="785"/>
      <c r="CJ219" s="785"/>
      <c r="CK219" s="786"/>
      <c r="CL219" s="790" t="str">
        <f t="shared" si="65"/>
        <v>-</v>
      </c>
      <c r="CM219" s="785"/>
      <c r="CN219" s="785"/>
      <c r="CO219" s="786"/>
      <c r="CP219" s="790" t="str">
        <f>IF(BT219="","-",INDEX($A$5:$BP$257,MATCH(BT219,$BN$5:$BN$257,0),39)*(IF(BT219="","-",(1+(((-('Densidade do AR'!$M$4))+('Densidade do AR'!$T$15*1000000))/(IF(INDEX($A$5:$BP$257,MATCH(BT219,$BN$5:$BN$257,0),50)="Aço Inoxidável",('Densidade do AR'!$S$8*1000000),IF(INDEX($A$5:$BP$257,MATCH(BT219,$BN$5:$BN$257,0),50)="Ferro Fundido",('Densidade do AR'!$S$12*1000000),IF(INDEX($A$5:$BP$257,MATCH(BT219,$BN$5:$BN$257,0),50)="Latão",('Densidade do AR'!$S$10*1000000),IF(INDEX($A$5:$BP$257,MATCH(BT219,$BN$5:$BN$257,0),50)="Alumínio",('Densidade do AR'!$S$4*1000000)))))))-(((-('Densidade do AR'!$M$4))+('Densidade do AR'!$T$15*1000000))/('Densidade do AR'!$S$14*1000000))))))</f>
        <v>-</v>
      </c>
      <c r="CQ219" s="785"/>
      <c r="CR219" s="785"/>
      <c r="CS219" s="791"/>
      <c r="CT219" s="91" t="str">
        <f t="shared" si="74"/>
        <v>-</v>
      </c>
      <c r="CU219" s="746"/>
      <c r="CV219" s="747"/>
      <c r="CW219" s="784" t="str">
        <f>IF(CU219="","-",(IF(INDEX($A$5:$BP$257,MATCH(CU219,$BN$5:$BN$257,0),50)="Aço Inoxidável",('Densidade do AR'!$S$8*1000000),IF(INDEX($A$5:$BP$257,MATCH(CU219,$BN$5:$BN$257,0),50)="Ferro Fundido",('Densidade do AR'!$S$12*1000000),IF(INDEX($A$5:$BP$257,MATCH(CU219,$BN$5:$BN$257,0),50)="Latão",('Densidade do AR'!$S$10*1000000),IF(INDEX($A$5:$BP$257,MATCH(CU219,$BN$5:$BN$257,0),50)="Alumínio",('Densidade do AR'!$S$4*1000000)))))))</f>
        <v>-</v>
      </c>
      <c r="CX219" s="785"/>
      <c r="CY219" s="785"/>
      <c r="CZ219" s="786"/>
      <c r="DA219" s="787" t="str">
        <f t="shared" si="75"/>
        <v>-</v>
      </c>
      <c r="DB219" s="788"/>
      <c r="DC219" s="788"/>
      <c r="DD219" s="789"/>
      <c r="DE219" s="787" t="str">
        <f t="shared" si="66"/>
        <v>-</v>
      </c>
      <c r="DF219" s="788"/>
      <c r="DG219" s="788"/>
      <c r="DH219" s="789"/>
      <c r="DI219" s="790" t="str">
        <f t="shared" si="76"/>
        <v>-</v>
      </c>
      <c r="DJ219" s="785"/>
      <c r="DK219" s="785"/>
      <c r="DL219" s="786"/>
      <c r="DM219" s="790" t="str">
        <f t="shared" si="67"/>
        <v>-</v>
      </c>
      <c r="DN219" s="785"/>
      <c r="DO219" s="785"/>
      <c r="DP219" s="786"/>
      <c r="DQ219" s="790" t="str">
        <f>IF(CU219="","-",INDEX($A$5:$BP$257,MATCH(CU219,$BN$5:$BN$257,0),39)*(IF(CU219="","-",(1+(((-('Densidade do AR'!$M$4))+('Densidade do AR'!$T$15*1000000))/(IF(INDEX($A$5:$BP$257,MATCH(CU219,$BN$5:$BN$257,0),50)="Aço Inoxidável",('Densidade do AR'!$S$8*1000000),IF(INDEX($A$5:$BP$257,MATCH(CU219,$BN$5:$BN$257,0),50)="Ferro Fundido",('Densidade do AR'!$S$12*1000000),IF(INDEX($A$5:$BP$257,MATCH(CU219,$BN$5:$BN$257,0),50)="Latão",('Densidade do AR'!$S$10*1000000),IF(INDEX($A$5:$BP$257,MATCH(CU219,$BN$5:$BN$257,0),50)="Alumínio",('Densidade do AR'!$S$4*1000000)))))))-(((-('Densidade do AR'!$M$4))+('Densidade do AR'!$T$15*1000000))/('Densidade do AR'!$S$14*1000000))))))</f>
        <v>-</v>
      </c>
      <c r="DR219" s="785"/>
      <c r="DS219" s="785"/>
      <c r="DT219" s="791"/>
      <c r="DU219" s="91" t="str">
        <f t="shared" si="77"/>
        <v>-</v>
      </c>
      <c r="DV219" s="746"/>
      <c r="DW219" s="747"/>
      <c r="DX219" s="784" t="str">
        <f>IF(DV219="","-",(IF(INDEX($A$5:$BP$257,MATCH(DV219,$BN$5:$BN$257,0),50)="Aço Inoxidável",('Densidade do AR'!$S$8*1000000),IF(INDEX($A$5:$BP$257,MATCH(DV219,$BN$5:$BN$257,0),50)="Ferro Fundido",('Densidade do AR'!$S$12*1000000),IF(INDEX($A$5:$BP$257,MATCH(DV219,$BN$5:$BN$257,0),50)="Latão",('Densidade do AR'!$S$10*1000000),IF(INDEX($A$5:$BP$257,MATCH(DV219,$BN$5:$BN$257,0),50)="Alumínio",('Densidade do AR'!$S$4*1000000)))))))</f>
        <v>-</v>
      </c>
      <c r="DY219" s="785"/>
      <c r="DZ219" s="785"/>
      <c r="EA219" s="786"/>
      <c r="EB219" s="787" t="str">
        <f t="shared" si="78"/>
        <v>-</v>
      </c>
      <c r="EC219" s="788"/>
      <c r="ED219" s="788"/>
      <c r="EE219" s="789"/>
      <c r="EF219" s="787" t="str">
        <f t="shared" si="68"/>
        <v>-</v>
      </c>
      <c r="EG219" s="788"/>
      <c r="EH219" s="788"/>
      <c r="EI219" s="789"/>
      <c r="EJ219" s="790" t="str">
        <f t="shared" si="79"/>
        <v>-</v>
      </c>
      <c r="EK219" s="785"/>
      <c r="EL219" s="785"/>
      <c r="EM219" s="786"/>
      <c r="EN219" s="790" t="str">
        <f t="shared" si="69"/>
        <v>-</v>
      </c>
      <c r="EO219" s="785"/>
      <c r="EP219" s="785"/>
      <c r="EQ219" s="786"/>
      <c r="ER219" s="790" t="str">
        <f>IF(DV219="","-",INDEX($A$5:$BP$257,MATCH(DV219,$BN$5:$BN$257,0),39)*(IF(DV219="","-",(1+(((-('Densidade do AR'!$M$4))+('Densidade do AR'!$T$15*1000000))/(IF(INDEX($A$5:$BP$257,MATCH(DV219,$BN$5:$BN$257,0),50)="Aço Inoxidável",('Densidade do AR'!$S$8*1000000),IF(INDEX($A$5:$BP$257,MATCH(DV219,$BN$5:$BN$257,0),50)="Ferro Fundido",('Densidade do AR'!$S$12*1000000),IF(INDEX($A$5:$BP$257,MATCH(DV219,$BN$5:$BN$257,0),50)="Latão",('Densidade do AR'!$S$10*1000000),IF(INDEX($A$5:$BP$257,MATCH(DV219,$BN$5:$BN$257,0),50)="Alumínio",('Densidade do AR'!$S$4*1000000)))))))-(((-('Densidade do AR'!$M$4))+('Densidade do AR'!$T$15*1000000))/('Densidade do AR'!$S$14*1000000))))))</f>
        <v>-</v>
      </c>
      <c r="ES219" s="785"/>
      <c r="ET219" s="785"/>
      <c r="EU219" s="791"/>
      <c r="EV219" s="91" t="str">
        <f t="shared" si="80"/>
        <v>-</v>
      </c>
      <c r="EW219" s="746"/>
      <c r="EX219" s="747"/>
      <c r="EY219" s="784" t="str">
        <f>IF(EW219="","-",(IF(INDEX($A$5:$BP$257,MATCH(EW219,$BN$5:$BN$257,0),50)="Aço Inoxidável",('Densidade do AR'!$S$8*1000000),IF(INDEX($A$5:$BP$257,MATCH(EW219,$BN$5:$BN$257,0),50)="Ferro Fundido",('Densidade do AR'!$S$12*1000000),IF(INDEX($A$5:$BP$257,MATCH(EW219,$BN$5:$BN$257,0),50)="Latão",('Densidade do AR'!$S$10*1000000),IF(INDEX($A$5:$BP$257,MATCH(EW219,$BN$5:$BN$257,0),50)="Alumínio",('Densidade do AR'!$S$4*1000000)))))))</f>
        <v>-</v>
      </c>
      <c r="EZ219" s="785"/>
      <c r="FA219" s="785"/>
      <c r="FB219" s="786"/>
      <c r="FC219" s="787" t="str">
        <f t="shared" si="81"/>
        <v>-</v>
      </c>
      <c r="FD219" s="788"/>
      <c r="FE219" s="788"/>
      <c r="FF219" s="789"/>
      <c r="FG219" s="787" t="str">
        <f t="shared" si="70"/>
        <v>-</v>
      </c>
      <c r="FH219" s="788"/>
      <c r="FI219" s="788"/>
      <c r="FJ219" s="789"/>
      <c r="FK219" s="790" t="str">
        <f t="shared" si="82"/>
        <v>-</v>
      </c>
      <c r="FL219" s="785"/>
      <c r="FM219" s="785"/>
      <c r="FN219" s="786"/>
      <c r="FO219" s="790" t="str">
        <f t="shared" si="71"/>
        <v>-</v>
      </c>
      <c r="FP219" s="785"/>
      <c r="FQ219" s="785"/>
      <c r="FR219" s="786"/>
      <c r="FS219" s="790" t="str">
        <f>IF(EW219="","-",INDEX($A$5:$BP$257,MATCH(EW219,$BN$5:$BN$257,0),39)*(IF(EW219="","-",(1+(((-('Densidade do AR'!$M$4))+('Densidade do AR'!$T$15*1000000))/(IF(INDEX($A$5:$BP$257,MATCH(EW219,$BN$5:$BN$257,0),50)="Aço Inoxidável",('Densidade do AR'!$S$8*1000000),IF(INDEX($A$5:$BP$257,MATCH(EW219,$BN$5:$BN$257,0),50)="Ferro Fundido",('Densidade do AR'!$S$12*1000000),IF(INDEX($A$5:$BP$257,MATCH(EW219,$BN$5:$BN$257,0),50)="Latão",('Densidade do AR'!$S$10*1000000),IF(INDEX($A$5:$BP$257,MATCH(EW219,$BN$5:$BN$257,0),50)="Alumínio",('Densidade do AR'!$S$4*1000000)))))))-(((-('Densidade do AR'!$M$4))+('Densidade do AR'!$T$15*1000000))/('Densidade do AR'!$S$14*1000000))))))</f>
        <v>-</v>
      </c>
      <c r="FT219" s="785"/>
      <c r="FU219" s="785"/>
      <c r="FV219" s="791"/>
      <c r="FW219" s="91" t="str">
        <f t="shared" si="83"/>
        <v>-</v>
      </c>
      <c r="FX219" s="135"/>
    </row>
    <row r="220" spans="1:180" ht="12.75" customHeight="1" x14ac:dyDescent="0.2">
      <c r="A220" s="718">
        <v>216</v>
      </c>
      <c r="B220" s="713"/>
      <c r="C220" s="719"/>
      <c r="D220" s="709"/>
      <c r="E220" s="709"/>
      <c r="F220" s="709"/>
      <c r="G220" s="710"/>
      <c r="H220" s="720"/>
      <c r="I220" s="712"/>
      <c r="J220" s="712"/>
      <c r="K220" s="713"/>
      <c r="L220" s="719"/>
      <c r="M220" s="709"/>
      <c r="N220" s="709"/>
      <c r="O220" s="709"/>
      <c r="P220" s="719"/>
      <c r="Q220" s="709"/>
      <c r="R220" s="709"/>
      <c r="S220" s="709"/>
      <c r="T220" s="710"/>
      <c r="U220" s="721"/>
      <c r="V220" s="722"/>
      <c r="W220" s="722"/>
      <c r="X220" s="722"/>
      <c r="Y220" s="722"/>
      <c r="Z220" s="722"/>
      <c r="AA220" s="723"/>
      <c r="AB220" s="853"/>
      <c r="AC220" s="854"/>
      <c r="AD220" s="854"/>
      <c r="AE220" s="854"/>
      <c r="AF220" s="854"/>
      <c r="AG220" s="854"/>
      <c r="AH220" s="854"/>
      <c r="AI220" s="854"/>
      <c r="AJ220" s="854"/>
      <c r="AK220" s="854"/>
      <c r="AL220" s="855"/>
      <c r="AM220" s="909"/>
      <c r="AN220" s="712"/>
      <c r="AO220" s="712"/>
      <c r="AP220" s="712"/>
      <c r="AQ220" s="712"/>
      <c r="AR220" s="712"/>
      <c r="AS220" s="713"/>
      <c r="AT220" s="909"/>
      <c r="AU220" s="712"/>
      <c r="AV220" s="712"/>
      <c r="AW220" s="713"/>
      <c r="AX220" s="908"/>
      <c r="AY220" s="712"/>
      <c r="AZ220" s="712"/>
      <c r="BA220" s="712"/>
      <c r="BB220" s="712"/>
      <c r="BC220" s="713"/>
      <c r="BD220" s="909"/>
      <c r="BE220" s="712"/>
      <c r="BF220" s="712"/>
      <c r="BG220" s="713"/>
      <c r="BH220" s="908"/>
      <c r="BI220" s="712"/>
      <c r="BJ220" s="712"/>
      <c r="BK220" s="712"/>
      <c r="BL220" s="910"/>
      <c r="BN220" s="881"/>
      <c r="BO220" s="709"/>
      <c r="BP220" s="884"/>
      <c r="BT220" s="736"/>
      <c r="BU220" s="737"/>
      <c r="BV220" s="738" t="str">
        <f>IF(BT220="","-",(IF(INDEX($A$5:$BP$257,MATCH(BT220,$BN$5:$BN$257,0),50)="Aço Inoxidável",('Densidade do AR'!$S$8*1000000),IF(INDEX($A$5:$BP$257,MATCH(BT220,$BN$5:$BN$257,0),50)="Ferro Fundido",('Densidade do AR'!$S$12*1000000),IF(INDEX($A$5:$BP$257,MATCH(BT220,$BN$5:$BN$257,0),50)="Latão",('Densidade do AR'!$S$10*1000000),IF(INDEX($A$5:$BP$257,MATCH(BT220,$BN$5:$BN$257,0),50)="Alumínio",('Densidade do AR'!$S$4*1000000)))))))</f>
        <v>-</v>
      </c>
      <c r="BW220" s="739"/>
      <c r="BX220" s="739"/>
      <c r="BY220" s="740"/>
      <c r="BZ220" s="741" t="str">
        <f t="shared" si="72"/>
        <v>-</v>
      </c>
      <c r="CA220" s="742"/>
      <c r="CB220" s="742"/>
      <c r="CC220" s="743"/>
      <c r="CD220" s="741" t="str">
        <f t="shared" si="64"/>
        <v>-</v>
      </c>
      <c r="CE220" s="742"/>
      <c r="CF220" s="742"/>
      <c r="CG220" s="743"/>
      <c r="CH220" s="744" t="str">
        <f t="shared" si="73"/>
        <v>-</v>
      </c>
      <c r="CI220" s="739"/>
      <c r="CJ220" s="739"/>
      <c r="CK220" s="740"/>
      <c r="CL220" s="744" t="str">
        <f t="shared" si="65"/>
        <v>-</v>
      </c>
      <c r="CM220" s="739"/>
      <c r="CN220" s="739"/>
      <c r="CO220" s="740"/>
      <c r="CP220" s="744" t="str">
        <f>IF(BT220="","-",INDEX($A$5:$BP$257,MATCH(BT220,$BN$5:$BN$257,0),39)*(IF(BT220="","-",(1+(((-('Densidade do AR'!$M$4))+('Densidade do AR'!$T$15*1000000))/(IF(INDEX($A$5:$BP$257,MATCH(BT220,$BN$5:$BN$257,0),50)="Aço Inoxidável",('Densidade do AR'!$S$8*1000000),IF(INDEX($A$5:$BP$257,MATCH(BT220,$BN$5:$BN$257,0),50)="Ferro Fundido",('Densidade do AR'!$S$12*1000000),IF(INDEX($A$5:$BP$257,MATCH(BT220,$BN$5:$BN$257,0),50)="Latão",('Densidade do AR'!$S$10*1000000),IF(INDEX($A$5:$BP$257,MATCH(BT220,$BN$5:$BN$257,0),50)="Alumínio",('Densidade do AR'!$S$4*1000000)))))))-(((-('Densidade do AR'!$M$4))+('Densidade do AR'!$T$15*1000000))/('Densidade do AR'!$S$14*1000000))))))</f>
        <v>-</v>
      </c>
      <c r="CQ220" s="739"/>
      <c r="CR220" s="739"/>
      <c r="CS220" s="745"/>
      <c r="CT220" s="91" t="str">
        <f t="shared" si="74"/>
        <v>-</v>
      </c>
      <c r="CU220" s="736"/>
      <c r="CV220" s="737"/>
      <c r="CW220" s="738" t="str">
        <f>IF(CU220="","-",(IF(INDEX($A$5:$BP$257,MATCH(CU220,$BN$5:$BN$257,0),50)="Aço Inoxidável",('Densidade do AR'!$S$8*1000000),IF(INDEX($A$5:$BP$257,MATCH(CU220,$BN$5:$BN$257,0),50)="Ferro Fundido",('Densidade do AR'!$S$12*1000000),IF(INDEX($A$5:$BP$257,MATCH(CU220,$BN$5:$BN$257,0),50)="Latão",('Densidade do AR'!$S$10*1000000),IF(INDEX($A$5:$BP$257,MATCH(CU220,$BN$5:$BN$257,0),50)="Alumínio",('Densidade do AR'!$S$4*1000000)))))))</f>
        <v>-</v>
      </c>
      <c r="CX220" s="739"/>
      <c r="CY220" s="739"/>
      <c r="CZ220" s="740"/>
      <c r="DA220" s="741" t="str">
        <f t="shared" si="75"/>
        <v>-</v>
      </c>
      <c r="DB220" s="742"/>
      <c r="DC220" s="742"/>
      <c r="DD220" s="743"/>
      <c r="DE220" s="741" t="str">
        <f t="shared" si="66"/>
        <v>-</v>
      </c>
      <c r="DF220" s="742"/>
      <c r="DG220" s="742"/>
      <c r="DH220" s="743"/>
      <c r="DI220" s="744" t="str">
        <f t="shared" si="76"/>
        <v>-</v>
      </c>
      <c r="DJ220" s="739"/>
      <c r="DK220" s="739"/>
      <c r="DL220" s="740"/>
      <c r="DM220" s="744" t="str">
        <f t="shared" si="67"/>
        <v>-</v>
      </c>
      <c r="DN220" s="739"/>
      <c r="DO220" s="739"/>
      <c r="DP220" s="740"/>
      <c r="DQ220" s="744" t="str">
        <f>IF(CU220="","-",INDEX($A$5:$BP$257,MATCH(CU220,$BN$5:$BN$257,0),39)*(IF(CU220="","-",(1+(((-('Densidade do AR'!$M$4))+('Densidade do AR'!$T$15*1000000))/(IF(INDEX($A$5:$BP$257,MATCH(CU220,$BN$5:$BN$257,0),50)="Aço Inoxidável",('Densidade do AR'!$S$8*1000000),IF(INDEX($A$5:$BP$257,MATCH(CU220,$BN$5:$BN$257,0),50)="Ferro Fundido",('Densidade do AR'!$S$12*1000000),IF(INDEX($A$5:$BP$257,MATCH(CU220,$BN$5:$BN$257,0),50)="Latão",('Densidade do AR'!$S$10*1000000),IF(INDEX($A$5:$BP$257,MATCH(CU220,$BN$5:$BN$257,0),50)="Alumínio",('Densidade do AR'!$S$4*1000000)))))))-(((-('Densidade do AR'!$M$4))+('Densidade do AR'!$T$15*1000000))/('Densidade do AR'!$S$14*1000000))))))</f>
        <v>-</v>
      </c>
      <c r="DR220" s="739"/>
      <c r="DS220" s="739"/>
      <c r="DT220" s="745"/>
      <c r="DU220" s="91" t="str">
        <f t="shared" si="77"/>
        <v>-</v>
      </c>
      <c r="DV220" s="736"/>
      <c r="DW220" s="737"/>
      <c r="DX220" s="738" t="str">
        <f>IF(DV220="","-",(IF(INDEX($A$5:$BP$257,MATCH(DV220,$BN$5:$BN$257,0),50)="Aço Inoxidável",('Densidade do AR'!$S$8*1000000),IF(INDEX($A$5:$BP$257,MATCH(DV220,$BN$5:$BN$257,0),50)="Ferro Fundido",('Densidade do AR'!$S$12*1000000),IF(INDEX($A$5:$BP$257,MATCH(DV220,$BN$5:$BN$257,0),50)="Latão",('Densidade do AR'!$S$10*1000000),IF(INDEX($A$5:$BP$257,MATCH(DV220,$BN$5:$BN$257,0),50)="Alumínio",('Densidade do AR'!$S$4*1000000)))))))</f>
        <v>-</v>
      </c>
      <c r="DY220" s="739"/>
      <c r="DZ220" s="739"/>
      <c r="EA220" s="740"/>
      <c r="EB220" s="741" t="str">
        <f t="shared" si="78"/>
        <v>-</v>
      </c>
      <c r="EC220" s="742"/>
      <c r="ED220" s="742"/>
      <c r="EE220" s="743"/>
      <c r="EF220" s="741" t="str">
        <f t="shared" si="68"/>
        <v>-</v>
      </c>
      <c r="EG220" s="742"/>
      <c r="EH220" s="742"/>
      <c r="EI220" s="743"/>
      <c r="EJ220" s="744" t="str">
        <f t="shared" si="79"/>
        <v>-</v>
      </c>
      <c r="EK220" s="739"/>
      <c r="EL220" s="739"/>
      <c r="EM220" s="740"/>
      <c r="EN220" s="744" t="str">
        <f t="shared" si="69"/>
        <v>-</v>
      </c>
      <c r="EO220" s="739"/>
      <c r="EP220" s="739"/>
      <c r="EQ220" s="740"/>
      <c r="ER220" s="744" t="str">
        <f>IF(DV220="","-",INDEX($A$5:$BP$257,MATCH(DV220,$BN$5:$BN$257,0),39)*(IF(DV220="","-",(1+(((-('Densidade do AR'!$M$4))+('Densidade do AR'!$T$15*1000000))/(IF(INDEX($A$5:$BP$257,MATCH(DV220,$BN$5:$BN$257,0),50)="Aço Inoxidável",('Densidade do AR'!$S$8*1000000),IF(INDEX($A$5:$BP$257,MATCH(DV220,$BN$5:$BN$257,0),50)="Ferro Fundido",('Densidade do AR'!$S$12*1000000),IF(INDEX($A$5:$BP$257,MATCH(DV220,$BN$5:$BN$257,0),50)="Latão",('Densidade do AR'!$S$10*1000000),IF(INDEX($A$5:$BP$257,MATCH(DV220,$BN$5:$BN$257,0),50)="Alumínio",('Densidade do AR'!$S$4*1000000)))))))-(((-('Densidade do AR'!$M$4))+('Densidade do AR'!$T$15*1000000))/('Densidade do AR'!$S$14*1000000))))))</f>
        <v>-</v>
      </c>
      <c r="ES220" s="739"/>
      <c r="ET220" s="739"/>
      <c r="EU220" s="745"/>
      <c r="EV220" s="91" t="str">
        <f t="shared" si="80"/>
        <v>-</v>
      </c>
      <c r="EW220" s="736"/>
      <c r="EX220" s="737"/>
      <c r="EY220" s="738" t="str">
        <f>IF(EW220="","-",(IF(INDEX($A$5:$BP$257,MATCH(EW220,$BN$5:$BN$257,0),50)="Aço Inoxidável",('Densidade do AR'!$S$8*1000000),IF(INDEX($A$5:$BP$257,MATCH(EW220,$BN$5:$BN$257,0),50)="Ferro Fundido",('Densidade do AR'!$S$12*1000000),IF(INDEX($A$5:$BP$257,MATCH(EW220,$BN$5:$BN$257,0),50)="Latão",('Densidade do AR'!$S$10*1000000),IF(INDEX($A$5:$BP$257,MATCH(EW220,$BN$5:$BN$257,0),50)="Alumínio",('Densidade do AR'!$S$4*1000000)))))))</f>
        <v>-</v>
      </c>
      <c r="EZ220" s="739"/>
      <c r="FA220" s="739"/>
      <c r="FB220" s="740"/>
      <c r="FC220" s="741" t="str">
        <f t="shared" si="81"/>
        <v>-</v>
      </c>
      <c r="FD220" s="742"/>
      <c r="FE220" s="742"/>
      <c r="FF220" s="743"/>
      <c r="FG220" s="741" t="str">
        <f t="shared" si="70"/>
        <v>-</v>
      </c>
      <c r="FH220" s="742"/>
      <c r="FI220" s="742"/>
      <c r="FJ220" s="743"/>
      <c r="FK220" s="744" t="str">
        <f t="shared" si="82"/>
        <v>-</v>
      </c>
      <c r="FL220" s="739"/>
      <c r="FM220" s="739"/>
      <c r="FN220" s="740"/>
      <c r="FO220" s="744" t="str">
        <f t="shared" si="71"/>
        <v>-</v>
      </c>
      <c r="FP220" s="739"/>
      <c r="FQ220" s="739"/>
      <c r="FR220" s="740"/>
      <c r="FS220" s="744" t="str">
        <f>IF(EW220="","-",INDEX($A$5:$BP$257,MATCH(EW220,$BN$5:$BN$257,0),39)*(IF(EW220="","-",(1+(((-('Densidade do AR'!$M$4))+('Densidade do AR'!$T$15*1000000))/(IF(INDEX($A$5:$BP$257,MATCH(EW220,$BN$5:$BN$257,0),50)="Aço Inoxidável",('Densidade do AR'!$S$8*1000000),IF(INDEX($A$5:$BP$257,MATCH(EW220,$BN$5:$BN$257,0),50)="Ferro Fundido",('Densidade do AR'!$S$12*1000000),IF(INDEX($A$5:$BP$257,MATCH(EW220,$BN$5:$BN$257,0),50)="Latão",('Densidade do AR'!$S$10*1000000),IF(INDEX($A$5:$BP$257,MATCH(EW220,$BN$5:$BN$257,0),50)="Alumínio",('Densidade do AR'!$S$4*1000000)))))))-(((-('Densidade do AR'!$M$4))+('Densidade do AR'!$T$15*1000000))/('Densidade do AR'!$S$14*1000000))))))</f>
        <v>-</v>
      </c>
      <c r="FT220" s="739"/>
      <c r="FU220" s="739"/>
      <c r="FV220" s="745"/>
      <c r="FW220" s="91" t="str">
        <f t="shared" si="83"/>
        <v>-</v>
      </c>
      <c r="FX220" s="135"/>
    </row>
    <row r="221" spans="1:180" ht="12.75" customHeight="1" x14ac:dyDescent="0.2">
      <c r="A221" s="717">
        <v>217</v>
      </c>
      <c r="B221" s="713"/>
      <c r="C221" s="708"/>
      <c r="D221" s="709"/>
      <c r="E221" s="709"/>
      <c r="F221" s="709"/>
      <c r="G221" s="710"/>
      <c r="H221" s="711"/>
      <c r="I221" s="712"/>
      <c r="J221" s="712"/>
      <c r="K221" s="713"/>
      <c r="L221" s="708"/>
      <c r="M221" s="709"/>
      <c r="N221" s="709"/>
      <c r="O221" s="709"/>
      <c r="P221" s="708"/>
      <c r="Q221" s="709"/>
      <c r="R221" s="709"/>
      <c r="S221" s="709"/>
      <c r="T221" s="710"/>
      <c r="U221" s="714"/>
      <c r="V221" s="715"/>
      <c r="W221" s="715"/>
      <c r="X221" s="715"/>
      <c r="Y221" s="715"/>
      <c r="Z221" s="715"/>
      <c r="AA221" s="716"/>
      <c r="AB221" s="850"/>
      <c r="AC221" s="851"/>
      <c r="AD221" s="851"/>
      <c r="AE221" s="851"/>
      <c r="AF221" s="851"/>
      <c r="AG221" s="851"/>
      <c r="AH221" s="851"/>
      <c r="AI221" s="851"/>
      <c r="AJ221" s="851"/>
      <c r="AK221" s="851"/>
      <c r="AL221" s="852"/>
      <c r="AM221" s="917"/>
      <c r="AN221" s="712"/>
      <c r="AO221" s="712"/>
      <c r="AP221" s="712"/>
      <c r="AQ221" s="712"/>
      <c r="AR221" s="712"/>
      <c r="AS221" s="713"/>
      <c r="AT221" s="917"/>
      <c r="AU221" s="712"/>
      <c r="AV221" s="712"/>
      <c r="AW221" s="713"/>
      <c r="AX221" s="917"/>
      <c r="AY221" s="712"/>
      <c r="AZ221" s="712"/>
      <c r="BA221" s="712"/>
      <c r="BB221" s="712"/>
      <c r="BC221" s="713"/>
      <c r="BD221" s="917"/>
      <c r="BE221" s="712"/>
      <c r="BF221" s="712"/>
      <c r="BG221" s="713"/>
      <c r="BH221" s="918"/>
      <c r="BI221" s="712"/>
      <c r="BJ221" s="712"/>
      <c r="BK221" s="712"/>
      <c r="BL221" s="910"/>
      <c r="BN221" s="878"/>
      <c r="BO221" s="709"/>
      <c r="BP221" s="884"/>
      <c r="BT221" s="746"/>
      <c r="BU221" s="747"/>
      <c r="BV221" s="784" t="str">
        <f>IF(BT221="","-",(IF(INDEX($A$5:$BP$257,MATCH(BT221,$BN$5:$BN$257,0),50)="Aço Inoxidável",('Densidade do AR'!$S$8*1000000),IF(INDEX($A$5:$BP$257,MATCH(BT221,$BN$5:$BN$257,0),50)="Ferro Fundido",('Densidade do AR'!$S$12*1000000),IF(INDEX($A$5:$BP$257,MATCH(BT221,$BN$5:$BN$257,0),50)="Latão",('Densidade do AR'!$S$10*1000000),IF(INDEX($A$5:$BP$257,MATCH(BT221,$BN$5:$BN$257,0),50)="Alumínio",('Densidade do AR'!$S$4*1000000)))))))</f>
        <v>-</v>
      </c>
      <c r="BW221" s="785"/>
      <c r="BX221" s="785"/>
      <c r="BY221" s="786"/>
      <c r="BZ221" s="787" t="str">
        <f t="shared" si="72"/>
        <v>-</v>
      </c>
      <c r="CA221" s="788"/>
      <c r="CB221" s="788"/>
      <c r="CC221" s="789"/>
      <c r="CD221" s="787" t="str">
        <f t="shared" si="64"/>
        <v>-</v>
      </c>
      <c r="CE221" s="788"/>
      <c r="CF221" s="788"/>
      <c r="CG221" s="789"/>
      <c r="CH221" s="790" t="str">
        <f t="shared" si="73"/>
        <v>-</v>
      </c>
      <c r="CI221" s="785"/>
      <c r="CJ221" s="785"/>
      <c r="CK221" s="786"/>
      <c r="CL221" s="790" t="str">
        <f t="shared" si="65"/>
        <v>-</v>
      </c>
      <c r="CM221" s="785"/>
      <c r="CN221" s="785"/>
      <c r="CO221" s="786"/>
      <c r="CP221" s="790" t="str">
        <f>IF(BT221="","-",INDEX($A$5:$BP$257,MATCH(BT221,$BN$5:$BN$257,0),39)*(IF(BT221="","-",(1+(((-('Densidade do AR'!$M$4))+('Densidade do AR'!$T$15*1000000))/(IF(INDEX($A$5:$BP$257,MATCH(BT221,$BN$5:$BN$257,0),50)="Aço Inoxidável",('Densidade do AR'!$S$8*1000000),IF(INDEX($A$5:$BP$257,MATCH(BT221,$BN$5:$BN$257,0),50)="Ferro Fundido",('Densidade do AR'!$S$12*1000000),IF(INDEX($A$5:$BP$257,MATCH(BT221,$BN$5:$BN$257,0),50)="Latão",('Densidade do AR'!$S$10*1000000),IF(INDEX($A$5:$BP$257,MATCH(BT221,$BN$5:$BN$257,0),50)="Alumínio",('Densidade do AR'!$S$4*1000000)))))))-(((-('Densidade do AR'!$M$4))+('Densidade do AR'!$T$15*1000000))/('Densidade do AR'!$S$14*1000000))))))</f>
        <v>-</v>
      </c>
      <c r="CQ221" s="785"/>
      <c r="CR221" s="785"/>
      <c r="CS221" s="791"/>
      <c r="CT221" s="91" t="str">
        <f t="shared" si="74"/>
        <v>-</v>
      </c>
      <c r="CU221" s="746"/>
      <c r="CV221" s="747"/>
      <c r="CW221" s="784" t="str">
        <f>IF(CU221="","-",(IF(INDEX($A$5:$BP$257,MATCH(CU221,$BN$5:$BN$257,0),50)="Aço Inoxidável",('Densidade do AR'!$S$8*1000000),IF(INDEX($A$5:$BP$257,MATCH(CU221,$BN$5:$BN$257,0),50)="Ferro Fundido",('Densidade do AR'!$S$12*1000000),IF(INDEX($A$5:$BP$257,MATCH(CU221,$BN$5:$BN$257,0),50)="Latão",('Densidade do AR'!$S$10*1000000),IF(INDEX($A$5:$BP$257,MATCH(CU221,$BN$5:$BN$257,0),50)="Alumínio",('Densidade do AR'!$S$4*1000000)))))))</f>
        <v>-</v>
      </c>
      <c r="CX221" s="785"/>
      <c r="CY221" s="785"/>
      <c r="CZ221" s="786"/>
      <c r="DA221" s="787" t="str">
        <f t="shared" si="75"/>
        <v>-</v>
      </c>
      <c r="DB221" s="788"/>
      <c r="DC221" s="788"/>
      <c r="DD221" s="789"/>
      <c r="DE221" s="787" t="str">
        <f t="shared" si="66"/>
        <v>-</v>
      </c>
      <c r="DF221" s="788"/>
      <c r="DG221" s="788"/>
      <c r="DH221" s="789"/>
      <c r="DI221" s="790" t="str">
        <f t="shared" si="76"/>
        <v>-</v>
      </c>
      <c r="DJ221" s="785"/>
      <c r="DK221" s="785"/>
      <c r="DL221" s="786"/>
      <c r="DM221" s="790" t="str">
        <f t="shared" si="67"/>
        <v>-</v>
      </c>
      <c r="DN221" s="785"/>
      <c r="DO221" s="785"/>
      <c r="DP221" s="786"/>
      <c r="DQ221" s="790" t="str">
        <f>IF(CU221="","-",INDEX($A$5:$BP$257,MATCH(CU221,$BN$5:$BN$257,0),39)*(IF(CU221="","-",(1+(((-('Densidade do AR'!$M$4))+('Densidade do AR'!$T$15*1000000))/(IF(INDEX($A$5:$BP$257,MATCH(CU221,$BN$5:$BN$257,0),50)="Aço Inoxidável",('Densidade do AR'!$S$8*1000000),IF(INDEX($A$5:$BP$257,MATCH(CU221,$BN$5:$BN$257,0),50)="Ferro Fundido",('Densidade do AR'!$S$12*1000000),IF(INDEX($A$5:$BP$257,MATCH(CU221,$BN$5:$BN$257,0),50)="Latão",('Densidade do AR'!$S$10*1000000),IF(INDEX($A$5:$BP$257,MATCH(CU221,$BN$5:$BN$257,0),50)="Alumínio",('Densidade do AR'!$S$4*1000000)))))))-(((-('Densidade do AR'!$M$4))+('Densidade do AR'!$T$15*1000000))/('Densidade do AR'!$S$14*1000000))))))</f>
        <v>-</v>
      </c>
      <c r="DR221" s="785"/>
      <c r="DS221" s="785"/>
      <c r="DT221" s="791"/>
      <c r="DU221" s="91" t="str">
        <f t="shared" si="77"/>
        <v>-</v>
      </c>
      <c r="DV221" s="746"/>
      <c r="DW221" s="747"/>
      <c r="DX221" s="784" t="str">
        <f>IF(DV221="","-",(IF(INDEX($A$5:$BP$257,MATCH(DV221,$BN$5:$BN$257,0),50)="Aço Inoxidável",('Densidade do AR'!$S$8*1000000),IF(INDEX($A$5:$BP$257,MATCH(DV221,$BN$5:$BN$257,0),50)="Ferro Fundido",('Densidade do AR'!$S$12*1000000),IF(INDEX($A$5:$BP$257,MATCH(DV221,$BN$5:$BN$257,0),50)="Latão",('Densidade do AR'!$S$10*1000000),IF(INDEX($A$5:$BP$257,MATCH(DV221,$BN$5:$BN$257,0),50)="Alumínio",('Densidade do AR'!$S$4*1000000)))))))</f>
        <v>-</v>
      </c>
      <c r="DY221" s="785"/>
      <c r="DZ221" s="785"/>
      <c r="EA221" s="786"/>
      <c r="EB221" s="787" t="str">
        <f t="shared" si="78"/>
        <v>-</v>
      </c>
      <c r="EC221" s="788"/>
      <c r="ED221" s="788"/>
      <c r="EE221" s="789"/>
      <c r="EF221" s="787" t="str">
        <f t="shared" si="68"/>
        <v>-</v>
      </c>
      <c r="EG221" s="788"/>
      <c r="EH221" s="788"/>
      <c r="EI221" s="789"/>
      <c r="EJ221" s="790" t="str">
        <f t="shared" si="79"/>
        <v>-</v>
      </c>
      <c r="EK221" s="785"/>
      <c r="EL221" s="785"/>
      <c r="EM221" s="786"/>
      <c r="EN221" s="790" t="str">
        <f t="shared" si="69"/>
        <v>-</v>
      </c>
      <c r="EO221" s="785"/>
      <c r="EP221" s="785"/>
      <c r="EQ221" s="786"/>
      <c r="ER221" s="790" t="str">
        <f>IF(DV221="","-",INDEX($A$5:$BP$257,MATCH(DV221,$BN$5:$BN$257,0),39)*(IF(DV221="","-",(1+(((-('Densidade do AR'!$M$4))+('Densidade do AR'!$T$15*1000000))/(IF(INDEX($A$5:$BP$257,MATCH(DV221,$BN$5:$BN$257,0),50)="Aço Inoxidável",('Densidade do AR'!$S$8*1000000),IF(INDEX($A$5:$BP$257,MATCH(DV221,$BN$5:$BN$257,0),50)="Ferro Fundido",('Densidade do AR'!$S$12*1000000),IF(INDEX($A$5:$BP$257,MATCH(DV221,$BN$5:$BN$257,0),50)="Latão",('Densidade do AR'!$S$10*1000000),IF(INDEX($A$5:$BP$257,MATCH(DV221,$BN$5:$BN$257,0),50)="Alumínio",('Densidade do AR'!$S$4*1000000)))))))-(((-('Densidade do AR'!$M$4))+('Densidade do AR'!$T$15*1000000))/('Densidade do AR'!$S$14*1000000))))))</f>
        <v>-</v>
      </c>
      <c r="ES221" s="785"/>
      <c r="ET221" s="785"/>
      <c r="EU221" s="791"/>
      <c r="EV221" s="91" t="str">
        <f t="shared" si="80"/>
        <v>-</v>
      </c>
      <c r="EW221" s="746"/>
      <c r="EX221" s="747"/>
      <c r="EY221" s="784" t="str">
        <f>IF(EW221="","-",(IF(INDEX($A$5:$BP$257,MATCH(EW221,$BN$5:$BN$257,0),50)="Aço Inoxidável",('Densidade do AR'!$S$8*1000000),IF(INDEX($A$5:$BP$257,MATCH(EW221,$BN$5:$BN$257,0),50)="Ferro Fundido",('Densidade do AR'!$S$12*1000000),IF(INDEX($A$5:$BP$257,MATCH(EW221,$BN$5:$BN$257,0),50)="Latão",('Densidade do AR'!$S$10*1000000),IF(INDEX($A$5:$BP$257,MATCH(EW221,$BN$5:$BN$257,0),50)="Alumínio",('Densidade do AR'!$S$4*1000000)))))))</f>
        <v>-</v>
      </c>
      <c r="EZ221" s="785"/>
      <c r="FA221" s="785"/>
      <c r="FB221" s="786"/>
      <c r="FC221" s="787" t="str">
        <f t="shared" si="81"/>
        <v>-</v>
      </c>
      <c r="FD221" s="788"/>
      <c r="FE221" s="788"/>
      <c r="FF221" s="789"/>
      <c r="FG221" s="787" t="str">
        <f t="shared" si="70"/>
        <v>-</v>
      </c>
      <c r="FH221" s="788"/>
      <c r="FI221" s="788"/>
      <c r="FJ221" s="789"/>
      <c r="FK221" s="790" t="str">
        <f t="shared" si="82"/>
        <v>-</v>
      </c>
      <c r="FL221" s="785"/>
      <c r="FM221" s="785"/>
      <c r="FN221" s="786"/>
      <c r="FO221" s="790" t="str">
        <f t="shared" si="71"/>
        <v>-</v>
      </c>
      <c r="FP221" s="785"/>
      <c r="FQ221" s="785"/>
      <c r="FR221" s="786"/>
      <c r="FS221" s="790" t="str">
        <f>IF(EW221="","-",INDEX($A$5:$BP$257,MATCH(EW221,$BN$5:$BN$257,0),39)*(IF(EW221="","-",(1+(((-('Densidade do AR'!$M$4))+('Densidade do AR'!$T$15*1000000))/(IF(INDEX($A$5:$BP$257,MATCH(EW221,$BN$5:$BN$257,0),50)="Aço Inoxidável",('Densidade do AR'!$S$8*1000000),IF(INDEX($A$5:$BP$257,MATCH(EW221,$BN$5:$BN$257,0),50)="Ferro Fundido",('Densidade do AR'!$S$12*1000000),IF(INDEX($A$5:$BP$257,MATCH(EW221,$BN$5:$BN$257,0),50)="Latão",('Densidade do AR'!$S$10*1000000),IF(INDEX($A$5:$BP$257,MATCH(EW221,$BN$5:$BN$257,0),50)="Alumínio",('Densidade do AR'!$S$4*1000000)))))))-(((-('Densidade do AR'!$M$4))+('Densidade do AR'!$T$15*1000000))/('Densidade do AR'!$S$14*1000000))))))</f>
        <v>-</v>
      </c>
      <c r="FT221" s="785"/>
      <c r="FU221" s="785"/>
      <c r="FV221" s="791"/>
      <c r="FW221" s="91" t="str">
        <f t="shared" si="83"/>
        <v>-</v>
      </c>
      <c r="FX221" s="135"/>
    </row>
    <row r="222" spans="1:180" ht="12.75" customHeight="1" x14ac:dyDescent="0.2">
      <c r="A222" s="718">
        <v>218</v>
      </c>
      <c r="B222" s="713"/>
      <c r="C222" s="719"/>
      <c r="D222" s="709"/>
      <c r="E222" s="709"/>
      <c r="F222" s="709"/>
      <c r="G222" s="710"/>
      <c r="H222" s="720"/>
      <c r="I222" s="712"/>
      <c r="J222" s="712"/>
      <c r="K222" s="713"/>
      <c r="L222" s="719"/>
      <c r="M222" s="709"/>
      <c r="N222" s="709"/>
      <c r="O222" s="709"/>
      <c r="P222" s="719"/>
      <c r="Q222" s="709"/>
      <c r="R222" s="709"/>
      <c r="S222" s="709"/>
      <c r="T222" s="710"/>
      <c r="U222" s="721"/>
      <c r="V222" s="722"/>
      <c r="W222" s="722"/>
      <c r="X222" s="722"/>
      <c r="Y222" s="722"/>
      <c r="Z222" s="722"/>
      <c r="AA222" s="723"/>
      <c r="AB222" s="853"/>
      <c r="AC222" s="854"/>
      <c r="AD222" s="854"/>
      <c r="AE222" s="854"/>
      <c r="AF222" s="854"/>
      <c r="AG222" s="854"/>
      <c r="AH222" s="854"/>
      <c r="AI222" s="854"/>
      <c r="AJ222" s="854"/>
      <c r="AK222" s="854"/>
      <c r="AL222" s="855"/>
      <c r="AM222" s="909"/>
      <c r="AN222" s="712"/>
      <c r="AO222" s="712"/>
      <c r="AP222" s="712"/>
      <c r="AQ222" s="712"/>
      <c r="AR222" s="712"/>
      <c r="AS222" s="713"/>
      <c r="AT222" s="909"/>
      <c r="AU222" s="712"/>
      <c r="AV222" s="712"/>
      <c r="AW222" s="713"/>
      <c r="AX222" s="908"/>
      <c r="AY222" s="712"/>
      <c r="AZ222" s="712"/>
      <c r="BA222" s="712"/>
      <c r="BB222" s="712"/>
      <c r="BC222" s="713"/>
      <c r="BD222" s="909"/>
      <c r="BE222" s="712"/>
      <c r="BF222" s="712"/>
      <c r="BG222" s="713"/>
      <c r="BH222" s="908"/>
      <c r="BI222" s="712"/>
      <c r="BJ222" s="712"/>
      <c r="BK222" s="712"/>
      <c r="BL222" s="910"/>
      <c r="BN222" s="881"/>
      <c r="BO222" s="709"/>
      <c r="BP222" s="884"/>
      <c r="BT222" s="736"/>
      <c r="BU222" s="737"/>
      <c r="BV222" s="738" t="str">
        <f>IF(BT222="","-",(IF(INDEX($A$5:$BP$257,MATCH(BT222,$BN$5:$BN$257,0),50)="Aço Inoxidável",('Densidade do AR'!$S$8*1000000),IF(INDEX($A$5:$BP$257,MATCH(BT222,$BN$5:$BN$257,0),50)="Ferro Fundido",('Densidade do AR'!$S$12*1000000),IF(INDEX($A$5:$BP$257,MATCH(BT222,$BN$5:$BN$257,0),50)="Latão",('Densidade do AR'!$S$10*1000000),IF(INDEX($A$5:$BP$257,MATCH(BT222,$BN$5:$BN$257,0),50)="Alumínio",('Densidade do AR'!$S$4*1000000)))))))</f>
        <v>-</v>
      </c>
      <c r="BW222" s="739"/>
      <c r="BX222" s="739"/>
      <c r="BY222" s="740"/>
      <c r="BZ222" s="741" t="str">
        <f t="shared" si="72"/>
        <v>-</v>
      </c>
      <c r="CA222" s="742"/>
      <c r="CB222" s="742"/>
      <c r="CC222" s="743"/>
      <c r="CD222" s="741" t="str">
        <f t="shared" si="64"/>
        <v>-</v>
      </c>
      <c r="CE222" s="742"/>
      <c r="CF222" s="742"/>
      <c r="CG222" s="743"/>
      <c r="CH222" s="744" t="str">
        <f t="shared" si="73"/>
        <v>-</v>
      </c>
      <c r="CI222" s="739"/>
      <c r="CJ222" s="739"/>
      <c r="CK222" s="740"/>
      <c r="CL222" s="744" t="str">
        <f t="shared" si="65"/>
        <v>-</v>
      </c>
      <c r="CM222" s="739"/>
      <c r="CN222" s="739"/>
      <c r="CO222" s="740"/>
      <c r="CP222" s="744" t="str">
        <f>IF(BT222="","-",INDEX($A$5:$BP$257,MATCH(BT222,$BN$5:$BN$257,0),39)*(IF(BT222="","-",(1+(((-('Densidade do AR'!$M$4))+('Densidade do AR'!$T$15*1000000))/(IF(INDEX($A$5:$BP$257,MATCH(BT222,$BN$5:$BN$257,0),50)="Aço Inoxidável",('Densidade do AR'!$S$8*1000000),IF(INDEX($A$5:$BP$257,MATCH(BT222,$BN$5:$BN$257,0),50)="Ferro Fundido",('Densidade do AR'!$S$12*1000000),IF(INDEX($A$5:$BP$257,MATCH(BT222,$BN$5:$BN$257,0),50)="Latão",('Densidade do AR'!$S$10*1000000),IF(INDEX($A$5:$BP$257,MATCH(BT222,$BN$5:$BN$257,0),50)="Alumínio",('Densidade do AR'!$S$4*1000000)))))))-(((-('Densidade do AR'!$M$4))+('Densidade do AR'!$T$15*1000000))/('Densidade do AR'!$S$14*1000000))))))</f>
        <v>-</v>
      </c>
      <c r="CQ222" s="739"/>
      <c r="CR222" s="739"/>
      <c r="CS222" s="745"/>
      <c r="CT222" s="91" t="str">
        <f t="shared" si="74"/>
        <v>-</v>
      </c>
      <c r="CU222" s="736"/>
      <c r="CV222" s="737"/>
      <c r="CW222" s="738" t="str">
        <f>IF(CU222="","-",(IF(INDEX($A$5:$BP$257,MATCH(CU222,$BN$5:$BN$257,0),50)="Aço Inoxidável",('Densidade do AR'!$S$8*1000000),IF(INDEX($A$5:$BP$257,MATCH(CU222,$BN$5:$BN$257,0),50)="Ferro Fundido",('Densidade do AR'!$S$12*1000000),IF(INDEX($A$5:$BP$257,MATCH(CU222,$BN$5:$BN$257,0),50)="Latão",('Densidade do AR'!$S$10*1000000),IF(INDEX($A$5:$BP$257,MATCH(CU222,$BN$5:$BN$257,0),50)="Alumínio",('Densidade do AR'!$S$4*1000000)))))))</f>
        <v>-</v>
      </c>
      <c r="CX222" s="739"/>
      <c r="CY222" s="739"/>
      <c r="CZ222" s="740"/>
      <c r="DA222" s="741" t="str">
        <f t="shared" si="75"/>
        <v>-</v>
      </c>
      <c r="DB222" s="742"/>
      <c r="DC222" s="742"/>
      <c r="DD222" s="743"/>
      <c r="DE222" s="741" t="str">
        <f t="shared" si="66"/>
        <v>-</v>
      </c>
      <c r="DF222" s="742"/>
      <c r="DG222" s="742"/>
      <c r="DH222" s="743"/>
      <c r="DI222" s="744" t="str">
        <f t="shared" si="76"/>
        <v>-</v>
      </c>
      <c r="DJ222" s="739"/>
      <c r="DK222" s="739"/>
      <c r="DL222" s="740"/>
      <c r="DM222" s="744" t="str">
        <f t="shared" si="67"/>
        <v>-</v>
      </c>
      <c r="DN222" s="739"/>
      <c r="DO222" s="739"/>
      <c r="DP222" s="740"/>
      <c r="DQ222" s="744" t="str">
        <f>IF(CU222="","-",INDEX($A$5:$BP$257,MATCH(CU222,$BN$5:$BN$257,0),39)*(IF(CU222="","-",(1+(((-('Densidade do AR'!$M$4))+('Densidade do AR'!$T$15*1000000))/(IF(INDEX($A$5:$BP$257,MATCH(CU222,$BN$5:$BN$257,0),50)="Aço Inoxidável",('Densidade do AR'!$S$8*1000000),IF(INDEX($A$5:$BP$257,MATCH(CU222,$BN$5:$BN$257,0),50)="Ferro Fundido",('Densidade do AR'!$S$12*1000000),IF(INDEX($A$5:$BP$257,MATCH(CU222,$BN$5:$BN$257,0),50)="Latão",('Densidade do AR'!$S$10*1000000),IF(INDEX($A$5:$BP$257,MATCH(CU222,$BN$5:$BN$257,0),50)="Alumínio",('Densidade do AR'!$S$4*1000000)))))))-(((-('Densidade do AR'!$M$4))+('Densidade do AR'!$T$15*1000000))/('Densidade do AR'!$S$14*1000000))))))</f>
        <v>-</v>
      </c>
      <c r="DR222" s="739"/>
      <c r="DS222" s="739"/>
      <c r="DT222" s="745"/>
      <c r="DU222" s="91" t="str">
        <f t="shared" si="77"/>
        <v>-</v>
      </c>
      <c r="DV222" s="736"/>
      <c r="DW222" s="737"/>
      <c r="DX222" s="738" t="str">
        <f>IF(DV222="","-",(IF(INDEX($A$5:$BP$257,MATCH(DV222,$BN$5:$BN$257,0),50)="Aço Inoxidável",('Densidade do AR'!$S$8*1000000),IF(INDEX($A$5:$BP$257,MATCH(DV222,$BN$5:$BN$257,0),50)="Ferro Fundido",('Densidade do AR'!$S$12*1000000),IF(INDEX($A$5:$BP$257,MATCH(DV222,$BN$5:$BN$257,0),50)="Latão",('Densidade do AR'!$S$10*1000000),IF(INDEX($A$5:$BP$257,MATCH(DV222,$BN$5:$BN$257,0),50)="Alumínio",('Densidade do AR'!$S$4*1000000)))))))</f>
        <v>-</v>
      </c>
      <c r="DY222" s="739"/>
      <c r="DZ222" s="739"/>
      <c r="EA222" s="740"/>
      <c r="EB222" s="741" t="str">
        <f t="shared" si="78"/>
        <v>-</v>
      </c>
      <c r="EC222" s="742"/>
      <c r="ED222" s="742"/>
      <c r="EE222" s="743"/>
      <c r="EF222" s="741" t="str">
        <f t="shared" si="68"/>
        <v>-</v>
      </c>
      <c r="EG222" s="742"/>
      <c r="EH222" s="742"/>
      <c r="EI222" s="743"/>
      <c r="EJ222" s="744" t="str">
        <f t="shared" si="79"/>
        <v>-</v>
      </c>
      <c r="EK222" s="739"/>
      <c r="EL222" s="739"/>
      <c r="EM222" s="740"/>
      <c r="EN222" s="744" t="str">
        <f t="shared" si="69"/>
        <v>-</v>
      </c>
      <c r="EO222" s="739"/>
      <c r="EP222" s="739"/>
      <c r="EQ222" s="740"/>
      <c r="ER222" s="744" t="str">
        <f>IF(DV222="","-",INDEX($A$5:$BP$257,MATCH(DV222,$BN$5:$BN$257,0),39)*(IF(DV222="","-",(1+(((-('Densidade do AR'!$M$4))+('Densidade do AR'!$T$15*1000000))/(IF(INDEX($A$5:$BP$257,MATCH(DV222,$BN$5:$BN$257,0),50)="Aço Inoxidável",('Densidade do AR'!$S$8*1000000),IF(INDEX($A$5:$BP$257,MATCH(DV222,$BN$5:$BN$257,0),50)="Ferro Fundido",('Densidade do AR'!$S$12*1000000),IF(INDEX($A$5:$BP$257,MATCH(DV222,$BN$5:$BN$257,0),50)="Latão",('Densidade do AR'!$S$10*1000000),IF(INDEX($A$5:$BP$257,MATCH(DV222,$BN$5:$BN$257,0),50)="Alumínio",('Densidade do AR'!$S$4*1000000)))))))-(((-('Densidade do AR'!$M$4))+('Densidade do AR'!$T$15*1000000))/('Densidade do AR'!$S$14*1000000))))))</f>
        <v>-</v>
      </c>
      <c r="ES222" s="739"/>
      <c r="ET222" s="739"/>
      <c r="EU222" s="745"/>
      <c r="EV222" s="91" t="str">
        <f t="shared" si="80"/>
        <v>-</v>
      </c>
      <c r="EW222" s="736"/>
      <c r="EX222" s="737"/>
      <c r="EY222" s="738" t="str">
        <f>IF(EW222="","-",(IF(INDEX($A$5:$BP$257,MATCH(EW222,$BN$5:$BN$257,0),50)="Aço Inoxidável",('Densidade do AR'!$S$8*1000000),IF(INDEX($A$5:$BP$257,MATCH(EW222,$BN$5:$BN$257,0),50)="Ferro Fundido",('Densidade do AR'!$S$12*1000000),IF(INDEX($A$5:$BP$257,MATCH(EW222,$BN$5:$BN$257,0),50)="Latão",('Densidade do AR'!$S$10*1000000),IF(INDEX($A$5:$BP$257,MATCH(EW222,$BN$5:$BN$257,0),50)="Alumínio",('Densidade do AR'!$S$4*1000000)))))))</f>
        <v>-</v>
      </c>
      <c r="EZ222" s="739"/>
      <c r="FA222" s="739"/>
      <c r="FB222" s="740"/>
      <c r="FC222" s="741" t="str">
        <f t="shared" si="81"/>
        <v>-</v>
      </c>
      <c r="FD222" s="742"/>
      <c r="FE222" s="742"/>
      <c r="FF222" s="743"/>
      <c r="FG222" s="741" t="str">
        <f t="shared" si="70"/>
        <v>-</v>
      </c>
      <c r="FH222" s="742"/>
      <c r="FI222" s="742"/>
      <c r="FJ222" s="743"/>
      <c r="FK222" s="744" t="str">
        <f t="shared" si="82"/>
        <v>-</v>
      </c>
      <c r="FL222" s="739"/>
      <c r="FM222" s="739"/>
      <c r="FN222" s="740"/>
      <c r="FO222" s="744" t="str">
        <f t="shared" si="71"/>
        <v>-</v>
      </c>
      <c r="FP222" s="739"/>
      <c r="FQ222" s="739"/>
      <c r="FR222" s="740"/>
      <c r="FS222" s="744" t="str">
        <f>IF(EW222="","-",INDEX($A$5:$BP$257,MATCH(EW222,$BN$5:$BN$257,0),39)*(IF(EW222="","-",(1+(((-('Densidade do AR'!$M$4))+('Densidade do AR'!$T$15*1000000))/(IF(INDEX($A$5:$BP$257,MATCH(EW222,$BN$5:$BN$257,0),50)="Aço Inoxidável",('Densidade do AR'!$S$8*1000000),IF(INDEX($A$5:$BP$257,MATCH(EW222,$BN$5:$BN$257,0),50)="Ferro Fundido",('Densidade do AR'!$S$12*1000000),IF(INDEX($A$5:$BP$257,MATCH(EW222,$BN$5:$BN$257,0),50)="Latão",('Densidade do AR'!$S$10*1000000),IF(INDEX($A$5:$BP$257,MATCH(EW222,$BN$5:$BN$257,0),50)="Alumínio",('Densidade do AR'!$S$4*1000000)))))))-(((-('Densidade do AR'!$M$4))+('Densidade do AR'!$T$15*1000000))/('Densidade do AR'!$S$14*1000000))))))</f>
        <v>-</v>
      </c>
      <c r="FT222" s="739"/>
      <c r="FU222" s="739"/>
      <c r="FV222" s="745"/>
      <c r="FW222" s="91" t="str">
        <f t="shared" si="83"/>
        <v>-</v>
      </c>
      <c r="FX222" s="135"/>
    </row>
    <row r="223" spans="1:180" ht="12.75" customHeight="1" x14ac:dyDescent="0.2">
      <c r="A223" s="717">
        <v>219</v>
      </c>
      <c r="B223" s="713"/>
      <c r="C223" s="708"/>
      <c r="D223" s="709"/>
      <c r="E223" s="709"/>
      <c r="F223" s="709"/>
      <c r="G223" s="710"/>
      <c r="H223" s="711"/>
      <c r="I223" s="712"/>
      <c r="J223" s="712"/>
      <c r="K223" s="713"/>
      <c r="L223" s="708"/>
      <c r="M223" s="709"/>
      <c r="N223" s="709"/>
      <c r="O223" s="709"/>
      <c r="P223" s="708"/>
      <c r="Q223" s="709"/>
      <c r="R223" s="709"/>
      <c r="S223" s="709"/>
      <c r="T223" s="710"/>
      <c r="U223" s="714"/>
      <c r="V223" s="715"/>
      <c r="W223" s="715"/>
      <c r="X223" s="715"/>
      <c r="Y223" s="715"/>
      <c r="Z223" s="715"/>
      <c r="AA223" s="716"/>
      <c r="AB223" s="850"/>
      <c r="AC223" s="851"/>
      <c r="AD223" s="851"/>
      <c r="AE223" s="851"/>
      <c r="AF223" s="851"/>
      <c r="AG223" s="851"/>
      <c r="AH223" s="851"/>
      <c r="AI223" s="851"/>
      <c r="AJ223" s="851"/>
      <c r="AK223" s="851"/>
      <c r="AL223" s="852"/>
      <c r="AM223" s="917"/>
      <c r="AN223" s="712"/>
      <c r="AO223" s="712"/>
      <c r="AP223" s="712"/>
      <c r="AQ223" s="712"/>
      <c r="AR223" s="712"/>
      <c r="AS223" s="713"/>
      <c r="AT223" s="917"/>
      <c r="AU223" s="712"/>
      <c r="AV223" s="712"/>
      <c r="AW223" s="713"/>
      <c r="AX223" s="917"/>
      <c r="AY223" s="712"/>
      <c r="AZ223" s="712"/>
      <c r="BA223" s="712"/>
      <c r="BB223" s="712"/>
      <c r="BC223" s="713"/>
      <c r="BD223" s="917"/>
      <c r="BE223" s="712"/>
      <c r="BF223" s="712"/>
      <c r="BG223" s="713"/>
      <c r="BH223" s="918"/>
      <c r="BI223" s="712"/>
      <c r="BJ223" s="712"/>
      <c r="BK223" s="712"/>
      <c r="BL223" s="910"/>
      <c r="BN223" s="878"/>
      <c r="BO223" s="709"/>
      <c r="BP223" s="884"/>
      <c r="BT223" s="746"/>
      <c r="BU223" s="747"/>
      <c r="BV223" s="784" t="str">
        <f>IF(BT223="","-",(IF(INDEX($A$5:$BP$257,MATCH(BT223,$BN$5:$BN$257,0),50)="Aço Inoxidável",('Densidade do AR'!$S$8*1000000),IF(INDEX($A$5:$BP$257,MATCH(BT223,$BN$5:$BN$257,0),50)="Ferro Fundido",('Densidade do AR'!$S$12*1000000),IF(INDEX($A$5:$BP$257,MATCH(BT223,$BN$5:$BN$257,0),50)="Latão",('Densidade do AR'!$S$10*1000000),IF(INDEX($A$5:$BP$257,MATCH(BT223,$BN$5:$BN$257,0),50)="Alumínio",('Densidade do AR'!$S$4*1000000)))))))</f>
        <v>-</v>
      </c>
      <c r="BW223" s="785"/>
      <c r="BX223" s="785"/>
      <c r="BY223" s="786"/>
      <c r="BZ223" s="787" t="str">
        <f t="shared" si="72"/>
        <v>-</v>
      </c>
      <c r="CA223" s="788"/>
      <c r="CB223" s="788"/>
      <c r="CC223" s="789"/>
      <c r="CD223" s="787" t="str">
        <f t="shared" si="64"/>
        <v>-</v>
      </c>
      <c r="CE223" s="788"/>
      <c r="CF223" s="788"/>
      <c r="CG223" s="789"/>
      <c r="CH223" s="790" t="str">
        <f t="shared" si="73"/>
        <v>-</v>
      </c>
      <c r="CI223" s="785"/>
      <c r="CJ223" s="785"/>
      <c r="CK223" s="786"/>
      <c r="CL223" s="790" t="str">
        <f t="shared" si="65"/>
        <v>-</v>
      </c>
      <c r="CM223" s="785"/>
      <c r="CN223" s="785"/>
      <c r="CO223" s="786"/>
      <c r="CP223" s="790" t="str">
        <f>IF(BT223="","-",INDEX($A$5:$BP$257,MATCH(BT223,$BN$5:$BN$257,0),39)*(IF(BT223="","-",(1+(((-('Densidade do AR'!$M$4))+('Densidade do AR'!$T$15*1000000))/(IF(INDEX($A$5:$BP$257,MATCH(BT223,$BN$5:$BN$257,0),50)="Aço Inoxidável",('Densidade do AR'!$S$8*1000000),IF(INDEX($A$5:$BP$257,MATCH(BT223,$BN$5:$BN$257,0),50)="Ferro Fundido",('Densidade do AR'!$S$12*1000000),IF(INDEX($A$5:$BP$257,MATCH(BT223,$BN$5:$BN$257,0),50)="Latão",('Densidade do AR'!$S$10*1000000),IF(INDEX($A$5:$BP$257,MATCH(BT223,$BN$5:$BN$257,0),50)="Alumínio",('Densidade do AR'!$S$4*1000000)))))))-(((-('Densidade do AR'!$M$4))+('Densidade do AR'!$T$15*1000000))/('Densidade do AR'!$S$14*1000000))))))</f>
        <v>-</v>
      </c>
      <c r="CQ223" s="785"/>
      <c r="CR223" s="785"/>
      <c r="CS223" s="791"/>
      <c r="CT223" s="91" t="str">
        <f t="shared" si="74"/>
        <v>-</v>
      </c>
      <c r="CU223" s="746"/>
      <c r="CV223" s="747"/>
      <c r="CW223" s="784" t="str">
        <f>IF(CU223="","-",(IF(INDEX($A$5:$BP$257,MATCH(CU223,$BN$5:$BN$257,0),50)="Aço Inoxidável",('Densidade do AR'!$S$8*1000000),IF(INDEX($A$5:$BP$257,MATCH(CU223,$BN$5:$BN$257,0),50)="Ferro Fundido",('Densidade do AR'!$S$12*1000000),IF(INDEX($A$5:$BP$257,MATCH(CU223,$BN$5:$BN$257,0),50)="Latão",('Densidade do AR'!$S$10*1000000),IF(INDEX($A$5:$BP$257,MATCH(CU223,$BN$5:$BN$257,0),50)="Alumínio",('Densidade do AR'!$S$4*1000000)))))))</f>
        <v>-</v>
      </c>
      <c r="CX223" s="785"/>
      <c r="CY223" s="785"/>
      <c r="CZ223" s="786"/>
      <c r="DA223" s="787" t="str">
        <f t="shared" si="75"/>
        <v>-</v>
      </c>
      <c r="DB223" s="788"/>
      <c r="DC223" s="788"/>
      <c r="DD223" s="789"/>
      <c r="DE223" s="787" t="str">
        <f t="shared" si="66"/>
        <v>-</v>
      </c>
      <c r="DF223" s="788"/>
      <c r="DG223" s="788"/>
      <c r="DH223" s="789"/>
      <c r="DI223" s="790" t="str">
        <f t="shared" si="76"/>
        <v>-</v>
      </c>
      <c r="DJ223" s="785"/>
      <c r="DK223" s="785"/>
      <c r="DL223" s="786"/>
      <c r="DM223" s="790" t="str">
        <f t="shared" si="67"/>
        <v>-</v>
      </c>
      <c r="DN223" s="785"/>
      <c r="DO223" s="785"/>
      <c r="DP223" s="786"/>
      <c r="DQ223" s="790" t="str">
        <f>IF(CU223="","-",INDEX($A$5:$BP$257,MATCH(CU223,$BN$5:$BN$257,0),39)*(IF(CU223="","-",(1+(((-('Densidade do AR'!$M$4))+('Densidade do AR'!$T$15*1000000))/(IF(INDEX($A$5:$BP$257,MATCH(CU223,$BN$5:$BN$257,0),50)="Aço Inoxidável",('Densidade do AR'!$S$8*1000000),IF(INDEX($A$5:$BP$257,MATCH(CU223,$BN$5:$BN$257,0),50)="Ferro Fundido",('Densidade do AR'!$S$12*1000000),IF(INDEX($A$5:$BP$257,MATCH(CU223,$BN$5:$BN$257,0),50)="Latão",('Densidade do AR'!$S$10*1000000),IF(INDEX($A$5:$BP$257,MATCH(CU223,$BN$5:$BN$257,0),50)="Alumínio",('Densidade do AR'!$S$4*1000000)))))))-(((-('Densidade do AR'!$M$4))+('Densidade do AR'!$T$15*1000000))/('Densidade do AR'!$S$14*1000000))))))</f>
        <v>-</v>
      </c>
      <c r="DR223" s="785"/>
      <c r="DS223" s="785"/>
      <c r="DT223" s="791"/>
      <c r="DU223" s="91" t="str">
        <f t="shared" si="77"/>
        <v>-</v>
      </c>
      <c r="DV223" s="746"/>
      <c r="DW223" s="747"/>
      <c r="DX223" s="784" t="str">
        <f>IF(DV223="","-",(IF(INDEX($A$5:$BP$257,MATCH(DV223,$BN$5:$BN$257,0),50)="Aço Inoxidável",('Densidade do AR'!$S$8*1000000),IF(INDEX($A$5:$BP$257,MATCH(DV223,$BN$5:$BN$257,0),50)="Ferro Fundido",('Densidade do AR'!$S$12*1000000),IF(INDEX($A$5:$BP$257,MATCH(DV223,$BN$5:$BN$257,0),50)="Latão",('Densidade do AR'!$S$10*1000000),IF(INDEX($A$5:$BP$257,MATCH(DV223,$BN$5:$BN$257,0),50)="Alumínio",('Densidade do AR'!$S$4*1000000)))))))</f>
        <v>-</v>
      </c>
      <c r="DY223" s="785"/>
      <c r="DZ223" s="785"/>
      <c r="EA223" s="786"/>
      <c r="EB223" s="787" t="str">
        <f t="shared" si="78"/>
        <v>-</v>
      </c>
      <c r="EC223" s="788"/>
      <c r="ED223" s="788"/>
      <c r="EE223" s="789"/>
      <c r="EF223" s="787" t="str">
        <f t="shared" si="68"/>
        <v>-</v>
      </c>
      <c r="EG223" s="788"/>
      <c r="EH223" s="788"/>
      <c r="EI223" s="789"/>
      <c r="EJ223" s="790" t="str">
        <f t="shared" si="79"/>
        <v>-</v>
      </c>
      <c r="EK223" s="785"/>
      <c r="EL223" s="785"/>
      <c r="EM223" s="786"/>
      <c r="EN223" s="790" t="str">
        <f t="shared" si="69"/>
        <v>-</v>
      </c>
      <c r="EO223" s="785"/>
      <c r="EP223" s="785"/>
      <c r="EQ223" s="786"/>
      <c r="ER223" s="790" t="str">
        <f>IF(DV223="","-",INDEX($A$5:$BP$257,MATCH(DV223,$BN$5:$BN$257,0),39)*(IF(DV223="","-",(1+(((-('Densidade do AR'!$M$4))+('Densidade do AR'!$T$15*1000000))/(IF(INDEX($A$5:$BP$257,MATCH(DV223,$BN$5:$BN$257,0),50)="Aço Inoxidável",('Densidade do AR'!$S$8*1000000),IF(INDEX($A$5:$BP$257,MATCH(DV223,$BN$5:$BN$257,0),50)="Ferro Fundido",('Densidade do AR'!$S$12*1000000),IF(INDEX($A$5:$BP$257,MATCH(DV223,$BN$5:$BN$257,0),50)="Latão",('Densidade do AR'!$S$10*1000000),IF(INDEX($A$5:$BP$257,MATCH(DV223,$BN$5:$BN$257,0),50)="Alumínio",('Densidade do AR'!$S$4*1000000)))))))-(((-('Densidade do AR'!$M$4))+('Densidade do AR'!$T$15*1000000))/('Densidade do AR'!$S$14*1000000))))))</f>
        <v>-</v>
      </c>
      <c r="ES223" s="785"/>
      <c r="ET223" s="785"/>
      <c r="EU223" s="791"/>
      <c r="EV223" s="91" t="str">
        <f t="shared" si="80"/>
        <v>-</v>
      </c>
      <c r="EW223" s="746"/>
      <c r="EX223" s="747"/>
      <c r="EY223" s="784" t="str">
        <f>IF(EW223="","-",(IF(INDEX($A$5:$BP$257,MATCH(EW223,$BN$5:$BN$257,0),50)="Aço Inoxidável",('Densidade do AR'!$S$8*1000000),IF(INDEX($A$5:$BP$257,MATCH(EW223,$BN$5:$BN$257,0),50)="Ferro Fundido",('Densidade do AR'!$S$12*1000000),IF(INDEX($A$5:$BP$257,MATCH(EW223,$BN$5:$BN$257,0),50)="Latão",('Densidade do AR'!$S$10*1000000),IF(INDEX($A$5:$BP$257,MATCH(EW223,$BN$5:$BN$257,0),50)="Alumínio",('Densidade do AR'!$S$4*1000000)))))))</f>
        <v>-</v>
      </c>
      <c r="EZ223" s="785"/>
      <c r="FA223" s="785"/>
      <c r="FB223" s="786"/>
      <c r="FC223" s="787" t="str">
        <f t="shared" si="81"/>
        <v>-</v>
      </c>
      <c r="FD223" s="788"/>
      <c r="FE223" s="788"/>
      <c r="FF223" s="789"/>
      <c r="FG223" s="787" t="str">
        <f t="shared" si="70"/>
        <v>-</v>
      </c>
      <c r="FH223" s="788"/>
      <c r="FI223" s="788"/>
      <c r="FJ223" s="789"/>
      <c r="FK223" s="790" t="str">
        <f t="shared" si="82"/>
        <v>-</v>
      </c>
      <c r="FL223" s="785"/>
      <c r="FM223" s="785"/>
      <c r="FN223" s="786"/>
      <c r="FO223" s="790" t="str">
        <f t="shared" si="71"/>
        <v>-</v>
      </c>
      <c r="FP223" s="785"/>
      <c r="FQ223" s="785"/>
      <c r="FR223" s="786"/>
      <c r="FS223" s="790" t="str">
        <f>IF(EW223="","-",INDEX($A$5:$BP$257,MATCH(EW223,$BN$5:$BN$257,0),39)*(IF(EW223="","-",(1+(((-('Densidade do AR'!$M$4))+('Densidade do AR'!$T$15*1000000))/(IF(INDEX($A$5:$BP$257,MATCH(EW223,$BN$5:$BN$257,0),50)="Aço Inoxidável",('Densidade do AR'!$S$8*1000000),IF(INDEX($A$5:$BP$257,MATCH(EW223,$BN$5:$BN$257,0),50)="Ferro Fundido",('Densidade do AR'!$S$12*1000000),IF(INDEX($A$5:$BP$257,MATCH(EW223,$BN$5:$BN$257,0),50)="Latão",('Densidade do AR'!$S$10*1000000),IF(INDEX($A$5:$BP$257,MATCH(EW223,$BN$5:$BN$257,0),50)="Alumínio",('Densidade do AR'!$S$4*1000000)))))))-(((-('Densidade do AR'!$M$4))+('Densidade do AR'!$T$15*1000000))/('Densidade do AR'!$S$14*1000000))))))</f>
        <v>-</v>
      </c>
      <c r="FT223" s="785"/>
      <c r="FU223" s="785"/>
      <c r="FV223" s="791"/>
      <c r="FW223" s="91" t="str">
        <f t="shared" si="83"/>
        <v>-</v>
      </c>
      <c r="FX223" s="135"/>
    </row>
    <row r="224" spans="1:180" ht="12.75" customHeight="1" x14ac:dyDescent="0.2">
      <c r="A224" s="718">
        <v>220</v>
      </c>
      <c r="B224" s="713"/>
      <c r="C224" s="719"/>
      <c r="D224" s="709"/>
      <c r="E224" s="709"/>
      <c r="F224" s="709"/>
      <c r="G224" s="710"/>
      <c r="H224" s="720"/>
      <c r="I224" s="712"/>
      <c r="J224" s="712"/>
      <c r="K224" s="713"/>
      <c r="L224" s="719"/>
      <c r="M224" s="709"/>
      <c r="N224" s="709"/>
      <c r="O224" s="709"/>
      <c r="P224" s="719"/>
      <c r="Q224" s="709"/>
      <c r="R224" s="709"/>
      <c r="S224" s="709"/>
      <c r="T224" s="710"/>
      <c r="U224" s="721"/>
      <c r="V224" s="722"/>
      <c r="W224" s="722"/>
      <c r="X224" s="722"/>
      <c r="Y224" s="722"/>
      <c r="Z224" s="722"/>
      <c r="AA224" s="723"/>
      <c r="AB224" s="853"/>
      <c r="AC224" s="854"/>
      <c r="AD224" s="854"/>
      <c r="AE224" s="854"/>
      <c r="AF224" s="854"/>
      <c r="AG224" s="854"/>
      <c r="AH224" s="854"/>
      <c r="AI224" s="854"/>
      <c r="AJ224" s="854"/>
      <c r="AK224" s="854"/>
      <c r="AL224" s="855"/>
      <c r="AM224" s="909"/>
      <c r="AN224" s="712"/>
      <c r="AO224" s="712"/>
      <c r="AP224" s="712"/>
      <c r="AQ224" s="712"/>
      <c r="AR224" s="712"/>
      <c r="AS224" s="713"/>
      <c r="AT224" s="909"/>
      <c r="AU224" s="712"/>
      <c r="AV224" s="712"/>
      <c r="AW224" s="713"/>
      <c r="AX224" s="908"/>
      <c r="AY224" s="712"/>
      <c r="AZ224" s="712"/>
      <c r="BA224" s="712"/>
      <c r="BB224" s="712"/>
      <c r="BC224" s="713"/>
      <c r="BD224" s="909"/>
      <c r="BE224" s="712"/>
      <c r="BF224" s="712"/>
      <c r="BG224" s="713"/>
      <c r="BH224" s="908"/>
      <c r="BI224" s="712"/>
      <c r="BJ224" s="712"/>
      <c r="BK224" s="712"/>
      <c r="BL224" s="910"/>
      <c r="BN224" s="881"/>
      <c r="BO224" s="709"/>
      <c r="BP224" s="884"/>
      <c r="BT224" s="736"/>
      <c r="BU224" s="737"/>
      <c r="BV224" s="738" t="str">
        <f>IF(BT224="","-",(IF(INDEX($A$5:$BP$257,MATCH(BT224,$BN$5:$BN$257,0),50)="Aço Inoxidável",('Densidade do AR'!$S$8*1000000),IF(INDEX($A$5:$BP$257,MATCH(BT224,$BN$5:$BN$257,0),50)="Ferro Fundido",('Densidade do AR'!$S$12*1000000),IF(INDEX($A$5:$BP$257,MATCH(BT224,$BN$5:$BN$257,0),50)="Latão",('Densidade do AR'!$S$10*1000000),IF(INDEX($A$5:$BP$257,MATCH(BT224,$BN$5:$BN$257,0),50)="Alumínio",('Densidade do AR'!$S$4*1000000)))))))</f>
        <v>-</v>
      </c>
      <c r="BW224" s="739"/>
      <c r="BX224" s="739"/>
      <c r="BY224" s="740"/>
      <c r="BZ224" s="741" t="str">
        <f t="shared" si="72"/>
        <v>-</v>
      </c>
      <c r="CA224" s="742"/>
      <c r="CB224" s="742"/>
      <c r="CC224" s="743"/>
      <c r="CD224" s="741" t="str">
        <f t="shared" si="64"/>
        <v>-</v>
      </c>
      <c r="CE224" s="742"/>
      <c r="CF224" s="742"/>
      <c r="CG224" s="743"/>
      <c r="CH224" s="744" t="str">
        <f t="shared" si="73"/>
        <v>-</v>
      </c>
      <c r="CI224" s="739"/>
      <c r="CJ224" s="739"/>
      <c r="CK224" s="740"/>
      <c r="CL224" s="744" t="str">
        <f t="shared" si="65"/>
        <v>-</v>
      </c>
      <c r="CM224" s="739"/>
      <c r="CN224" s="739"/>
      <c r="CO224" s="740"/>
      <c r="CP224" s="744" t="str">
        <f>IF(BT224="","-",INDEX($A$5:$BP$257,MATCH(BT224,$BN$5:$BN$257,0),39)*(IF(BT224="","-",(1+(((-('Densidade do AR'!$M$4))+('Densidade do AR'!$T$15*1000000))/(IF(INDEX($A$5:$BP$257,MATCH(BT224,$BN$5:$BN$257,0),50)="Aço Inoxidável",('Densidade do AR'!$S$8*1000000),IF(INDEX($A$5:$BP$257,MATCH(BT224,$BN$5:$BN$257,0),50)="Ferro Fundido",('Densidade do AR'!$S$12*1000000),IF(INDEX($A$5:$BP$257,MATCH(BT224,$BN$5:$BN$257,0),50)="Latão",('Densidade do AR'!$S$10*1000000),IF(INDEX($A$5:$BP$257,MATCH(BT224,$BN$5:$BN$257,0),50)="Alumínio",('Densidade do AR'!$S$4*1000000)))))))-(((-('Densidade do AR'!$M$4))+('Densidade do AR'!$T$15*1000000))/('Densidade do AR'!$S$14*1000000))))))</f>
        <v>-</v>
      </c>
      <c r="CQ224" s="739"/>
      <c r="CR224" s="739"/>
      <c r="CS224" s="745"/>
      <c r="CT224" s="91" t="str">
        <f t="shared" si="74"/>
        <v>-</v>
      </c>
      <c r="CU224" s="736"/>
      <c r="CV224" s="737"/>
      <c r="CW224" s="738" t="str">
        <f>IF(CU224="","-",(IF(INDEX($A$5:$BP$257,MATCH(CU224,$BN$5:$BN$257,0),50)="Aço Inoxidável",('Densidade do AR'!$S$8*1000000),IF(INDEX($A$5:$BP$257,MATCH(CU224,$BN$5:$BN$257,0),50)="Ferro Fundido",('Densidade do AR'!$S$12*1000000),IF(INDEX($A$5:$BP$257,MATCH(CU224,$BN$5:$BN$257,0),50)="Latão",('Densidade do AR'!$S$10*1000000),IF(INDEX($A$5:$BP$257,MATCH(CU224,$BN$5:$BN$257,0),50)="Alumínio",('Densidade do AR'!$S$4*1000000)))))))</f>
        <v>-</v>
      </c>
      <c r="CX224" s="739"/>
      <c r="CY224" s="739"/>
      <c r="CZ224" s="740"/>
      <c r="DA224" s="741" t="str">
        <f t="shared" si="75"/>
        <v>-</v>
      </c>
      <c r="DB224" s="742"/>
      <c r="DC224" s="742"/>
      <c r="DD224" s="743"/>
      <c r="DE224" s="741" t="str">
        <f t="shared" si="66"/>
        <v>-</v>
      </c>
      <c r="DF224" s="742"/>
      <c r="DG224" s="742"/>
      <c r="DH224" s="743"/>
      <c r="DI224" s="744" t="str">
        <f t="shared" si="76"/>
        <v>-</v>
      </c>
      <c r="DJ224" s="739"/>
      <c r="DK224" s="739"/>
      <c r="DL224" s="740"/>
      <c r="DM224" s="744" t="str">
        <f t="shared" si="67"/>
        <v>-</v>
      </c>
      <c r="DN224" s="739"/>
      <c r="DO224" s="739"/>
      <c r="DP224" s="740"/>
      <c r="DQ224" s="744" t="str">
        <f>IF(CU224="","-",INDEX($A$5:$BP$257,MATCH(CU224,$BN$5:$BN$257,0),39)*(IF(CU224="","-",(1+(((-('Densidade do AR'!$M$4))+('Densidade do AR'!$T$15*1000000))/(IF(INDEX($A$5:$BP$257,MATCH(CU224,$BN$5:$BN$257,0),50)="Aço Inoxidável",('Densidade do AR'!$S$8*1000000),IF(INDEX($A$5:$BP$257,MATCH(CU224,$BN$5:$BN$257,0),50)="Ferro Fundido",('Densidade do AR'!$S$12*1000000),IF(INDEX($A$5:$BP$257,MATCH(CU224,$BN$5:$BN$257,0),50)="Latão",('Densidade do AR'!$S$10*1000000),IF(INDEX($A$5:$BP$257,MATCH(CU224,$BN$5:$BN$257,0),50)="Alumínio",('Densidade do AR'!$S$4*1000000)))))))-(((-('Densidade do AR'!$M$4))+('Densidade do AR'!$T$15*1000000))/('Densidade do AR'!$S$14*1000000))))))</f>
        <v>-</v>
      </c>
      <c r="DR224" s="739"/>
      <c r="DS224" s="739"/>
      <c r="DT224" s="745"/>
      <c r="DU224" s="91" t="str">
        <f t="shared" si="77"/>
        <v>-</v>
      </c>
      <c r="DV224" s="736"/>
      <c r="DW224" s="737"/>
      <c r="DX224" s="738" t="str">
        <f>IF(DV224="","-",(IF(INDEX($A$5:$BP$257,MATCH(DV224,$BN$5:$BN$257,0),50)="Aço Inoxidável",('Densidade do AR'!$S$8*1000000),IF(INDEX($A$5:$BP$257,MATCH(DV224,$BN$5:$BN$257,0),50)="Ferro Fundido",('Densidade do AR'!$S$12*1000000),IF(INDEX($A$5:$BP$257,MATCH(DV224,$BN$5:$BN$257,0),50)="Latão",('Densidade do AR'!$S$10*1000000),IF(INDEX($A$5:$BP$257,MATCH(DV224,$BN$5:$BN$257,0),50)="Alumínio",('Densidade do AR'!$S$4*1000000)))))))</f>
        <v>-</v>
      </c>
      <c r="DY224" s="739"/>
      <c r="DZ224" s="739"/>
      <c r="EA224" s="740"/>
      <c r="EB224" s="741" t="str">
        <f t="shared" si="78"/>
        <v>-</v>
      </c>
      <c r="EC224" s="742"/>
      <c r="ED224" s="742"/>
      <c r="EE224" s="743"/>
      <c r="EF224" s="741" t="str">
        <f t="shared" si="68"/>
        <v>-</v>
      </c>
      <c r="EG224" s="742"/>
      <c r="EH224" s="742"/>
      <c r="EI224" s="743"/>
      <c r="EJ224" s="744" t="str">
        <f t="shared" si="79"/>
        <v>-</v>
      </c>
      <c r="EK224" s="739"/>
      <c r="EL224" s="739"/>
      <c r="EM224" s="740"/>
      <c r="EN224" s="744" t="str">
        <f t="shared" si="69"/>
        <v>-</v>
      </c>
      <c r="EO224" s="739"/>
      <c r="EP224" s="739"/>
      <c r="EQ224" s="740"/>
      <c r="ER224" s="744" t="str">
        <f>IF(DV224="","-",INDEX($A$5:$BP$257,MATCH(DV224,$BN$5:$BN$257,0),39)*(IF(DV224="","-",(1+(((-('Densidade do AR'!$M$4))+('Densidade do AR'!$T$15*1000000))/(IF(INDEX($A$5:$BP$257,MATCH(DV224,$BN$5:$BN$257,0),50)="Aço Inoxidável",('Densidade do AR'!$S$8*1000000),IF(INDEX($A$5:$BP$257,MATCH(DV224,$BN$5:$BN$257,0),50)="Ferro Fundido",('Densidade do AR'!$S$12*1000000),IF(INDEX($A$5:$BP$257,MATCH(DV224,$BN$5:$BN$257,0),50)="Latão",('Densidade do AR'!$S$10*1000000),IF(INDEX($A$5:$BP$257,MATCH(DV224,$BN$5:$BN$257,0),50)="Alumínio",('Densidade do AR'!$S$4*1000000)))))))-(((-('Densidade do AR'!$M$4))+('Densidade do AR'!$T$15*1000000))/('Densidade do AR'!$S$14*1000000))))))</f>
        <v>-</v>
      </c>
      <c r="ES224" s="739"/>
      <c r="ET224" s="739"/>
      <c r="EU224" s="745"/>
      <c r="EV224" s="91" t="str">
        <f t="shared" si="80"/>
        <v>-</v>
      </c>
      <c r="EW224" s="736"/>
      <c r="EX224" s="737"/>
      <c r="EY224" s="738" t="str">
        <f>IF(EW224="","-",(IF(INDEX($A$5:$BP$257,MATCH(EW224,$BN$5:$BN$257,0),50)="Aço Inoxidável",('Densidade do AR'!$S$8*1000000),IF(INDEX($A$5:$BP$257,MATCH(EW224,$BN$5:$BN$257,0),50)="Ferro Fundido",('Densidade do AR'!$S$12*1000000),IF(INDEX($A$5:$BP$257,MATCH(EW224,$BN$5:$BN$257,0),50)="Latão",('Densidade do AR'!$S$10*1000000),IF(INDEX($A$5:$BP$257,MATCH(EW224,$BN$5:$BN$257,0),50)="Alumínio",('Densidade do AR'!$S$4*1000000)))))))</f>
        <v>-</v>
      </c>
      <c r="EZ224" s="739"/>
      <c r="FA224" s="739"/>
      <c r="FB224" s="740"/>
      <c r="FC224" s="741" t="str">
        <f t="shared" si="81"/>
        <v>-</v>
      </c>
      <c r="FD224" s="742"/>
      <c r="FE224" s="742"/>
      <c r="FF224" s="743"/>
      <c r="FG224" s="741" t="str">
        <f t="shared" si="70"/>
        <v>-</v>
      </c>
      <c r="FH224" s="742"/>
      <c r="FI224" s="742"/>
      <c r="FJ224" s="743"/>
      <c r="FK224" s="744" t="str">
        <f t="shared" si="82"/>
        <v>-</v>
      </c>
      <c r="FL224" s="739"/>
      <c r="FM224" s="739"/>
      <c r="FN224" s="740"/>
      <c r="FO224" s="744" t="str">
        <f t="shared" si="71"/>
        <v>-</v>
      </c>
      <c r="FP224" s="739"/>
      <c r="FQ224" s="739"/>
      <c r="FR224" s="740"/>
      <c r="FS224" s="744" t="str">
        <f>IF(EW224="","-",INDEX($A$5:$BP$257,MATCH(EW224,$BN$5:$BN$257,0),39)*(IF(EW224="","-",(1+(((-('Densidade do AR'!$M$4))+('Densidade do AR'!$T$15*1000000))/(IF(INDEX($A$5:$BP$257,MATCH(EW224,$BN$5:$BN$257,0),50)="Aço Inoxidável",('Densidade do AR'!$S$8*1000000),IF(INDEX($A$5:$BP$257,MATCH(EW224,$BN$5:$BN$257,0),50)="Ferro Fundido",('Densidade do AR'!$S$12*1000000),IF(INDEX($A$5:$BP$257,MATCH(EW224,$BN$5:$BN$257,0),50)="Latão",('Densidade do AR'!$S$10*1000000),IF(INDEX($A$5:$BP$257,MATCH(EW224,$BN$5:$BN$257,0),50)="Alumínio",('Densidade do AR'!$S$4*1000000)))))))-(((-('Densidade do AR'!$M$4))+('Densidade do AR'!$T$15*1000000))/('Densidade do AR'!$S$14*1000000))))))</f>
        <v>-</v>
      </c>
      <c r="FT224" s="739"/>
      <c r="FU224" s="739"/>
      <c r="FV224" s="745"/>
      <c r="FW224" s="91" t="str">
        <f t="shared" si="83"/>
        <v>-</v>
      </c>
      <c r="FX224" s="135"/>
    </row>
    <row r="225" spans="1:180" ht="12.75" customHeight="1" x14ac:dyDescent="0.2">
      <c r="A225" s="717">
        <v>221</v>
      </c>
      <c r="B225" s="713"/>
      <c r="C225" s="708"/>
      <c r="D225" s="709"/>
      <c r="E225" s="709"/>
      <c r="F225" s="709"/>
      <c r="G225" s="710"/>
      <c r="H225" s="711"/>
      <c r="I225" s="712"/>
      <c r="J225" s="712"/>
      <c r="K225" s="713"/>
      <c r="L225" s="708"/>
      <c r="M225" s="709"/>
      <c r="N225" s="709"/>
      <c r="O225" s="709"/>
      <c r="P225" s="708"/>
      <c r="Q225" s="709"/>
      <c r="R225" s="709"/>
      <c r="S225" s="709"/>
      <c r="T225" s="710"/>
      <c r="U225" s="714"/>
      <c r="V225" s="715"/>
      <c r="W225" s="715"/>
      <c r="X225" s="715"/>
      <c r="Y225" s="715"/>
      <c r="Z225" s="715"/>
      <c r="AA225" s="716"/>
      <c r="AB225" s="850"/>
      <c r="AC225" s="851"/>
      <c r="AD225" s="851"/>
      <c r="AE225" s="851"/>
      <c r="AF225" s="851"/>
      <c r="AG225" s="851"/>
      <c r="AH225" s="851"/>
      <c r="AI225" s="851"/>
      <c r="AJ225" s="851"/>
      <c r="AK225" s="851"/>
      <c r="AL225" s="852"/>
      <c r="AM225" s="917"/>
      <c r="AN225" s="712"/>
      <c r="AO225" s="712"/>
      <c r="AP225" s="712"/>
      <c r="AQ225" s="712"/>
      <c r="AR225" s="712"/>
      <c r="AS225" s="713"/>
      <c r="AT225" s="917"/>
      <c r="AU225" s="712"/>
      <c r="AV225" s="712"/>
      <c r="AW225" s="713"/>
      <c r="AX225" s="917"/>
      <c r="AY225" s="712"/>
      <c r="AZ225" s="712"/>
      <c r="BA225" s="712"/>
      <c r="BB225" s="712"/>
      <c r="BC225" s="713"/>
      <c r="BD225" s="917"/>
      <c r="BE225" s="712"/>
      <c r="BF225" s="712"/>
      <c r="BG225" s="713"/>
      <c r="BH225" s="918"/>
      <c r="BI225" s="712"/>
      <c r="BJ225" s="712"/>
      <c r="BK225" s="712"/>
      <c r="BL225" s="910"/>
      <c r="BN225" s="878"/>
      <c r="BO225" s="709"/>
      <c r="BP225" s="884"/>
      <c r="BT225" s="746"/>
      <c r="BU225" s="747"/>
      <c r="BV225" s="784" t="str">
        <f>IF(BT225="","-",(IF(INDEX($A$5:$BP$257,MATCH(BT225,$BN$5:$BN$257,0),50)="Aço Inoxidável",('Densidade do AR'!$S$8*1000000),IF(INDEX($A$5:$BP$257,MATCH(BT225,$BN$5:$BN$257,0),50)="Ferro Fundido",('Densidade do AR'!$S$12*1000000),IF(INDEX($A$5:$BP$257,MATCH(BT225,$BN$5:$BN$257,0),50)="Latão",('Densidade do AR'!$S$10*1000000),IF(INDEX($A$5:$BP$257,MATCH(BT225,$BN$5:$BN$257,0),50)="Alumínio",('Densidade do AR'!$S$4*1000000)))))))</f>
        <v>-</v>
      </c>
      <c r="BW225" s="785"/>
      <c r="BX225" s="785"/>
      <c r="BY225" s="786"/>
      <c r="BZ225" s="787" t="str">
        <f t="shared" si="72"/>
        <v>-</v>
      </c>
      <c r="CA225" s="788"/>
      <c r="CB225" s="788"/>
      <c r="CC225" s="789"/>
      <c r="CD225" s="787" t="str">
        <f t="shared" si="64"/>
        <v>-</v>
      </c>
      <c r="CE225" s="788"/>
      <c r="CF225" s="788"/>
      <c r="CG225" s="789"/>
      <c r="CH225" s="790" t="str">
        <f t="shared" si="73"/>
        <v>-</v>
      </c>
      <c r="CI225" s="785"/>
      <c r="CJ225" s="785"/>
      <c r="CK225" s="786"/>
      <c r="CL225" s="790" t="str">
        <f t="shared" si="65"/>
        <v>-</v>
      </c>
      <c r="CM225" s="785"/>
      <c r="CN225" s="785"/>
      <c r="CO225" s="786"/>
      <c r="CP225" s="790" t="str">
        <f>IF(BT225="","-",INDEX($A$5:$BP$257,MATCH(BT225,$BN$5:$BN$257,0),39)*(IF(BT225="","-",(1+(((-('Densidade do AR'!$M$4))+('Densidade do AR'!$T$15*1000000))/(IF(INDEX($A$5:$BP$257,MATCH(BT225,$BN$5:$BN$257,0),50)="Aço Inoxidável",('Densidade do AR'!$S$8*1000000),IF(INDEX($A$5:$BP$257,MATCH(BT225,$BN$5:$BN$257,0),50)="Ferro Fundido",('Densidade do AR'!$S$12*1000000),IF(INDEX($A$5:$BP$257,MATCH(BT225,$BN$5:$BN$257,0),50)="Latão",('Densidade do AR'!$S$10*1000000),IF(INDEX($A$5:$BP$257,MATCH(BT225,$BN$5:$BN$257,0),50)="Alumínio",('Densidade do AR'!$S$4*1000000)))))))-(((-('Densidade do AR'!$M$4))+('Densidade do AR'!$T$15*1000000))/('Densidade do AR'!$S$14*1000000))))))</f>
        <v>-</v>
      </c>
      <c r="CQ225" s="785"/>
      <c r="CR225" s="785"/>
      <c r="CS225" s="791"/>
      <c r="CT225" s="91" t="str">
        <f t="shared" si="74"/>
        <v>-</v>
      </c>
      <c r="CU225" s="746"/>
      <c r="CV225" s="747"/>
      <c r="CW225" s="784" t="str">
        <f>IF(CU225="","-",(IF(INDEX($A$5:$BP$257,MATCH(CU225,$BN$5:$BN$257,0),50)="Aço Inoxidável",('Densidade do AR'!$S$8*1000000),IF(INDEX($A$5:$BP$257,MATCH(CU225,$BN$5:$BN$257,0),50)="Ferro Fundido",('Densidade do AR'!$S$12*1000000),IF(INDEX($A$5:$BP$257,MATCH(CU225,$BN$5:$BN$257,0),50)="Latão",('Densidade do AR'!$S$10*1000000),IF(INDEX($A$5:$BP$257,MATCH(CU225,$BN$5:$BN$257,0),50)="Alumínio",('Densidade do AR'!$S$4*1000000)))))))</f>
        <v>-</v>
      </c>
      <c r="CX225" s="785"/>
      <c r="CY225" s="785"/>
      <c r="CZ225" s="786"/>
      <c r="DA225" s="787" t="str">
        <f t="shared" si="75"/>
        <v>-</v>
      </c>
      <c r="DB225" s="788"/>
      <c r="DC225" s="788"/>
      <c r="DD225" s="789"/>
      <c r="DE225" s="787" t="str">
        <f t="shared" si="66"/>
        <v>-</v>
      </c>
      <c r="DF225" s="788"/>
      <c r="DG225" s="788"/>
      <c r="DH225" s="789"/>
      <c r="DI225" s="790" t="str">
        <f t="shared" si="76"/>
        <v>-</v>
      </c>
      <c r="DJ225" s="785"/>
      <c r="DK225" s="785"/>
      <c r="DL225" s="786"/>
      <c r="DM225" s="790" t="str">
        <f t="shared" si="67"/>
        <v>-</v>
      </c>
      <c r="DN225" s="785"/>
      <c r="DO225" s="785"/>
      <c r="DP225" s="786"/>
      <c r="DQ225" s="790" t="str">
        <f>IF(CU225="","-",INDEX($A$5:$BP$257,MATCH(CU225,$BN$5:$BN$257,0),39)*(IF(CU225="","-",(1+(((-('Densidade do AR'!$M$4))+('Densidade do AR'!$T$15*1000000))/(IF(INDEX($A$5:$BP$257,MATCH(CU225,$BN$5:$BN$257,0),50)="Aço Inoxidável",('Densidade do AR'!$S$8*1000000),IF(INDEX($A$5:$BP$257,MATCH(CU225,$BN$5:$BN$257,0),50)="Ferro Fundido",('Densidade do AR'!$S$12*1000000),IF(INDEX($A$5:$BP$257,MATCH(CU225,$BN$5:$BN$257,0),50)="Latão",('Densidade do AR'!$S$10*1000000),IF(INDEX($A$5:$BP$257,MATCH(CU225,$BN$5:$BN$257,0),50)="Alumínio",('Densidade do AR'!$S$4*1000000)))))))-(((-('Densidade do AR'!$M$4))+('Densidade do AR'!$T$15*1000000))/('Densidade do AR'!$S$14*1000000))))))</f>
        <v>-</v>
      </c>
      <c r="DR225" s="785"/>
      <c r="DS225" s="785"/>
      <c r="DT225" s="791"/>
      <c r="DU225" s="91" t="str">
        <f t="shared" si="77"/>
        <v>-</v>
      </c>
      <c r="DV225" s="746"/>
      <c r="DW225" s="747"/>
      <c r="DX225" s="784" t="str">
        <f>IF(DV225="","-",(IF(INDEX($A$5:$BP$257,MATCH(DV225,$BN$5:$BN$257,0),50)="Aço Inoxidável",('Densidade do AR'!$S$8*1000000),IF(INDEX($A$5:$BP$257,MATCH(DV225,$BN$5:$BN$257,0),50)="Ferro Fundido",('Densidade do AR'!$S$12*1000000),IF(INDEX($A$5:$BP$257,MATCH(DV225,$BN$5:$BN$257,0),50)="Latão",('Densidade do AR'!$S$10*1000000),IF(INDEX($A$5:$BP$257,MATCH(DV225,$BN$5:$BN$257,0),50)="Alumínio",('Densidade do AR'!$S$4*1000000)))))))</f>
        <v>-</v>
      </c>
      <c r="DY225" s="785"/>
      <c r="DZ225" s="785"/>
      <c r="EA225" s="786"/>
      <c r="EB225" s="787" t="str">
        <f t="shared" si="78"/>
        <v>-</v>
      </c>
      <c r="EC225" s="788"/>
      <c r="ED225" s="788"/>
      <c r="EE225" s="789"/>
      <c r="EF225" s="787" t="str">
        <f t="shared" si="68"/>
        <v>-</v>
      </c>
      <c r="EG225" s="788"/>
      <c r="EH225" s="788"/>
      <c r="EI225" s="789"/>
      <c r="EJ225" s="790" t="str">
        <f t="shared" si="79"/>
        <v>-</v>
      </c>
      <c r="EK225" s="785"/>
      <c r="EL225" s="785"/>
      <c r="EM225" s="786"/>
      <c r="EN225" s="790" t="str">
        <f t="shared" si="69"/>
        <v>-</v>
      </c>
      <c r="EO225" s="785"/>
      <c r="EP225" s="785"/>
      <c r="EQ225" s="786"/>
      <c r="ER225" s="790" t="str">
        <f>IF(DV225="","-",INDEX($A$5:$BP$257,MATCH(DV225,$BN$5:$BN$257,0),39)*(IF(DV225="","-",(1+(((-('Densidade do AR'!$M$4))+('Densidade do AR'!$T$15*1000000))/(IF(INDEX($A$5:$BP$257,MATCH(DV225,$BN$5:$BN$257,0),50)="Aço Inoxidável",('Densidade do AR'!$S$8*1000000),IF(INDEX($A$5:$BP$257,MATCH(DV225,$BN$5:$BN$257,0),50)="Ferro Fundido",('Densidade do AR'!$S$12*1000000),IF(INDEX($A$5:$BP$257,MATCH(DV225,$BN$5:$BN$257,0),50)="Latão",('Densidade do AR'!$S$10*1000000),IF(INDEX($A$5:$BP$257,MATCH(DV225,$BN$5:$BN$257,0),50)="Alumínio",('Densidade do AR'!$S$4*1000000)))))))-(((-('Densidade do AR'!$M$4))+('Densidade do AR'!$T$15*1000000))/('Densidade do AR'!$S$14*1000000))))))</f>
        <v>-</v>
      </c>
      <c r="ES225" s="785"/>
      <c r="ET225" s="785"/>
      <c r="EU225" s="791"/>
      <c r="EV225" s="91" t="str">
        <f t="shared" si="80"/>
        <v>-</v>
      </c>
      <c r="EW225" s="746"/>
      <c r="EX225" s="747"/>
      <c r="EY225" s="784" t="str">
        <f>IF(EW225="","-",(IF(INDEX($A$5:$BP$257,MATCH(EW225,$BN$5:$BN$257,0),50)="Aço Inoxidável",('Densidade do AR'!$S$8*1000000),IF(INDEX($A$5:$BP$257,MATCH(EW225,$BN$5:$BN$257,0),50)="Ferro Fundido",('Densidade do AR'!$S$12*1000000),IF(INDEX($A$5:$BP$257,MATCH(EW225,$BN$5:$BN$257,0),50)="Latão",('Densidade do AR'!$S$10*1000000),IF(INDEX($A$5:$BP$257,MATCH(EW225,$BN$5:$BN$257,0),50)="Alumínio",('Densidade do AR'!$S$4*1000000)))))))</f>
        <v>-</v>
      </c>
      <c r="EZ225" s="785"/>
      <c r="FA225" s="785"/>
      <c r="FB225" s="786"/>
      <c r="FC225" s="787" t="str">
        <f t="shared" si="81"/>
        <v>-</v>
      </c>
      <c r="FD225" s="788"/>
      <c r="FE225" s="788"/>
      <c r="FF225" s="789"/>
      <c r="FG225" s="787" t="str">
        <f t="shared" si="70"/>
        <v>-</v>
      </c>
      <c r="FH225" s="788"/>
      <c r="FI225" s="788"/>
      <c r="FJ225" s="789"/>
      <c r="FK225" s="790" t="str">
        <f t="shared" si="82"/>
        <v>-</v>
      </c>
      <c r="FL225" s="785"/>
      <c r="FM225" s="785"/>
      <c r="FN225" s="786"/>
      <c r="FO225" s="790" t="str">
        <f t="shared" si="71"/>
        <v>-</v>
      </c>
      <c r="FP225" s="785"/>
      <c r="FQ225" s="785"/>
      <c r="FR225" s="786"/>
      <c r="FS225" s="790" t="str">
        <f>IF(EW225="","-",INDEX($A$5:$BP$257,MATCH(EW225,$BN$5:$BN$257,0),39)*(IF(EW225="","-",(1+(((-('Densidade do AR'!$M$4))+('Densidade do AR'!$T$15*1000000))/(IF(INDEX($A$5:$BP$257,MATCH(EW225,$BN$5:$BN$257,0),50)="Aço Inoxidável",('Densidade do AR'!$S$8*1000000),IF(INDEX($A$5:$BP$257,MATCH(EW225,$BN$5:$BN$257,0),50)="Ferro Fundido",('Densidade do AR'!$S$12*1000000),IF(INDEX($A$5:$BP$257,MATCH(EW225,$BN$5:$BN$257,0),50)="Latão",('Densidade do AR'!$S$10*1000000),IF(INDEX($A$5:$BP$257,MATCH(EW225,$BN$5:$BN$257,0),50)="Alumínio",('Densidade do AR'!$S$4*1000000)))))))-(((-('Densidade do AR'!$M$4))+('Densidade do AR'!$T$15*1000000))/('Densidade do AR'!$S$14*1000000))))))</f>
        <v>-</v>
      </c>
      <c r="FT225" s="785"/>
      <c r="FU225" s="785"/>
      <c r="FV225" s="791"/>
      <c r="FW225" s="91" t="str">
        <f t="shared" si="83"/>
        <v>-</v>
      </c>
      <c r="FX225" s="135"/>
    </row>
    <row r="226" spans="1:180" ht="12.75" customHeight="1" x14ac:dyDescent="0.2">
      <c r="A226" s="718">
        <v>222</v>
      </c>
      <c r="B226" s="713"/>
      <c r="C226" s="719"/>
      <c r="D226" s="709"/>
      <c r="E226" s="709"/>
      <c r="F226" s="709"/>
      <c r="G226" s="710"/>
      <c r="H226" s="720"/>
      <c r="I226" s="712"/>
      <c r="J226" s="712"/>
      <c r="K226" s="713"/>
      <c r="L226" s="719"/>
      <c r="M226" s="709"/>
      <c r="N226" s="709"/>
      <c r="O226" s="709"/>
      <c r="P226" s="719"/>
      <c r="Q226" s="709"/>
      <c r="R226" s="709"/>
      <c r="S226" s="709"/>
      <c r="T226" s="710"/>
      <c r="U226" s="721"/>
      <c r="V226" s="722"/>
      <c r="W226" s="722"/>
      <c r="X226" s="722"/>
      <c r="Y226" s="722"/>
      <c r="Z226" s="722"/>
      <c r="AA226" s="723"/>
      <c r="AB226" s="853"/>
      <c r="AC226" s="854"/>
      <c r="AD226" s="854"/>
      <c r="AE226" s="854"/>
      <c r="AF226" s="854"/>
      <c r="AG226" s="854"/>
      <c r="AH226" s="854"/>
      <c r="AI226" s="854"/>
      <c r="AJ226" s="854"/>
      <c r="AK226" s="854"/>
      <c r="AL226" s="855"/>
      <c r="AM226" s="909"/>
      <c r="AN226" s="712"/>
      <c r="AO226" s="712"/>
      <c r="AP226" s="712"/>
      <c r="AQ226" s="712"/>
      <c r="AR226" s="712"/>
      <c r="AS226" s="713"/>
      <c r="AT226" s="909"/>
      <c r="AU226" s="712"/>
      <c r="AV226" s="712"/>
      <c r="AW226" s="713"/>
      <c r="AX226" s="908"/>
      <c r="AY226" s="712"/>
      <c r="AZ226" s="712"/>
      <c r="BA226" s="712"/>
      <c r="BB226" s="712"/>
      <c r="BC226" s="713"/>
      <c r="BD226" s="909"/>
      <c r="BE226" s="712"/>
      <c r="BF226" s="712"/>
      <c r="BG226" s="713"/>
      <c r="BH226" s="908"/>
      <c r="BI226" s="712"/>
      <c r="BJ226" s="712"/>
      <c r="BK226" s="712"/>
      <c r="BL226" s="910"/>
      <c r="BN226" s="881"/>
      <c r="BO226" s="709"/>
      <c r="BP226" s="884"/>
      <c r="BT226" s="736"/>
      <c r="BU226" s="737"/>
      <c r="BV226" s="738" t="str">
        <f>IF(BT226="","-",(IF(INDEX($A$5:$BP$257,MATCH(BT226,$BN$5:$BN$257,0),50)="Aço Inoxidável",('Densidade do AR'!$S$8*1000000),IF(INDEX($A$5:$BP$257,MATCH(BT226,$BN$5:$BN$257,0),50)="Ferro Fundido",('Densidade do AR'!$S$12*1000000),IF(INDEX($A$5:$BP$257,MATCH(BT226,$BN$5:$BN$257,0),50)="Latão",('Densidade do AR'!$S$10*1000000),IF(INDEX($A$5:$BP$257,MATCH(BT226,$BN$5:$BN$257,0),50)="Alumínio",('Densidade do AR'!$S$4*1000000)))))))</f>
        <v>-</v>
      </c>
      <c r="BW226" s="739"/>
      <c r="BX226" s="739"/>
      <c r="BY226" s="740"/>
      <c r="BZ226" s="741" t="str">
        <f t="shared" si="72"/>
        <v>-</v>
      </c>
      <c r="CA226" s="742"/>
      <c r="CB226" s="742"/>
      <c r="CC226" s="743"/>
      <c r="CD226" s="741" t="str">
        <f t="shared" si="64"/>
        <v>-</v>
      </c>
      <c r="CE226" s="742"/>
      <c r="CF226" s="742"/>
      <c r="CG226" s="743"/>
      <c r="CH226" s="744" t="str">
        <f t="shared" si="73"/>
        <v>-</v>
      </c>
      <c r="CI226" s="739"/>
      <c r="CJ226" s="739"/>
      <c r="CK226" s="740"/>
      <c r="CL226" s="744" t="str">
        <f t="shared" si="65"/>
        <v>-</v>
      </c>
      <c r="CM226" s="739"/>
      <c r="CN226" s="739"/>
      <c r="CO226" s="740"/>
      <c r="CP226" s="744" t="str">
        <f>IF(BT226="","-",INDEX($A$5:$BP$257,MATCH(BT226,$BN$5:$BN$257,0),39)*(IF(BT226="","-",(1+(((-('Densidade do AR'!$M$4))+('Densidade do AR'!$T$15*1000000))/(IF(INDEX($A$5:$BP$257,MATCH(BT226,$BN$5:$BN$257,0),50)="Aço Inoxidável",('Densidade do AR'!$S$8*1000000),IF(INDEX($A$5:$BP$257,MATCH(BT226,$BN$5:$BN$257,0),50)="Ferro Fundido",('Densidade do AR'!$S$12*1000000),IF(INDEX($A$5:$BP$257,MATCH(BT226,$BN$5:$BN$257,0),50)="Latão",('Densidade do AR'!$S$10*1000000),IF(INDEX($A$5:$BP$257,MATCH(BT226,$BN$5:$BN$257,0),50)="Alumínio",('Densidade do AR'!$S$4*1000000)))))))-(((-('Densidade do AR'!$M$4))+('Densidade do AR'!$T$15*1000000))/('Densidade do AR'!$S$14*1000000))))))</f>
        <v>-</v>
      </c>
      <c r="CQ226" s="739"/>
      <c r="CR226" s="739"/>
      <c r="CS226" s="745"/>
      <c r="CT226" s="91" t="str">
        <f t="shared" si="74"/>
        <v>-</v>
      </c>
      <c r="CU226" s="736"/>
      <c r="CV226" s="737"/>
      <c r="CW226" s="738" t="str">
        <f>IF(CU226="","-",(IF(INDEX($A$5:$BP$257,MATCH(CU226,$BN$5:$BN$257,0),50)="Aço Inoxidável",('Densidade do AR'!$S$8*1000000),IF(INDEX($A$5:$BP$257,MATCH(CU226,$BN$5:$BN$257,0),50)="Ferro Fundido",('Densidade do AR'!$S$12*1000000),IF(INDEX($A$5:$BP$257,MATCH(CU226,$BN$5:$BN$257,0),50)="Latão",('Densidade do AR'!$S$10*1000000),IF(INDEX($A$5:$BP$257,MATCH(CU226,$BN$5:$BN$257,0),50)="Alumínio",('Densidade do AR'!$S$4*1000000)))))))</f>
        <v>-</v>
      </c>
      <c r="CX226" s="739"/>
      <c r="CY226" s="739"/>
      <c r="CZ226" s="740"/>
      <c r="DA226" s="741" t="str">
        <f t="shared" si="75"/>
        <v>-</v>
      </c>
      <c r="DB226" s="742"/>
      <c r="DC226" s="742"/>
      <c r="DD226" s="743"/>
      <c r="DE226" s="741" t="str">
        <f t="shared" si="66"/>
        <v>-</v>
      </c>
      <c r="DF226" s="742"/>
      <c r="DG226" s="742"/>
      <c r="DH226" s="743"/>
      <c r="DI226" s="744" t="str">
        <f t="shared" si="76"/>
        <v>-</v>
      </c>
      <c r="DJ226" s="739"/>
      <c r="DK226" s="739"/>
      <c r="DL226" s="740"/>
      <c r="DM226" s="744" t="str">
        <f t="shared" si="67"/>
        <v>-</v>
      </c>
      <c r="DN226" s="739"/>
      <c r="DO226" s="739"/>
      <c r="DP226" s="740"/>
      <c r="DQ226" s="744" t="str">
        <f>IF(CU226="","-",INDEX($A$5:$BP$257,MATCH(CU226,$BN$5:$BN$257,0),39)*(IF(CU226="","-",(1+(((-('Densidade do AR'!$M$4))+('Densidade do AR'!$T$15*1000000))/(IF(INDEX($A$5:$BP$257,MATCH(CU226,$BN$5:$BN$257,0),50)="Aço Inoxidável",('Densidade do AR'!$S$8*1000000),IF(INDEX($A$5:$BP$257,MATCH(CU226,$BN$5:$BN$257,0),50)="Ferro Fundido",('Densidade do AR'!$S$12*1000000),IF(INDEX($A$5:$BP$257,MATCH(CU226,$BN$5:$BN$257,0),50)="Latão",('Densidade do AR'!$S$10*1000000),IF(INDEX($A$5:$BP$257,MATCH(CU226,$BN$5:$BN$257,0),50)="Alumínio",('Densidade do AR'!$S$4*1000000)))))))-(((-('Densidade do AR'!$M$4))+('Densidade do AR'!$T$15*1000000))/('Densidade do AR'!$S$14*1000000))))))</f>
        <v>-</v>
      </c>
      <c r="DR226" s="739"/>
      <c r="DS226" s="739"/>
      <c r="DT226" s="745"/>
      <c r="DU226" s="91" t="str">
        <f t="shared" si="77"/>
        <v>-</v>
      </c>
      <c r="DV226" s="736"/>
      <c r="DW226" s="737"/>
      <c r="DX226" s="738" t="str">
        <f>IF(DV226="","-",(IF(INDEX($A$5:$BP$257,MATCH(DV226,$BN$5:$BN$257,0),50)="Aço Inoxidável",('Densidade do AR'!$S$8*1000000),IF(INDEX($A$5:$BP$257,MATCH(DV226,$BN$5:$BN$257,0),50)="Ferro Fundido",('Densidade do AR'!$S$12*1000000),IF(INDEX($A$5:$BP$257,MATCH(DV226,$BN$5:$BN$257,0),50)="Latão",('Densidade do AR'!$S$10*1000000),IF(INDEX($A$5:$BP$257,MATCH(DV226,$BN$5:$BN$257,0),50)="Alumínio",('Densidade do AR'!$S$4*1000000)))))))</f>
        <v>-</v>
      </c>
      <c r="DY226" s="739"/>
      <c r="DZ226" s="739"/>
      <c r="EA226" s="740"/>
      <c r="EB226" s="741" t="str">
        <f t="shared" si="78"/>
        <v>-</v>
      </c>
      <c r="EC226" s="742"/>
      <c r="ED226" s="742"/>
      <c r="EE226" s="743"/>
      <c r="EF226" s="741" t="str">
        <f t="shared" si="68"/>
        <v>-</v>
      </c>
      <c r="EG226" s="742"/>
      <c r="EH226" s="742"/>
      <c r="EI226" s="743"/>
      <c r="EJ226" s="744" t="str">
        <f t="shared" si="79"/>
        <v>-</v>
      </c>
      <c r="EK226" s="739"/>
      <c r="EL226" s="739"/>
      <c r="EM226" s="740"/>
      <c r="EN226" s="744" t="str">
        <f t="shared" si="69"/>
        <v>-</v>
      </c>
      <c r="EO226" s="739"/>
      <c r="EP226" s="739"/>
      <c r="EQ226" s="740"/>
      <c r="ER226" s="744" t="str">
        <f>IF(DV226="","-",INDEX($A$5:$BP$257,MATCH(DV226,$BN$5:$BN$257,0),39)*(IF(DV226="","-",(1+(((-('Densidade do AR'!$M$4))+('Densidade do AR'!$T$15*1000000))/(IF(INDEX($A$5:$BP$257,MATCH(DV226,$BN$5:$BN$257,0),50)="Aço Inoxidável",('Densidade do AR'!$S$8*1000000),IF(INDEX($A$5:$BP$257,MATCH(DV226,$BN$5:$BN$257,0),50)="Ferro Fundido",('Densidade do AR'!$S$12*1000000),IF(INDEX($A$5:$BP$257,MATCH(DV226,$BN$5:$BN$257,0),50)="Latão",('Densidade do AR'!$S$10*1000000),IF(INDEX($A$5:$BP$257,MATCH(DV226,$BN$5:$BN$257,0),50)="Alumínio",('Densidade do AR'!$S$4*1000000)))))))-(((-('Densidade do AR'!$M$4))+('Densidade do AR'!$T$15*1000000))/('Densidade do AR'!$S$14*1000000))))))</f>
        <v>-</v>
      </c>
      <c r="ES226" s="739"/>
      <c r="ET226" s="739"/>
      <c r="EU226" s="745"/>
      <c r="EV226" s="91" t="str">
        <f t="shared" si="80"/>
        <v>-</v>
      </c>
      <c r="EW226" s="736"/>
      <c r="EX226" s="737"/>
      <c r="EY226" s="738" t="str">
        <f>IF(EW226="","-",(IF(INDEX($A$5:$BP$257,MATCH(EW226,$BN$5:$BN$257,0),50)="Aço Inoxidável",('Densidade do AR'!$S$8*1000000),IF(INDEX($A$5:$BP$257,MATCH(EW226,$BN$5:$BN$257,0),50)="Ferro Fundido",('Densidade do AR'!$S$12*1000000),IF(INDEX($A$5:$BP$257,MATCH(EW226,$BN$5:$BN$257,0),50)="Latão",('Densidade do AR'!$S$10*1000000),IF(INDEX($A$5:$BP$257,MATCH(EW226,$BN$5:$BN$257,0),50)="Alumínio",('Densidade do AR'!$S$4*1000000)))))))</f>
        <v>-</v>
      </c>
      <c r="EZ226" s="739"/>
      <c r="FA226" s="739"/>
      <c r="FB226" s="740"/>
      <c r="FC226" s="741" t="str">
        <f t="shared" si="81"/>
        <v>-</v>
      </c>
      <c r="FD226" s="742"/>
      <c r="FE226" s="742"/>
      <c r="FF226" s="743"/>
      <c r="FG226" s="741" t="str">
        <f t="shared" si="70"/>
        <v>-</v>
      </c>
      <c r="FH226" s="742"/>
      <c r="FI226" s="742"/>
      <c r="FJ226" s="743"/>
      <c r="FK226" s="744" t="str">
        <f t="shared" si="82"/>
        <v>-</v>
      </c>
      <c r="FL226" s="739"/>
      <c r="FM226" s="739"/>
      <c r="FN226" s="740"/>
      <c r="FO226" s="744" t="str">
        <f t="shared" si="71"/>
        <v>-</v>
      </c>
      <c r="FP226" s="739"/>
      <c r="FQ226" s="739"/>
      <c r="FR226" s="740"/>
      <c r="FS226" s="744" t="str">
        <f>IF(EW226="","-",INDEX($A$5:$BP$257,MATCH(EW226,$BN$5:$BN$257,0),39)*(IF(EW226="","-",(1+(((-('Densidade do AR'!$M$4))+('Densidade do AR'!$T$15*1000000))/(IF(INDEX($A$5:$BP$257,MATCH(EW226,$BN$5:$BN$257,0),50)="Aço Inoxidável",('Densidade do AR'!$S$8*1000000),IF(INDEX($A$5:$BP$257,MATCH(EW226,$BN$5:$BN$257,0),50)="Ferro Fundido",('Densidade do AR'!$S$12*1000000),IF(INDEX($A$5:$BP$257,MATCH(EW226,$BN$5:$BN$257,0),50)="Latão",('Densidade do AR'!$S$10*1000000),IF(INDEX($A$5:$BP$257,MATCH(EW226,$BN$5:$BN$257,0),50)="Alumínio",('Densidade do AR'!$S$4*1000000)))))))-(((-('Densidade do AR'!$M$4))+('Densidade do AR'!$T$15*1000000))/('Densidade do AR'!$S$14*1000000))))))</f>
        <v>-</v>
      </c>
      <c r="FT226" s="739"/>
      <c r="FU226" s="739"/>
      <c r="FV226" s="745"/>
      <c r="FW226" s="91" t="str">
        <f t="shared" si="83"/>
        <v>-</v>
      </c>
      <c r="FX226" s="135"/>
    </row>
    <row r="227" spans="1:180" ht="12.75" customHeight="1" x14ac:dyDescent="0.2">
      <c r="A227" s="717">
        <v>223</v>
      </c>
      <c r="B227" s="713"/>
      <c r="C227" s="708"/>
      <c r="D227" s="709"/>
      <c r="E227" s="709"/>
      <c r="F227" s="709"/>
      <c r="G227" s="710"/>
      <c r="H227" s="711"/>
      <c r="I227" s="712"/>
      <c r="J227" s="712"/>
      <c r="K227" s="713"/>
      <c r="L227" s="708"/>
      <c r="M227" s="709"/>
      <c r="N227" s="709"/>
      <c r="O227" s="709"/>
      <c r="P227" s="708"/>
      <c r="Q227" s="709"/>
      <c r="R227" s="709"/>
      <c r="S227" s="709"/>
      <c r="T227" s="710"/>
      <c r="U227" s="714"/>
      <c r="V227" s="715"/>
      <c r="W227" s="715"/>
      <c r="X227" s="715"/>
      <c r="Y227" s="715"/>
      <c r="Z227" s="715"/>
      <c r="AA227" s="716"/>
      <c r="AB227" s="850"/>
      <c r="AC227" s="851"/>
      <c r="AD227" s="851"/>
      <c r="AE227" s="851"/>
      <c r="AF227" s="851"/>
      <c r="AG227" s="851"/>
      <c r="AH227" s="851"/>
      <c r="AI227" s="851"/>
      <c r="AJ227" s="851"/>
      <c r="AK227" s="851"/>
      <c r="AL227" s="852"/>
      <c r="AM227" s="917"/>
      <c r="AN227" s="712"/>
      <c r="AO227" s="712"/>
      <c r="AP227" s="712"/>
      <c r="AQ227" s="712"/>
      <c r="AR227" s="712"/>
      <c r="AS227" s="713"/>
      <c r="AT227" s="917"/>
      <c r="AU227" s="712"/>
      <c r="AV227" s="712"/>
      <c r="AW227" s="713"/>
      <c r="AX227" s="917"/>
      <c r="AY227" s="712"/>
      <c r="AZ227" s="712"/>
      <c r="BA227" s="712"/>
      <c r="BB227" s="712"/>
      <c r="BC227" s="713"/>
      <c r="BD227" s="917"/>
      <c r="BE227" s="712"/>
      <c r="BF227" s="712"/>
      <c r="BG227" s="713"/>
      <c r="BH227" s="918"/>
      <c r="BI227" s="712"/>
      <c r="BJ227" s="712"/>
      <c r="BK227" s="712"/>
      <c r="BL227" s="910"/>
      <c r="BN227" s="878"/>
      <c r="BO227" s="709"/>
      <c r="BP227" s="884"/>
      <c r="BT227" s="746"/>
      <c r="BU227" s="747"/>
      <c r="BV227" s="784" t="str">
        <f>IF(BT227="","-",(IF(INDEX($A$5:$BP$257,MATCH(BT227,$BN$5:$BN$257,0),50)="Aço Inoxidável",('Densidade do AR'!$S$8*1000000),IF(INDEX($A$5:$BP$257,MATCH(BT227,$BN$5:$BN$257,0),50)="Ferro Fundido",('Densidade do AR'!$S$12*1000000),IF(INDEX($A$5:$BP$257,MATCH(BT227,$BN$5:$BN$257,0),50)="Latão",('Densidade do AR'!$S$10*1000000),IF(INDEX($A$5:$BP$257,MATCH(BT227,$BN$5:$BN$257,0),50)="Alumínio",('Densidade do AR'!$S$4*1000000)))))))</f>
        <v>-</v>
      </c>
      <c r="BW227" s="785"/>
      <c r="BX227" s="785"/>
      <c r="BY227" s="786"/>
      <c r="BZ227" s="787" t="str">
        <f t="shared" si="72"/>
        <v>-</v>
      </c>
      <c r="CA227" s="788"/>
      <c r="CB227" s="788"/>
      <c r="CC227" s="789"/>
      <c r="CD227" s="787" t="str">
        <f t="shared" si="64"/>
        <v>-</v>
      </c>
      <c r="CE227" s="788"/>
      <c r="CF227" s="788"/>
      <c r="CG227" s="789"/>
      <c r="CH227" s="790" t="str">
        <f t="shared" si="73"/>
        <v>-</v>
      </c>
      <c r="CI227" s="785"/>
      <c r="CJ227" s="785"/>
      <c r="CK227" s="786"/>
      <c r="CL227" s="790" t="str">
        <f t="shared" si="65"/>
        <v>-</v>
      </c>
      <c r="CM227" s="785"/>
      <c r="CN227" s="785"/>
      <c r="CO227" s="786"/>
      <c r="CP227" s="790" t="str">
        <f>IF(BT227="","-",INDEX($A$5:$BP$257,MATCH(BT227,$BN$5:$BN$257,0),39)*(IF(BT227="","-",(1+(((-('Densidade do AR'!$M$4))+('Densidade do AR'!$T$15*1000000))/(IF(INDEX($A$5:$BP$257,MATCH(BT227,$BN$5:$BN$257,0),50)="Aço Inoxidável",('Densidade do AR'!$S$8*1000000),IF(INDEX($A$5:$BP$257,MATCH(BT227,$BN$5:$BN$257,0),50)="Ferro Fundido",('Densidade do AR'!$S$12*1000000),IF(INDEX($A$5:$BP$257,MATCH(BT227,$BN$5:$BN$257,0),50)="Latão",('Densidade do AR'!$S$10*1000000),IF(INDEX($A$5:$BP$257,MATCH(BT227,$BN$5:$BN$257,0),50)="Alumínio",('Densidade do AR'!$S$4*1000000)))))))-(((-('Densidade do AR'!$M$4))+('Densidade do AR'!$T$15*1000000))/('Densidade do AR'!$S$14*1000000))))))</f>
        <v>-</v>
      </c>
      <c r="CQ227" s="785"/>
      <c r="CR227" s="785"/>
      <c r="CS227" s="791"/>
      <c r="CT227" s="91" t="str">
        <f t="shared" si="74"/>
        <v>-</v>
      </c>
      <c r="CU227" s="746"/>
      <c r="CV227" s="747"/>
      <c r="CW227" s="784" t="str">
        <f>IF(CU227="","-",(IF(INDEX($A$5:$BP$257,MATCH(CU227,$BN$5:$BN$257,0),50)="Aço Inoxidável",('Densidade do AR'!$S$8*1000000),IF(INDEX($A$5:$BP$257,MATCH(CU227,$BN$5:$BN$257,0),50)="Ferro Fundido",('Densidade do AR'!$S$12*1000000),IF(INDEX($A$5:$BP$257,MATCH(CU227,$BN$5:$BN$257,0),50)="Latão",('Densidade do AR'!$S$10*1000000),IF(INDEX($A$5:$BP$257,MATCH(CU227,$BN$5:$BN$257,0),50)="Alumínio",('Densidade do AR'!$S$4*1000000)))))))</f>
        <v>-</v>
      </c>
      <c r="CX227" s="785"/>
      <c r="CY227" s="785"/>
      <c r="CZ227" s="786"/>
      <c r="DA227" s="787" t="str">
        <f t="shared" si="75"/>
        <v>-</v>
      </c>
      <c r="DB227" s="788"/>
      <c r="DC227" s="788"/>
      <c r="DD227" s="789"/>
      <c r="DE227" s="787" t="str">
        <f t="shared" si="66"/>
        <v>-</v>
      </c>
      <c r="DF227" s="788"/>
      <c r="DG227" s="788"/>
      <c r="DH227" s="789"/>
      <c r="DI227" s="790" t="str">
        <f t="shared" si="76"/>
        <v>-</v>
      </c>
      <c r="DJ227" s="785"/>
      <c r="DK227" s="785"/>
      <c r="DL227" s="786"/>
      <c r="DM227" s="790" t="str">
        <f t="shared" si="67"/>
        <v>-</v>
      </c>
      <c r="DN227" s="785"/>
      <c r="DO227" s="785"/>
      <c r="DP227" s="786"/>
      <c r="DQ227" s="790" t="str">
        <f>IF(CU227="","-",INDEX($A$5:$BP$257,MATCH(CU227,$BN$5:$BN$257,0),39)*(IF(CU227="","-",(1+(((-('Densidade do AR'!$M$4))+('Densidade do AR'!$T$15*1000000))/(IF(INDEX($A$5:$BP$257,MATCH(CU227,$BN$5:$BN$257,0),50)="Aço Inoxidável",('Densidade do AR'!$S$8*1000000),IF(INDEX($A$5:$BP$257,MATCH(CU227,$BN$5:$BN$257,0),50)="Ferro Fundido",('Densidade do AR'!$S$12*1000000),IF(INDEX($A$5:$BP$257,MATCH(CU227,$BN$5:$BN$257,0),50)="Latão",('Densidade do AR'!$S$10*1000000),IF(INDEX($A$5:$BP$257,MATCH(CU227,$BN$5:$BN$257,0),50)="Alumínio",('Densidade do AR'!$S$4*1000000)))))))-(((-('Densidade do AR'!$M$4))+('Densidade do AR'!$T$15*1000000))/('Densidade do AR'!$S$14*1000000))))))</f>
        <v>-</v>
      </c>
      <c r="DR227" s="785"/>
      <c r="DS227" s="785"/>
      <c r="DT227" s="791"/>
      <c r="DU227" s="91" t="str">
        <f t="shared" si="77"/>
        <v>-</v>
      </c>
      <c r="DV227" s="746"/>
      <c r="DW227" s="747"/>
      <c r="DX227" s="784" t="str">
        <f>IF(DV227="","-",(IF(INDEX($A$5:$BP$257,MATCH(DV227,$BN$5:$BN$257,0),50)="Aço Inoxidável",('Densidade do AR'!$S$8*1000000),IF(INDEX($A$5:$BP$257,MATCH(DV227,$BN$5:$BN$257,0),50)="Ferro Fundido",('Densidade do AR'!$S$12*1000000),IF(INDEX($A$5:$BP$257,MATCH(DV227,$BN$5:$BN$257,0),50)="Latão",('Densidade do AR'!$S$10*1000000),IF(INDEX($A$5:$BP$257,MATCH(DV227,$BN$5:$BN$257,0),50)="Alumínio",('Densidade do AR'!$S$4*1000000)))))))</f>
        <v>-</v>
      </c>
      <c r="DY227" s="785"/>
      <c r="DZ227" s="785"/>
      <c r="EA227" s="786"/>
      <c r="EB227" s="787" t="str">
        <f t="shared" si="78"/>
        <v>-</v>
      </c>
      <c r="EC227" s="788"/>
      <c r="ED227" s="788"/>
      <c r="EE227" s="789"/>
      <c r="EF227" s="787" t="str">
        <f t="shared" si="68"/>
        <v>-</v>
      </c>
      <c r="EG227" s="788"/>
      <c r="EH227" s="788"/>
      <c r="EI227" s="789"/>
      <c r="EJ227" s="790" t="str">
        <f t="shared" si="79"/>
        <v>-</v>
      </c>
      <c r="EK227" s="785"/>
      <c r="EL227" s="785"/>
      <c r="EM227" s="786"/>
      <c r="EN227" s="790" t="str">
        <f t="shared" si="69"/>
        <v>-</v>
      </c>
      <c r="EO227" s="785"/>
      <c r="EP227" s="785"/>
      <c r="EQ227" s="786"/>
      <c r="ER227" s="790" t="str">
        <f>IF(DV227="","-",INDEX($A$5:$BP$257,MATCH(DV227,$BN$5:$BN$257,0),39)*(IF(DV227="","-",(1+(((-('Densidade do AR'!$M$4))+('Densidade do AR'!$T$15*1000000))/(IF(INDEX($A$5:$BP$257,MATCH(DV227,$BN$5:$BN$257,0),50)="Aço Inoxidável",('Densidade do AR'!$S$8*1000000),IF(INDEX($A$5:$BP$257,MATCH(DV227,$BN$5:$BN$257,0),50)="Ferro Fundido",('Densidade do AR'!$S$12*1000000),IF(INDEX($A$5:$BP$257,MATCH(DV227,$BN$5:$BN$257,0),50)="Latão",('Densidade do AR'!$S$10*1000000),IF(INDEX($A$5:$BP$257,MATCH(DV227,$BN$5:$BN$257,0),50)="Alumínio",('Densidade do AR'!$S$4*1000000)))))))-(((-('Densidade do AR'!$M$4))+('Densidade do AR'!$T$15*1000000))/('Densidade do AR'!$S$14*1000000))))))</f>
        <v>-</v>
      </c>
      <c r="ES227" s="785"/>
      <c r="ET227" s="785"/>
      <c r="EU227" s="791"/>
      <c r="EV227" s="91" t="str">
        <f t="shared" si="80"/>
        <v>-</v>
      </c>
      <c r="EW227" s="746"/>
      <c r="EX227" s="747"/>
      <c r="EY227" s="784" t="str">
        <f>IF(EW227="","-",(IF(INDEX($A$5:$BP$257,MATCH(EW227,$BN$5:$BN$257,0),50)="Aço Inoxidável",('Densidade do AR'!$S$8*1000000),IF(INDEX($A$5:$BP$257,MATCH(EW227,$BN$5:$BN$257,0),50)="Ferro Fundido",('Densidade do AR'!$S$12*1000000),IF(INDEX($A$5:$BP$257,MATCH(EW227,$BN$5:$BN$257,0),50)="Latão",('Densidade do AR'!$S$10*1000000),IF(INDEX($A$5:$BP$257,MATCH(EW227,$BN$5:$BN$257,0),50)="Alumínio",('Densidade do AR'!$S$4*1000000)))))))</f>
        <v>-</v>
      </c>
      <c r="EZ227" s="785"/>
      <c r="FA227" s="785"/>
      <c r="FB227" s="786"/>
      <c r="FC227" s="787" t="str">
        <f t="shared" si="81"/>
        <v>-</v>
      </c>
      <c r="FD227" s="788"/>
      <c r="FE227" s="788"/>
      <c r="FF227" s="789"/>
      <c r="FG227" s="787" t="str">
        <f t="shared" si="70"/>
        <v>-</v>
      </c>
      <c r="FH227" s="788"/>
      <c r="FI227" s="788"/>
      <c r="FJ227" s="789"/>
      <c r="FK227" s="790" t="str">
        <f t="shared" si="82"/>
        <v>-</v>
      </c>
      <c r="FL227" s="785"/>
      <c r="FM227" s="785"/>
      <c r="FN227" s="786"/>
      <c r="FO227" s="790" t="str">
        <f t="shared" si="71"/>
        <v>-</v>
      </c>
      <c r="FP227" s="785"/>
      <c r="FQ227" s="785"/>
      <c r="FR227" s="786"/>
      <c r="FS227" s="790" t="str">
        <f>IF(EW227="","-",INDEX($A$5:$BP$257,MATCH(EW227,$BN$5:$BN$257,0),39)*(IF(EW227="","-",(1+(((-('Densidade do AR'!$M$4))+('Densidade do AR'!$T$15*1000000))/(IF(INDEX($A$5:$BP$257,MATCH(EW227,$BN$5:$BN$257,0),50)="Aço Inoxidável",('Densidade do AR'!$S$8*1000000),IF(INDEX($A$5:$BP$257,MATCH(EW227,$BN$5:$BN$257,0),50)="Ferro Fundido",('Densidade do AR'!$S$12*1000000),IF(INDEX($A$5:$BP$257,MATCH(EW227,$BN$5:$BN$257,0),50)="Latão",('Densidade do AR'!$S$10*1000000),IF(INDEX($A$5:$BP$257,MATCH(EW227,$BN$5:$BN$257,0),50)="Alumínio",('Densidade do AR'!$S$4*1000000)))))))-(((-('Densidade do AR'!$M$4))+('Densidade do AR'!$T$15*1000000))/('Densidade do AR'!$S$14*1000000))))))</f>
        <v>-</v>
      </c>
      <c r="FT227" s="785"/>
      <c r="FU227" s="785"/>
      <c r="FV227" s="791"/>
      <c r="FW227" s="91" t="str">
        <f t="shared" si="83"/>
        <v>-</v>
      </c>
      <c r="FX227" s="135"/>
    </row>
    <row r="228" spans="1:180" ht="12.75" customHeight="1" x14ac:dyDescent="0.2">
      <c r="A228" s="718">
        <v>224</v>
      </c>
      <c r="B228" s="713"/>
      <c r="C228" s="719"/>
      <c r="D228" s="709"/>
      <c r="E228" s="709"/>
      <c r="F228" s="709"/>
      <c r="G228" s="710"/>
      <c r="H228" s="720"/>
      <c r="I228" s="712"/>
      <c r="J228" s="712"/>
      <c r="K228" s="713"/>
      <c r="L228" s="719"/>
      <c r="M228" s="709"/>
      <c r="N228" s="709"/>
      <c r="O228" s="709"/>
      <c r="P228" s="719"/>
      <c r="Q228" s="709"/>
      <c r="R228" s="709"/>
      <c r="S228" s="709"/>
      <c r="T228" s="710"/>
      <c r="U228" s="721"/>
      <c r="V228" s="722"/>
      <c r="W228" s="722"/>
      <c r="X228" s="722"/>
      <c r="Y228" s="722"/>
      <c r="Z228" s="722"/>
      <c r="AA228" s="723"/>
      <c r="AB228" s="853"/>
      <c r="AC228" s="854"/>
      <c r="AD228" s="854"/>
      <c r="AE228" s="854"/>
      <c r="AF228" s="854"/>
      <c r="AG228" s="854"/>
      <c r="AH228" s="854"/>
      <c r="AI228" s="854"/>
      <c r="AJ228" s="854"/>
      <c r="AK228" s="854"/>
      <c r="AL228" s="855"/>
      <c r="AM228" s="909"/>
      <c r="AN228" s="712"/>
      <c r="AO228" s="712"/>
      <c r="AP228" s="712"/>
      <c r="AQ228" s="712"/>
      <c r="AR228" s="712"/>
      <c r="AS228" s="713"/>
      <c r="AT228" s="909"/>
      <c r="AU228" s="712"/>
      <c r="AV228" s="712"/>
      <c r="AW228" s="713"/>
      <c r="AX228" s="908"/>
      <c r="AY228" s="712"/>
      <c r="AZ228" s="712"/>
      <c r="BA228" s="712"/>
      <c r="BB228" s="712"/>
      <c r="BC228" s="713"/>
      <c r="BD228" s="909"/>
      <c r="BE228" s="712"/>
      <c r="BF228" s="712"/>
      <c r="BG228" s="713"/>
      <c r="BH228" s="908"/>
      <c r="BI228" s="712"/>
      <c r="BJ228" s="712"/>
      <c r="BK228" s="712"/>
      <c r="BL228" s="910"/>
      <c r="BN228" s="881"/>
      <c r="BO228" s="709"/>
      <c r="BP228" s="884"/>
      <c r="BT228" s="736"/>
      <c r="BU228" s="737"/>
      <c r="BV228" s="738" t="str">
        <f>IF(BT228="","-",(IF(INDEX($A$5:$BP$257,MATCH(BT228,$BN$5:$BN$257,0),50)="Aço Inoxidável",('Densidade do AR'!$S$8*1000000),IF(INDEX($A$5:$BP$257,MATCH(BT228,$BN$5:$BN$257,0),50)="Ferro Fundido",('Densidade do AR'!$S$12*1000000),IF(INDEX($A$5:$BP$257,MATCH(BT228,$BN$5:$BN$257,0),50)="Latão",('Densidade do AR'!$S$10*1000000),IF(INDEX($A$5:$BP$257,MATCH(BT228,$BN$5:$BN$257,0),50)="Alumínio",('Densidade do AR'!$S$4*1000000)))))))</f>
        <v>-</v>
      </c>
      <c r="BW228" s="739"/>
      <c r="BX228" s="739"/>
      <c r="BY228" s="740"/>
      <c r="BZ228" s="741" t="str">
        <f t="shared" si="72"/>
        <v>-</v>
      </c>
      <c r="CA228" s="742"/>
      <c r="CB228" s="742"/>
      <c r="CC228" s="743"/>
      <c r="CD228" s="741" t="str">
        <f t="shared" si="64"/>
        <v>-</v>
      </c>
      <c r="CE228" s="742"/>
      <c r="CF228" s="742"/>
      <c r="CG228" s="743"/>
      <c r="CH228" s="744" t="str">
        <f t="shared" si="73"/>
        <v>-</v>
      </c>
      <c r="CI228" s="739"/>
      <c r="CJ228" s="739"/>
      <c r="CK228" s="740"/>
      <c r="CL228" s="744" t="str">
        <f t="shared" si="65"/>
        <v>-</v>
      </c>
      <c r="CM228" s="739"/>
      <c r="CN228" s="739"/>
      <c r="CO228" s="740"/>
      <c r="CP228" s="744" t="str">
        <f>IF(BT228="","-",INDEX($A$5:$BP$257,MATCH(BT228,$BN$5:$BN$257,0),39)*(IF(BT228="","-",(1+(((-('Densidade do AR'!$M$4))+('Densidade do AR'!$T$15*1000000))/(IF(INDEX($A$5:$BP$257,MATCH(BT228,$BN$5:$BN$257,0),50)="Aço Inoxidável",('Densidade do AR'!$S$8*1000000),IF(INDEX($A$5:$BP$257,MATCH(BT228,$BN$5:$BN$257,0),50)="Ferro Fundido",('Densidade do AR'!$S$12*1000000),IF(INDEX($A$5:$BP$257,MATCH(BT228,$BN$5:$BN$257,0),50)="Latão",('Densidade do AR'!$S$10*1000000),IF(INDEX($A$5:$BP$257,MATCH(BT228,$BN$5:$BN$257,0),50)="Alumínio",('Densidade do AR'!$S$4*1000000)))))))-(((-('Densidade do AR'!$M$4))+('Densidade do AR'!$T$15*1000000))/('Densidade do AR'!$S$14*1000000))))))</f>
        <v>-</v>
      </c>
      <c r="CQ228" s="739"/>
      <c r="CR228" s="739"/>
      <c r="CS228" s="745"/>
      <c r="CT228" s="91" t="str">
        <f t="shared" si="74"/>
        <v>-</v>
      </c>
      <c r="CU228" s="736"/>
      <c r="CV228" s="737"/>
      <c r="CW228" s="738" t="str">
        <f>IF(CU228="","-",(IF(INDEX($A$5:$BP$257,MATCH(CU228,$BN$5:$BN$257,0),50)="Aço Inoxidável",('Densidade do AR'!$S$8*1000000),IF(INDEX($A$5:$BP$257,MATCH(CU228,$BN$5:$BN$257,0),50)="Ferro Fundido",('Densidade do AR'!$S$12*1000000),IF(INDEX($A$5:$BP$257,MATCH(CU228,$BN$5:$BN$257,0),50)="Latão",('Densidade do AR'!$S$10*1000000),IF(INDEX($A$5:$BP$257,MATCH(CU228,$BN$5:$BN$257,0),50)="Alumínio",('Densidade do AR'!$S$4*1000000)))))))</f>
        <v>-</v>
      </c>
      <c r="CX228" s="739"/>
      <c r="CY228" s="739"/>
      <c r="CZ228" s="740"/>
      <c r="DA228" s="741" t="str">
        <f t="shared" si="75"/>
        <v>-</v>
      </c>
      <c r="DB228" s="742"/>
      <c r="DC228" s="742"/>
      <c r="DD228" s="743"/>
      <c r="DE228" s="741" t="str">
        <f t="shared" si="66"/>
        <v>-</v>
      </c>
      <c r="DF228" s="742"/>
      <c r="DG228" s="742"/>
      <c r="DH228" s="743"/>
      <c r="DI228" s="744" t="str">
        <f t="shared" si="76"/>
        <v>-</v>
      </c>
      <c r="DJ228" s="739"/>
      <c r="DK228" s="739"/>
      <c r="DL228" s="740"/>
      <c r="DM228" s="744" t="str">
        <f t="shared" si="67"/>
        <v>-</v>
      </c>
      <c r="DN228" s="739"/>
      <c r="DO228" s="739"/>
      <c r="DP228" s="740"/>
      <c r="DQ228" s="744" t="str">
        <f>IF(CU228="","-",INDEX($A$5:$BP$257,MATCH(CU228,$BN$5:$BN$257,0),39)*(IF(CU228="","-",(1+(((-('Densidade do AR'!$M$4))+('Densidade do AR'!$T$15*1000000))/(IF(INDEX($A$5:$BP$257,MATCH(CU228,$BN$5:$BN$257,0),50)="Aço Inoxidável",('Densidade do AR'!$S$8*1000000),IF(INDEX($A$5:$BP$257,MATCH(CU228,$BN$5:$BN$257,0),50)="Ferro Fundido",('Densidade do AR'!$S$12*1000000),IF(INDEX($A$5:$BP$257,MATCH(CU228,$BN$5:$BN$257,0),50)="Latão",('Densidade do AR'!$S$10*1000000),IF(INDEX($A$5:$BP$257,MATCH(CU228,$BN$5:$BN$257,0),50)="Alumínio",('Densidade do AR'!$S$4*1000000)))))))-(((-('Densidade do AR'!$M$4))+('Densidade do AR'!$T$15*1000000))/('Densidade do AR'!$S$14*1000000))))))</f>
        <v>-</v>
      </c>
      <c r="DR228" s="739"/>
      <c r="DS228" s="739"/>
      <c r="DT228" s="745"/>
      <c r="DU228" s="91" t="str">
        <f t="shared" si="77"/>
        <v>-</v>
      </c>
      <c r="DV228" s="736"/>
      <c r="DW228" s="737"/>
      <c r="DX228" s="738" t="str">
        <f>IF(DV228="","-",(IF(INDEX($A$5:$BP$257,MATCH(DV228,$BN$5:$BN$257,0),50)="Aço Inoxidável",('Densidade do AR'!$S$8*1000000),IF(INDEX($A$5:$BP$257,MATCH(DV228,$BN$5:$BN$257,0),50)="Ferro Fundido",('Densidade do AR'!$S$12*1000000),IF(INDEX($A$5:$BP$257,MATCH(DV228,$BN$5:$BN$257,0),50)="Latão",('Densidade do AR'!$S$10*1000000),IF(INDEX($A$5:$BP$257,MATCH(DV228,$BN$5:$BN$257,0),50)="Alumínio",('Densidade do AR'!$S$4*1000000)))))))</f>
        <v>-</v>
      </c>
      <c r="DY228" s="739"/>
      <c r="DZ228" s="739"/>
      <c r="EA228" s="740"/>
      <c r="EB228" s="741" t="str">
        <f t="shared" si="78"/>
        <v>-</v>
      </c>
      <c r="EC228" s="742"/>
      <c r="ED228" s="742"/>
      <c r="EE228" s="743"/>
      <c r="EF228" s="741" t="str">
        <f t="shared" si="68"/>
        <v>-</v>
      </c>
      <c r="EG228" s="742"/>
      <c r="EH228" s="742"/>
      <c r="EI228" s="743"/>
      <c r="EJ228" s="744" t="str">
        <f t="shared" si="79"/>
        <v>-</v>
      </c>
      <c r="EK228" s="739"/>
      <c r="EL228" s="739"/>
      <c r="EM228" s="740"/>
      <c r="EN228" s="744" t="str">
        <f t="shared" si="69"/>
        <v>-</v>
      </c>
      <c r="EO228" s="739"/>
      <c r="EP228" s="739"/>
      <c r="EQ228" s="740"/>
      <c r="ER228" s="744" t="str">
        <f>IF(DV228="","-",INDEX($A$5:$BP$257,MATCH(DV228,$BN$5:$BN$257,0),39)*(IF(DV228="","-",(1+(((-('Densidade do AR'!$M$4))+('Densidade do AR'!$T$15*1000000))/(IF(INDEX($A$5:$BP$257,MATCH(DV228,$BN$5:$BN$257,0),50)="Aço Inoxidável",('Densidade do AR'!$S$8*1000000),IF(INDEX($A$5:$BP$257,MATCH(DV228,$BN$5:$BN$257,0),50)="Ferro Fundido",('Densidade do AR'!$S$12*1000000),IF(INDEX($A$5:$BP$257,MATCH(DV228,$BN$5:$BN$257,0),50)="Latão",('Densidade do AR'!$S$10*1000000),IF(INDEX($A$5:$BP$257,MATCH(DV228,$BN$5:$BN$257,0),50)="Alumínio",('Densidade do AR'!$S$4*1000000)))))))-(((-('Densidade do AR'!$M$4))+('Densidade do AR'!$T$15*1000000))/('Densidade do AR'!$S$14*1000000))))))</f>
        <v>-</v>
      </c>
      <c r="ES228" s="739"/>
      <c r="ET228" s="739"/>
      <c r="EU228" s="745"/>
      <c r="EV228" s="91" t="str">
        <f t="shared" si="80"/>
        <v>-</v>
      </c>
      <c r="EW228" s="736"/>
      <c r="EX228" s="737"/>
      <c r="EY228" s="738" t="str">
        <f>IF(EW228="","-",(IF(INDEX($A$5:$BP$257,MATCH(EW228,$BN$5:$BN$257,0),50)="Aço Inoxidável",('Densidade do AR'!$S$8*1000000),IF(INDEX($A$5:$BP$257,MATCH(EW228,$BN$5:$BN$257,0),50)="Ferro Fundido",('Densidade do AR'!$S$12*1000000),IF(INDEX($A$5:$BP$257,MATCH(EW228,$BN$5:$BN$257,0),50)="Latão",('Densidade do AR'!$S$10*1000000),IF(INDEX($A$5:$BP$257,MATCH(EW228,$BN$5:$BN$257,0),50)="Alumínio",('Densidade do AR'!$S$4*1000000)))))))</f>
        <v>-</v>
      </c>
      <c r="EZ228" s="739"/>
      <c r="FA228" s="739"/>
      <c r="FB228" s="740"/>
      <c r="FC228" s="741" t="str">
        <f t="shared" si="81"/>
        <v>-</v>
      </c>
      <c r="FD228" s="742"/>
      <c r="FE228" s="742"/>
      <c r="FF228" s="743"/>
      <c r="FG228" s="741" t="str">
        <f t="shared" si="70"/>
        <v>-</v>
      </c>
      <c r="FH228" s="742"/>
      <c r="FI228" s="742"/>
      <c r="FJ228" s="743"/>
      <c r="FK228" s="744" t="str">
        <f t="shared" si="82"/>
        <v>-</v>
      </c>
      <c r="FL228" s="739"/>
      <c r="FM228" s="739"/>
      <c r="FN228" s="740"/>
      <c r="FO228" s="744" t="str">
        <f t="shared" si="71"/>
        <v>-</v>
      </c>
      <c r="FP228" s="739"/>
      <c r="FQ228" s="739"/>
      <c r="FR228" s="740"/>
      <c r="FS228" s="744" t="str">
        <f>IF(EW228="","-",INDEX($A$5:$BP$257,MATCH(EW228,$BN$5:$BN$257,0),39)*(IF(EW228="","-",(1+(((-('Densidade do AR'!$M$4))+('Densidade do AR'!$T$15*1000000))/(IF(INDEX($A$5:$BP$257,MATCH(EW228,$BN$5:$BN$257,0),50)="Aço Inoxidável",('Densidade do AR'!$S$8*1000000),IF(INDEX($A$5:$BP$257,MATCH(EW228,$BN$5:$BN$257,0),50)="Ferro Fundido",('Densidade do AR'!$S$12*1000000),IF(INDEX($A$5:$BP$257,MATCH(EW228,$BN$5:$BN$257,0),50)="Latão",('Densidade do AR'!$S$10*1000000),IF(INDEX($A$5:$BP$257,MATCH(EW228,$BN$5:$BN$257,0),50)="Alumínio",('Densidade do AR'!$S$4*1000000)))))))-(((-('Densidade do AR'!$M$4))+('Densidade do AR'!$T$15*1000000))/('Densidade do AR'!$S$14*1000000))))))</f>
        <v>-</v>
      </c>
      <c r="FT228" s="739"/>
      <c r="FU228" s="739"/>
      <c r="FV228" s="745"/>
      <c r="FW228" s="91" t="str">
        <f t="shared" si="83"/>
        <v>-</v>
      </c>
      <c r="FX228" s="135"/>
    </row>
    <row r="229" spans="1:180" ht="12.75" customHeight="1" x14ac:dyDescent="0.2">
      <c r="A229" s="717">
        <v>225</v>
      </c>
      <c r="B229" s="713"/>
      <c r="C229" s="708"/>
      <c r="D229" s="709"/>
      <c r="E229" s="709"/>
      <c r="F229" s="709"/>
      <c r="G229" s="710"/>
      <c r="H229" s="711"/>
      <c r="I229" s="712"/>
      <c r="J229" s="712"/>
      <c r="K229" s="713"/>
      <c r="L229" s="708"/>
      <c r="M229" s="709"/>
      <c r="N229" s="709"/>
      <c r="O229" s="709"/>
      <c r="P229" s="708"/>
      <c r="Q229" s="709"/>
      <c r="R229" s="709"/>
      <c r="S229" s="709"/>
      <c r="T229" s="710"/>
      <c r="U229" s="714"/>
      <c r="V229" s="715"/>
      <c r="W229" s="715"/>
      <c r="X229" s="715"/>
      <c r="Y229" s="715"/>
      <c r="Z229" s="715"/>
      <c r="AA229" s="716"/>
      <c r="AB229" s="850"/>
      <c r="AC229" s="851"/>
      <c r="AD229" s="851"/>
      <c r="AE229" s="851"/>
      <c r="AF229" s="851"/>
      <c r="AG229" s="851"/>
      <c r="AH229" s="851"/>
      <c r="AI229" s="851"/>
      <c r="AJ229" s="851"/>
      <c r="AK229" s="851"/>
      <c r="AL229" s="852"/>
      <c r="AM229" s="917"/>
      <c r="AN229" s="712"/>
      <c r="AO229" s="712"/>
      <c r="AP229" s="712"/>
      <c r="AQ229" s="712"/>
      <c r="AR229" s="712"/>
      <c r="AS229" s="713"/>
      <c r="AT229" s="917"/>
      <c r="AU229" s="712"/>
      <c r="AV229" s="712"/>
      <c r="AW229" s="713"/>
      <c r="AX229" s="917"/>
      <c r="AY229" s="712"/>
      <c r="AZ229" s="712"/>
      <c r="BA229" s="712"/>
      <c r="BB229" s="712"/>
      <c r="BC229" s="713"/>
      <c r="BD229" s="917"/>
      <c r="BE229" s="712"/>
      <c r="BF229" s="712"/>
      <c r="BG229" s="713"/>
      <c r="BH229" s="918"/>
      <c r="BI229" s="712"/>
      <c r="BJ229" s="712"/>
      <c r="BK229" s="712"/>
      <c r="BL229" s="910"/>
      <c r="BN229" s="878"/>
      <c r="BO229" s="709"/>
      <c r="BP229" s="884"/>
      <c r="BT229" s="746"/>
      <c r="BU229" s="747"/>
      <c r="BV229" s="784" t="str">
        <f>IF(BT229="","-",(IF(INDEX($A$5:$BP$257,MATCH(BT229,$BN$5:$BN$257,0),50)="Aço Inoxidável",('Densidade do AR'!$S$8*1000000),IF(INDEX($A$5:$BP$257,MATCH(BT229,$BN$5:$BN$257,0),50)="Ferro Fundido",('Densidade do AR'!$S$12*1000000),IF(INDEX($A$5:$BP$257,MATCH(BT229,$BN$5:$BN$257,0),50)="Latão",('Densidade do AR'!$S$10*1000000),IF(INDEX($A$5:$BP$257,MATCH(BT229,$BN$5:$BN$257,0),50)="Alumínio",('Densidade do AR'!$S$4*1000000)))))))</f>
        <v>-</v>
      </c>
      <c r="BW229" s="785"/>
      <c r="BX229" s="785"/>
      <c r="BY229" s="786"/>
      <c r="BZ229" s="787" t="str">
        <f t="shared" si="72"/>
        <v>-</v>
      </c>
      <c r="CA229" s="788"/>
      <c r="CB229" s="788"/>
      <c r="CC229" s="789"/>
      <c r="CD229" s="787" t="str">
        <f t="shared" si="64"/>
        <v>-</v>
      </c>
      <c r="CE229" s="788"/>
      <c r="CF229" s="788"/>
      <c r="CG229" s="789"/>
      <c r="CH229" s="790" t="str">
        <f t="shared" si="73"/>
        <v>-</v>
      </c>
      <c r="CI229" s="785"/>
      <c r="CJ229" s="785"/>
      <c r="CK229" s="786"/>
      <c r="CL229" s="790" t="str">
        <f t="shared" si="65"/>
        <v>-</v>
      </c>
      <c r="CM229" s="785"/>
      <c r="CN229" s="785"/>
      <c r="CO229" s="786"/>
      <c r="CP229" s="790" t="str">
        <f>IF(BT229="","-",INDEX($A$5:$BP$257,MATCH(BT229,$BN$5:$BN$257,0),39)*(IF(BT229="","-",(1+(((-('Densidade do AR'!$M$4))+('Densidade do AR'!$T$15*1000000))/(IF(INDEX($A$5:$BP$257,MATCH(BT229,$BN$5:$BN$257,0),50)="Aço Inoxidável",('Densidade do AR'!$S$8*1000000),IF(INDEX($A$5:$BP$257,MATCH(BT229,$BN$5:$BN$257,0),50)="Ferro Fundido",('Densidade do AR'!$S$12*1000000),IF(INDEX($A$5:$BP$257,MATCH(BT229,$BN$5:$BN$257,0),50)="Latão",('Densidade do AR'!$S$10*1000000),IF(INDEX($A$5:$BP$257,MATCH(BT229,$BN$5:$BN$257,0),50)="Alumínio",('Densidade do AR'!$S$4*1000000)))))))-(((-('Densidade do AR'!$M$4))+('Densidade do AR'!$T$15*1000000))/('Densidade do AR'!$S$14*1000000))))))</f>
        <v>-</v>
      </c>
      <c r="CQ229" s="785"/>
      <c r="CR229" s="785"/>
      <c r="CS229" s="791"/>
      <c r="CT229" s="91" t="str">
        <f t="shared" si="74"/>
        <v>-</v>
      </c>
      <c r="CU229" s="746"/>
      <c r="CV229" s="747"/>
      <c r="CW229" s="784" t="str">
        <f>IF(CU229="","-",(IF(INDEX($A$5:$BP$257,MATCH(CU229,$BN$5:$BN$257,0),50)="Aço Inoxidável",('Densidade do AR'!$S$8*1000000),IF(INDEX($A$5:$BP$257,MATCH(CU229,$BN$5:$BN$257,0),50)="Ferro Fundido",('Densidade do AR'!$S$12*1000000),IF(INDEX($A$5:$BP$257,MATCH(CU229,$BN$5:$BN$257,0),50)="Latão",('Densidade do AR'!$S$10*1000000),IF(INDEX($A$5:$BP$257,MATCH(CU229,$BN$5:$BN$257,0),50)="Alumínio",('Densidade do AR'!$S$4*1000000)))))))</f>
        <v>-</v>
      </c>
      <c r="CX229" s="785"/>
      <c r="CY229" s="785"/>
      <c r="CZ229" s="786"/>
      <c r="DA229" s="787" t="str">
        <f t="shared" si="75"/>
        <v>-</v>
      </c>
      <c r="DB229" s="788"/>
      <c r="DC229" s="788"/>
      <c r="DD229" s="789"/>
      <c r="DE229" s="787" t="str">
        <f t="shared" si="66"/>
        <v>-</v>
      </c>
      <c r="DF229" s="788"/>
      <c r="DG229" s="788"/>
      <c r="DH229" s="789"/>
      <c r="DI229" s="790" t="str">
        <f t="shared" si="76"/>
        <v>-</v>
      </c>
      <c r="DJ229" s="785"/>
      <c r="DK229" s="785"/>
      <c r="DL229" s="786"/>
      <c r="DM229" s="790" t="str">
        <f t="shared" si="67"/>
        <v>-</v>
      </c>
      <c r="DN229" s="785"/>
      <c r="DO229" s="785"/>
      <c r="DP229" s="786"/>
      <c r="DQ229" s="790" t="str">
        <f>IF(CU229="","-",INDEX($A$5:$BP$257,MATCH(CU229,$BN$5:$BN$257,0),39)*(IF(CU229="","-",(1+(((-('Densidade do AR'!$M$4))+('Densidade do AR'!$T$15*1000000))/(IF(INDEX($A$5:$BP$257,MATCH(CU229,$BN$5:$BN$257,0),50)="Aço Inoxidável",('Densidade do AR'!$S$8*1000000),IF(INDEX($A$5:$BP$257,MATCH(CU229,$BN$5:$BN$257,0),50)="Ferro Fundido",('Densidade do AR'!$S$12*1000000),IF(INDEX($A$5:$BP$257,MATCH(CU229,$BN$5:$BN$257,0),50)="Latão",('Densidade do AR'!$S$10*1000000),IF(INDEX($A$5:$BP$257,MATCH(CU229,$BN$5:$BN$257,0),50)="Alumínio",('Densidade do AR'!$S$4*1000000)))))))-(((-('Densidade do AR'!$M$4))+('Densidade do AR'!$T$15*1000000))/('Densidade do AR'!$S$14*1000000))))))</f>
        <v>-</v>
      </c>
      <c r="DR229" s="785"/>
      <c r="DS229" s="785"/>
      <c r="DT229" s="791"/>
      <c r="DU229" s="91" t="str">
        <f t="shared" si="77"/>
        <v>-</v>
      </c>
      <c r="DV229" s="746"/>
      <c r="DW229" s="747"/>
      <c r="DX229" s="784" t="str">
        <f>IF(DV229="","-",(IF(INDEX($A$5:$BP$257,MATCH(DV229,$BN$5:$BN$257,0),50)="Aço Inoxidável",('Densidade do AR'!$S$8*1000000),IF(INDEX($A$5:$BP$257,MATCH(DV229,$BN$5:$BN$257,0),50)="Ferro Fundido",('Densidade do AR'!$S$12*1000000),IF(INDEX($A$5:$BP$257,MATCH(DV229,$BN$5:$BN$257,0),50)="Latão",('Densidade do AR'!$S$10*1000000),IF(INDEX($A$5:$BP$257,MATCH(DV229,$BN$5:$BN$257,0),50)="Alumínio",('Densidade do AR'!$S$4*1000000)))))))</f>
        <v>-</v>
      </c>
      <c r="DY229" s="785"/>
      <c r="DZ229" s="785"/>
      <c r="EA229" s="786"/>
      <c r="EB229" s="787" t="str">
        <f t="shared" si="78"/>
        <v>-</v>
      </c>
      <c r="EC229" s="788"/>
      <c r="ED229" s="788"/>
      <c r="EE229" s="789"/>
      <c r="EF229" s="787" t="str">
        <f t="shared" si="68"/>
        <v>-</v>
      </c>
      <c r="EG229" s="788"/>
      <c r="EH229" s="788"/>
      <c r="EI229" s="789"/>
      <c r="EJ229" s="790" t="str">
        <f t="shared" si="79"/>
        <v>-</v>
      </c>
      <c r="EK229" s="785"/>
      <c r="EL229" s="785"/>
      <c r="EM229" s="786"/>
      <c r="EN229" s="790" t="str">
        <f t="shared" si="69"/>
        <v>-</v>
      </c>
      <c r="EO229" s="785"/>
      <c r="EP229" s="785"/>
      <c r="EQ229" s="786"/>
      <c r="ER229" s="790" t="str">
        <f>IF(DV229="","-",INDEX($A$5:$BP$257,MATCH(DV229,$BN$5:$BN$257,0),39)*(IF(DV229="","-",(1+(((-('Densidade do AR'!$M$4))+('Densidade do AR'!$T$15*1000000))/(IF(INDEX($A$5:$BP$257,MATCH(DV229,$BN$5:$BN$257,0),50)="Aço Inoxidável",('Densidade do AR'!$S$8*1000000),IF(INDEX($A$5:$BP$257,MATCH(DV229,$BN$5:$BN$257,0),50)="Ferro Fundido",('Densidade do AR'!$S$12*1000000),IF(INDEX($A$5:$BP$257,MATCH(DV229,$BN$5:$BN$257,0),50)="Latão",('Densidade do AR'!$S$10*1000000),IF(INDEX($A$5:$BP$257,MATCH(DV229,$BN$5:$BN$257,0),50)="Alumínio",('Densidade do AR'!$S$4*1000000)))))))-(((-('Densidade do AR'!$M$4))+('Densidade do AR'!$T$15*1000000))/('Densidade do AR'!$S$14*1000000))))))</f>
        <v>-</v>
      </c>
      <c r="ES229" s="785"/>
      <c r="ET229" s="785"/>
      <c r="EU229" s="791"/>
      <c r="EV229" s="91" t="str">
        <f t="shared" si="80"/>
        <v>-</v>
      </c>
      <c r="EW229" s="746"/>
      <c r="EX229" s="747"/>
      <c r="EY229" s="784" t="str">
        <f>IF(EW229="","-",(IF(INDEX($A$5:$BP$257,MATCH(EW229,$BN$5:$BN$257,0),50)="Aço Inoxidável",('Densidade do AR'!$S$8*1000000),IF(INDEX($A$5:$BP$257,MATCH(EW229,$BN$5:$BN$257,0),50)="Ferro Fundido",('Densidade do AR'!$S$12*1000000),IF(INDEX($A$5:$BP$257,MATCH(EW229,$BN$5:$BN$257,0),50)="Latão",('Densidade do AR'!$S$10*1000000),IF(INDEX($A$5:$BP$257,MATCH(EW229,$BN$5:$BN$257,0),50)="Alumínio",('Densidade do AR'!$S$4*1000000)))))))</f>
        <v>-</v>
      </c>
      <c r="EZ229" s="785"/>
      <c r="FA229" s="785"/>
      <c r="FB229" s="786"/>
      <c r="FC229" s="787" t="str">
        <f t="shared" si="81"/>
        <v>-</v>
      </c>
      <c r="FD229" s="788"/>
      <c r="FE229" s="788"/>
      <c r="FF229" s="789"/>
      <c r="FG229" s="787" t="str">
        <f t="shared" si="70"/>
        <v>-</v>
      </c>
      <c r="FH229" s="788"/>
      <c r="FI229" s="788"/>
      <c r="FJ229" s="789"/>
      <c r="FK229" s="790" t="str">
        <f t="shared" si="82"/>
        <v>-</v>
      </c>
      <c r="FL229" s="785"/>
      <c r="FM229" s="785"/>
      <c r="FN229" s="786"/>
      <c r="FO229" s="790" t="str">
        <f t="shared" si="71"/>
        <v>-</v>
      </c>
      <c r="FP229" s="785"/>
      <c r="FQ229" s="785"/>
      <c r="FR229" s="786"/>
      <c r="FS229" s="790" t="str">
        <f>IF(EW229="","-",INDEX($A$5:$BP$257,MATCH(EW229,$BN$5:$BN$257,0),39)*(IF(EW229="","-",(1+(((-('Densidade do AR'!$M$4))+('Densidade do AR'!$T$15*1000000))/(IF(INDEX($A$5:$BP$257,MATCH(EW229,$BN$5:$BN$257,0),50)="Aço Inoxidável",('Densidade do AR'!$S$8*1000000),IF(INDEX($A$5:$BP$257,MATCH(EW229,$BN$5:$BN$257,0),50)="Ferro Fundido",('Densidade do AR'!$S$12*1000000),IF(INDEX($A$5:$BP$257,MATCH(EW229,$BN$5:$BN$257,0),50)="Latão",('Densidade do AR'!$S$10*1000000),IF(INDEX($A$5:$BP$257,MATCH(EW229,$BN$5:$BN$257,0),50)="Alumínio",('Densidade do AR'!$S$4*1000000)))))))-(((-('Densidade do AR'!$M$4))+('Densidade do AR'!$T$15*1000000))/('Densidade do AR'!$S$14*1000000))))))</f>
        <v>-</v>
      </c>
      <c r="FT229" s="785"/>
      <c r="FU229" s="785"/>
      <c r="FV229" s="791"/>
      <c r="FW229" s="91" t="str">
        <f t="shared" si="83"/>
        <v>-</v>
      </c>
      <c r="FX229" s="135"/>
    </row>
    <row r="230" spans="1:180" ht="12.75" customHeight="1" x14ac:dyDescent="0.2">
      <c r="A230" s="718">
        <v>226</v>
      </c>
      <c r="B230" s="713"/>
      <c r="C230" s="719"/>
      <c r="D230" s="709"/>
      <c r="E230" s="709"/>
      <c r="F230" s="709"/>
      <c r="G230" s="710"/>
      <c r="H230" s="720"/>
      <c r="I230" s="712"/>
      <c r="J230" s="712"/>
      <c r="K230" s="713"/>
      <c r="L230" s="719"/>
      <c r="M230" s="709"/>
      <c r="N230" s="709"/>
      <c r="O230" s="709"/>
      <c r="P230" s="719"/>
      <c r="Q230" s="709"/>
      <c r="R230" s="709"/>
      <c r="S230" s="709"/>
      <c r="T230" s="710"/>
      <c r="U230" s="721"/>
      <c r="V230" s="722"/>
      <c r="W230" s="722"/>
      <c r="X230" s="722"/>
      <c r="Y230" s="722"/>
      <c r="Z230" s="722"/>
      <c r="AA230" s="723"/>
      <c r="AB230" s="853"/>
      <c r="AC230" s="854"/>
      <c r="AD230" s="854"/>
      <c r="AE230" s="854"/>
      <c r="AF230" s="854"/>
      <c r="AG230" s="854"/>
      <c r="AH230" s="854"/>
      <c r="AI230" s="854"/>
      <c r="AJ230" s="854"/>
      <c r="AK230" s="854"/>
      <c r="AL230" s="855"/>
      <c r="AM230" s="909"/>
      <c r="AN230" s="712"/>
      <c r="AO230" s="712"/>
      <c r="AP230" s="712"/>
      <c r="AQ230" s="712"/>
      <c r="AR230" s="712"/>
      <c r="AS230" s="713"/>
      <c r="AT230" s="909"/>
      <c r="AU230" s="712"/>
      <c r="AV230" s="712"/>
      <c r="AW230" s="713"/>
      <c r="AX230" s="908"/>
      <c r="AY230" s="712"/>
      <c r="AZ230" s="712"/>
      <c r="BA230" s="712"/>
      <c r="BB230" s="712"/>
      <c r="BC230" s="713"/>
      <c r="BD230" s="909"/>
      <c r="BE230" s="712"/>
      <c r="BF230" s="712"/>
      <c r="BG230" s="713"/>
      <c r="BH230" s="908"/>
      <c r="BI230" s="712"/>
      <c r="BJ230" s="712"/>
      <c r="BK230" s="712"/>
      <c r="BL230" s="910"/>
      <c r="BN230" s="881"/>
      <c r="BO230" s="709"/>
      <c r="BP230" s="884"/>
      <c r="BT230" s="736"/>
      <c r="BU230" s="737"/>
      <c r="BV230" s="738" t="str">
        <f>IF(BT230="","-",(IF(INDEX($A$5:$BP$257,MATCH(BT230,$BN$5:$BN$257,0),50)="Aço Inoxidável",('Densidade do AR'!$S$8*1000000),IF(INDEX($A$5:$BP$257,MATCH(BT230,$BN$5:$BN$257,0),50)="Ferro Fundido",('Densidade do AR'!$S$12*1000000),IF(INDEX($A$5:$BP$257,MATCH(BT230,$BN$5:$BN$257,0),50)="Latão",('Densidade do AR'!$S$10*1000000),IF(INDEX($A$5:$BP$257,MATCH(BT230,$BN$5:$BN$257,0),50)="Alumínio",('Densidade do AR'!$S$4*1000000)))))))</f>
        <v>-</v>
      </c>
      <c r="BW230" s="739"/>
      <c r="BX230" s="739"/>
      <c r="BY230" s="740"/>
      <c r="BZ230" s="741" t="str">
        <f t="shared" si="72"/>
        <v>-</v>
      </c>
      <c r="CA230" s="742"/>
      <c r="CB230" s="742"/>
      <c r="CC230" s="743"/>
      <c r="CD230" s="741" t="str">
        <f t="shared" si="64"/>
        <v>-</v>
      </c>
      <c r="CE230" s="742"/>
      <c r="CF230" s="742"/>
      <c r="CG230" s="743"/>
      <c r="CH230" s="744" t="str">
        <f t="shared" si="73"/>
        <v>-</v>
      </c>
      <c r="CI230" s="739"/>
      <c r="CJ230" s="739"/>
      <c r="CK230" s="740"/>
      <c r="CL230" s="744" t="str">
        <f t="shared" si="65"/>
        <v>-</v>
      </c>
      <c r="CM230" s="739"/>
      <c r="CN230" s="739"/>
      <c r="CO230" s="740"/>
      <c r="CP230" s="744" t="str">
        <f>IF(BT230="","-",INDEX($A$5:$BP$257,MATCH(BT230,$BN$5:$BN$257,0),39)*(IF(BT230="","-",(1+(((-('Densidade do AR'!$M$4))+('Densidade do AR'!$T$15*1000000))/(IF(INDEX($A$5:$BP$257,MATCH(BT230,$BN$5:$BN$257,0),50)="Aço Inoxidável",('Densidade do AR'!$S$8*1000000),IF(INDEX($A$5:$BP$257,MATCH(BT230,$BN$5:$BN$257,0),50)="Ferro Fundido",('Densidade do AR'!$S$12*1000000),IF(INDEX($A$5:$BP$257,MATCH(BT230,$BN$5:$BN$257,0),50)="Latão",('Densidade do AR'!$S$10*1000000),IF(INDEX($A$5:$BP$257,MATCH(BT230,$BN$5:$BN$257,0),50)="Alumínio",('Densidade do AR'!$S$4*1000000)))))))-(((-('Densidade do AR'!$M$4))+('Densidade do AR'!$T$15*1000000))/('Densidade do AR'!$S$14*1000000))))))</f>
        <v>-</v>
      </c>
      <c r="CQ230" s="739"/>
      <c r="CR230" s="739"/>
      <c r="CS230" s="745"/>
      <c r="CT230" s="91" t="str">
        <f t="shared" si="74"/>
        <v>-</v>
      </c>
      <c r="CU230" s="736"/>
      <c r="CV230" s="737"/>
      <c r="CW230" s="738" t="str">
        <f>IF(CU230="","-",(IF(INDEX($A$5:$BP$257,MATCH(CU230,$BN$5:$BN$257,0),50)="Aço Inoxidável",('Densidade do AR'!$S$8*1000000),IF(INDEX($A$5:$BP$257,MATCH(CU230,$BN$5:$BN$257,0),50)="Ferro Fundido",('Densidade do AR'!$S$12*1000000),IF(INDEX($A$5:$BP$257,MATCH(CU230,$BN$5:$BN$257,0),50)="Latão",('Densidade do AR'!$S$10*1000000),IF(INDEX($A$5:$BP$257,MATCH(CU230,$BN$5:$BN$257,0),50)="Alumínio",('Densidade do AR'!$S$4*1000000)))))))</f>
        <v>-</v>
      </c>
      <c r="CX230" s="739"/>
      <c r="CY230" s="739"/>
      <c r="CZ230" s="740"/>
      <c r="DA230" s="741" t="str">
        <f t="shared" si="75"/>
        <v>-</v>
      </c>
      <c r="DB230" s="742"/>
      <c r="DC230" s="742"/>
      <c r="DD230" s="743"/>
      <c r="DE230" s="741" t="str">
        <f t="shared" si="66"/>
        <v>-</v>
      </c>
      <c r="DF230" s="742"/>
      <c r="DG230" s="742"/>
      <c r="DH230" s="743"/>
      <c r="DI230" s="744" t="str">
        <f t="shared" si="76"/>
        <v>-</v>
      </c>
      <c r="DJ230" s="739"/>
      <c r="DK230" s="739"/>
      <c r="DL230" s="740"/>
      <c r="DM230" s="744" t="str">
        <f t="shared" si="67"/>
        <v>-</v>
      </c>
      <c r="DN230" s="739"/>
      <c r="DO230" s="739"/>
      <c r="DP230" s="740"/>
      <c r="DQ230" s="744" t="str">
        <f>IF(CU230="","-",INDEX($A$5:$BP$257,MATCH(CU230,$BN$5:$BN$257,0),39)*(IF(CU230="","-",(1+(((-('Densidade do AR'!$M$4))+('Densidade do AR'!$T$15*1000000))/(IF(INDEX($A$5:$BP$257,MATCH(CU230,$BN$5:$BN$257,0),50)="Aço Inoxidável",('Densidade do AR'!$S$8*1000000),IF(INDEX($A$5:$BP$257,MATCH(CU230,$BN$5:$BN$257,0),50)="Ferro Fundido",('Densidade do AR'!$S$12*1000000),IF(INDEX($A$5:$BP$257,MATCH(CU230,$BN$5:$BN$257,0),50)="Latão",('Densidade do AR'!$S$10*1000000),IF(INDEX($A$5:$BP$257,MATCH(CU230,$BN$5:$BN$257,0),50)="Alumínio",('Densidade do AR'!$S$4*1000000)))))))-(((-('Densidade do AR'!$M$4))+('Densidade do AR'!$T$15*1000000))/('Densidade do AR'!$S$14*1000000))))))</f>
        <v>-</v>
      </c>
      <c r="DR230" s="739"/>
      <c r="DS230" s="739"/>
      <c r="DT230" s="745"/>
      <c r="DU230" s="91" t="str">
        <f t="shared" si="77"/>
        <v>-</v>
      </c>
      <c r="DV230" s="736"/>
      <c r="DW230" s="737"/>
      <c r="DX230" s="738" t="str">
        <f>IF(DV230="","-",(IF(INDEX($A$5:$BP$257,MATCH(DV230,$BN$5:$BN$257,0),50)="Aço Inoxidável",('Densidade do AR'!$S$8*1000000),IF(INDEX($A$5:$BP$257,MATCH(DV230,$BN$5:$BN$257,0),50)="Ferro Fundido",('Densidade do AR'!$S$12*1000000),IF(INDEX($A$5:$BP$257,MATCH(DV230,$BN$5:$BN$257,0),50)="Latão",('Densidade do AR'!$S$10*1000000),IF(INDEX($A$5:$BP$257,MATCH(DV230,$BN$5:$BN$257,0),50)="Alumínio",('Densidade do AR'!$S$4*1000000)))))))</f>
        <v>-</v>
      </c>
      <c r="DY230" s="739"/>
      <c r="DZ230" s="739"/>
      <c r="EA230" s="740"/>
      <c r="EB230" s="741" t="str">
        <f t="shared" si="78"/>
        <v>-</v>
      </c>
      <c r="EC230" s="742"/>
      <c r="ED230" s="742"/>
      <c r="EE230" s="743"/>
      <c r="EF230" s="741" t="str">
        <f t="shared" si="68"/>
        <v>-</v>
      </c>
      <c r="EG230" s="742"/>
      <c r="EH230" s="742"/>
      <c r="EI230" s="743"/>
      <c r="EJ230" s="744" t="str">
        <f t="shared" si="79"/>
        <v>-</v>
      </c>
      <c r="EK230" s="739"/>
      <c r="EL230" s="739"/>
      <c r="EM230" s="740"/>
      <c r="EN230" s="744" t="str">
        <f t="shared" si="69"/>
        <v>-</v>
      </c>
      <c r="EO230" s="739"/>
      <c r="EP230" s="739"/>
      <c r="EQ230" s="740"/>
      <c r="ER230" s="744" t="str">
        <f>IF(DV230="","-",INDEX($A$5:$BP$257,MATCH(DV230,$BN$5:$BN$257,0),39)*(IF(DV230="","-",(1+(((-('Densidade do AR'!$M$4))+('Densidade do AR'!$T$15*1000000))/(IF(INDEX($A$5:$BP$257,MATCH(DV230,$BN$5:$BN$257,0),50)="Aço Inoxidável",('Densidade do AR'!$S$8*1000000),IF(INDEX($A$5:$BP$257,MATCH(DV230,$BN$5:$BN$257,0),50)="Ferro Fundido",('Densidade do AR'!$S$12*1000000),IF(INDEX($A$5:$BP$257,MATCH(DV230,$BN$5:$BN$257,0),50)="Latão",('Densidade do AR'!$S$10*1000000),IF(INDEX($A$5:$BP$257,MATCH(DV230,$BN$5:$BN$257,0),50)="Alumínio",('Densidade do AR'!$S$4*1000000)))))))-(((-('Densidade do AR'!$M$4))+('Densidade do AR'!$T$15*1000000))/('Densidade do AR'!$S$14*1000000))))))</f>
        <v>-</v>
      </c>
      <c r="ES230" s="739"/>
      <c r="ET230" s="739"/>
      <c r="EU230" s="745"/>
      <c r="EV230" s="91" t="str">
        <f t="shared" si="80"/>
        <v>-</v>
      </c>
      <c r="EW230" s="736"/>
      <c r="EX230" s="737"/>
      <c r="EY230" s="738" t="str">
        <f>IF(EW230="","-",(IF(INDEX($A$5:$BP$257,MATCH(EW230,$BN$5:$BN$257,0),50)="Aço Inoxidável",('Densidade do AR'!$S$8*1000000),IF(INDEX($A$5:$BP$257,MATCH(EW230,$BN$5:$BN$257,0),50)="Ferro Fundido",('Densidade do AR'!$S$12*1000000),IF(INDEX($A$5:$BP$257,MATCH(EW230,$BN$5:$BN$257,0),50)="Latão",('Densidade do AR'!$S$10*1000000),IF(INDEX($A$5:$BP$257,MATCH(EW230,$BN$5:$BN$257,0),50)="Alumínio",('Densidade do AR'!$S$4*1000000)))))))</f>
        <v>-</v>
      </c>
      <c r="EZ230" s="739"/>
      <c r="FA230" s="739"/>
      <c r="FB230" s="740"/>
      <c r="FC230" s="741" t="str">
        <f t="shared" si="81"/>
        <v>-</v>
      </c>
      <c r="FD230" s="742"/>
      <c r="FE230" s="742"/>
      <c r="FF230" s="743"/>
      <c r="FG230" s="741" t="str">
        <f t="shared" si="70"/>
        <v>-</v>
      </c>
      <c r="FH230" s="742"/>
      <c r="FI230" s="742"/>
      <c r="FJ230" s="743"/>
      <c r="FK230" s="744" t="str">
        <f t="shared" si="82"/>
        <v>-</v>
      </c>
      <c r="FL230" s="739"/>
      <c r="FM230" s="739"/>
      <c r="FN230" s="740"/>
      <c r="FO230" s="744" t="str">
        <f t="shared" si="71"/>
        <v>-</v>
      </c>
      <c r="FP230" s="739"/>
      <c r="FQ230" s="739"/>
      <c r="FR230" s="740"/>
      <c r="FS230" s="744" t="str">
        <f>IF(EW230="","-",INDEX($A$5:$BP$257,MATCH(EW230,$BN$5:$BN$257,0),39)*(IF(EW230="","-",(1+(((-('Densidade do AR'!$M$4))+('Densidade do AR'!$T$15*1000000))/(IF(INDEX($A$5:$BP$257,MATCH(EW230,$BN$5:$BN$257,0),50)="Aço Inoxidável",('Densidade do AR'!$S$8*1000000),IF(INDEX($A$5:$BP$257,MATCH(EW230,$BN$5:$BN$257,0),50)="Ferro Fundido",('Densidade do AR'!$S$12*1000000),IF(INDEX($A$5:$BP$257,MATCH(EW230,$BN$5:$BN$257,0),50)="Latão",('Densidade do AR'!$S$10*1000000),IF(INDEX($A$5:$BP$257,MATCH(EW230,$BN$5:$BN$257,0),50)="Alumínio",('Densidade do AR'!$S$4*1000000)))))))-(((-('Densidade do AR'!$M$4))+('Densidade do AR'!$T$15*1000000))/('Densidade do AR'!$S$14*1000000))))))</f>
        <v>-</v>
      </c>
      <c r="FT230" s="739"/>
      <c r="FU230" s="739"/>
      <c r="FV230" s="745"/>
      <c r="FW230" s="91" t="str">
        <f t="shared" si="83"/>
        <v>-</v>
      </c>
      <c r="FX230" s="135"/>
    </row>
    <row r="231" spans="1:180" ht="12.75" customHeight="1" x14ac:dyDescent="0.2">
      <c r="A231" s="717">
        <v>227</v>
      </c>
      <c r="B231" s="713"/>
      <c r="C231" s="708"/>
      <c r="D231" s="709"/>
      <c r="E231" s="709"/>
      <c r="F231" s="709"/>
      <c r="G231" s="710"/>
      <c r="H231" s="711"/>
      <c r="I231" s="712"/>
      <c r="J231" s="712"/>
      <c r="K231" s="713"/>
      <c r="L231" s="708"/>
      <c r="M231" s="709"/>
      <c r="N231" s="709"/>
      <c r="O231" s="709"/>
      <c r="P231" s="708"/>
      <c r="Q231" s="709"/>
      <c r="R231" s="709"/>
      <c r="S231" s="709"/>
      <c r="T231" s="710"/>
      <c r="U231" s="714"/>
      <c r="V231" s="715"/>
      <c r="W231" s="715"/>
      <c r="X231" s="715"/>
      <c r="Y231" s="715"/>
      <c r="Z231" s="715"/>
      <c r="AA231" s="716"/>
      <c r="AB231" s="850"/>
      <c r="AC231" s="851"/>
      <c r="AD231" s="851"/>
      <c r="AE231" s="851"/>
      <c r="AF231" s="851"/>
      <c r="AG231" s="851"/>
      <c r="AH231" s="851"/>
      <c r="AI231" s="851"/>
      <c r="AJ231" s="851"/>
      <c r="AK231" s="851"/>
      <c r="AL231" s="852"/>
      <c r="AM231" s="917"/>
      <c r="AN231" s="712"/>
      <c r="AO231" s="712"/>
      <c r="AP231" s="712"/>
      <c r="AQ231" s="712"/>
      <c r="AR231" s="712"/>
      <c r="AS231" s="713"/>
      <c r="AT231" s="917"/>
      <c r="AU231" s="712"/>
      <c r="AV231" s="712"/>
      <c r="AW231" s="713"/>
      <c r="AX231" s="917"/>
      <c r="AY231" s="712"/>
      <c r="AZ231" s="712"/>
      <c r="BA231" s="712"/>
      <c r="BB231" s="712"/>
      <c r="BC231" s="713"/>
      <c r="BD231" s="917"/>
      <c r="BE231" s="712"/>
      <c r="BF231" s="712"/>
      <c r="BG231" s="713"/>
      <c r="BH231" s="918"/>
      <c r="BI231" s="712"/>
      <c r="BJ231" s="712"/>
      <c r="BK231" s="712"/>
      <c r="BL231" s="910"/>
      <c r="BN231" s="878"/>
      <c r="BO231" s="709"/>
      <c r="BP231" s="884"/>
      <c r="BT231" s="746"/>
      <c r="BU231" s="747"/>
      <c r="BV231" s="784" t="str">
        <f>IF(BT231="","-",(IF(INDEX($A$5:$BP$257,MATCH(BT231,$BN$5:$BN$257,0),50)="Aço Inoxidável",('Densidade do AR'!$S$8*1000000),IF(INDEX($A$5:$BP$257,MATCH(BT231,$BN$5:$BN$257,0),50)="Ferro Fundido",('Densidade do AR'!$S$12*1000000),IF(INDEX($A$5:$BP$257,MATCH(BT231,$BN$5:$BN$257,0),50)="Latão",('Densidade do AR'!$S$10*1000000),IF(INDEX($A$5:$BP$257,MATCH(BT231,$BN$5:$BN$257,0),50)="Alumínio",('Densidade do AR'!$S$4*1000000)))))))</f>
        <v>-</v>
      </c>
      <c r="BW231" s="785"/>
      <c r="BX231" s="785"/>
      <c r="BY231" s="786"/>
      <c r="BZ231" s="787" t="str">
        <f t="shared" si="72"/>
        <v>-</v>
      </c>
      <c r="CA231" s="788"/>
      <c r="CB231" s="788"/>
      <c r="CC231" s="789"/>
      <c r="CD231" s="787" t="str">
        <f t="shared" si="64"/>
        <v>-</v>
      </c>
      <c r="CE231" s="788"/>
      <c r="CF231" s="788"/>
      <c r="CG231" s="789"/>
      <c r="CH231" s="790" t="str">
        <f t="shared" si="73"/>
        <v>-</v>
      </c>
      <c r="CI231" s="785"/>
      <c r="CJ231" s="785"/>
      <c r="CK231" s="786"/>
      <c r="CL231" s="790" t="str">
        <f t="shared" si="65"/>
        <v>-</v>
      </c>
      <c r="CM231" s="785"/>
      <c r="CN231" s="785"/>
      <c r="CO231" s="786"/>
      <c r="CP231" s="790" t="str">
        <f>IF(BT231="","-",INDEX($A$5:$BP$257,MATCH(BT231,$BN$5:$BN$257,0),39)*(IF(BT231="","-",(1+(((-('Densidade do AR'!$M$4))+('Densidade do AR'!$T$15*1000000))/(IF(INDEX($A$5:$BP$257,MATCH(BT231,$BN$5:$BN$257,0),50)="Aço Inoxidável",('Densidade do AR'!$S$8*1000000),IF(INDEX($A$5:$BP$257,MATCH(BT231,$BN$5:$BN$257,0),50)="Ferro Fundido",('Densidade do AR'!$S$12*1000000),IF(INDEX($A$5:$BP$257,MATCH(BT231,$BN$5:$BN$257,0),50)="Latão",('Densidade do AR'!$S$10*1000000),IF(INDEX($A$5:$BP$257,MATCH(BT231,$BN$5:$BN$257,0),50)="Alumínio",('Densidade do AR'!$S$4*1000000)))))))-(((-('Densidade do AR'!$M$4))+('Densidade do AR'!$T$15*1000000))/('Densidade do AR'!$S$14*1000000))))))</f>
        <v>-</v>
      </c>
      <c r="CQ231" s="785"/>
      <c r="CR231" s="785"/>
      <c r="CS231" s="791"/>
      <c r="CT231" s="91" t="str">
        <f t="shared" si="74"/>
        <v>-</v>
      </c>
      <c r="CU231" s="746"/>
      <c r="CV231" s="747"/>
      <c r="CW231" s="784" t="str">
        <f>IF(CU231="","-",(IF(INDEX($A$5:$BP$257,MATCH(CU231,$BN$5:$BN$257,0),50)="Aço Inoxidável",('Densidade do AR'!$S$8*1000000),IF(INDEX($A$5:$BP$257,MATCH(CU231,$BN$5:$BN$257,0),50)="Ferro Fundido",('Densidade do AR'!$S$12*1000000),IF(INDEX($A$5:$BP$257,MATCH(CU231,$BN$5:$BN$257,0),50)="Latão",('Densidade do AR'!$S$10*1000000),IF(INDEX($A$5:$BP$257,MATCH(CU231,$BN$5:$BN$257,0),50)="Alumínio",('Densidade do AR'!$S$4*1000000)))))))</f>
        <v>-</v>
      </c>
      <c r="CX231" s="785"/>
      <c r="CY231" s="785"/>
      <c r="CZ231" s="786"/>
      <c r="DA231" s="787" t="str">
        <f t="shared" si="75"/>
        <v>-</v>
      </c>
      <c r="DB231" s="788"/>
      <c r="DC231" s="788"/>
      <c r="DD231" s="789"/>
      <c r="DE231" s="787" t="str">
        <f t="shared" si="66"/>
        <v>-</v>
      </c>
      <c r="DF231" s="788"/>
      <c r="DG231" s="788"/>
      <c r="DH231" s="789"/>
      <c r="DI231" s="790" t="str">
        <f t="shared" si="76"/>
        <v>-</v>
      </c>
      <c r="DJ231" s="785"/>
      <c r="DK231" s="785"/>
      <c r="DL231" s="786"/>
      <c r="DM231" s="790" t="str">
        <f t="shared" si="67"/>
        <v>-</v>
      </c>
      <c r="DN231" s="785"/>
      <c r="DO231" s="785"/>
      <c r="DP231" s="786"/>
      <c r="DQ231" s="790" t="str">
        <f>IF(CU231="","-",INDEX($A$5:$BP$257,MATCH(CU231,$BN$5:$BN$257,0),39)*(IF(CU231="","-",(1+(((-('Densidade do AR'!$M$4))+('Densidade do AR'!$T$15*1000000))/(IF(INDEX($A$5:$BP$257,MATCH(CU231,$BN$5:$BN$257,0),50)="Aço Inoxidável",('Densidade do AR'!$S$8*1000000),IF(INDEX($A$5:$BP$257,MATCH(CU231,$BN$5:$BN$257,0),50)="Ferro Fundido",('Densidade do AR'!$S$12*1000000),IF(INDEX($A$5:$BP$257,MATCH(CU231,$BN$5:$BN$257,0),50)="Latão",('Densidade do AR'!$S$10*1000000),IF(INDEX($A$5:$BP$257,MATCH(CU231,$BN$5:$BN$257,0),50)="Alumínio",('Densidade do AR'!$S$4*1000000)))))))-(((-('Densidade do AR'!$M$4))+('Densidade do AR'!$T$15*1000000))/('Densidade do AR'!$S$14*1000000))))))</f>
        <v>-</v>
      </c>
      <c r="DR231" s="785"/>
      <c r="DS231" s="785"/>
      <c r="DT231" s="791"/>
      <c r="DU231" s="91" t="str">
        <f t="shared" si="77"/>
        <v>-</v>
      </c>
      <c r="DV231" s="746"/>
      <c r="DW231" s="747"/>
      <c r="DX231" s="784" t="str">
        <f>IF(DV231="","-",(IF(INDEX($A$5:$BP$257,MATCH(DV231,$BN$5:$BN$257,0),50)="Aço Inoxidável",('Densidade do AR'!$S$8*1000000),IF(INDEX($A$5:$BP$257,MATCH(DV231,$BN$5:$BN$257,0),50)="Ferro Fundido",('Densidade do AR'!$S$12*1000000),IF(INDEX($A$5:$BP$257,MATCH(DV231,$BN$5:$BN$257,0),50)="Latão",('Densidade do AR'!$S$10*1000000),IF(INDEX($A$5:$BP$257,MATCH(DV231,$BN$5:$BN$257,0),50)="Alumínio",('Densidade do AR'!$S$4*1000000)))))))</f>
        <v>-</v>
      </c>
      <c r="DY231" s="785"/>
      <c r="DZ231" s="785"/>
      <c r="EA231" s="786"/>
      <c r="EB231" s="787" t="str">
        <f t="shared" si="78"/>
        <v>-</v>
      </c>
      <c r="EC231" s="788"/>
      <c r="ED231" s="788"/>
      <c r="EE231" s="789"/>
      <c r="EF231" s="787" t="str">
        <f t="shared" si="68"/>
        <v>-</v>
      </c>
      <c r="EG231" s="788"/>
      <c r="EH231" s="788"/>
      <c r="EI231" s="789"/>
      <c r="EJ231" s="790" t="str">
        <f t="shared" si="79"/>
        <v>-</v>
      </c>
      <c r="EK231" s="785"/>
      <c r="EL231" s="785"/>
      <c r="EM231" s="786"/>
      <c r="EN231" s="790" t="str">
        <f t="shared" si="69"/>
        <v>-</v>
      </c>
      <c r="EO231" s="785"/>
      <c r="EP231" s="785"/>
      <c r="EQ231" s="786"/>
      <c r="ER231" s="790" t="str">
        <f>IF(DV231="","-",INDEX($A$5:$BP$257,MATCH(DV231,$BN$5:$BN$257,0),39)*(IF(DV231="","-",(1+(((-('Densidade do AR'!$M$4))+('Densidade do AR'!$T$15*1000000))/(IF(INDEX($A$5:$BP$257,MATCH(DV231,$BN$5:$BN$257,0),50)="Aço Inoxidável",('Densidade do AR'!$S$8*1000000),IF(INDEX($A$5:$BP$257,MATCH(DV231,$BN$5:$BN$257,0),50)="Ferro Fundido",('Densidade do AR'!$S$12*1000000),IF(INDEX($A$5:$BP$257,MATCH(DV231,$BN$5:$BN$257,0),50)="Latão",('Densidade do AR'!$S$10*1000000),IF(INDEX($A$5:$BP$257,MATCH(DV231,$BN$5:$BN$257,0),50)="Alumínio",('Densidade do AR'!$S$4*1000000)))))))-(((-('Densidade do AR'!$M$4))+('Densidade do AR'!$T$15*1000000))/('Densidade do AR'!$S$14*1000000))))))</f>
        <v>-</v>
      </c>
      <c r="ES231" s="785"/>
      <c r="ET231" s="785"/>
      <c r="EU231" s="791"/>
      <c r="EV231" s="91" t="str">
        <f t="shared" si="80"/>
        <v>-</v>
      </c>
      <c r="EW231" s="746"/>
      <c r="EX231" s="747"/>
      <c r="EY231" s="784" t="str">
        <f>IF(EW231="","-",(IF(INDEX($A$5:$BP$257,MATCH(EW231,$BN$5:$BN$257,0),50)="Aço Inoxidável",('Densidade do AR'!$S$8*1000000),IF(INDEX($A$5:$BP$257,MATCH(EW231,$BN$5:$BN$257,0),50)="Ferro Fundido",('Densidade do AR'!$S$12*1000000),IF(INDEX($A$5:$BP$257,MATCH(EW231,$BN$5:$BN$257,0),50)="Latão",('Densidade do AR'!$S$10*1000000),IF(INDEX($A$5:$BP$257,MATCH(EW231,$BN$5:$BN$257,0),50)="Alumínio",('Densidade do AR'!$S$4*1000000)))))))</f>
        <v>-</v>
      </c>
      <c r="EZ231" s="785"/>
      <c r="FA231" s="785"/>
      <c r="FB231" s="786"/>
      <c r="FC231" s="787" t="str">
        <f t="shared" si="81"/>
        <v>-</v>
      </c>
      <c r="FD231" s="788"/>
      <c r="FE231" s="788"/>
      <c r="FF231" s="789"/>
      <c r="FG231" s="787" t="str">
        <f t="shared" si="70"/>
        <v>-</v>
      </c>
      <c r="FH231" s="788"/>
      <c r="FI231" s="788"/>
      <c r="FJ231" s="789"/>
      <c r="FK231" s="790" t="str">
        <f t="shared" si="82"/>
        <v>-</v>
      </c>
      <c r="FL231" s="785"/>
      <c r="FM231" s="785"/>
      <c r="FN231" s="786"/>
      <c r="FO231" s="790" t="str">
        <f t="shared" si="71"/>
        <v>-</v>
      </c>
      <c r="FP231" s="785"/>
      <c r="FQ231" s="785"/>
      <c r="FR231" s="786"/>
      <c r="FS231" s="790" t="str">
        <f>IF(EW231="","-",INDEX($A$5:$BP$257,MATCH(EW231,$BN$5:$BN$257,0),39)*(IF(EW231="","-",(1+(((-('Densidade do AR'!$M$4))+('Densidade do AR'!$T$15*1000000))/(IF(INDEX($A$5:$BP$257,MATCH(EW231,$BN$5:$BN$257,0),50)="Aço Inoxidável",('Densidade do AR'!$S$8*1000000),IF(INDEX($A$5:$BP$257,MATCH(EW231,$BN$5:$BN$257,0),50)="Ferro Fundido",('Densidade do AR'!$S$12*1000000),IF(INDEX($A$5:$BP$257,MATCH(EW231,$BN$5:$BN$257,0),50)="Latão",('Densidade do AR'!$S$10*1000000),IF(INDEX($A$5:$BP$257,MATCH(EW231,$BN$5:$BN$257,0),50)="Alumínio",('Densidade do AR'!$S$4*1000000)))))))-(((-('Densidade do AR'!$M$4))+('Densidade do AR'!$T$15*1000000))/('Densidade do AR'!$S$14*1000000))))))</f>
        <v>-</v>
      </c>
      <c r="FT231" s="785"/>
      <c r="FU231" s="785"/>
      <c r="FV231" s="791"/>
      <c r="FW231" s="91" t="str">
        <f t="shared" si="83"/>
        <v>-</v>
      </c>
      <c r="FX231" s="135"/>
    </row>
    <row r="232" spans="1:180" ht="12.75" customHeight="1" x14ac:dyDescent="0.2">
      <c r="A232" s="718">
        <v>228</v>
      </c>
      <c r="B232" s="713"/>
      <c r="C232" s="719"/>
      <c r="D232" s="709"/>
      <c r="E232" s="709"/>
      <c r="F232" s="709"/>
      <c r="G232" s="710"/>
      <c r="H232" s="720"/>
      <c r="I232" s="712"/>
      <c r="J232" s="712"/>
      <c r="K232" s="713"/>
      <c r="L232" s="719"/>
      <c r="M232" s="709"/>
      <c r="N232" s="709"/>
      <c r="O232" s="709"/>
      <c r="P232" s="719"/>
      <c r="Q232" s="709"/>
      <c r="R232" s="709"/>
      <c r="S232" s="709"/>
      <c r="T232" s="710"/>
      <c r="U232" s="721"/>
      <c r="V232" s="722"/>
      <c r="W232" s="722"/>
      <c r="X232" s="722"/>
      <c r="Y232" s="722"/>
      <c r="Z232" s="722"/>
      <c r="AA232" s="723"/>
      <c r="AB232" s="853"/>
      <c r="AC232" s="854"/>
      <c r="AD232" s="854"/>
      <c r="AE232" s="854"/>
      <c r="AF232" s="854"/>
      <c r="AG232" s="854"/>
      <c r="AH232" s="854"/>
      <c r="AI232" s="854"/>
      <c r="AJ232" s="854"/>
      <c r="AK232" s="854"/>
      <c r="AL232" s="855"/>
      <c r="AM232" s="909"/>
      <c r="AN232" s="712"/>
      <c r="AO232" s="712"/>
      <c r="AP232" s="712"/>
      <c r="AQ232" s="712"/>
      <c r="AR232" s="712"/>
      <c r="AS232" s="713"/>
      <c r="AT232" s="909"/>
      <c r="AU232" s="712"/>
      <c r="AV232" s="712"/>
      <c r="AW232" s="713"/>
      <c r="AX232" s="908"/>
      <c r="AY232" s="712"/>
      <c r="AZ232" s="712"/>
      <c r="BA232" s="712"/>
      <c r="BB232" s="712"/>
      <c r="BC232" s="713"/>
      <c r="BD232" s="909"/>
      <c r="BE232" s="712"/>
      <c r="BF232" s="712"/>
      <c r="BG232" s="713"/>
      <c r="BH232" s="908"/>
      <c r="BI232" s="712"/>
      <c r="BJ232" s="712"/>
      <c r="BK232" s="712"/>
      <c r="BL232" s="910"/>
      <c r="BN232" s="881"/>
      <c r="BO232" s="709"/>
      <c r="BP232" s="884"/>
      <c r="BT232" s="736"/>
      <c r="BU232" s="737"/>
      <c r="BV232" s="738" t="str">
        <f>IF(BT232="","-",(IF(INDEX($A$5:$BP$257,MATCH(BT232,$BN$5:$BN$257,0),50)="Aço Inoxidável",('Densidade do AR'!$S$8*1000000),IF(INDEX($A$5:$BP$257,MATCH(BT232,$BN$5:$BN$257,0),50)="Ferro Fundido",('Densidade do AR'!$S$12*1000000),IF(INDEX($A$5:$BP$257,MATCH(BT232,$BN$5:$BN$257,0),50)="Latão",('Densidade do AR'!$S$10*1000000),IF(INDEX($A$5:$BP$257,MATCH(BT232,$BN$5:$BN$257,0),50)="Alumínio",('Densidade do AR'!$S$4*1000000)))))))</f>
        <v>-</v>
      </c>
      <c r="BW232" s="739"/>
      <c r="BX232" s="739"/>
      <c r="BY232" s="740"/>
      <c r="BZ232" s="741" t="str">
        <f t="shared" si="72"/>
        <v>-</v>
      </c>
      <c r="CA232" s="742"/>
      <c r="CB232" s="742"/>
      <c r="CC232" s="743"/>
      <c r="CD232" s="741" t="str">
        <f t="shared" si="64"/>
        <v>-</v>
      </c>
      <c r="CE232" s="742"/>
      <c r="CF232" s="742"/>
      <c r="CG232" s="743"/>
      <c r="CH232" s="744" t="str">
        <f t="shared" si="73"/>
        <v>-</v>
      </c>
      <c r="CI232" s="739"/>
      <c r="CJ232" s="739"/>
      <c r="CK232" s="740"/>
      <c r="CL232" s="744" t="str">
        <f t="shared" si="65"/>
        <v>-</v>
      </c>
      <c r="CM232" s="739"/>
      <c r="CN232" s="739"/>
      <c r="CO232" s="740"/>
      <c r="CP232" s="744" t="str">
        <f>IF(BT232="","-",INDEX($A$5:$BP$257,MATCH(BT232,$BN$5:$BN$257,0),39)*(IF(BT232="","-",(1+(((-('Densidade do AR'!$M$4))+('Densidade do AR'!$T$15*1000000))/(IF(INDEX($A$5:$BP$257,MATCH(BT232,$BN$5:$BN$257,0),50)="Aço Inoxidável",('Densidade do AR'!$S$8*1000000),IF(INDEX($A$5:$BP$257,MATCH(BT232,$BN$5:$BN$257,0),50)="Ferro Fundido",('Densidade do AR'!$S$12*1000000),IF(INDEX($A$5:$BP$257,MATCH(BT232,$BN$5:$BN$257,0),50)="Latão",('Densidade do AR'!$S$10*1000000),IF(INDEX($A$5:$BP$257,MATCH(BT232,$BN$5:$BN$257,0),50)="Alumínio",('Densidade do AR'!$S$4*1000000)))))))-(((-('Densidade do AR'!$M$4))+('Densidade do AR'!$T$15*1000000))/('Densidade do AR'!$S$14*1000000))))))</f>
        <v>-</v>
      </c>
      <c r="CQ232" s="739"/>
      <c r="CR232" s="739"/>
      <c r="CS232" s="745"/>
      <c r="CT232" s="91" t="str">
        <f t="shared" si="74"/>
        <v>-</v>
      </c>
      <c r="CU232" s="736"/>
      <c r="CV232" s="737"/>
      <c r="CW232" s="738" t="str">
        <f>IF(CU232="","-",(IF(INDEX($A$5:$BP$257,MATCH(CU232,$BN$5:$BN$257,0),50)="Aço Inoxidável",('Densidade do AR'!$S$8*1000000),IF(INDEX($A$5:$BP$257,MATCH(CU232,$BN$5:$BN$257,0),50)="Ferro Fundido",('Densidade do AR'!$S$12*1000000),IF(INDEX($A$5:$BP$257,MATCH(CU232,$BN$5:$BN$257,0),50)="Latão",('Densidade do AR'!$S$10*1000000),IF(INDEX($A$5:$BP$257,MATCH(CU232,$BN$5:$BN$257,0),50)="Alumínio",('Densidade do AR'!$S$4*1000000)))))))</f>
        <v>-</v>
      </c>
      <c r="CX232" s="739"/>
      <c r="CY232" s="739"/>
      <c r="CZ232" s="740"/>
      <c r="DA232" s="741" t="str">
        <f t="shared" si="75"/>
        <v>-</v>
      </c>
      <c r="DB232" s="742"/>
      <c r="DC232" s="742"/>
      <c r="DD232" s="743"/>
      <c r="DE232" s="741" t="str">
        <f t="shared" si="66"/>
        <v>-</v>
      </c>
      <c r="DF232" s="742"/>
      <c r="DG232" s="742"/>
      <c r="DH232" s="743"/>
      <c r="DI232" s="744" t="str">
        <f t="shared" si="76"/>
        <v>-</v>
      </c>
      <c r="DJ232" s="739"/>
      <c r="DK232" s="739"/>
      <c r="DL232" s="740"/>
      <c r="DM232" s="744" t="str">
        <f t="shared" si="67"/>
        <v>-</v>
      </c>
      <c r="DN232" s="739"/>
      <c r="DO232" s="739"/>
      <c r="DP232" s="740"/>
      <c r="DQ232" s="744" t="str">
        <f>IF(CU232="","-",INDEX($A$5:$BP$257,MATCH(CU232,$BN$5:$BN$257,0),39)*(IF(CU232="","-",(1+(((-('Densidade do AR'!$M$4))+('Densidade do AR'!$T$15*1000000))/(IF(INDEX($A$5:$BP$257,MATCH(CU232,$BN$5:$BN$257,0),50)="Aço Inoxidável",('Densidade do AR'!$S$8*1000000),IF(INDEX($A$5:$BP$257,MATCH(CU232,$BN$5:$BN$257,0),50)="Ferro Fundido",('Densidade do AR'!$S$12*1000000),IF(INDEX($A$5:$BP$257,MATCH(CU232,$BN$5:$BN$257,0),50)="Latão",('Densidade do AR'!$S$10*1000000),IF(INDEX($A$5:$BP$257,MATCH(CU232,$BN$5:$BN$257,0),50)="Alumínio",('Densidade do AR'!$S$4*1000000)))))))-(((-('Densidade do AR'!$M$4))+('Densidade do AR'!$T$15*1000000))/('Densidade do AR'!$S$14*1000000))))))</f>
        <v>-</v>
      </c>
      <c r="DR232" s="739"/>
      <c r="DS232" s="739"/>
      <c r="DT232" s="745"/>
      <c r="DU232" s="91" t="str">
        <f t="shared" si="77"/>
        <v>-</v>
      </c>
      <c r="DV232" s="736"/>
      <c r="DW232" s="737"/>
      <c r="DX232" s="738" t="str">
        <f>IF(DV232="","-",(IF(INDEX($A$5:$BP$257,MATCH(DV232,$BN$5:$BN$257,0),50)="Aço Inoxidável",('Densidade do AR'!$S$8*1000000),IF(INDEX($A$5:$BP$257,MATCH(DV232,$BN$5:$BN$257,0),50)="Ferro Fundido",('Densidade do AR'!$S$12*1000000),IF(INDEX($A$5:$BP$257,MATCH(DV232,$BN$5:$BN$257,0),50)="Latão",('Densidade do AR'!$S$10*1000000),IF(INDEX($A$5:$BP$257,MATCH(DV232,$BN$5:$BN$257,0),50)="Alumínio",('Densidade do AR'!$S$4*1000000)))))))</f>
        <v>-</v>
      </c>
      <c r="DY232" s="739"/>
      <c r="DZ232" s="739"/>
      <c r="EA232" s="740"/>
      <c r="EB232" s="741" t="str">
        <f t="shared" si="78"/>
        <v>-</v>
      </c>
      <c r="EC232" s="742"/>
      <c r="ED232" s="742"/>
      <c r="EE232" s="743"/>
      <c r="EF232" s="741" t="str">
        <f t="shared" si="68"/>
        <v>-</v>
      </c>
      <c r="EG232" s="742"/>
      <c r="EH232" s="742"/>
      <c r="EI232" s="743"/>
      <c r="EJ232" s="744" t="str">
        <f t="shared" si="79"/>
        <v>-</v>
      </c>
      <c r="EK232" s="739"/>
      <c r="EL232" s="739"/>
      <c r="EM232" s="740"/>
      <c r="EN232" s="744" t="str">
        <f t="shared" si="69"/>
        <v>-</v>
      </c>
      <c r="EO232" s="739"/>
      <c r="EP232" s="739"/>
      <c r="EQ232" s="740"/>
      <c r="ER232" s="744" t="str">
        <f>IF(DV232="","-",INDEX($A$5:$BP$257,MATCH(DV232,$BN$5:$BN$257,0),39)*(IF(DV232="","-",(1+(((-('Densidade do AR'!$M$4))+('Densidade do AR'!$T$15*1000000))/(IF(INDEX($A$5:$BP$257,MATCH(DV232,$BN$5:$BN$257,0),50)="Aço Inoxidável",('Densidade do AR'!$S$8*1000000),IF(INDEX($A$5:$BP$257,MATCH(DV232,$BN$5:$BN$257,0),50)="Ferro Fundido",('Densidade do AR'!$S$12*1000000),IF(INDEX($A$5:$BP$257,MATCH(DV232,$BN$5:$BN$257,0),50)="Latão",('Densidade do AR'!$S$10*1000000),IF(INDEX($A$5:$BP$257,MATCH(DV232,$BN$5:$BN$257,0),50)="Alumínio",('Densidade do AR'!$S$4*1000000)))))))-(((-('Densidade do AR'!$M$4))+('Densidade do AR'!$T$15*1000000))/('Densidade do AR'!$S$14*1000000))))))</f>
        <v>-</v>
      </c>
      <c r="ES232" s="739"/>
      <c r="ET232" s="739"/>
      <c r="EU232" s="745"/>
      <c r="EV232" s="91" t="str">
        <f t="shared" si="80"/>
        <v>-</v>
      </c>
      <c r="EW232" s="736"/>
      <c r="EX232" s="737"/>
      <c r="EY232" s="738" t="str">
        <f>IF(EW232="","-",(IF(INDEX($A$5:$BP$257,MATCH(EW232,$BN$5:$BN$257,0),50)="Aço Inoxidável",('Densidade do AR'!$S$8*1000000),IF(INDEX($A$5:$BP$257,MATCH(EW232,$BN$5:$BN$257,0),50)="Ferro Fundido",('Densidade do AR'!$S$12*1000000),IF(INDEX($A$5:$BP$257,MATCH(EW232,$BN$5:$BN$257,0),50)="Latão",('Densidade do AR'!$S$10*1000000),IF(INDEX($A$5:$BP$257,MATCH(EW232,$BN$5:$BN$257,0),50)="Alumínio",('Densidade do AR'!$S$4*1000000)))))))</f>
        <v>-</v>
      </c>
      <c r="EZ232" s="739"/>
      <c r="FA232" s="739"/>
      <c r="FB232" s="740"/>
      <c r="FC232" s="741" t="str">
        <f t="shared" si="81"/>
        <v>-</v>
      </c>
      <c r="FD232" s="742"/>
      <c r="FE232" s="742"/>
      <c r="FF232" s="743"/>
      <c r="FG232" s="741" t="str">
        <f t="shared" si="70"/>
        <v>-</v>
      </c>
      <c r="FH232" s="742"/>
      <c r="FI232" s="742"/>
      <c r="FJ232" s="743"/>
      <c r="FK232" s="744" t="str">
        <f t="shared" si="82"/>
        <v>-</v>
      </c>
      <c r="FL232" s="739"/>
      <c r="FM232" s="739"/>
      <c r="FN232" s="740"/>
      <c r="FO232" s="744" t="str">
        <f t="shared" si="71"/>
        <v>-</v>
      </c>
      <c r="FP232" s="739"/>
      <c r="FQ232" s="739"/>
      <c r="FR232" s="740"/>
      <c r="FS232" s="744" t="str">
        <f>IF(EW232="","-",INDEX($A$5:$BP$257,MATCH(EW232,$BN$5:$BN$257,0),39)*(IF(EW232="","-",(1+(((-('Densidade do AR'!$M$4))+('Densidade do AR'!$T$15*1000000))/(IF(INDEX($A$5:$BP$257,MATCH(EW232,$BN$5:$BN$257,0),50)="Aço Inoxidável",('Densidade do AR'!$S$8*1000000),IF(INDEX($A$5:$BP$257,MATCH(EW232,$BN$5:$BN$257,0),50)="Ferro Fundido",('Densidade do AR'!$S$12*1000000),IF(INDEX($A$5:$BP$257,MATCH(EW232,$BN$5:$BN$257,0),50)="Latão",('Densidade do AR'!$S$10*1000000),IF(INDEX($A$5:$BP$257,MATCH(EW232,$BN$5:$BN$257,0),50)="Alumínio",('Densidade do AR'!$S$4*1000000)))))))-(((-('Densidade do AR'!$M$4))+('Densidade do AR'!$T$15*1000000))/('Densidade do AR'!$S$14*1000000))))))</f>
        <v>-</v>
      </c>
      <c r="FT232" s="739"/>
      <c r="FU232" s="739"/>
      <c r="FV232" s="745"/>
      <c r="FW232" s="91" t="str">
        <f t="shared" si="83"/>
        <v>-</v>
      </c>
      <c r="FX232" s="135"/>
    </row>
    <row r="233" spans="1:180" ht="12.75" customHeight="1" x14ac:dyDescent="0.2">
      <c r="A233" s="717">
        <v>229</v>
      </c>
      <c r="B233" s="713"/>
      <c r="C233" s="708"/>
      <c r="D233" s="709"/>
      <c r="E233" s="709"/>
      <c r="F233" s="709"/>
      <c r="G233" s="710"/>
      <c r="H233" s="711"/>
      <c r="I233" s="712"/>
      <c r="J233" s="712"/>
      <c r="K233" s="713"/>
      <c r="L233" s="708"/>
      <c r="M233" s="709"/>
      <c r="N233" s="709"/>
      <c r="O233" s="709"/>
      <c r="P233" s="708"/>
      <c r="Q233" s="709"/>
      <c r="R233" s="709"/>
      <c r="S233" s="709"/>
      <c r="T233" s="710"/>
      <c r="U233" s="714"/>
      <c r="V233" s="715"/>
      <c r="W233" s="715"/>
      <c r="X233" s="715"/>
      <c r="Y233" s="715"/>
      <c r="Z233" s="715"/>
      <c r="AA233" s="716"/>
      <c r="AB233" s="850"/>
      <c r="AC233" s="851"/>
      <c r="AD233" s="851"/>
      <c r="AE233" s="851"/>
      <c r="AF233" s="851"/>
      <c r="AG233" s="851"/>
      <c r="AH233" s="851"/>
      <c r="AI233" s="851"/>
      <c r="AJ233" s="851"/>
      <c r="AK233" s="851"/>
      <c r="AL233" s="852"/>
      <c r="AM233" s="917"/>
      <c r="AN233" s="712"/>
      <c r="AO233" s="712"/>
      <c r="AP233" s="712"/>
      <c r="AQ233" s="712"/>
      <c r="AR233" s="712"/>
      <c r="AS233" s="713"/>
      <c r="AT233" s="917"/>
      <c r="AU233" s="712"/>
      <c r="AV233" s="712"/>
      <c r="AW233" s="713"/>
      <c r="AX233" s="917"/>
      <c r="AY233" s="712"/>
      <c r="AZ233" s="712"/>
      <c r="BA233" s="712"/>
      <c r="BB233" s="712"/>
      <c r="BC233" s="713"/>
      <c r="BD233" s="917"/>
      <c r="BE233" s="712"/>
      <c r="BF233" s="712"/>
      <c r="BG233" s="713"/>
      <c r="BH233" s="918"/>
      <c r="BI233" s="712"/>
      <c r="BJ233" s="712"/>
      <c r="BK233" s="712"/>
      <c r="BL233" s="910"/>
      <c r="BN233" s="878"/>
      <c r="BO233" s="709"/>
      <c r="BP233" s="884"/>
      <c r="BT233" s="746"/>
      <c r="BU233" s="747"/>
      <c r="BV233" s="784" t="str">
        <f>IF(BT233="","-",(IF(INDEX($A$5:$BP$257,MATCH(BT233,$BN$5:$BN$257,0),50)="Aço Inoxidável",('Densidade do AR'!$S$8*1000000),IF(INDEX($A$5:$BP$257,MATCH(BT233,$BN$5:$BN$257,0),50)="Ferro Fundido",('Densidade do AR'!$S$12*1000000),IF(INDEX($A$5:$BP$257,MATCH(BT233,$BN$5:$BN$257,0),50)="Latão",('Densidade do AR'!$S$10*1000000),IF(INDEX($A$5:$BP$257,MATCH(BT233,$BN$5:$BN$257,0),50)="Alumínio",('Densidade do AR'!$S$4*1000000)))))))</f>
        <v>-</v>
      </c>
      <c r="BW233" s="785"/>
      <c r="BX233" s="785"/>
      <c r="BY233" s="786"/>
      <c r="BZ233" s="787" t="str">
        <f t="shared" si="72"/>
        <v>-</v>
      </c>
      <c r="CA233" s="788"/>
      <c r="CB233" s="788"/>
      <c r="CC233" s="789"/>
      <c r="CD233" s="787" t="str">
        <f t="shared" si="64"/>
        <v>-</v>
      </c>
      <c r="CE233" s="788"/>
      <c r="CF233" s="788"/>
      <c r="CG233" s="789"/>
      <c r="CH233" s="790" t="str">
        <f t="shared" si="73"/>
        <v>-</v>
      </c>
      <c r="CI233" s="785"/>
      <c r="CJ233" s="785"/>
      <c r="CK233" s="786"/>
      <c r="CL233" s="790" t="str">
        <f t="shared" si="65"/>
        <v>-</v>
      </c>
      <c r="CM233" s="785"/>
      <c r="CN233" s="785"/>
      <c r="CO233" s="786"/>
      <c r="CP233" s="790" t="str">
        <f>IF(BT233="","-",INDEX($A$5:$BP$257,MATCH(BT233,$BN$5:$BN$257,0),39)*(IF(BT233="","-",(1+(((-('Densidade do AR'!$M$4))+('Densidade do AR'!$T$15*1000000))/(IF(INDEX($A$5:$BP$257,MATCH(BT233,$BN$5:$BN$257,0),50)="Aço Inoxidável",('Densidade do AR'!$S$8*1000000),IF(INDEX($A$5:$BP$257,MATCH(BT233,$BN$5:$BN$257,0),50)="Ferro Fundido",('Densidade do AR'!$S$12*1000000),IF(INDEX($A$5:$BP$257,MATCH(BT233,$BN$5:$BN$257,0),50)="Latão",('Densidade do AR'!$S$10*1000000),IF(INDEX($A$5:$BP$257,MATCH(BT233,$BN$5:$BN$257,0),50)="Alumínio",('Densidade do AR'!$S$4*1000000)))))))-(((-('Densidade do AR'!$M$4))+('Densidade do AR'!$T$15*1000000))/('Densidade do AR'!$S$14*1000000))))))</f>
        <v>-</v>
      </c>
      <c r="CQ233" s="785"/>
      <c r="CR233" s="785"/>
      <c r="CS233" s="791"/>
      <c r="CT233" s="91" t="str">
        <f t="shared" si="74"/>
        <v>-</v>
      </c>
      <c r="CU233" s="746"/>
      <c r="CV233" s="747"/>
      <c r="CW233" s="784" t="str">
        <f>IF(CU233="","-",(IF(INDEX($A$5:$BP$257,MATCH(CU233,$BN$5:$BN$257,0),50)="Aço Inoxidável",('Densidade do AR'!$S$8*1000000),IF(INDEX($A$5:$BP$257,MATCH(CU233,$BN$5:$BN$257,0),50)="Ferro Fundido",('Densidade do AR'!$S$12*1000000),IF(INDEX($A$5:$BP$257,MATCH(CU233,$BN$5:$BN$257,0),50)="Latão",('Densidade do AR'!$S$10*1000000),IF(INDEX($A$5:$BP$257,MATCH(CU233,$BN$5:$BN$257,0),50)="Alumínio",('Densidade do AR'!$S$4*1000000)))))))</f>
        <v>-</v>
      </c>
      <c r="CX233" s="785"/>
      <c r="CY233" s="785"/>
      <c r="CZ233" s="786"/>
      <c r="DA233" s="787" t="str">
        <f t="shared" si="75"/>
        <v>-</v>
      </c>
      <c r="DB233" s="788"/>
      <c r="DC233" s="788"/>
      <c r="DD233" s="789"/>
      <c r="DE233" s="787" t="str">
        <f t="shared" si="66"/>
        <v>-</v>
      </c>
      <c r="DF233" s="788"/>
      <c r="DG233" s="788"/>
      <c r="DH233" s="789"/>
      <c r="DI233" s="790" t="str">
        <f t="shared" si="76"/>
        <v>-</v>
      </c>
      <c r="DJ233" s="785"/>
      <c r="DK233" s="785"/>
      <c r="DL233" s="786"/>
      <c r="DM233" s="790" t="str">
        <f t="shared" si="67"/>
        <v>-</v>
      </c>
      <c r="DN233" s="785"/>
      <c r="DO233" s="785"/>
      <c r="DP233" s="786"/>
      <c r="DQ233" s="790" t="str">
        <f>IF(CU233="","-",INDEX($A$5:$BP$257,MATCH(CU233,$BN$5:$BN$257,0),39)*(IF(CU233="","-",(1+(((-('Densidade do AR'!$M$4))+('Densidade do AR'!$T$15*1000000))/(IF(INDEX($A$5:$BP$257,MATCH(CU233,$BN$5:$BN$257,0),50)="Aço Inoxidável",('Densidade do AR'!$S$8*1000000),IF(INDEX($A$5:$BP$257,MATCH(CU233,$BN$5:$BN$257,0),50)="Ferro Fundido",('Densidade do AR'!$S$12*1000000),IF(INDEX($A$5:$BP$257,MATCH(CU233,$BN$5:$BN$257,0),50)="Latão",('Densidade do AR'!$S$10*1000000),IF(INDEX($A$5:$BP$257,MATCH(CU233,$BN$5:$BN$257,0),50)="Alumínio",('Densidade do AR'!$S$4*1000000)))))))-(((-('Densidade do AR'!$M$4))+('Densidade do AR'!$T$15*1000000))/('Densidade do AR'!$S$14*1000000))))))</f>
        <v>-</v>
      </c>
      <c r="DR233" s="785"/>
      <c r="DS233" s="785"/>
      <c r="DT233" s="791"/>
      <c r="DU233" s="91" t="str">
        <f t="shared" si="77"/>
        <v>-</v>
      </c>
      <c r="DV233" s="746"/>
      <c r="DW233" s="747"/>
      <c r="DX233" s="784" t="str">
        <f>IF(DV233="","-",(IF(INDEX($A$5:$BP$257,MATCH(DV233,$BN$5:$BN$257,0),50)="Aço Inoxidável",('Densidade do AR'!$S$8*1000000),IF(INDEX($A$5:$BP$257,MATCH(DV233,$BN$5:$BN$257,0),50)="Ferro Fundido",('Densidade do AR'!$S$12*1000000),IF(INDEX($A$5:$BP$257,MATCH(DV233,$BN$5:$BN$257,0),50)="Latão",('Densidade do AR'!$S$10*1000000),IF(INDEX($A$5:$BP$257,MATCH(DV233,$BN$5:$BN$257,0),50)="Alumínio",('Densidade do AR'!$S$4*1000000)))))))</f>
        <v>-</v>
      </c>
      <c r="DY233" s="785"/>
      <c r="DZ233" s="785"/>
      <c r="EA233" s="786"/>
      <c r="EB233" s="787" t="str">
        <f t="shared" si="78"/>
        <v>-</v>
      </c>
      <c r="EC233" s="788"/>
      <c r="ED233" s="788"/>
      <c r="EE233" s="789"/>
      <c r="EF233" s="787" t="str">
        <f t="shared" si="68"/>
        <v>-</v>
      </c>
      <c r="EG233" s="788"/>
      <c r="EH233" s="788"/>
      <c r="EI233" s="789"/>
      <c r="EJ233" s="790" t="str">
        <f t="shared" si="79"/>
        <v>-</v>
      </c>
      <c r="EK233" s="785"/>
      <c r="EL233" s="785"/>
      <c r="EM233" s="786"/>
      <c r="EN233" s="790" t="str">
        <f t="shared" si="69"/>
        <v>-</v>
      </c>
      <c r="EO233" s="785"/>
      <c r="EP233" s="785"/>
      <c r="EQ233" s="786"/>
      <c r="ER233" s="790" t="str">
        <f>IF(DV233="","-",INDEX($A$5:$BP$257,MATCH(DV233,$BN$5:$BN$257,0),39)*(IF(DV233="","-",(1+(((-('Densidade do AR'!$M$4))+('Densidade do AR'!$T$15*1000000))/(IF(INDEX($A$5:$BP$257,MATCH(DV233,$BN$5:$BN$257,0),50)="Aço Inoxidável",('Densidade do AR'!$S$8*1000000),IF(INDEX($A$5:$BP$257,MATCH(DV233,$BN$5:$BN$257,0),50)="Ferro Fundido",('Densidade do AR'!$S$12*1000000),IF(INDEX($A$5:$BP$257,MATCH(DV233,$BN$5:$BN$257,0),50)="Latão",('Densidade do AR'!$S$10*1000000),IF(INDEX($A$5:$BP$257,MATCH(DV233,$BN$5:$BN$257,0),50)="Alumínio",('Densidade do AR'!$S$4*1000000)))))))-(((-('Densidade do AR'!$M$4))+('Densidade do AR'!$T$15*1000000))/('Densidade do AR'!$S$14*1000000))))))</f>
        <v>-</v>
      </c>
      <c r="ES233" s="785"/>
      <c r="ET233" s="785"/>
      <c r="EU233" s="791"/>
      <c r="EV233" s="91" t="str">
        <f t="shared" si="80"/>
        <v>-</v>
      </c>
      <c r="EW233" s="746"/>
      <c r="EX233" s="747"/>
      <c r="EY233" s="784" t="str">
        <f>IF(EW233="","-",(IF(INDEX($A$5:$BP$257,MATCH(EW233,$BN$5:$BN$257,0),50)="Aço Inoxidável",('Densidade do AR'!$S$8*1000000),IF(INDEX($A$5:$BP$257,MATCH(EW233,$BN$5:$BN$257,0),50)="Ferro Fundido",('Densidade do AR'!$S$12*1000000),IF(INDEX($A$5:$BP$257,MATCH(EW233,$BN$5:$BN$257,0),50)="Latão",('Densidade do AR'!$S$10*1000000),IF(INDEX($A$5:$BP$257,MATCH(EW233,$BN$5:$BN$257,0),50)="Alumínio",('Densidade do AR'!$S$4*1000000)))))))</f>
        <v>-</v>
      </c>
      <c r="EZ233" s="785"/>
      <c r="FA233" s="785"/>
      <c r="FB233" s="786"/>
      <c r="FC233" s="787" t="str">
        <f t="shared" si="81"/>
        <v>-</v>
      </c>
      <c r="FD233" s="788"/>
      <c r="FE233" s="788"/>
      <c r="FF233" s="789"/>
      <c r="FG233" s="787" t="str">
        <f t="shared" si="70"/>
        <v>-</v>
      </c>
      <c r="FH233" s="788"/>
      <c r="FI233" s="788"/>
      <c r="FJ233" s="789"/>
      <c r="FK233" s="790" t="str">
        <f t="shared" si="82"/>
        <v>-</v>
      </c>
      <c r="FL233" s="785"/>
      <c r="FM233" s="785"/>
      <c r="FN233" s="786"/>
      <c r="FO233" s="790" t="str">
        <f t="shared" si="71"/>
        <v>-</v>
      </c>
      <c r="FP233" s="785"/>
      <c r="FQ233" s="785"/>
      <c r="FR233" s="786"/>
      <c r="FS233" s="790" t="str">
        <f>IF(EW233="","-",INDEX($A$5:$BP$257,MATCH(EW233,$BN$5:$BN$257,0),39)*(IF(EW233="","-",(1+(((-('Densidade do AR'!$M$4))+('Densidade do AR'!$T$15*1000000))/(IF(INDEX($A$5:$BP$257,MATCH(EW233,$BN$5:$BN$257,0),50)="Aço Inoxidável",('Densidade do AR'!$S$8*1000000),IF(INDEX($A$5:$BP$257,MATCH(EW233,$BN$5:$BN$257,0),50)="Ferro Fundido",('Densidade do AR'!$S$12*1000000),IF(INDEX($A$5:$BP$257,MATCH(EW233,$BN$5:$BN$257,0),50)="Latão",('Densidade do AR'!$S$10*1000000),IF(INDEX($A$5:$BP$257,MATCH(EW233,$BN$5:$BN$257,0),50)="Alumínio",('Densidade do AR'!$S$4*1000000)))))))-(((-('Densidade do AR'!$M$4))+('Densidade do AR'!$T$15*1000000))/('Densidade do AR'!$S$14*1000000))))))</f>
        <v>-</v>
      </c>
      <c r="FT233" s="785"/>
      <c r="FU233" s="785"/>
      <c r="FV233" s="791"/>
      <c r="FW233" s="91" t="str">
        <f t="shared" si="83"/>
        <v>-</v>
      </c>
      <c r="FX233" s="135"/>
    </row>
    <row r="234" spans="1:180" ht="12.75" customHeight="1" x14ac:dyDescent="0.2">
      <c r="A234" s="718">
        <v>230</v>
      </c>
      <c r="B234" s="713"/>
      <c r="C234" s="719"/>
      <c r="D234" s="709"/>
      <c r="E234" s="709"/>
      <c r="F234" s="709"/>
      <c r="G234" s="710"/>
      <c r="H234" s="720"/>
      <c r="I234" s="712"/>
      <c r="J234" s="712"/>
      <c r="K234" s="713"/>
      <c r="L234" s="719"/>
      <c r="M234" s="709"/>
      <c r="N234" s="709"/>
      <c r="O234" s="709"/>
      <c r="P234" s="719"/>
      <c r="Q234" s="709"/>
      <c r="R234" s="709"/>
      <c r="S234" s="709"/>
      <c r="T234" s="710"/>
      <c r="U234" s="721"/>
      <c r="V234" s="722"/>
      <c r="W234" s="722"/>
      <c r="X234" s="722"/>
      <c r="Y234" s="722"/>
      <c r="Z234" s="722"/>
      <c r="AA234" s="723"/>
      <c r="AB234" s="853"/>
      <c r="AC234" s="854"/>
      <c r="AD234" s="854"/>
      <c r="AE234" s="854"/>
      <c r="AF234" s="854"/>
      <c r="AG234" s="854"/>
      <c r="AH234" s="854"/>
      <c r="AI234" s="854"/>
      <c r="AJ234" s="854"/>
      <c r="AK234" s="854"/>
      <c r="AL234" s="855"/>
      <c r="AM234" s="909"/>
      <c r="AN234" s="712"/>
      <c r="AO234" s="712"/>
      <c r="AP234" s="712"/>
      <c r="AQ234" s="712"/>
      <c r="AR234" s="712"/>
      <c r="AS234" s="713"/>
      <c r="AT234" s="909"/>
      <c r="AU234" s="712"/>
      <c r="AV234" s="712"/>
      <c r="AW234" s="713"/>
      <c r="AX234" s="908"/>
      <c r="AY234" s="712"/>
      <c r="AZ234" s="712"/>
      <c r="BA234" s="712"/>
      <c r="BB234" s="712"/>
      <c r="BC234" s="713"/>
      <c r="BD234" s="909"/>
      <c r="BE234" s="712"/>
      <c r="BF234" s="712"/>
      <c r="BG234" s="713"/>
      <c r="BH234" s="908"/>
      <c r="BI234" s="712"/>
      <c r="BJ234" s="712"/>
      <c r="BK234" s="712"/>
      <c r="BL234" s="910"/>
      <c r="BN234" s="881"/>
      <c r="BO234" s="709"/>
      <c r="BP234" s="884"/>
      <c r="BT234" s="736"/>
      <c r="BU234" s="737"/>
      <c r="BV234" s="738" t="str">
        <f>IF(BT234="","-",(IF(INDEX($A$5:$BP$257,MATCH(BT234,$BN$5:$BN$257,0),50)="Aço Inoxidável",('Densidade do AR'!$S$8*1000000),IF(INDEX($A$5:$BP$257,MATCH(BT234,$BN$5:$BN$257,0),50)="Ferro Fundido",('Densidade do AR'!$S$12*1000000),IF(INDEX($A$5:$BP$257,MATCH(BT234,$BN$5:$BN$257,0),50)="Latão",('Densidade do AR'!$S$10*1000000),IF(INDEX($A$5:$BP$257,MATCH(BT234,$BN$5:$BN$257,0),50)="Alumínio",('Densidade do AR'!$S$4*1000000)))))))</f>
        <v>-</v>
      </c>
      <c r="BW234" s="739"/>
      <c r="BX234" s="739"/>
      <c r="BY234" s="740"/>
      <c r="BZ234" s="741" t="str">
        <f t="shared" si="72"/>
        <v>-</v>
      </c>
      <c r="CA234" s="742"/>
      <c r="CB234" s="742"/>
      <c r="CC234" s="743"/>
      <c r="CD234" s="741" t="str">
        <f t="shared" si="64"/>
        <v>-</v>
      </c>
      <c r="CE234" s="742"/>
      <c r="CF234" s="742"/>
      <c r="CG234" s="743"/>
      <c r="CH234" s="744" t="str">
        <f t="shared" si="73"/>
        <v>-</v>
      </c>
      <c r="CI234" s="739"/>
      <c r="CJ234" s="739"/>
      <c r="CK234" s="740"/>
      <c r="CL234" s="744" t="str">
        <f t="shared" si="65"/>
        <v>-</v>
      </c>
      <c r="CM234" s="739"/>
      <c r="CN234" s="739"/>
      <c r="CO234" s="740"/>
      <c r="CP234" s="744" t="str">
        <f>IF(BT234="","-",INDEX($A$5:$BP$257,MATCH(BT234,$BN$5:$BN$257,0),39)*(IF(BT234="","-",(1+(((-('Densidade do AR'!$M$4))+('Densidade do AR'!$T$15*1000000))/(IF(INDEX($A$5:$BP$257,MATCH(BT234,$BN$5:$BN$257,0),50)="Aço Inoxidável",('Densidade do AR'!$S$8*1000000),IF(INDEX($A$5:$BP$257,MATCH(BT234,$BN$5:$BN$257,0),50)="Ferro Fundido",('Densidade do AR'!$S$12*1000000),IF(INDEX($A$5:$BP$257,MATCH(BT234,$BN$5:$BN$257,0),50)="Latão",('Densidade do AR'!$S$10*1000000),IF(INDEX($A$5:$BP$257,MATCH(BT234,$BN$5:$BN$257,0),50)="Alumínio",('Densidade do AR'!$S$4*1000000)))))))-(((-('Densidade do AR'!$M$4))+('Densidade do AR'!$T$15*1000000))/('Densidade do AR'!$S$14*1000000))))))</f>
        <v>-</v>
      </c>
      <c r="CQ234" s="739"/>
      <c r="CR234" s="739"/>
      <c r="CS234" s="745"/>
      <c r="CT234" s="91" t="str">
        <f t="shared" si="74"/>
        <v>-</v>
      </c>
      <c r="CU234" s="736"/>
      <c r="CV234" s="737"/>
      <c r="CW234" s="738" t="str">
        <f>IF(CU234="","-",(IF(INDEX($A$5:$BP$257,MATCH(CU234,$BN$5:$BN$257,0),50)="Aço Inoxidável",('Densidade do AR'!$S$8*1000000),IF(INDEX($A$5:$BP$257,MATCH(CU234,$BN$5:$BN$257,0),50)="Ferro Fundido",('Densidade do AR'!$S$12*1000000),IF(INDEX($A$5:$BP$257,MATCH(CU234,$BN$5:$BN$257,0),50)="Latão",('Densidade do AR'!$S$10*1000000),IF(INDEX($A$5:$BP$257,MATCH(CU234,$BN$5:$BN$257,0),50)="Alumínio",('Densidade do AR'!$S$4*1000000)))))))</f>
        <v>-</v>
      </c>
      <c r="CX234" s="739"/>
      <c r="CY234" s="739"/>
      <c r="CZ234" s="740"/>
      <c r="DA234" s="741" t="str">
        <f t="shared" si="75"/>
        <v>-</v>
      </c>
      <c r="DB234" s="742"/>
      <c r="DC234" s="742"/>
      <c r="DD234" s="743"/>
      <c r="DE234" s="741" t="str">
        <f t="shared" si="66"/>
        <v>-</v>
      </c>
      <c r="DF234" s="742"/>
      <c r="DG234" s="742"/>
      <c r="DH234" s="743"/>
      <c r="DI234" s="744" t="str">
        <f t="shared" si="76"/>
        <v>-</v>
      </c>
      <c r="DJ234" s="739"/>
      <c r="DK234" s="739"/>
      <c r="DL234" s="740"/>
      <c r="DM234" s="744" t="str">
        <f t="shared" si="67"/>
        <v>-</v>
      </c>
      <c r="DN234" s="739"/>
      <c r="DO234" s="739"/>
      <c r="DP234" s="740"/>
      <c r="DQ234" s="744" t="str">
        <f>IF(CU234="","-",INDEX($A$5:$BP$257,MATCH(CU234,$BN$5:$BN$257,0),39)*(IF(CU234="","-",(1+(((-('Densidade do AR'!$M$4))+('Densidade do AR'!$T$15*1000000))/(IF(INDEX($A$5:$BP$257,MATCH(CU234,$BN$5:$BN$257,0),50)="Aço Inoxidável",('Densidade do AR'!$S$8*1000000),IF(INDEX($A$5:$BP$257,MATCH(CU234,$BN$5:$BN$257,0),50)="Ferro Fundido",('Densidade do AR'!$S$12*1000000),IF(INDEX($A$5:$BP$257,MATCH(CU234,$BN$5:$BN$257,0),50)="Latão",('Densidade do AR'!$S$10*1000000),IF(INDEX($A$5:$BP$257,MATCH(CU234,$BN$5:$BN$257,0),50)="Alumínio",('Densidade do AR'!$S$4*1000000)))))))-(((-('Densidade do AR'!$M$4))+('Densidade do AR'!$T$15*1000000))/('Densidade do AR'!$S$14*1000000))))))</f>
        <v>-</v>
      </c>
      <c r="DR234" s="739"/>
      <c r="DS234" s="739"/>
      <c r="DT234" s="745"/>
      <c r="DU234" s="91" t="str">
        <f t="shared" si="77"/>
        <v>-</v>
      </c>
      <c r="DV234" s="736"/>
      <c r="DW234" s="737"/>
      <c r="DX234" s="738" t="str">
        <f>IF(DV234="","-",(IF(INDEX($A$5:$BP$257,MATCH(DV234,$BN$5:$BN$257,0),50)="Aço Inoxidável",('Densidade do AR'!$S$8*1000000),IF(INDEX($A$5:$BP$257,MATCH(DV234,$BN$5:$BN$257,0),50)="Ferro Fundido",('Densidade do AR'!$S$12*1000000),IF(INDEX($A$5:$BP$257,MATCH(DV234,$BN$5:$BN$257,0),50)="Latão",('Densidade do AR'!$S$10*1000000),IF(INDEX($A$5:$BP$257,MATCH(DV234,$BN$5:$BN$257,0),50)="Alumínio",('Densidade do AR'!$S$4*1000000)))))))</f>
        <v>-</v>
      </c>
      <c r="DY234" s="739"/>
      <c r="DZ234" s="739"/>
      <c r="EA234" s="740"/>
      <c r="EB234" s="741" t="str">
        <f t="shared" si="78"/>
        <v>-</v>
      </c>
      <c r="EC234" s="742"/>
      <c r="ED234" s="742"/>
      <c r="EE234" s="743"/>
      <c r="EF234" s="741" t="str">
        <f t="shared" si="68"/>
        <v>-</v>
      </c>
      <c r="EG234" s="742"/>
      <c r="EH234" s="742"/>
      <c r="EI234" s="743"/>
      <c r="EJ234" s="744" t="str">
        <f t="shared" si="79"/>
        <v>-</v>
      </c>
      <c r="EK234" s="739"/>
      <c r="EL234" s="739"/>
      <c r="EM234" s="740"/>
      <c r="EN234" s="744" t="str">
        <f t="shared" si="69"/>
        <v>-</v>
      </c>
      <c r="EO234" s="739"/>
      <c r="EP234" s="739"/>
      <c r="EQ234" s="740"/>
      <c r="ER234" s="744" t="str">
        <f>IF(DV234="","-",INDEX($A$5:$BP$257,MATCH(DV234,$BN$5:$BN$257,0),39)*(IF(DV234="","-",(1+(((-('Densidade do AR'!$M$4))+('Densidade do AR'!$T$15*1000000))/(IF(INDEX($A$5:$BP$257,MATCH(DV234,$BN$5:$BN$257,0),50)="Aço Inoxidável",('Densidade do AR'!$S$8*1000000),IF(INDEX($A$5:$BP$257,MATCH(DV234,$BN$5:$BN$257,0),50)="Ferro Fundido",('Densidade do AR'!$S$12*1000000),IF(INDEX($A$5:$BP$257,MATCH(DV234,$BN$5:$BN$257,0),50)="Latão",('Densidade do AR'!$S$10*1000000),IF(INDEX($A$5:$BP$257,MATCH(DV234,$BN$5:$BN$257,0),50)="Alumínio",('Densidade do AR'!$S$4*1000000)))))))-(((-('Densidade do AR'!$M$4))+('Densidade do AR'!$T$15*1000000))/('Densidade do AR'!$S$14*1000000))))))</f>
        <v>-</v>
      </c>
      <c r="ES234" s="739"/>
      <c r="ET234" s="739"/>
      <c r="EU234" s="745"/>
      <c r="EV234" s="91" t="str">
        <f t="shared" si="80"/>
        <v>-</v>
      </c>
      <c r="EW234" s="736"/>
      <c r="EX234" s="737"/>
      <c r="EY234" s="738" t="str">
        <f>IF(EW234="","-",(IF(INDEX($A$5:$BP$257,MATCH(EW234,$BN$5:$BN$257,0),50)="Aço Inoxidável",('Densidade do AR'!$S$8*1000000),IF(INDEX($A$5:$BP$257,MATCH(EW234,$BN$5:$BN$257,0),50)="Ferro Fundido",('Densidade do AR'!$S$12*1000000),IF(INDEX($A$5:$BP$257,MATCH(EW234,$BN$5:$BN$257,0),50)="Latão",('Densidade do AR'!$S$10*1000000),IF(INDEX($A$5:$BP$257,MATCH(EW234,$BN$5:$BN$257,0),50)="Alumínio",('Densidade do AR'!$S$4*1000000)))))))</f>
        <v>-</v>
      </c>
      <c r="EZ234" s="739"/>
      <c r="FA234" s="739"/>
      <c r="FB234" s="740"/>
      <c r="FC234" s="741" t="str">
        <f t="shared" si="81"/>
        <v>-</v>
      </c>
      <c r="FD234" s="742"/>
      <c r="FE234" s="742"/>
      <c r="FF234" s="743"/>
      <c r="FG234" s="741" t="str">
        <f t="shared" si="70"/>
        <v>-</v>
      </c>
      <c r="FH234" s="742"/>
      <c r="FI234" s="742"/>
      <c r="FJ234" s="743"/>
      <c r="FK234" s="744" t="str">
        <f t="shared" si="82"/>
        <v>-</v>
      </c>
      <c r="FL234" s="739"/>
      <c r="FM234" s="739"/>
      <c r="FN234" s="740"/>
      <c r="FO234" s="744" t="str">
        <f t="shared" si="71"/>
        <v>-</v>
      </c>
      <c r="FP234" s="739"/>
      <c r="FQ234" s="739"/>
      <c r="FR234" s="740"/>
      <c r="FS234" s="744" t="str">
        <f>IF(EW234="","-",INDEX($A$5:$BP$257,MATCH(EW234,$BN$5:$BN$257,0),39)*(IF(EW234="","-",(1+(((-('Densidade do AR'!$M$4))+('Densidade do AR'!$T$15*1000000))/(IF(INDEX($A$5:$BP$257,MATCH(EW234,$BN$5:$BN$257,0),50)="Aço Inoxidável",('Densidade do AR'!$S$8*1000000),IF(INDEX($A$5:$BP$257,MATCH(EW234,$BN$5:$BN$257,0),50)="Ferro Fundido",('Densidade do AR'!$S$12*1000000),IF(INDEX($A$5:$BP$257,MATCH(EW234,$BN$5:$BN$257,0),50)="Latão",('Densidade do AR'!$S$10*1000000),IF(INDEX($A$5:$BP$257,MATCH(EW234,$BN$5:$BN$257,0),50)="Alumínio",('Densidade do AR'!$S$4*1000000)))))))-(((-('Densidade do AR'!$M$4))+('Densidade do AR'!$T$15*1000000))/('Densidade do AR'!$S$14*1000000))))))</f>
        <v>-</v>
      </c>
      <c r="FT234" s="739"/>
      <c r="FU234" s="739"/>
      <c r="FV234" s="745"/>
      <c r="FW234" s="91" t="str">
        <f t="shared" si="83"/>
        <v>-</v>
      </c>
      <c r="FX234" s="135"/>
    </row>
    <row r="235" spans="1:180" ht="12.75" customHeight="1" x14ac:dyDescent="0.2">
      <c r="A235" s="717">
        <v>231</v>
      </c>
      <c r="B235" s="713"/>
      <c r="C235" s="708"/>
      <c r="D235" s="709"/>
      <c r="E235" s="709"/>
      <c r="F235" s="709"/>
      <c r="G235" s="710"/>
      <c r="H235" s="711"/>
      <c r="I235" s="712"/>
      <c r="J235" s="712"/>
      <c r="K235" s="713"/>
      <c r="L235" s="708"/>
      <c r="M235" s="709"/>
      <c r="N235" s="709"/>
      <c r="O235" s="709"/>
      <c r="P235" s="708"/>
      <c r="Q235" s="709"/>
      <c r="R235" s="709"/>
      <c r="S235" s="709"/>
      <c r="T235" s="710"/>
      <c r="U235" s="714"/>
      <c r="V235" s="715"/>
      <c r="W235" s="715"/>
      <c r="X235" s="715"/>
      <c r="Y235" s="715"/>
      <c r="Z235" s="715"/>
      <c r="AA235" s="716"/>
      <c r="AB235" s="850"/>
      <c r="AC235" s="851"/>
      <c r="AD235" s="851"/>
      <c r="AE235" s="851"/>
      <c r="AF235" s="851"/>
      <c r="AG235" s="851"/>
      <c r="AH235" s="851"/>
      <c r="AI235" s="851"/>
      <c r="AJ235" s="851"/>
      <c r="AK235" s="851"/>
      <c r="AL235" s="852"/>
      <c r="AM235" s="917"/>
      <c r="AN235" s="712"/>
      <c r="AO235" s="712"/>
      <c r="AP235" s="712"/>
      <c r="AQ235" s="712"/>
      <c r="AR235" s="712"/>
      <c r="AS235" s="713"/>
      <c r="AT235" s="917"/>
      <c r="AU235" s="712"/>
      <c r="AV235" s="712"/>
      <c r="AW235" s="713"/>
      <c r="AX235" s="917"/>
      <c r="AY235" s="712"/>
      <c r="AZ235" s="712"/>
      <c r="BA235" s="712"/>
      <c r="BB235" s="712"/>
      <c r="BC235" s="713"/>
      <c r="BD235" s="917"/>
      <c r="BE235" s="712"/>
      <c r="BF235" s="712"/>
      <c r="BG235" s="713"/>
      <c r="BH235" s="918"/>
      <c r="BI235" s="712"/>
      <c r="BJ235" s="712"/>
      <c r="BK235" s="712"/>
      <c r="BL235" s="910"/>
      <c r="BN235" s="878"/>
      <c r="BO235" s="709"/>
      <c r="BP235" s="884"/>
      <c r="BT235" s="746"/>
      <c r="BU235" s="747"/>
      <c r="BV235" s="784" t="str">
        <f>IF(BT235="","-",(IF(INDEX($A$5:$BP$257,MATCH(BT235,$BN$5:$BN$257,0),50)="Aço Inoxidável",('Densidade do AR'!$S$8*1000000),IF(INDEX($A$5:$BP$257,MATCH(BT235,$BN$5:$BN$257,0),50)="Ferro Fundido",('Densidade do AR'!$S$12*1000000),IF(INDEX($A$5:$BP$257,MATCH(BT235,$BN$5:$BN$257,0),50)="Latão",('Densidade do AR'!$S$10*1000000),IF(INDEX($A$5:$BP$257,MATCH(BT235,$BN$5:$BN$257,0),50)="Alumínio",('Densidade do AR'!$S$4*1000000)))))))</f>
        <v>-</v>
      </c>
      <c r="BW235" s="785"/>
      <c r="BX235" s="785"/>
      <c r="BY235" s="786"/>
      <c r="BZ235" s="787" t="str">
        <f t="shared" si="72"/>
        <v>-</v>
      </c>
      <c r="CA235" s="788"/>
      <c r="CB235" s="788"/>
      <c r="CC235" s="789"/>
      <c r="CD235" s="787" t="str">
        <f t="shared" si="64"/>
        <v>-</v>
      </c>
      <c r="CE235" s="788"/>
      <c r="CF235" s="788"/>
      <c r="CG235" s="789"/>
      <c r="CH235" s="790" t="str">
        <f t="shared" si="73"/>
        <v>-</v>
      </c>
      <c r="CI235" s="785"/>
      <c r="CJ235" s="785"/>
      <c r="CK235" s="786"/>
      <c r="CL235" s="790" t="str">
        <f t="shared" si="65"/>
        <v>-</v>
      </c>
      <c r="CM235" s="785"/>
      <c r="CN235" s="785"/>
      <c r="CO235" s="786"/>
      <c r="CP235" s="790" t="str">
        <f>IF(BT235="","-",INDEX($A$5:$BP$257,MATCH(BT235,$BN$5:$BN$257,0),39)*(IF(BT235="","-",(1+(((-('Densidade do AR'!$M$4))+('Densidade do AR'!$T$15*1000000))/(IF(INDEX($A$5:$BP$257,MATCH(BT235,$BN$5:$BN$257,0),50)="Aço Inoxidável",('Densidade do AR'!$S$8*1000000),IF(INDEX($A$5:$BP$257,MATCH(BT235,$BN$5:$BN$257,0),50)="Ferro Fundido",('Densidade do AR'!$S$12*1000000),IF(INDEX($A$5:$BP$257,MATCH(BT235,$BN$5:$BN$257,0),50)="Latão",('Densidade do AR'!$S$10*1000000),IF(INDEX($A$5:$BP$257,MATCH(BT235,$BN$5:$BN$257,0),50)="Alumínio",('Densidade do AR'!$S$4*1000000)))))))-(((-('Densidade do AR'!$M$4))+('Densidade do AR'!$T$15*1000000))/('Densidade do AR'!$S$14*1000000))))))</f>
        <v>-</v>
      </c>
      <c r="CQ235" s="785"/>
      <c r="CR235" s="785"/>
      <c r="CS235" s="791"/>
      <c r="CT235" s="91" t="str">
        <f t="shared" si="74"/>
        <v>-</v>
      </c>
      <c r="CU235" s="746"/>
      <c r="CV235" s="747"/>
      <c r="CW235" s="784" t="str">
        <f>IF(CU235="","-",(IF(INDEX($A$5:$BP$257,MATCH(CU235,$BN$5:$BN$257,0),50)="Aço Inoxidável",('Densidade do AR'!$S$8*1000000),IF(INDEX($A$5:$BP$257,MATCH(CU235,$BN$5:$BN$257,0),50)="Ferro Fundido",('Densidade do AR'!$S$12*1000000),IF(INDEX($A$5:$BP$257,MATCH(CU235,$BN$5:$BN$257,0),50)="Latão",('Densidade do AR'!$S$10*1000000),IF(INDEX($A$5:$BP$257,MATCH(CU235,$BN$5:$BN$257,0),50)="Alumínio",('Densidade do AR'!$S$4*1000000)))))))</f>
        <v>-</v>
      </c>
      <c r="CX235" s="785"/>
      <c r="CY235" s="785"/>
      <c r="CZ235" s="786"/>
      <c r="DA235" s="787" t="str">
        <f t="shared" si="75"/>
        <v>-</v>
      </c>
      <c r="DB235" s="788"/>
      <c r="DC235" s="788"/>
      <c r="DD235" s="789"/>
      <c r="DE235" s="787" t="str">
        <f t="shared" si="66"/>
        <v>-</v>
      </c>
      <c r="DF235" s="788"/>
      <c r="DG235" s="788"/>
      <c r="DH235" s="789"/>
      <c r="DI235" s="790" t="str">
        <f t="shared" si="76"/>
        <v>-</v>
      </c>
      <c r="DJ235" s="785"/>
      <c r="DK235" s="785"/>
      <c r="DL235" s="786"/>
      <c r="DM235" s="790" t="str">
        <f t="shared" si="67"/>
        <v>-</v>
      </c>
      <c r="DN235" s="785"/>
      <c r="DO235" s="785"/>
      <c r="DP235" s="786"/>
      <c r="DQ235" s="790" t="str">
        <f>IF(CU235="","-",INDEX($A$5:$BP$257,MATCH(CU235,$BN$5:$BN$257,0),39)*(IF(CU235="","-",(1+(((-('Densidade do AR'!$M$4))+('Densidade do AR'!$T$15*1000000))/(IF(INDEX($A$5:$BP$257,MATCH(CU235,$BN$5:$BN$257,0),50)="Aço Inoxidável",('Densidade do AR'!$S$8*1000000),IF(INDEX($A$5:$BP$257,MATCH(CU235,$BN$5:$BN$257,0),50)="Ferro Fundido",('Densidade do AR'!$S$12*1000000),IF(INDEX($A$5:$BP$257,MATCH(CU235,$BN$5:$BN$257,0),50)="Latão",('Densidade do AR'!$S$10*1000000),IF(INDEX($A$5:$BP$257,MATCH(CU235,$BN$5:$BN$257,0),50)="Alumínio",('Densidade do AR'!$S$4*1000000)))))))-(((-('Densidade do AR'!$M$4))+('Densidade do AR'!$T$15*1000000))/('Densidade do AR'!$S$14*1000000))))))</f>
        <v>-</v>
      </c>
      <c r="DR235" s="785"/>
      <c r="DS235" s="785"/>
      <c r="DT235" s="791"/>
      <c r="DU235" s="91" t="str">
        <f t="shared" si="77"/>
        <v>-</v>
      </c>
      <c r="DV235" s="746"/>
      <c r="DW235" s="747"/>
      <c r="DX235" s="784" t="str">
        <f>IF(DV235="","-",(IF(INDEX($A$5:$BP$257,MATCH(DV235,$BN$5:$BN$257,0),50)="Aço Inoxidável",('Densidade do AR'!$S$8*1000000),IF(INDEX($A$5:$BP$257,MATCH(DV235,$BN$5:$BN$257,0),50)="Ferro Fundido",('Densidade do AR'!$S$12*1000000),IF(INDEX($A$5:$BP$257,MATCH(DV235,$BN$5:$BN$257,0),50)="Latão",('Densidade do AR'!$S$10*1000000),IF(INDEX($A$5:$BP$257,MATCH(DV235,$BN$5:$BN$257,0),50)="Alumínio",('Densidade do AR'!$S$4*1000000)))))))</f>
        <v>-</v>
      </c>
      <c r="DY235" s="785"/>
      <c r="DZ235" s="785"/>
      <c r="EA235" s="786"/>
      <c r="EB235" s="787" t="str">
        <f t="shared" si="78"/>
        <v>-</v>
      </c>
      <c r="EC235" s="788"/>
      <c r="ED235" s="788"/>
      <c r="EE235" s="789"/>
      <c r="EF235" s="787" t="str">
        <f t="shared" si="68"/>
        <v>-</v>
      </c>
      <c r="EG235" s="788"/>
      <c r="EH235" s="788"/>
      <c r="EI235" s="789"/>
      <c r="EJ235" s="790" t="str">
        <f t="shared" si="79"/>
        <v>-</v>
      </c>
      <c r="EK235" s="785"/>
      <c r="EL235" s="785"/>
      <c r="EM235" s="786"/>
      <c r="EN235" s="790" t="str">
        <f t="shared" si="69"/>
        <v>-</v>
      </c>
      <c r="EO235" s="785"/>
      <c r="EP235" s="785"/>
      <c r="EQ235" s="786"/>
      <c r="ER235" s="790" t="str">
        <f>IF(DV235="","-",INDEX($A$5:$BP$257,MATCH(DV235,$BN$5:$BN$257,0),39)*(IF(DV235="","-",(1+(((-('Densidade do AR'!$M$4))+('Densidade do AR'!$T$15*1000000))/(IF(INDEX($A$5:$BP$257,MATCH(DV235,$BN$5:$BN$257,0),50)="Aço Inoxidável",('Densidade do AR'!$S$8*1000000),IF(INDEX($A$5:$BP$257,MATCH(DV235,$BN$5:$BN$257,0),50)="Ferro Fundido",('Densidade do AR'!$S$12*1000000),IF(INDEX($A$5:$BP$257,MATCH(DV235,$BN$5:$BN$257,0),50)="Latão",('Densidade do AR'!$S$10*1000000),IF(INDEX($A$5:$BP$257,MATCH(DV235,$BN$5:$BN$257,0),50)="Alumínio",('Densidade do AR'!$S$4*1000000)))))))-(((-('Densidade do AR'!$M$4))+('Densidade do AR'!$T$15*1000000))/('Densidade do AR'!$S$14*1000000))))))</f>
        <v>-</v>
      </c>
      <c r="ES235" s="785"/>
      <c r="ET235" s="785"/>
      <c r="EU235" s="791"/>
      <c r="EV235" s="91" t="str">
        <f t="shared" si="80"/>
        <v>-</v>
      </c>
      <c r="EW235" s="746"/>
      <c r="EX235" s="747"/>
      <c r="EY235" s="784" t="str">
        <f>IF(EW235="","-",(IF(INDEX($A$5:$BP$257,MATCH(EW235,$BN$5:$BN$257,0),50)="Aço Inoxidável",('Densidade do AR'!$S$8*1000000),IF(INDEX($A$5:$BP$257,MATCH(EW235,$BN$5:$BN$257,0),50)="Ferro Fundido",('Densidade do AR'!$S$12*1000000),IF(INDEX($A$5:$BP$257,MATCH(EW235,$BN$5:$BN$257,0),50)="Latão",('Densidade do AR'!$S$10*1000000),IF(INDEX($A$5:$BP$257,MATCH(EW235,$BN$5:$BN$257,0),50)="Alumínio",('Densidade do AR'!$S$4*1000000)))))))</f>
        <v>-</v>
      </c>
      <c r="EZ235" s="785"/>
      <c r="FA235" s="785"/>
      <c r="FB235" s="786"/>
      <c r="FC235" s="787" t="str">
        <f t="shared" si="81"/>
        <v>-</v>
      </c>
      <c r="FD235" s="788"/>
      <c r="FE235" s="788"/>
      <c r="FF235" s="789"/>
      <c r="FG235" s="787" t="str">
        <f t="shared" si="70"/>
        <v>-</v>
      </c>
      <c r="FH235" s="788"/>
      <c r="FI235" s="788"/>
      <c r="FJ235" s="789"/>
      <c r="FK235" s="790" t="str">
        <f t="shared" si="82"/>
        <v>-</v>
      </c>
      <c r="FL235" s="785"/>
      <c r="FM235" s="785"/>
      <c r="FN235" s="786"/>
      <c r="FO235" s="790" t="str">
        <f t="shared" si="71"/>
        <v>-</v>
      </c>
      <c r="FP235" s="785"/>
      <c r="FQ235" s="785"/>
      <c r="FR235" s="786"/>
      <c r="FS235" s="790" t="str">
        <f>IF(EW235="","-",INDEX($A$5:$BP$257,MATCH(EW235,$BN$5:$BN$257,0),39)*(IF(EW235="","-",(1+(((-('Densidade do AR'!$M$4))+('Densidade do AR'!$T$15*1000000))/(IF(INDEX($A$5:$BP$257,MATCH(EW235,$BN$5:$BN$257,0),50)="Aço Inoxidável",('Densidade do AR'!$S$8*1000000),IF(INDEX($A$5:$BP$257,MATCH(EW235,$BN$5:$BN$257,0),50)="Ferro Fundido",('Densidade do AR'!$S$12*1000000),IF(INDEX($A$5:$BP$257,MATCH(EW235,$BN$5:$BN$257,0),50)="Latão",('Densidade do AR'!$S$10*1000000),IF(INDEX($A$5:$BP$257,MATCH(EW235,$BN$5:$BN$257,0),50)="Alumínio",('Densidade do AR'!$S$4*1000000)))))))-(((-('Densidade do AR'!$M$4))+('Densidade do AR'!$T$15*1000000))/('Densidade do AR'!$S$14*1000000))))))</f>
        <v>-</v>
      </c>
      <c r="FT235" s="785"/>
      <c r="FU235" s="785"/>
      <c r="FV235" s="791"/>
      <c r="FW235" s="91" t="str">
        <f t="shared" si="83"/>
        <v>-</v>
      </c>
      <c r="FX235" s="135"/>
    </row>
    <row r="236" spans="1:180" ht="12.75" customHeight="1" x14ac:dyDescent="0.2">
      <c r="A236" s="718">
        <v>232</v>
      </c>
      <c r="B236" s="713"/>
      <c r="C236" s="719"/>
      <c r="D236" s="709"/>
      <c r="E236" s="709"/>
      <c r="F236" s="709"/>
      <c r="G236" s="710"/>
      <c r="H236" s="720"/>
      <c r="I236" s="712"/>
      <c r="J236" s="712"/>
      <c r="K236" s="713"/>
      <c r="L236" s="719"/>
      <c r="M236" s="709"/>
      <c r="N236" s="709"/>
      <c r="O236" s="709"/>
      <c r="P236" s="719"/>
      <c r="Q236" s="709"/>
      <c r="R236" s="709"/>
      <c r="S236" s="709"/>
      <c r="T236" s="710"/>
      <c r="U236" s="721"/>
      <c r="V236" s="722"/>
      <c r="W236" s="722"/>
      <c r="X236" s="722"/>
      <c r="Y236" s="722"/>
      <c r="Z236" s="722"/>
      <c r="AA236" s="723"/>
      <c r="AB236" s="853"/>
      <c r="AC236" s="854"/>
      <c r="AD236" s="854"/>
      <c r="AE236" s="854"/>
      <c r="AF236" s="854"/>
      <c r="AG236" s="854"/>
      <c r="AH236" s="854"/>
      <c r="AI236" s="854"/>
      <c r="AJ236" s="854"/>
      <c r="AK236" s="854"/>
      <c r="AL236" s="855"/>
      <c r="AM236" s="909"/>
      <c r="AN236" s="712"/>
      <c r="AO236" s="712"/>
      <c r="AP236" s="712"/>
      <c r="AQ236" s="712"/>
      <c r="AR236" s="712"/>
      <c r="AS236" s="713"/>
      <c r="AT236" s="909"/>
      <c r="AU236" s="712"/>
      <c r="AV236" s="712"/>
      <c r="AW236" s="713"/>
      <c r="AX236" s="908"/>
      <c r="AY236" s="712"/>
      <c r="AZ236" s="712"/>
      <c r="BA236" s="712"/>
      <c r="BB236" s="712"/>
      <c r="BC236" s="713"/>
      <c r="BD236" s="909"/>
      <c r="BE236" s="712"/>
      <c r="BF236" s="712"/>
      <c r="BG236" s="713"/>
      <c r="BH236" s="908"/>
      <c r="BI236" s="712"/>
      <c r="BJ236" s="712"/>
      <c r="BK236" s="712"/>
      <c r="BL236" s="910"/>
      <c r="BN236" s="881"/>
      <c r="BO236" s="709"/>
      <c r="BP236" s="884"/>
      <c r="BT236" s="736"/>
      <c r="BU236" s="737"/>
      <c r="BV236" s="738" t="str">
        <f>IF(BT236="","-",(IF(INDEX($A$5:$BP$257,MATCH(BT236,$BN$5:$BN$257,0),50)="Aço Inoxidável",('Densidade do AR'!$S$8*1000000),IF(INDEX($A$5:$BP$257,MATCH(BT236,$BN$5:$BN$257,0),50)="Ferro Fundido",('Densidade do AR'!$S$12*1000000),IF(INDEX($A$5:$BP$257,MATCH(BT236,$BN$5:$BN$257,0),50)="Latão",('Densidade do AR'!$S$10*1000000),IF(INDEX($A$5:$BP$257,MATCH(BT236,$BN$5:$BN$257,0),50)="Alumínio",('Densidade do AR'!$S$4*1000000)))))))</f>
        <v>-</v>
      </c>
      <c r="BW236" s="739"/>
      <c r="BX236" s="739"/>
      <c r="BY236" s="740"/>
      <c r="BZ236" s="741" t="str">
        <f t="shared" si="72"/>
        <v>-</v>
      </c>
      <c r="CA236" s="742"/>
      <c r="CB236" s="742"/>
      <c r="CC236" s="743"/>
      <c r="CD236" s="741" t="str">
        <f t="shared" si="64"/>
        <v>-</v>
      </c>
      <c r="CE236" s="742"/>
      <c r="CF236" s="742"/>
      <c r="CG236" s="743"/>
      <c r="CH236" s="744" t="str">
        <f t="shared" si="73"/>
        <v>-</v>
      </c>
      <c r="CI236" s="739"/>
      <c r="CJ236" s="739"/>
      <c r="CK236" s="740"/>
      <c r="CL236" s="744" t="str">
        <f t="shared" si="65"/>
        <v>-</v>
      </c>
      <c r="CM236" s="739"/>
      <c r="CN236" s="739"/>
      <c r="CO236" s="740"/>
      <c r="CP236" s="744" t="str">
        <f>IF(BT236="","-",INDEX($A$5:$BP$257,MATCH(BT236,$BN$5:$BN$257,0),39)*(IF(BT236="","-",(1+(((-('Densidade do AR'!$M$4))+('Densidade do AR'!$T$15*1000000))/(IF(INDEX($A$5:$BP$257,MATCH(BT236,$BN$5:$BN$257,0),50)="Aço Inoxidável",('Densidade do AR'!$S$8*1000000),IF(INDEX($A$5:$BP$257,MATCH(BT236,$BN$5:$BN$257,0),50)="Ferro Fundido",('Densidade do AR'!$S$12*1000000),IF(INDEX($A$5:$BP$257,MATCH(BT236,$BN$5:$BN$257,0),50)="Latão",('Densidade do AR'!$S$10*1000000),IF(INDEX($A$5:$BP$257,MATCH(BT236,$BN$5:$BN$257,0),50)="Alumínio",('Densidade do AR'!$S$4*1000000)))))))-(((-('Densidade do AR'!$M$4))+('Densidade do AR'!$T$15*1000000))/('Densidade do AR'!$S$14*1000000))))))</f>
        <v>-</v>
      </c>
      <c r="CQ236" s="739"/>
      <c r="CR236" s="739"/>
      <c r="CS236" s="745"/>
      <c r="CT236" s="91" t="str">
        <f t="shared" si="74"/>
        <v>-</v>
      </c>
      <c r="CU236" s="736"/>
      <c r="CV236" s="737"/>
      <c r="CW236" s="738" t="str">
        <f>IF(CU236="","-",(IF(INDEX($A$5:$BP$257,MATCH(CU236,$BN$5:$BN$257,0),50)="Aço Inoxidável",('Densidade do AR'!$S$8*1000000),IF(INDEX($A$5:$BP$257,MATCH(CU236,$BN$5:$BN$257,0),50)="Ferro Fundido",('Densidade do AR'!$S$12*1000000),IF(INDEX($A$5:$BP$257,MATCH(CU236,$BN$5:$BN$257,0),50)="Latão",('Densidade do AR'!$S$10*1000000),IF(INDEX($A$5:$BP$257,MATCH(CU236,$BN$5:$BN$257,0),50)="Alumínio",('Densidade do AR'!$S$4*1000000)))))))</f>
        <v>-</v>
      </c>
      <c r="CX236" s="739"/>
      <c r="CY236" s="739"/>
      <c r="CZ236" s="740"/>
      <c r="DA236" s="741" t="str">
        <f t="shared" si="75"/>
        <v>-</v>
      </c>
      <c r="DB236" s="742"/>
      <c r="DC236" s="742"/>
      <c r="DD236" s="743"/>
      <c r="DE236" s="741" t="str">
        <f t="shared" si="66"/>
        <v>-</v>
      </c>
      <c r="DF236" s="742"/>
      <c r="DG236" s="742"/>
      <c r="DH236" s="743"/>
      <c r="DI236" s="744" t="str">
        <f t="shared" si="76"/>
        <v>-</v>
      </c>
      <c r="DJ236" s="739"/>
      <c r="DK236" s="739"/>
      <c r="DL236" s="740"/>
      <c r="DM236" s="744" t="str">
        <f t="shared" si="67"/>
        <v>-</v>
      </c>
      <c r="DN236" s="739"/>
      <c r="DO236" s="739"/>
      <c r="DP236" s="740"/>
      <c r="DQ236" s="744" t="str">
        <f>IF(CU236="","-",INDEX($A$5:$BP$257,MATCH(CU236,$BN$5:$BN$257,0),39)*(IF(CU236="","-",(1+(((-('Densidade do AR'!$M$4))+('Densidade do AR'!$T$15*1000000))/(IF(INDEX($A$5:$BP$257,MATCH(CU236,$BN$5:$BN$257,0),50)="Aço Inoxidável",('Densidade do AR'!$S$8*1000000),IF(INDEX($A$5:$BP$257,MATCH(CU236,$BN$5:$BN$257,0),50)="Ferro Fundido",('Densidade do AR'!$S$12*1000000),IF(INDEX($A$5:$BP$257,MATCH(CU236,$BN$5:$BN$257,0),50)="Latão",('Densidade do AR'!$S$10*1000000),IF(INDEX($A$5:$BP$257,MATCH(CU236,$BN$5:$BN$257,0),50)="Alumínio",('Densidade do AR'!$S$4*1000000)))))))-(((-('Densidade do AR'!$M$4))+('Densidade do AR'!$T$15*1000000))/('Densidade do AR'!$S$14*1000000))))))</f>
        <v>-</v>
      </c>
      <c r="DR236" s="739"/>
      <c r="DS236" s="739"/>
      <c r="DT236" s="745"/>
      <c r="DU236" s="91" t="str">
        <f t="shared" si="77"/>
        <v>-</v>
      </c>
      <c r="DV236" s="736"/>
      <c r="DW236" s="737"/>
      <c r="DX236" s="738" t="str">
        <f>IF(DV236="","-",(IF(INDEX($A$5:$BP$257,MATCH(DV236,$BN$5:$BN$257,0),50)="Aço Inoxidável",('Densidade do AR'!$S$8*1000000),IF(INDEX($A$5:$BP$257,MATCH(DV236,$BN$5:$BN$257,0),50)="Ferro Fundido",('Densidade do AR'!$S$12*1000000),IF(INDEX($A$5:$BP$257,MATCH(DV236,$BN$5:$BN$257,0),50)="Latão",('Densidade do AR'!$S$10*1000000),IF(INDEX($A$5:$BP$257,MATCH(DV236,$BN$5:$BN$257,0),50)="Alumínio",('Densidade do AR'!$S$4*1000000)))))))</f>
        <v>-</v>
      </c>
      <c r="DY236" s="739"/>
      <c r="DZ236" s="739"/>
      <c r="EA236" s="740"/>
      <c r="EB236" s="741" t="str">
        <f t="shared" si="78"/>
        <v>-</v>
      </c>
      <c r="EC236" s="742"/>
      <c r="ED236" s="742"/>
      <c r="EE236" s="743"/>
      <c r="EF236" s="741" t="str">
        <f t="shared" si="68"/>
        <v>-</v>
      </c>
      <c r="EG236" s="742"/>
      <c r="EH236" s="742"/>
      <c r="EI236" s="743"/>
      <c r="EJ236" s="744" t="str">
        <f t="shared" si="79"/>
        <v>-</v>
      </c>
      <c r="EK236" s="739"/>
      <c r="EL236" s="739"/>
      <c r="EM236" s="740"/>
      <c r="EN236" s="744" t="str">
        <f t="shared" si="69"/>
        <v>-</v>
      </c>
      <c r="EO236" s="739"/>
      <c r="EP236" s="739"/>
      <c r="EQ236" s="740"/>
      <c r="ER236" s="744" t="str">
        <f>IF(DV236="","-",INDEX($A$5:$BP$257,MATCH(DV236,$BN$5:$BN$257,0),39)*(IF(DV236="","-",(1+(((-('Densidade do AR'!$M$4))+('Densidade do AR'!$T$15*1000000))/(IF(INDEX($A$5:$BP$257,MATCH(DV236,$BN$5:$BN$257,0),50)="Aço Inoxidável",('Densidade do AR'!$S$8*1000000),IF(INDEX($A$5:$BP$257,MATCH(DV236,$BN$5:$BN$257,0),50)="Ferro Fundido",('Densidade do AR'!$S$12*1000000),IF(INDEX($A$5:$BP$257,MATCH(DV236,$BN$5:$BN$257,0),50)="Latão",('Densidade do AR'!$S$10*1000000),IF(INDEX($A$5:$BP$257,MATCH(DV236,$BN$5:$BN$257,0),50)="Alumínio",('Densidade do AR'!$S$4*1000000)))))))-(((-('Densidade do AR'!$M$4))+('Densidade do AR'!$T$15*1000000))/('Densidade do AR'!$S$14*1000000))))))</f>
        <v>-</v>
      </c>
      <c r="ES236" s="739"/>
      <c r="ET236" s="739"/>
      <c r="EU236" s="745"/>
      <c r="EV236" s="91" t="str">
        <f t="shared" si="80"/>
        <v>-</v>
      </c>
      <c r="EW236" s="736"/>
      <c r="EX236" s="737"/>
      <c r="EY236" s="738" t="str">
        <f>IF(EW236="","-",(IF(INDEX($A$5:$BP$257,MATCH(EW236,$BN$5:$BN$257,0),50)="Aço Inoxidável",('Densidade do AR'!$S$8*1000000),IF(INDEX($A$5:$BP$257,MATCH(EW236,$BN$5:$BN$257,0),50)="Ferro Fundido",('Densidade do AR'!$S$12*1000000),IF(INDEX($A$5:$BP$257,MATCH(EW236,$BN$5:$BN$257,0),50)="Latão",('Densidade do AR'!$S$10*1000000),IF(INDEX($A$5:$BP$257,MATCH(EW236,$BN$5:$BN$257,0),50)="Alumínio",('Densidade do AR'!$S$4*1000000)))))))</f>
        <v>-</v>
      </c>
      <c r="EZ236" s="739"/>
      <c r="FA236" s="739"/>
      <c r="FB236" s="740"/>
      <c r="FC236" s="741" t="str">
        <f t="shared" si="81"/>
        <v>-</v>
      </c>
      <c r="FD236" s="742"/>
      <c r="FE236" s="742"/>
      <c r="FF236" s="743"/>
      <c r="FG236" s="741" t="str">
        <f t="shared" si="70"/>
        <v>-</v>
      </c>
      <c r="FH236" s="742"/>
      <c r="FI236" s="742"/>
      <c r="FJ236" s="743"/>
      <c r="FK236" s="744" t="str">
        <f t="shared" si="82"/>
        <v>-</v>
      </c>
      <c r="FL236" s="739"/>
      <c r="FM236" s="739"/>
      <c r="FN236" s="740"/>
      <c r="FO236" s="744" t="str">
        <f t="shared" si="71"/>
        <v>-</v>
      </c>
      <c r="FP236" s="739"/>
      <c r="FQ236" s="739"/>
      <c r="FR236" s="740"/>
      <c r="FS236" s="744" t="str">
        <f>IF(EW236="","-",INDEX($A$5:$BP$257,MATCH(EW236,$BN$5:$BN$257,0),39)*(IF(EW236="","-",(1+(((-('Densidade do AR'!$M$4))+('Densidade do AR'!$T$15*1000000))/(IF(INDEX($A$5:$BP$257,MATCH(EW236,$BN$5:$BN$257,0),50)="Aço Inoxidável",('Densidade do AR'!$S$8*1000000),IF(INDEX($A$5:$BP$257,MATCH(EW236,$BN$5:$BN$257,0),50)="Ferro Fundido",('Densidade do AR'!$S$12*1000000),IF(INDEX($A$5:$BP$257,MATCH(EW236,$BN$5:$BN$257,0),50)="Latão",('Densidade do AR'!$S$10*1000000),IF(INDEX($A$5:$BP$257,MATCH(EW236,$BN$5:$BN$257,0),50)="Alumínio",('Densidade do AR'!$S$4*1000000)))))))-(((-('Densidade do AR'!$M$4))+('Densidade do AR'!$T$15*1000000))/('Densidade do AR'!$S$14*1000000))))))</f>
        <v>-</v>
      </c>
      <c r="FT236" s="739"/>
      <c r="FU236" s="739"/>
      <c r="FV236" s="745"/>
      <c r="FW236" s="91" t="str">
        <f t="shared" si="83"/>
        <v>-</v>
      </c>
      <c r="FX236" s="135"/>
    </row>
    <row r="237" spans="1:180" ht="12.75" customHeight="1" x14ac:dyDescent="0.2">
      <c r="A237" s="717">
        <v>233</v>
      </c>
      <c r="B237" s="713"/>
      <c r="C237" s="708"/>
      <c r="D237" s="709"/>
      <c r="E237" s="709"/>
      <c r="F237" s="709"/>
      <c r="G237" s="710"/>
      <c r="H237" s="711"/>
      <c r="I237" s="712"/>
      <c r="J237" s="712"/>
      <c r="K237" s="713"/>
      <c r="L237" s="708"/>
      <c r="M237" s="709"/>
      <c r="N237" s="709"/>
      <c r="O237" s="709"/>
      <c r="P237" s="708"/>
      <c r="Q237" s="709"/>
      <c r="R237" s="709"/>
      <c r="S237" s="709"/>
      <c r="T237" s="710"/>
      <c r="U237" s="714"/>
      <c r="V237" s="715"/>
      <c r="W237" s="715"/>
      <c r="X237" s="715"/>
      <c r="Y237" s="715"/>
      <c r="Z237" s="715"/>
      <c r="AA237" s="716"/>
      <c r="AB237" s="850"/>
      <c r="AC237" s="851"/>
      <c r="AD237" s="851"/>
      <c r="AE237" s="851"/>
      <c r="AF237" s="851"/>
      <c r="AG237" s="851"/>
      <c r="AH237" s="851"/>
      <c r="AI237" s="851"/>
      <c r="AJ237" s="851"/>
      <c r="AK237" s="851"/>
      <c r="AL237" s="852"/>
      <c r="AM237" s="917"/>
      <c r="AN237" s="712"/>
      <c r="AO237" s="712"/>
      <c r="AP237" s="712"/>
      <c r="AQ237" s="712"/>
      <c r="AR237" s="712"/>
      <c r="AS237" s="713"/>
      <c r="AT237" s="917"/>
      <c r="AU237" s="712"/>
      <c r="AV237" s="712"/>
      <c r="AW237" s="713"/>
      <c r="AX237" s="917"/>
      <c r="AY237" s="712"/>
      <c r="AZ237" s="712"/>
      <c r="BA237" s="712"/>
      <c r="BB237" s="712"/>
      <c r="BC237" s="713"/>
      <c r="BD237" s="917"/>
      <c r="BE237" s="712"/>
      <c r="BF237" s="712"/>
      <c r="BG237" s="713"/>
      <c r="BH237" s="918"/>
      <c r="BI237" s="712"/>
      <c r="BJ237" s="712"/>
      <c r="BK237" s="712"/>
      <c r="BL237" s="910"/>
      <c r="BN237" s="878"/>
      <c r="BO237" s="709"/>
      <c r="BP237" s="884"/>
      <c r="BT237" s="746"/>
      <c r="BU237" s="747"/>
      <c r="BV237" s="784" t="str">
        <f>IF(BT237="","-",(IF(INDEX($A$5:$BP$257,MATCH(BT237,$BN$5:$BN$257,0),50)="Aço Inoxidável",('Densidade do AR'!$S$8*1000000),IF(INDEX($A$5:$BP$257,MATCH(BT237,$BN$5:$BN$257,0),50)="Ferro Fundido",('Densidade do AR'!$S$12*1000000),IF(INDEX($A$5:$BP$257,MATCH(BT237,$BN$5:$BN$257,0),50)="Latão",('Densidade do AR'!$S$10*1000000),IF(INDEX($A$5:$BP$257,MATCH(BT237,$BN$5:$BN$257,0),50)="Alumínio",('Densidade do AR'!$S$4*1000000)))))))</f>
        <v>-</v>
      </c>
      <c r="BW237" s="785"/>
      <c r="BX237" s="785"/>
      <c r="BY237" s="786"/>
      <c r="BZ237" s="787" t="str">
        <f t="shared" si="72"/>
        <v>-</v>
      </c>
      <c r="CA237" s="788"/>
      <c r="CB237" s="788"/>
      <c r="CC237" s="789"/>
      <c r="CD237" s="787" t="str">
        <f t="shared" si="64"/>
        <v>-</v>
      </c>
      <c r="CE237" s="788"/>
      <c r="CF237" s="788"/>
      <c r="CG237" s="789"/>
      <c r="CH237" s="790" t="str">
        <f t="shared" si="73"/>
        <v>-</v>
      </c>
      <c r="CI237" s="785"/>
      <c r="CJ237" s="785"/>
      <c r="CK237" s="786"/>
      <c r="CL237" s="790" t="str">
        <f t="shared" si="65"/>
        <v>-</v>
      </c>
      <c r="CM237" s="785"/>
      <c r="CN237" s="785"/>
      <c r="CO237" s="786"/>
      <c r="CP237" s="790" t="str">
        <f>IF(BT237="","-",INDEX($A$5:$BP$257,MATCH(BT237,$BN$5:$BN$257,0),39)*(IF(BT237="","-",(1+(((-('Densidade do AR'!$M$4))+('Densidade do AR'!$T$15*1000000))/(IF(INDEX($A$5:$BP$257,MATCH(BT237,$BN$5:$BN$257,0),50)="Aço Inoxidável",('Densidade do AR'!$S$8*1000000),IF(INDEX($A$5:$BP$257,MATCH(BT237,$BN$5:$BN$257,0),50)="Ferro Fundido",('Densidade do AR'!$S$12*1000000),IF(INDEX($A$5:$BP$257,MATCH(BT237,$BN$5:$BN$257,0),50)="Latão",('Densidade do AR'!$S$10*1000000),IF(INDEX($A$5:$BP$257,MATCH(BT237,$BN$5:$BN$257,0),50)="Alumínio",('Densidade do AR'!$S$4*1000000)))))))-(((-('Densidade do AR'!$M$4))+('Densidade do AR'!$T$15*1000000))/('Densidade do AR'!$S$14*1000000))))))</f>
        <v>-</v>
      </c>
      <c r="CQ237" s="785"/>
      <c r="CR237" s="785"/>
      <c r="CS237" s="791"/>
      <c r="CT237" s="91" t="str">
        <f t="shared" si="74"/>
        <v>-</v>
      </c>
      <c r="CU237" s="746"/>
      <c r="CV237" s="747"/>
      <c r="CW237" s="784" t="str">
        <f>IF(CU237="","-",(IF(INDEX($A$5:$BP$257,MATCH(CU237,$BN$5:$BN$257,0),50)="Aço Inoxidável",('Densidade do AR'!$S$8*1000000),IF(INDEX($A$5:$BP$257,MATCH(CU237,$BN$5:$BN$257,0),50)="Ferro Fundido",('Densidade do AR'!$S$12*1000000),IF(INDEX($A$5:$BP$257,MATCH(CU237,$BN$5:$BN$257,0),50)="Latão",('Densidade do AR'!$S$10*1000000),IF(INDEX($A$5:$BP$257,MATCH(CU237,$BN$5:$BN$257,0),50)="Alumínio",('Densidade do AR'!$S$4*1000000)))))))</f>
        <v>-</v>
      </c>
      <c r="CX237" s="785"/>
      <c r="CY237" s="785"/>
      <c r="CZ237" s="786"/>
      <c r="DA237" s="787" t="str">
        <f t="shared" si="75"/>
        <v>-</v>
      </c>
      <c r="DB237" s="788"/>
      <c r="DC237" s="788"/>
      <c r="DD237" s="789"/>
      <c r="DE237" s="787" t="str">
        <f t="shared" si="66"/>
        <v>-</v>
      </c>
      <c r="DF237" s="788"/>
      <c r="DG237" s="788"/>
      <c r="DH237" s="789"/>
      <c r="DI237" s="790" t="str">
        <f t="shared" si="76"/>
        <v>-</v>
      </c>
      <c r="DJ237" s="785"/>
      <c r="DK237" s="785"/>
      <c r="DL237" s="786"/>
      <c r="DM237" s="790" t="str">
        <f t="shared" si="67"/>
        <v>-</v>
      </c>
      <c r="DN237" s="785"/>
      <c r="DO237" s="785"/>
      <c r="DP237" s="786"/>
      <c r="DQ237" s="790" t="str">
        <f>IF(CU237="","-",INDEX($A$5:$BP$257,MATCH(CU237,$BN$5:$BN$257,0),39)*(IF(CU237="","-",(1+(((-('Densidade do AR'!$M$4))+('Densidade do AR'!$T$15*1000000))/(IF(INDEX($A$5:$BP$257,MATCH(CU237,$BN$5:$BN$257,0),50)="Aço Inoxidável",('Densidade do AR'!$S$8*1000000),IF(INDEX($A$5:$BP$257,MATCH(CU237,$BN$5:$BN$257,0),50)="Ferro Fundido",('Densidade do AR'!$S$12*1000000),IF(INDEX($A$5:$BP$257,MATCH(CU237,$BN$5:$BN$257,0),50)="Latão",('Densidade do AR'!$S$10*1000000),IF(INDEX($A$5:$BP$257,MATCH(CU237,$BN$5:$BN$257,0),50)="Alumínio",('Densidade do AR'!$S$4*1000000)))))))-(((-('Densidade do AR'!$M$4))+('Densidade do AR'!$T$15*1000000))/('Densidade do AR'!$S$14*1000000))))))</f>
        <v>-</v>
      </c>
      <c r="DR237" s="785"/>
      <c r="DS237" s="785"/>
      <c r="DT237" s="791"/>
      <c r="DU237" s="91" t="str">
        <f t="shared" si="77"/>
        <v>-</v>
      </c>
      <c r="DV237" s="746"/>
      <c r="DW237" s="747"/>
      <c r="DX237" s="784" t="str">
        <f>IF(DV237="","-",(IF(INDEX($A$5:$BP$257,MATCH(DV237,$BN$5:$BN$257,0),50)="Aço Inoxidável",('Densidade do AR'!$S$8*1000000),IF(INDEX($A$5:$BP$257,MATCH(DV237,$BN$5:$BN$257,0),50)="Ferro Fundido",('Densidade do AR'!$S$12*1000000),IF(INDEX($A$5:$BP$257,MATCH(DV237,$BN$5:$BN$257,0),50)="Latão",('Densidade do AR'!$S$10*1000000),IF(INDEX($A$5:$BP$257,MATCH(DV237,$BN$5:$BN$257,0),50)="Alumínio",('Densidade do AR'!$S$4*1000000)))))))</f>
        <v>-</v>
      </c>
      <c r="DY237" s="785"/>
      <c r="DZ237" s="785"/>
      <c r="EA237" s="786"/>
      <c r="EB237" s="787" t="str">
        <f t="shared" si="78"/>
        <v>-</v>
      </c>
      <c r="EC237" s="788"/>
      <c r="ED237" s="788"/>
      <c r="EE237" s="789"/>
      <c r="EF237" s="787" t="str">
        <f t="shared" si="68"/>
        <v>-</v>
      </c>
      <c r="EG237" s="788"/>
      <c r="EH237" s="788"/>
      <c r="EI237" s="789"/>
      <c r="EJ237" s="790" t="str">
        <f t="shared" si="79"/>
        <v>-</v>
      </c>
      <c r="EK237" s="785"/>
      <c r="EL237" s="785"/>
      <c r="EM237" s="786"/>
      <c r="EN237" s="790" t="str">
        <f t="shared" si="69"/>
        <v>-</v>
      </c>
      <c r="EO237" s="785"/>
      <c r="EP237" s="785"/>
      <c r="EQ237" s="786"/>
      <c r="ER237" s="790" t="str">
        <f>IF(DV237="","-",INDEX($A$5:$BP$257,MATCH(DV237,$BN$5:$BN$257,0),39)*(IF(DV237="","-",(1+(((-('Densidade do AR'!$M$4))+('Densidade do AR'!$T$15*1000000))/(IF(INDEX($A$5:$BP$257,MATCH(DV237,$BN$5:$BN$257,0),50)="Aço Inoxidável",('Densidade do AR'!$S$8*1000000),IF(INDEX($A$5:$BP$257,MATCH(DV237,$BN$5:$BN$257,0),50)="Ferro Fundido",('Densidade do AR'!$S$12*1000000),IF(INDEX($A$5:$BP$257,MATCH(DV237,$BN$5:$BN$257,0),50)="Latão",('Densidade do AR'!$S$10*1000000),IF(INDEX($A$5:$BP$257,MATCH(DV237,$BN$5:$BN$257,0),50)="Alumínio",('Densidade do AR'!$S$4*1000000)))))))-(((-('Densidade do AR'!$M$4))+('Densidade do AR'!$T$15*1000000))/('Densidade do AR'!$S$14*1000000))))))</f>
        <v>-</v>
      </c>
      <c r="ES237" s="785"/>
      <c r="ET237" s="785"/>
      <c r="EU237" s="791"/>
      <c r="EV237" s="91" t="str">
        <f t="shared" si="80"/>
        <v>-</v>
      </c>
      <c r="EW237" s="746"/>
      <c r="EX237" s="747"/>
      <c r="EY237" s="784" t="str">
        <f>IF(EW237="","-",(IF(INDEX($A$5:$BP$257,MATCH(EW237,$BN$5:$BN$257,0),50)="Aço Inoxidável",('Densidade do AR'!$S$8*1000000),IF(INDEX($A$5:$BP$257,MATCH(EW237,$BN$5:$BN$257,0),50)="Ferro Fundido",('Densidade do AR'!$S$12*1000000),IF(INDEX($A$5:$BP$257,MATCH(EW237,$BN$5:$BN$257,0),50)="Latão",('Densidade do AR'!$S$10*1000000),IF(INDEX($A$5:$BP$257,MATCH(EW237,$BN$5:$BN$257,0),50)="Alumínio",('Densidade do AR'!$S$4*1000000)))))))</f>
        <v>-</v>
      </c>
      <c r="EZ237" s="785"/>
      <c r="FA237" s="785"/>
      <c r="FB237" s="786"/>
      <c r="FC237" s="787" t="str">
        <f t="shared" si="81"/>
        <v>-</v>
      </c>
      <c r="FD237" s="788"/>
      <c r="FE237" s="788"/>
      <c r="FF237" s="789"/>
      <c r="FG237" s="787" t="str">
        <f t="shared" si="70"/>
        <v>-</v>
      </c>
      <c r="FH237" s="788"/>
      <c r="FI237" s="788"/>
      <c r="FJ237" s="789"/>
      <c r="FK237" s="790" t="str">
        <f t="shared" si="82"/>
        <v>-</v>
      </c>
      <c r="FL237" s="785"/>
      <c r="FM237" s="785"/>
      <c r="FN237" s="786"/>
      <c r="FO237" s="790" t="str">
        <f t="shared" si="71"/>
        <v>-</v>
      </c>
      <c r="FP237" s="785"/>
      <c r="FQ237" s="785"/>
      <c r="FR237" s="786"/>
      <c r="FS237" s="790" t="str">
        <f>IF(EW237="","-",INDEX($A$5:$BP$257,MATCH(EW237,$BN$5:$BN$257,0),39)*(IF(EW237="","-",(1+(((-('Densidade do AR'!$M$4))+('Densidade do AR'!$T$15*1000000))/(IF(INDEX($A$5:$BP$257,MATCH(EW237,$BN$5:$BN$257,0),50)="Aço Inoxidável",('Densidade do AR'!$S$8*1000000),IF(INDEX($A$5:$BP$257,MATCH(EW237,$BN$5:$BN$257,0),50)="Ferro Fundido",('Densidade do AR'!$S$12*1000000),IF(INDEX($A$5:$BP$257,MATCH(EW237,$BN$5:$BN$257,0),50)="Latão",('Densidade do AR'!$S$10*1000000),IF(INDEX($A$5:$BP$257,MATCH(EW237,$BN$5:$BN$257,0),50)="Alumínio",('Densidade do AR'!$S$4*1000000)))))))-(((-('Densidade do AR'!$M$4))+('Densidade do AR'!$T$15*1000000))/('Densidade do AR'!$S$14*1000000))))))</f>
        <v>-</v>
      </c>
      <c r="FT237" s="785"/>
      <c r="FU237" s="785"/>
      <c r="FV237" s="791"/>
      <c r="FW237" s="91" t="str">
        <f t="shared" si="83"/>
        <v>-</v>
      </c>
      <c r="FX237" s="135"/>
    </row>
    <row r="238" spans="1:180" ht="12.75" customHeight="1" x14ac:dyDescent="0.2">
      <c r="A238" s="718">
        <v>234</v>
      </c>
      <c r="B238" s="713"/>
      <c r="C238" s="719"/>
      <c r="D238" s="709"/>
      <c r="E238" s="709"/>
      <c r="F238" s="709"/>
      <c r="G238" s="710"/>
      <c r="H238" s="720"/>
      <c r="I238" s="712"/>
      <c r="J238" s="712"/>
      <c r="K238" s="713"/>
      <c r="L238" s="719"/>
      <c r="M238" s="709"/>
      <c r="N238" s="709"/>
      <c r="O238" s="709"/>
      <c r="P238" s="719"/>
      <c r="Q238" s="709"/>
      <c r="R238" s="709"/>
      <c r="S238" s="709"/>
      <c r="T238" s="710"/>
      <c r="U238" s="721"/>
      <c r="V238" s="722"/>
      <c r="W238" s="722"/>
      <c r="X238" s="722"/>
      <c r="Y238" s="722"/>
      <c r="Z238" s="722"/>
      <c r="AA238" s="723"/>
      <c r="AB238" s="853"/>
      <c r="AC238" s="854"/>
      <c r="AD238" s="854"/>
      <c r="AE238" s="854"/>
      <c r="AF238" s="854"/>
      <c r="AG238" s="854"/>
      <c r="AH238" s="854"/>
      <c r="AI238" s="854"/>
      <c r="AJ238" s="854"/>
      <c r="AK238" s="854"/>
      <c r="AL238" s="855"/>
      <c r="AM238" s="909"/>
      <c r="AN238" s="712"/>
      <c r="AO238" s="712"/>
      <c r="AP238" s="712"/>
      <c r="AQ238" s="712"/>
      <c r="AR238" s="712"/>
      <c r="AS238" s="713"/>
      <c r="AT238" s="909"/>
      <c r="AU238" s="712"/>
      <c r="AV238" s="712"/>
      <c r="AW238" s="713"/>
      <c r="AX238" s="908"/>
      <c r="AY238" s="712"/>
      <c r="AZ238" s="712"/>
      <c r="BA238" s="712"/>
      <c r="BB238" s="712"/>
      <c r="BC238" s="713"/>
      <c r="BD238" s="909"/>
      <c r="BE238" s="712"/>
      <c r="BF238" s="712"/>
      <c r="BG238" s="713"/>
      <c r="BH238" s="908"/>
      <c r="BI238" s="712"/>
      <c r="BJ238" s="712"/>
      <c r="BK238" s="712"/>
      <c r="BL238" s="910"/>
      <c r="BN238" s="881"/>
      <c r="BO238" s="709"/>
      <c r="BP238" s="884"/>
      <c r="BT238" s="736"/>
      <c r="BU238" s="737"/>
      <c r="BV238" s="738" t="str">
        <f>IF(BT238="","-",(IF(INDEX($A$5:$BP$257,MATCH(BT238,$BN$5:$BN$257,0),50)="Aço Inoxidável",('Densidade do AR'!$S$8*1000000),IF(INDEX($A$5:$BP$257,MATCH(BT238,$BN$5:$BN$257,0),50)="Ferro Fundido",('Densidade do AR'!$S$12*1000000),IF(INDEX($A$5:$BP$257,MATCH(BT238,$BN$5:$BN$257,0),50)="Latão",('Densidade do AR'!$S$10*1000000),IF(INDEX($A$5:$BP$257,MATCH(BT238,$BN$5:$BN$257,0),50)="Alumínio",('Densidade do AR'!$S$4*1000000)))))))</f>
        <v>-</v>
      </c>
      <c r="BW238" s="739"/>
      <c r="BX238" s="739"/>
      <c r="BY238" s="740"/>
      <c r="BZ238" s="741" t="str">
        <f t="shared" si="72"/>
        <v>-</v>
      </c>
      <c r="CA238" s="742"/>
      <c r="CB238" s="742"/>
      <c r="CC238" s="743"/>
      <c r="CD238" s="741" t="str">
        <f t="shared" si="64"/>
        <v>-</v>
      </c>
      <c r="CE238" s="742"/>
      <c r="CF238" s="742"/>
      <c r="CG238" s="743"/>
      <c r="CH238" s="744" t="str">
        <f t="shared" si="73"/>
        <v>-</v>
      </c>
      <c r="CI238" s="739"/>
      <c r="CJ238" s="739"/>
      <c r="CK238" s="740"/>
      <c r="CL238" s="744" t="str">
        <f t="shared" si="65"/>
        <v>-</v>
      </c>
      <c r="CM238" s="739"/>
      <c r="CN238" s="739"/>
      <c r="CO238" s="740"/>
      <c r="CP238" s="744" t="str">
        <f>IF(BT238="","-",INDEX($A$5:$BP$257,MATCH(BT238,$BN$5:$BN$257,0),39)*(IF(BT238="","-",(1+(((-('Densidade do AR'!$M$4))+('Densidade do AR'!$T$15*1000000))/(IF(INDEX($A$5:$BP$257,MATCH(BT238,$BN$5:$BN$257,0),50)="Aço Inoxidável",('Densidade do AR'!$S$8*1000000),IF(INDEX($A$5:$BP$257,MATCH(BT238,$BN$5:$BN$257,0),50)="Ferro Fundido",('Densidade do AR'!$S$12*1000000),IF(INDEX($A$5:$BP$257,MATCH(BT238,$BN$5:$BN$257,0),50)="Latão",('Densidade do AR'!$S$10*1000000),IF(INDEX($A$5:$BP$257,MATCH(BT238,$BN$5:$BN$257,0),50)="Alumínio",('Densidade do AR'!$S$4*1000000)))))))-(((-('Densidade do AR'!$M$4))+('Densidade do AR'!$T$15*1000000))/('Densidade do AR'!$S$14*1000000))))))</f>
        <v>-</v>
      </c>
      <c r="CQ238" s="739"/>
      <c r="CR238" s="739"/>
      <c r="CS238" s="745"/>
      <c r="CT238" s="91" t="str">
        <f t="shared" si="74"/>
        <v>-</v>
      </c>
      <c r="CU238" s="736"/>
      <c r="CV238" s="737"/>
      <c r="CW238" s="738" t="str">
        <f>IF(CU238="","-",(IF(INDEX($A$5:$BP$257,MATCH(CU238,$BN$5:$BN$257,0),50)="Aço Inoxidável",('Densidade do AR'!$S$8*1000000),IF(INDEX($A$5:$BP$257,MATCH(CU238,$BN$5:$BN$257,0),50)="Ferro Fundido",('Densidade do AR'!$S$12*1000000),IF(INDEX($A$5:$BP$257,MATCH(CU238,$BN$5:$BN$257,0),50)="Latão",('Densidade do AR'!$S$10*1000000),IF(INDEX($A$5:$BP$257,MATCH(CU238,$BN$5:$BN$257,0),50)="Alumínio",('Densidade do AR'!$S$4*1000000)))))))</f>
        <v>-</v>
      </c>
      <c r="CX238" s="739"/>
      <c r="CY238" s="739"/>
      <c r="CZ238" s="740"/>
      <c r="DA238" s="741" t="str">
        <f t="shared" si="75"/>
        <v>-</v>
      </c>
      <c r="DB238" s="742"/>
      <c r="DC238" s="742"/>
      <c r="DD238" s="743"/>
      <c r="DE238" s="741" t="str">
        <f t="shared" si="66"/>
        <v>-</v>
      </c>
      <c r="DF238" s="742"/>
      <c r="DG238" s="742"/>
      <c r="DH238" s="743"/>
      <c r="DI238" s="744" t="str">
        <f t="shared" si="76"/>
        <v>-</v>
      </c>
      <c r="DJ238" s="739"/>
      <c r="DK238" s="739"/>
      <c r="DL238" s="740"/>
      <c r="DM238" s="744" t="str">
        <f t="shared" si="67"/>
        <v>-</v>
      </c>
      <c r="DN238" s="739"/>
      <c r="DO238" s="739"/>
      <c r="DP238" s="740"/>
      <c r="DQ238" s="744" t="str">
        <f>IF(CU238="","-",INDEX($A$5:$BP$257,MATCH(CU238,$BN$5:$BN$257,0),39)*(IF(CU238="","-",(1+(((-('Densidade do AR'!$M$4))+('Densidade do AR'!$T$15*1000000))/(IF(INDEX($A$5:$BP$257,MATCH(CU238,$BN$5:$BN$257,0),50)="Aço Inoxidável",('Densidade do AR'!$S$8*1000000),IF(INDEX($A$5:$BP$257,MATCH(CU238,$BN$5:$BN$257,0),50)="Ferro Fundido",('Densidade do AR'!$S$12*1000000),IF(INDEX($A$5:$BP$257,MATCH(CU238,$BN$5:$BN$257,0),50)="Latão",('Densidade do AR'!$S$10*1000000),IF(INDEX($A$5:$BP$257,MATCH(CU238,$BN$5:$BN$257,0),50)="Alumínio",('Densidade do AR'!$S$4*1000000)))))))-(((-('Densidade do AR'!$M$4))+('Densidade do AR'!$T$15*1000000))/('Densidade do AR'!$S$14*1000000))))))</f>
        <v>-</v>
      </c>
      <c r="DR238" s="739"/>
      <c r="DS238" s="739"/>
      <c r="DT238" s="745"/>
      <c r="DU238" s="91" t="str">
        <f t="shared" si="77"/>
        <v>-</v>
      </c>
      <c r="DV238" s="736"/>
      <c r="DW238" s="737"/>
      <c r="DX238" s="738" t="str">
        <f>IF(DV238="","-",(IF(INDEX($A$5:$BP$257,MATCH(DV238,$BN$5:$BN$257,0),50)="Aço Inoxidável",('Densidade do AR'!$S$8*1000000),IF(INDEX($A$5:$BP$257,MATCH(DV238,$BN$5:$BN$257,0),50)="Ferro Fundido",('Densidade do AR'!$S$12*1000000),IF(INDEX($A$5:$BP$257,MATCH(DV238,$BN$5:$BN$257,0),50)="Latão",('Densidade do AR'!$S$10*1000000),IF(INDEX($A$5:$BP$257,MATCH(DV238,$BN$5:$BN$257,0),50)="Alumínio",('Densidade do AR'!$S$4*1000000)))))))</f>
        <v>-</v>
      </c>
      <c r="DY238" s="739"/>
      <c r="DZ238" s="739"/>
      <c r="EA238" s="740"/>
      <c r="EB238" s="741" t="str">
        <f t="shared" si="78"/>
        <v>-</v>
      </c>
      <c r="EC238" s="742"/>
      <c r="ED238" s="742"/>
      <c r="EE238" s="743"/>
      <c r="EF238" s="741" t="str">
        <f t="shared" si="68"/>
        <v>-</v>
      </c>
      <c r="EG238" s="742"/>
      <c r="EH238" s="742"/>
      <c r="EI238" s="743"/>
      <c r="EJ238" s="744" t="str">
        <f t="shared" si="79"/>
        <v>-</v>
      </c>
      <c r="EK238" s="739"/>
      <c r="EL238" s="739"/>
      <c r="EM238" s="740"/>
      <c r="EN238" s="744" t="str">
        <f t="shared" si="69"/>
        <v>-</v>
      </c>
      <c r="EO238" s="739"/>
      <c r="EP238" s="739"/>
      <c r="EQ238" s="740"/>
      <c r="ER238" s="744" t="str">
        <f>IF(DV238="","-",INDEX($A$5:$BP$257,MATCH(DV238,$BN$5:$BN$257,0),39)*(IF(DV238="","-",(1+(((-('Densidade do AR'!$M$4))+('Densidade do AR'!$T$15*1000000))/(IF(INDEX($A$5:$BP$257,MATCH(DV238,$BN$5:$BN$257,0),50)="Aço Inoxidável",('Densidade do AR'!$S$8*1000000),IF(INDEX($A$5:$BP$257,MATCH(DV238,$BN$5:$BN$257,0),50)="Ferro Fundido",('Densidade do AR'!$S$12*1000000),IF(INDEX($A$5:$BP$257,MATCH(DV238,$BN$5:$BN$257,0),50)="Latão",('Densidade do AR'!$S$10*1000000),IF(INDEX($A$5:$BP$257,MATCH(DV238,$BN$5:$BN$257,0),50)="Alumínio",('Densidade do AR'!$S$4*1000000)))))))-(((-('Densidade do AR'!$M$4))+('Densidade do AR'!$T$15*1000000))/('Densidade do AR'!$S$14*1000000))))))</f>
        <v>-</v>
      </c>
      <c r="ES238" s="739"/>
      <c r="ET238" s="739"/>
      <c r="EU238" s="745"/>
      <c r="EV238" s="91" t="str">
        <f t="shared" si="80"/>
        <v>-</v>
      </c>
      <c r="EW238" s="736"/>
      <c r="EX238" s="737"/>
      <c r="EY238" s="738" t="str">
        <f>IF(EW238="","-",(IF(INDEX($A$5:$BP$257,MATCH(EW238,$BN$5:$BN$257,0),50)="Aço Inoxidável",('Densidade do AR'!$S$8*1000000),IF(INDEX($A$5:$BP$257,MATCH(EW238,$BN$5:$BN$257,0),50)="Ferro Fundido",('Densidade do AR'!$S$12*1000000),IF(INDEX($A$5:$BP$257,MATCH(EW238,$BN$5:$BN$257,0),50)="Latão",('Densidade do AR'!$S$10*1000000),IF(INDEX($A$5:$BP$257,MATCH(EW238,$BN$5:$BN$257,0),50)="Alumínio",('Densidade do AR'!$S$4*1000000)))))))</f>
        <v>-</v>
      </c>
      <c r="EZ238" s="739"/>
      <c r="FA238" s="739"/>
      <c r="FB238" s="740"/>
      <c r="FC238" s="741" t="str">
        <f t="shared" si="81"/>
        <v>-</v>
      </c>
      <c r="FD238" s="742"/>
      <c r="FE238" s="742"/>
      <c r="FF238" s="743"/>
      <c r="FG238" s="741" t="str">
        <f t="shared" si="70"/>
        <v>-</v>
      </c>
      <c r="FH238" s="742"/>
      <c r="FI238" s="742"/>
      <c r="FJ238" s="743"/>
      <c r="FK238" s="744" t="str">
        <f t="shared" si="82"/>
        <v>-</v>
      </c>
      <c r="FL238" s="739"/>
      <c r="FM238" s="739"/>
      <c r="FN238" s="740"/>
      <c r="FO238" s="744" t="str">
        <f t="shared" si="71"/>
        <v>-</v>
      </c>
      <c r="FP238" s="739"/>
      <c r="FQ238" s="739"/>
      <c r="FR238" s="740"/>
      <c r="FS238" s="744" t="str">
        <f>IF(EW238="","-",INDEX($A$5:$BP$257,MATCH(EW238,$BN$5:$BN$257,0),39)*(IF(EW238="","-",(1+(((-('Densidade do AR'!$M$4))+('Densidade do AR'!$T$15*1000000))/(IF(INDEX($A$5:$BP$257,MATCH(EW238,$BN$5:$BN$257,0),50)="Aço Inoxidável",('Densidade do AR'!$S$8*1000000),IF(INDEX($A$5:$BP$257,MATCH(EW238,$BN$5:$BN$257,0),50)="Ferro Fundido",('Densidade do AR'!$S$12*1000000),IF(INDEX($A$5:$BP$257,MATCH(EW238,$BN$5:$BN$257,0),50)="Latão",('Densidade do AR'!$S$10*1000000),IF(INDEX($A$5:$BP$257,MATCH(EW238,$BN$5:$BN$257,0),50)="Alumínio",('Densidade do AR'!$S$4*1000000)))))))-(((-('Densidade do AR'!$M$4))+('Densidade do AR'!$T$15*1000000))/('Densidade do AR'!$S$14*1000000))))))</f>
        <v>-</v>
      </c>
      <c r="FT238" s="739"/>
      <c r="FU238" s="739"/>
      <c r="FV238" s="745"/>
      <c r="FW238" s="91" t="str">
        <f t="shared" si="83"/>
        <v>-</v>
      </c>
      <c r="FX238" s="135"/>
    </row>
    <row r="239" spans="1:180" ht="12.75" customHeight="1" x14ac:dyDescent="0.2">
      <c r="A239" s="717">
        <v>235</v>
      </c>
      <c r="B239" s="713"/>
      <c r="C239" s="708"/>
      <c r="D239" s="709"/>
      <c r="E239" s="709"/>
      <c r="F239" s="709"/>
      <c r="G239" s="710"/>
      <c r="H239" s="711"/>
      <c r="I239" s="712"/>
      <c r="J239" s="712"/>
      <c r="K239" s="713"/>
      <c r="L239" s="708"/>
      <c r="M239" s="709"/>
      <c r="N239" s="709"/>
      <c r="O239" s="709"/>
      <c r="P239" s="708"/>
      <c r="Q239" s="709"/>
      <c r="R239" s="709"/>
      <c r="S239" s="709"/>
      <c r="T239" s="710"/>
      <c r="U239" s="714"/>
      <c r="V239" s="715"/>
      <c r="W239" s="715"/>
      <c r="X239" s="715"/>
      <c r="Y239" s="715"/>
      <c r="Z239" s="715"/>
      <c r="AA239" s="716"/>
      <c r="AB239" s="850"/>
      <c r="AC239" s="851"/>
      <c r="AD239" s="851"/>
      <c r="AE239" s="851"/>
      <c r="AF239" s="851"/>
      <c r="AG239" s="851"/>
      <c r="AH239" s="851"/>
      <c r="AI239" s="851"/>
      <c r="AJ239" s="851"/>
      <c r="AK239" s="851"/>
      <c r="AL239" s="852"/>
      <c r="AM239" s="917"/>
      <c r="AN239" s="712"/>
      <c r="AO239" s="712"/>
      <c r="AP239" s="712"/>
      <c r="AQ239" s="712"/>
      <c r="AR239" s="712"/>
      <c r="AS239" s="713"/>
      <c r="AT239" s="917"/>
      <c r="AU239" s="712"/>
      <c r="AV239" s="712"/>
      <c r="AW239" s="713"/>
      <c r="AX239" s="917"/>
      <c r="AY239" s="712"/>
      <c r="AZ239" s="712"/>
      <c r="BA239" s="712"/>
      <c r="BB239" s="712"/>
      <c r="BC239" s="713"/>
      <c r="BD239" s="917"/>
      <c r="BE239" s="712"/>
      <c r="BF239" s="712"/>
      <c r="BG239" s="713"/>
      <c r="BH239" s="918"/>
      <c r="BI239" s="712"/>
      <c r="BJ239" s="712"/>
      <c r="BK239" s="712"/>
      <c r="BL239" s="910"/>
      <c r="BN239" s="878"/>
      <c r="BO239" s="709"/>
      <c r="BP239" s="884"/>
      <c r="BT239" s="746"/>
      <c r="BU239" s="747"/>
      <c r="BV239" s="784" t="str">
        <f>IF(BT239="","-",(IF(INDEX($A$5:$BP$257,MATCH(BT239,$BN$5:$BN$257,0),50)="Aço Inoxidável",('Densidade do AR'!$S$8*1000000),IF(INDEX($A$5:$BP$257,MATCH(BT239,$BN$5:$BN$257,0),50)="Ferro Fundido",('Densidade do AR'!$S$12*1000000),IF(INDEX($A$5:$BP$257,MATCH(BT239,$BN$5:$BN$257,0),50)="Latão",('Densidade do AR'!$S$10*1000000),IF(INDEX($A$5:$BP$257,MATCH(BT239,$BN$5:$BN$257,0),50)="Alumínio",('Densidade do AR'!$S$4*1000000)))))))</f>
        <v>-</v>
      </c>
      <c r="BW239" s="785"/>
      <c r="BX239" s="785"/>
      <c r="BY239" s="786"/>
      <c r="BZ239" s="787" t="str">
        <f t="shared" si="72"/>
        <v>-</v>
      </c>
      <c r="CA239" s="788"/>
      <c r="CB239" s="788"/>
      <c r="CC239" s="789"/>
      <c r="CD239" s="787" t="str">
        <f t="shared" si="64"/>
        <v>-</v>
      </c>
      <c r="CE239" s="788"/>
      <c r="CF239" s="788"/>
      <c r="CG239" s="789"/>
      <c r="CH239" s="790" t="str">
        <f t="shared" si="73"/>
        <v>-</v>
      </c>
      <c r="CI239" s="785"/>
      <c r="CJ239" s="785"/>
      <c r="CK239" s="786"/>
      <c r="CL239" s="790" t="str">
        <f t="shared" si="65"/>
        <v>-</v>
      </c>
      <c r="CM239" s="785"/>
      <c r="CN239" s="785"/>
      <c r="CO239" s="786"/>
      <c r="CP239" s="790" t="str">
        <f>IF(BT239="","-",INDEX($A$5:$BP$257,MATCH(BT239,$BN$5:$BN$257,0),39)*(IF(BT239="","-",(1+(((-('Densidade do AR'!$M$4))+('Densidade do AR'!$T$15*1000000))/(IF(INDEX($A$5:$BP$257,MATCH(BT239,$BN$5:$BN$257,0),50)="Aço Inoxidável",('Densidade do AR'!$S$8*1000000),IF(INDEX($A$5:$BP$257,MATCH(BT239,$BN$5:$BN$257,0),50)="Ferro Fundido",('Densidade do AR'!$S$12*1000000),IF(INDEX($A$5:$BP$257,MATCH(BT239,$BN$5:$BN$257,0),50)="Latão",('Densidade do AR'!$S$10*1000000),IF(INDEX($A$5:$BP$257,MATCH(BT239,$BN$5:$BN$257,0),50)="Alumínio",('Densidade do AR'!$S$4*1000000)))))))-(((-('Densidade do AR'!$M$4))+('Densidade do AR'!$T$15*1000000))/('Densidade do AR'!$S$14*1000000))))))</f>
        <v>-</v>
      </c>
      <c r="CQ239" s="785"/>
      <c r="CR239" s="785"/>
      <c r="CS239" s="791"/>
      <c r="CT239" s="91" t="str">
        <f t="shared" si="74"/>
        <v>-</v>
      </c>
      <c r="CU239" s="746"/>
      <c r="CV239" s="747"/>
      <c r="CW239" s="784" t="str">
        <f>IF(CU239="","-",(IF(INDEX($A$5:$BP$257,MATCH(CU239,$BN$5:$BN$257,0),50)="Aço Inoxidável",('Densidade do AR'!$S$8*1000000),IF(INDEX($A$5:$BP$257,MATCH(CU239,$BN$5:$BN$257,0),50)="Ferro Fundido",('Densidade do AR'!$S$12*1000000),IF(INDEX($A$5:$BP$257,MATCH(CU239,$BN$5:$BN$257,0),50)="Latão",('Densidade do AR'!$S$10*1000000),IF(INDEX($A$5:$BP$257,MATCH(CU239,$BN$5:$BN$257,0),50)="Alumínio",('Densidade do AR'!$S$4*1000000)))))))</f>
        <v>-</v>
      </c>
      <c r="CX239" s="785"/>
      <c r="CY239" s="785"/>
      <c r="CZ239" s="786"/>
      <c r="DA239" s="787" t="str">
        <f t="shared" si="75"/>
        <v>-</v>
      </c>
      <c r="DB239" s="788"/>
      <c r="DC239" s="788"/>
      <c r="DD239" s="789"/>
      <c r="DE239" s="787" t="str">
        <f t="shared" si="66"/>
        <v>-</v>
      </c>
      <c r="DF239" s="788"/>
      <c r="DG239" s="788"/>
      <c r="DH239" s="789"/>
      <c r="DI239" s="790" t="str">
        <f t="shared" si="76"/>
        <v>-</v>
      </c>
      <c r="DJ239" s="785"/>
      <c r="DK239" s="785"/>
      <c r="DL239" s="786"/>
      <c r="DM239" s="790" t="str">
        <f t="shared" si="67"/>
        <v>-</v>
      </c>
      <c r="DN239" s="785"/>
      <c r="DO239" s="785"/>
      <c r="DP239" s="786"/>
      <c r="DQ239" s="790" t="str">
        <f>IF(CU239="","-",INDEX($A$5:$BP$257,MATCH(CU239,$BN$5:$BN$257,0),39)*(IF(CU239="","-",(1+(((-('Densidade do AR'!$M$4))+('Densidade do AR'!$T$15*1000000))/(IF(INDEX($A$5:$BP$257,MATCH(CU239,$BN$5:$BN$257,0),50)="Aço Inoxidável",('Densidade do AR'!$S$8*1000000),IF(INDEX($A$5:$BP$257,MATCH(CU239,$BN$5:$BN$257,0),50)="Ferro Fundido",('Densidade do AR'!$S$12*1000000),IF(INDEX($A$5:$BP$257,MATCH(CU239,$BN$5:$BN$257,0),50)="Latão",('Densidade do AR'!$S$10*1000000),IF(INDEX($A$5:$BP$257,MATCH(CU239,$BN$5:$BN$257,0),50)="Alumínio",('Densidade do AR'!$S$4*1000000)))))))-(((-('Densidade do AR'!$M$4))+('Densidade do AR'!$T$15*1000000))/('Densidade do AR'!$S$14*1000000))))))</f>
        <v>-</v>
      </c>
      <c r="DR239" s="785"/>
      <c r="DS239" s="785"/>
      <c r="DT239" s="791"/>
      <c r="DU239" s="91" t="str">
        <f t="shared" si="77"/>
        <v>-</v>
      </c>
      <c r="DV239" s="746"/>
      <c r="DW239" s="747"/>
      <c r="DX239" s="784" t="str">
        <f>IF(DV239="","-",(IF(INDEX($A$5:$BP$257,MATCH(DV239,$BN$5:$BN$257,0),50)="Aço Inoxidável",('Densidade do AR'!$S$8*1000000),IF(INDEX($A$5:$BP$257,MATCH(DV239,$BN$5:$BN$257,0),50)="Ferro Fundido",('Densidade do AR'!$S$12*1000000),IF(INDEX($A$5:$BP$257,MATCH(DV239,$BN$5:$BN$257,0),50)="Latão",('Densidade do AR'!$S$10*1000000),IF(INDEX($A$5:$BP$257,MATCH(DV239,$BN$5:$BN$257,0),50)="Alumínio",('Densidade do AR'!$S$4*1000000)))))))</f>
        <v>-</v>
      </c>
      <c r="DY239" s="785"/>
      <c r="DZ239" s="785"/>
      <c r="EA239" s="786"/>
      <c r="EB239" s="787" t="str">
        <f t="shared" si="78"/>
        <v>-</v>
      </c>
      <c r="EC239" s="788"/>
      <c r="ED239" s="788"/>
      <c r="EE239" s="789"/>
      <c r="EF239" s="787" t="str">
        <f t="shared" si="68"/>
        <v>-</v>
      </c>
      <c r="EG239" s="788"/>
      <c r="EH239" s="788"/>
      <c r="EI239" s="789"/>
      <c r="EJ239" s="790" t="str">
        <f t="shared" si="79"/>
        <v>-</v>
      </c>
      <c r="EK239" s="785"/>
      <c r="EL239" s="785"/>
      <c r="EM239" s="786"/>
      <c r="EN239" s="790" t="str">
        <f t="shared" si="69"/>
        <v>-</v>
      </c>
      <c r="EO239" s="785"/>
      <c r="EP239" s="785"/>
      <c r="EQ239" s="786"/>
      <c r="ER239" s="790" t="str">
        <f>IF(DV239="","-",INDEX($A$5:$BP$257,MATCH(DV239,$BN$5:$BN$257,0),39)*(IF(DV239="","-",(1+(((-('Densidade do AR'!$M$4))+('Densidade do AR'!$T$15*1000000))/(IF(INDEX($A$5:$BP$257,MATCH(DV239,$BN$5:$BN$257,0),50)="Aço Inoxidável",('Densidade do AR'!$S$8*1000000),IF(INDEX($A$5:$BP$257,MATCH(DV239,$BN$5:$BN$257,0),50)="Ferro Fundido",('Densidade do AR'!$S$12*1000000),IF(INDEX($A$5:$BP$257,MATCH(DV239,$BN$5:$BN$257,0),50)="Latão",('Densidade do AR'!$S$10*1000000),IF(INDEX($A$5:$BP$257,MATCH(DV239,$BN$5:$BN$257,0),50)="Alumínio",('Densidade do AR'!$S$4*1000000)))))))-(((-('Densidade do AR'!$M$4))+('Densidade do AR'!$T$15*1000000))/('Densidade do AR'!$S$14*1000000))))))</f>
        <v>-</v>
      </c>
      <c r="ES239" s="785"/>
      <c r="ET239" s="785"/>
      <c r="EU239" s="791"/>
      <c r="EV239" s="91" t="str">
        <f t="shared" si="80"/>
        <v>-</v>
      </c>
      <c r="EW239" s="746"/>
      <c r="EX239" s="747"/>
      <c r="EY239" s="784" t="str">
        <f>IF(EW239="","-",(IF(INDEX($A$5:$BP$257,MATCH(EW239,$BN$5:$BN$257,0),50)="Aço Inoxidável",('Densidade do AR'!$S$8*1000000),IF(INDEX($A$5:$BP$257,MATCH(EW239,$BN$5:$BN$257,0),50)="Ferro Fundido",('Densidade do AR'!$S$12*1000000),IF(INDEX($A$5:$BP$257,MATCH(EW239,$BN$5:$BN$257,0),50)="Latão",('Densidade do AR'!$S$10*1000000),IF(INDEX($A$5:$BP$257,MATCH(EW239,$BN$5:$BN$257,0),50)="Alumínio",('Densidade do AR'!$S$4*1000000)))))))</f>
        <v>-</v>
      </c>
      <c r="EZ239" s="785"/>
      <c r="FA239" s="785"/>
      <c r="FB239" s="786"/>
      <c r="FC239" s="787" t="str">
        <f t="shared" si="81"/>
        <v>-</v>
      </c>
      <c r="FD239" s="788"/>
      <c r="FE239" s="788"/>
      <c r="FF239" s="789"/>
      <c r="FG239" s="787" t="str">
        <f t="shared" si="70"/>
        <v>-</v>
      </c>
      <c r="FH239" s="788"/>
      <c r="FI239" s="788"/>
      <c r="FJ239" s="789"/>
      <c r="FK239" s="790" t="str">
        <f t="shared" si="82"/>
        <v>-</v>
      </c>
      <c r="FL239" s="785"/>
      <c r="FM239" s="785"/>
      <c r="FN239" s="786"/>
      <c r="FO239" s="790" t="str">
        <f t="shared" si="71"/>
        <v>-</v>
      </c>
      <c r="FP239" s="785"/>
      <c r="FQ239" s="785"/>
      <c r="FR239" s="786"/>
      <c r="FS239" s="790" t="str">
        <f>IF(EW239="","-",INDEX($A$5:$BP$257,MATCH(EW239,$BN$5:$BN$257,0),39)*(IF(EW239="","-",(1+(((-('Densidade do AR'!$M$4))+('Densidade do AR'!$T$15*1000000))/(IF(INDEX($A$5:$BP$257,MATCH(EW239,$BN$5:$BN$257,0),50)="Aço Inoxidável",('Densidade do AR'!$S$8*1000000),IF(INDEX($A$5:$BP$257,MATCH(EW239,$BN$5:$BN$257,0),50)="Ferro Fundido",('Densidade do AR'!$S$12*1000000),IF(INDEX($A$5:$BP$257,MATCH(EW239,$BN$5:$BN$257,0),50)="Latão",('Densidade do AR'!$S$10*1000000),IF(INDEX($A$5:$BP$257,MATCH(EW239,$BN$5:$BN$257,0),50)="Alumínio",('Densidade do AR'!$S$4*1000000)))))))-(((-('Densidade do AR'!$M$4))+('Densidade do AR'!$T$15*1000000))/('Densidade do AR'!$S$14*1000000))))))</f>
        <v>-</v>
      </c>
      <c r="FT239" s="785"/>
      <c r="FU239" s="785"/>
      <c r="FV239" s="791"/>
      <c r="FW239" s="91" t="str">
        <f t="shared" si="83"/>
        <v>-</v>
      </c>
      <c r="FX239" s="135"/>
    </row>
    <row r="240" spans="1:180" ht="12.75" customHeight="1" x14ac:dyDescent="0.2">
      <c r="A240" s="718">
        <v>236</v>
      </c>
      <c r="B240" s="713"/>
      <c r="C240" s="719"/>
      <c r="D240" s="709"/>
      <c r="E240" s="709"/>
      <c r="F240" s="709"/>
      <c r="G240" s="710"/>
      <c r="H240" s="720"/>
      <c r="I240" s="712"/>
      <c r="J240" s="712"/>
      <c r="K240" s="713"/>
      <c r="L240" s="719"/>
      <c r="M240" s="709"/>
      <c r="N240" s="709"/>
      <c r="O240" s="709"/>
      <c r="P240" s="719"/>
      <c r="Q240" s="709"/>
      <c r="R240" s="709"/>
      <c r="S240" s="709"/>
      <c r="T240" s="710"/>
      <c r="U240" s="721"/>
      <c r="V240" s="722"/>
      <c r="W240" s="722"/>
      <c r="X240" s="722"/>
      <c r="Y240" s="722"/>
      <c r="Z240" s="722"/>
      <c r="AA240" s="723"/>
      <c r="AB240" s="853"/>
      <c r="AC240" s="854"/>
      <c r="AD240" s="854"/>
      <c r="AE240" s="854"/>
      <c r="AF240" s="854"/>
      <c r="AG240" s="854"/>
      <c r="AH240" s="854"/>
      <c r="AI240" s="854"/>
      <c r="AJ240" s="854"/>
      <c r="AK240" s="854"/>
      <c r="AL240" s="855"/>
      <c r="AM240" s="909"/>
      <c r="AN240" s="712"/>
      <c r="AO240" s="712"/>
      <c r="AP240" s="712"/>
      <c r="AQ240" s="712"/>
      <c r="AR240" s="712"/>
      <c r="AS240" s="713"/>
      <c r="AT240" s="909"/>
      <c r="AU240" s="712"/>
      <c r="AV240" s="712"/>
      <c r="AW240" s="713"/>
      <c r="AX240" s="908"/>
      <c r="AY240" s="712"/>
      <c r="AZ240" s="712"/>
      <c r="BA240" s="712"/>
      <c r="BB240" s="712"/>
      <c r="BC240" s="713"/>
      <c r="BD240" s="909"/>
      <c r="BE240" s="712"/>
      <c r="BF240" s="712"/>
      <c r="BG240" s="713"/>
      <c r="BH240" s="908"/>
      <c r="BI240" s="712"/>
      <c r="BJ240" s="712"/>
      <c r="BK240" s="712"/>
      <c r="BL240" s="910"/>
      <c r="BN240" s="881"/>
      <c r="BO240" s="709"/>
      <c r="BP240" s="884"/>
      <c r="BT240" s="736"/>
      <c r="BU240" s="737"/>
      <c r="BV240" s="738" t="str">
        <f>IF(BT240="","-",(IF(INDEX($A$5:$BP$257,MATCH(BT240,$BN$5:$BN$257,0),50)="Aço Inoxidável",('Densidade do AR'!$S$8*1000000),IF(INDEX($A$5:$BP$257,MATCH(BT240,$BN$5:$BN$257,0),50)="Ferro Fundido",('Densidade do AR'!$S$12*1000000),IF(INDEX($A$5:$BP$257,MATCH(BT240,$BN$5:$BN$257,0),50)="Latão",('Densidade do AR'!$S$10*1000000),IF(INDEX($A$5:$BP$257,MATCH(BT240,$BN$5:$BN$257,0),50)="Alumínio",('Densidade do AR'!$S$4*1000000)))))))</f>
        <v>-</v>
      </c>
      <c r="BW240" s="739"/>
      <c r="BX240" s="739"/>
      <c r="BY240" s="740"/>
      <c r="BZ240" s="741" t="str">
        <f t="shared" si="72"/>
        <v>-</v>
      </c>
      <c r="CA240" s="742"/>
      <c r="CB240" s="742"/>
      <c r="CC240" s="743"/>
      <c r="CD240" s="741" t="str">
        <f t="shared" si="64"/>
        <v>-</v>
      </c>
      <c r="CE240" s="742"/>
      <c r="CF240" s="742"/>
      <c r="CG240" s="743"/>
      <c r="CH240" s="744" t="str">
        <f t="shared" si="73"/>
        <v>-</v>
      </c>
      <c r="CI240" s="739"/>
      <c r="CJ240" s="739"/>
      <c r="CK240" s="740"/>
      <c r="CL240" s="744" t="str">
        <f t="shared" si="65"/>
        <v>-</v>
      </c>
      <c r="CM240" s="739"/>
      <c r="CN240" s="739"/>
      <c r="CO240" s="740"/>
      <c r="CP240" s="744" t="str">
        <f>IF(BT240="","-",INDEX($A$5:$BP$257,MATCH(BT240,$BN$5:$BN$257,0),39)*(IF(BT240="","-",(1+(((-('Densidade do AR'!$M$4))+('Densidade do AR'!$T$15*1000000))/(IF(INDEX($A$5:$BP$257,MATCH(BT240,$BN$5:$BN$257,0),50)="Aço Inoxidável",('Densidade do AR'!$S$8*1000000),IF(INDEX($A$5:$BP$257,MATCH(BT240,$BN$5:$BN$257,0),50)="Ferro Fundido",('Densidade do AR'!$S$12*1000000),IF(INDEX($A$5:$BP$257,MATCH(BT240,$BN$5:$BN$257,0),50)="Latão",('Densidade do AR'!$S$10*1000000),IF(INDEX($A$5:$BP$257,MATCH(BT240,$BN$5:$BN$257,0),50)="Alumínio",('Densidade do AR'!$S$4*1000000)))))))-(((-('Densidade do AR'!$M$4))+('Densidade do AR'!$T$15*1000000))/('Densidade do AR'!$S$14*1000000))))))</f>
        <v>-</v>
      </c>
      <c r="CQ240" s="739"/>
      <c r="CR240" s="739"/>
      <c r="CS240" s="745"/>
      <c r="CT240" s="91" t="str">
        <f t="shared" si="74"/>
        <v>-</v>
      </c>
      <c r="CU240" s="736"/>
      <c r="CV240" s="737"/>
      <c r="CW240" s="738" t="str">
        <f>IF(CU240="","-",(IF(INDEX($A$5:$BP$257,MATCH(CU240,$BN$5:$BN$257,0),50)="Aço Inoxidável",('Densidade do AR'!$S$8*1000000),IF(INDEX($A$5:$BP$257,MATCH(CU240,$BN$5:$BN$257,0),50)="Ferro Fundido",('Densidade do AR'!$S$12*1000000),IF(INDEX($A$5:$BP$257,MATCH(CU240,$BN$5:$BN$257,0),50)="Latão",('Densidade do AR'!$S$10*1000000),IF(INDEX($A$5:$BP$257,MATCH(CU240,$BN$5:$BN$257,0),50)="Alumínio",('Densidade do AR'!$S$4*1000000)))))))</f>
        <v>-</v>
      </c>
      <c r="CX240" s="739"/>
      <c r="CY240" s="739"/>
      <c r="CZ240" s="740"/>
      <c r="DA240" s="741" t="str">
        <f t="shared" si="75"/>
        <v>-</v>
      </c>
      <c r="DB240" s="742"/>
      <c r="DC240" s="742"/>
      <c r="DD240" s="743"/>
      <c r="DE240" s="741" t="str">
        <f t="shared" si="66"/>
        <v>-</v>
      </c>
      <c r="DF240" s="742"/>
      <c r="DG240" s="742"/>
      <c r="DH240" s="743"/>
      <c r="DI240" s="744" t="str">
        <f t="shared" si="76"/>
        <v>-</v>
      </c>
      <c r="DJ240" s="739"/>
      <c r="DK240" s="739"/>
      <c r="DL240" s="740"/>
      <c r="DM240" s="744" t="str">
        <f t="shared" si="67"/>
        <v>-</v>
      </c>
      <c r="DN240" s="739"/>
      <c r="DO240" s="739"/>
      <c r="DP240" s="740"/>
      <c r="DQ240" s="744" t="str">
        <f>IF(CU240="","-",INDEX($A$5:$BP$257,MATCH(CU240,$BN$5:$BN$257,0),39)*(IF(CU240="","-",(1+(((-('Densidade do AR'!$M$4))+('Densidade do AR'!$T$15*1000000))/(IF(INDEX($A$5:$BP$257,MATCH(CU240,$BN$5:$BN$257,0),50)="Aço Inoxidável",('Densidade do AR'!$S$8*1000000),IF(INDEX($A$5:$BP$257,MATCH(CU240,$BN$5:$BN$257,0),50)="Ferro Fundido",('Densidade do AR'!$S$12*1000000),IF(INDEX($A$5:$BP$257,MATCH(CU240,$BN$5:$BN$257,0),50)="Latão",('Densidade do AR'!$S$10*1000000),IF(INDEX($A$5:$BP$257,MATCH(CU240,$BN$5:$BN$257,0),50)="Alumínio",('Densidade do AR'!$S$4*1000000)))))))-(((-('Densidade do AR'!$M$4))+('Densidade do AR'!$T$15*1000000))/('Densidade do AR'!$S$14*1000000))))))</f>
        <v>-</v>
      </c>
      <c r="DR240" s="739"/>
      <c r="DS240" s="739"/>
      <c r="DT240" s="745"/>
      <c r="DU240" s="91" t="str">
        <f t="shared" si="77"/>
        <v>-</v>
      </c>
      <c r="DV240" s="736"/>
      <c r="DW240" s="737"/>
      <c r="DX240" s="738" t="str">
        <f>IF(DV240="","-",(IF(INDEX($A$5:$BP$257,MATCH(DV240,$BN$5:$BN$257,0),50)="Aço Inoxidável",('Densidade do AR'!$S$8*1000000),IF(INDEX($A$5:$BP$257,MATCH(DV240,$BN$5:$BN$257,0),50)="Ferro Fundido",('Densidade do AR'!$S$12*1000000),IF(INDEX($A$5:$BP$257,MATCH(DV240,$BN$5:$BN$257,0),50)="Latão",('Densidade do AR'!$S$10*1000000),IF(INDEX($A$5:$BP$257,MATCH(DV240,$BN$5:$BN$257,0),50)="Alumínio",('Densidade do AR'!$S$4*1000000)))))))</f>
        <v>-</v>
      </c>
      <c r="DY240" s="739"/>
      <c r="DZ240" s="739"/>
      <c r="EA240" s="740"/>
      <c r="EB240" s="741" t="str">
        <f t="shared" si="78"/>
        <v>-</v>
      </c>
      <c r="EC240" s="742"/>
      <c r="ED240" s="742"/>
      <c r="EE240" s="743"/>
      <c r="EF240" s="741" t="str">
        <f t="shared" si="68"/>
        <v>-</v>
      </c>
      <c r="EG240" s="742"/>
      <c r="EH240" s="742"/>
      <c r="EI240" s="743"/>
      <c r="EJ240" s="744" t="str">
        <f t="shared" si="79"/>
        <v>-</v>
      </c>
      <c r="EK240" s="739"/>
      <c r="EL240" s="739"/>
      <c r="EM240" s="740"/>
      <c r="EN240" s="744" t="str">
        <f t="shared" si="69"/>
        <v>-</v>
      </c>
      <c r="EO240" s="739"/>
      <c r="EP240" s="739"/>
      <c r="EQ240" s="740"/>
      <c r="ER240" s="744" t="str">
        <f>IF(DV240="","-",INDEX($A$5:$BP$257,MATCH(DV240,$BN$5:$BN$257,0),39)*(IF(DV240="","-",(1+(((-('Densidade do AR'!$M$4))+('Densidade do AR'!$T$15*1000000))/(IF(INDEX($A$5:$BP$257,MATCH(DV240,$BN$5:$BN$257,0),50)="Aço Inoxidável",('Densidade do AR'!$S$8*1000000),IF(INDEX($A$5:$BP$257,MATCH(DV240,$BN$5:$BN$257,0),50)="Ferro Fundido",('Densidade do AR'!$S$12*1000000),IF(INDEX($A$5:$BP$257,MATCH(DV240,$BN$5:$BN$257,0),50)="Latão",('Densidade do AR'!$S$10*1000000),IF(INDEX($A$5:$BP$257,MATCH(DV240,$BN$5:$BN$257,0),50)="Alumínio",('Densidade do AR'!$S$4*1000000)))))))-(((-('Densidade do AR'!$M$4))+('Densidade do AR'!$T$15*1000000))/('Densidade do AR'!$S$14*1000000))))))</f>
        <v>-</v>
      </c>
      <c r="ES240" s="739"/>
      <c r="ET240" s="739"/>
      <c r="EU240" s="745"/>
      <c r="EV240" s="91" t="str">
        <f t="shared" si="80"/>
        <v>-</v>
      </c>
      <c r="EW240" s="736"/>
      <c r="EX240" s="737"/>
      <c r="EY240" s="738" t="str">
        <f>IF(EW240="","-",(IF(INDEX($A$5:$BP$257,MATCH(EW240,$BN$5:$BN$257,0),50)="Aço Inoxidável",('Densidade do AR'!$S$8*1000000),IF(INDEX($A$5:$BP$257,MATCH(EW240,$BN$5:$BN$257,0),50)="Ferro Fundido",('Densidade do AR'!$S$12*1000000),IF(INDEX($A$5:$BP$257,MATCH(EW240,$BN$5:$BN$257,0),50)="Latão",('Densidade do AR'!$S$10*1000000),IF(INDEX($A$5:$BP$257,MATCH(EW240,$BN$5:$BN$257,0),50)="Alumínio",('Densidade do AR'!$S$4*1000000)))))))</f>
        <v>-</v>
      </c>
      <c r="EZ240" s="739"/>
      <c r="FA240" s="739"/>
      <c r="FB240" s="740"/>
      <c r="FC240" s="741" t="str">
        <f t="shared" si="81"/>
        <v>-</v>
      </c>
      <c r="FD240" s="742"/>
      <c r="FE240" s="742"/>
      <c r="FF240" s="743"/>
      <c r="FG240" s="741" t="str">
        <f t="shared" si="70"/>
        <v>-</v>
      </c>
      <c r="FH240" s="742"/>
      <c r="FI240" s="742"/>
      <c r="FJ240" s="743"/>
      <c r="FK240" s="744" t="str">
        <f t="shared" si="82"/>
        <v>-</v>
      </c>
      <c r="FL240" s="739"/>
      <c r="FM240" s="739"/>
      <c r="FN240" s="740"/>
      <c r="FO240" s="744" t="str">
        <f t="shared" si="71"/>
        <v>-</v>
      </c>
      <c r="FP240" s="739"/>
      <c r="FQ240" s="739"/>
      <c r="FR240" s="740"/>
      <c r="FS240" s="744" t="str">
        <f>IF(EW240="","-",INDEX($A$5:$BP$257,MATCH(EW240,$BN$5:$BN$257,0),39)*(IF(EW240="","-",(1+(((-('Densidade do AR'!$M$4))+('Densidade do AR'!$T$15*1000000))/(IF(INDEX($A$5:$BP$257,MATCH(EW240,$BN$5:$BN$257,0),50)="Aço Inoxidável",('Densidade do AR'!$S$8*1000000),IF(INDEX($A$5:$BP$257,MATCH(EW240,$BN$5:$BN$257,0),50)="Ferro Fundido",('Densidade do AR'!$S$12*1000000),IF(INDEX($A$5:$BP$257,MATCH(EW240,$BN$5:$BN$257,0),50)="Latão",('Densidade do AR'!$S$10*1000000),IF(INDEX($A$5:$BP$257,MATCH(EW240,$BN$5:$BN$257,0),50)="Alumínio",('Densidade do AR'!$S$4*1000000)))))))-(((-('Densidade do AR'!$M$4))+('Densidade do AR'!$T$15*1000000))/('Densidade do AR'!$S$14*1000000))))))</f>
        <v>-</v>
      </c>
      <c r="FT240" s="739"/>
      <c r="FU240" s="739"/>
      <c r="FV240" s="745"/>
      <c r="FW240" s="91" t="str">
        <f t="shared" si="83"/>
        <v>-</v>
      </c>
      <c r="FX240" s="135"/>
    </row>
    <row r="241" spans="1:180" ht="12.75" customHeight="1" x14ac:dyDescent="0.2">
      <c r="A241" s="717">
        <v>237</v>
      </c>
      <c r="B241" s="713"/>
      <c r="C241" s="708"/>
      <c r="D241" s="709"/>
      <c r="E241" s="709"/>
      <c r="F241" s="709"/>
      <c r="G241" s="710"/>
      <c r="H241" s="711"/>
      <c r="I241" s="712"/>
      <c r="J241" s="712"/>
      <c r="K241" s="713"/>
      <c r="L241" s="708"/>
      <c r="M241" s="709"/>
      <c r="N241" s="709"/>
      <c r="O241" s="709"/>
      <c r="P241" s="708"/>
      <c r="Q241" s="709"/>
      <c r="R241" s="709"/>
      <c r="S241" s="709"/>
      <c r="T241" s="710"/>
      <c r="U241" s="714"/>
      <c r="V241" s="715"/>
      <c r="W241" s="715"/>
      <c r="X241" s="715"/>
      <c r="Y241" s="715"/>
      <c r="Z241" s="715"/>
      <c r="AA241" s="716"/>
      <c r="AB241" s="850"/>
      <c r="AC241" s="851"/>
      <c r="AD241" s="851"/>
      <c r="AE241" s="851"/>
      <c r="AF241" s="851"/>
      <c r="AG241" s="851"/>
      <c r="AH241" s="851"/>
      <c r="AI241" s="851"/>
      <c r="AJ241" s="851"/>
      <c r="AK241" s="851"/>
      <c r="AL241" s="852"/>
      <c r="AM241" s="917"/>
      <c r="AN241" s="712"/>
      <c r="AO241" s="712"/>
      <c r="AP241" s="712"/>
      <c r="AQ241" s="712"/>
      <c r="AR241" s="712"/>
      <c r="AS241" s="713"/>
      <c r="AT241" s="917"/>
      <c r="AU241" s="712"/>
      <c r="AV241" s="712"/>
      <c r="AW241" s="713"/>
      <c r="AX241" s="917"/>
      <c r="AY241" s="712"/>
      <c r="AZ241" s="712"/>
      <c r="BA241" s="712"/>
      <c r="BB241" s="712"/>
      <c r="BC241" s="713"/>
      <c r="BD241" s="917"/>
      <c r="BE241" s="712"/>
      <c r="BF241" s="712"/>
      <c r="BG241" s="713"/>
      <c r="BH241" s="918"/>
      <c r="BI241" s="712"/>
      <c r="BJ241" s="712"/>
      <c r="BK241" s="712"/>
      <c r="BL241" s="910"/>
      <c r="BN241" s="878"/>
      <c r="BO241" s="709"/>
      <c r="BP241" s="884"/>
      <c r="BT241" s="746"/>
      <c r="BU241" s="747"/>
      <c r="BV241" s="784" t="str">
        <f>IF(BT241="","-",(IF(INDEX($A$5:$BP$257,MATCH(BT241,$BN$5:$BN$257,0),50)="Aço Inoxidável",('Densidade do AR'!$S$8*1000000),IF(INDEX($A$5:$BP$257,MATCH(BT241,$BN$5:$BN$257,0),50)="Ferro Fundido",('Densidade do AR'!$S$12*1000000),IF(INDEX($A$5:$BP$257,MATCH(BT241,$BN$5:$BN$257,0),50)="Latão",('Densidade do AR'!$S$10*1000000),IF(INDEX($A$5:$BP$257,MATCH(BT241,$BN$5:$BN$257,0),50)="Alumínio",('Densidade do AR'!$S$4*1000000)))))))</f>
        <v>-</v>
      </c>
      <c r="BW241" s="785"/>
      <c r="BX241" s="785"/>
      <c r="BY241" s="786"/>
      <c r="BZ241" s="787" t="str">
        <f t="shared" si="72"/>
        <v>-</v>
      </c>
      <c r="CA241" s="788"/>
      <c r="CB241" s="788"/>
      <c r="CC241" s="789"/>
      <c r="CD241" s="787" t="str">
        <f t="shared" si="64"/>
        <v>-</v>
      </c>
      <c r="CE241" s="788"/>
      <c r="CF241" s="788"/>
      <c r="CG241" s="789"/>
      <c r="CH241" s="790" t="str">
        <f t="shared" si="73"/>
        <v>-</v>
      </c>
      <c r="CI241" s="785"/>
      <c r="CJ241" s="785"/>
      <c r="CK241" s="786"/>
      <c r="CL241" s="790" t="str">
        <f t="shared" si="65"/>
        <v>-</v>
      </c>
      <c r="CM241" s="785"/>
      <c r="CN241" s="785"/>
      <c r="CO241" s="786"/>
      <c r="CP241" s="790" t="str">
        <f>IF(BT241="","-",INDEX($A$5:$BP$257,MATCH(BT241,$BN$5:$BN$257,0),39)*(IF(BT241="","-",(1+(((-('Densidade do AR'!$M$4))+('Densidade do AR'!$T$15*1000000))/(IF(INDEX($A$5:$BP$257,MATCH(BT241,$BN$5:$BN$257,0),50)="Aço Inoxidável",('Densidade do AR'!$S$8*1000000),IF(INDEX($A$5:$BP$257,MATCH(BT241,$BN$5:$BN$257,0),50)="Ferro Fundido",('Densidade do AR'!$S$12*1000000),IF(INDEX($A$5:$BP$257,MATCH(BT241,$BN$5:$BN$257,0),50)="Latão",('Densidade do AR'!$S$10*1000000),IF(INDEX($A$5:$BP$257,MATCH(BT241,$BN$5:$BN$257,0),50)="Alumínio",('Densidade do AR'!$S$4*1000000)))))))-(((-('Densidade do AR'!$M$4))+('Densidade do AR'!$T$15*1000000))/('Densidade do AR'!$S$14*1000000))))))</f>
        <v>-</v>
      </c>
      <c r="CQ241" s="785"/>
      <c r="CR241" s="785"/>
      <c r="CS241" s="791"/>
      <c r="CT241" s="91" t="str">
        <f t="shared" si="74"/>
        <v>-</v>
      </c>
      <c r="CU241" s="746"/>
      <c r="CV241" s="747"/>
      <c r="CW241" s="784" t="str">
        <f>IF(CU241="","-",(IF(INDEX($A$5:$BP$257,MATCH(CU241,$BN$5:$BN$257,0),50)="Aço Inoxidável",('Densidade do AR'!$S$8*1000000),IF(INDEX($A$5:$BP$257,MATCH(CU241,$BN$5:$BN$257,0),50)="Ferro Fundido",('Densidade do AR'!$S$12*1000000),IF(INDEX($A$5:$BP$257,MATCH(CU241,$BN$5:$BN$257,0),50)="Latão",('Densidade do AR'!$S$10*1000000),IF(INDEX($A$5:$BP$257,MATCH(CU241,$BN$5:$BN$257,0),50)="Alumínio",('Densidade do AR'!$S$4*1000000)))))))</f>
        <v>-</v>
      </c>
      <c r="CX241" s="785"/>
      <c r="CY241" s="785"/>
      <c r="CZ241" s="786"/>
      <c r="DA241" s="787" t="str">
        <f t="shared" si="75"/>
        <v>-</v>
      </c>
      <c r="DB241" s="788"/>
      <c r="DC241" s="788"/>
      <c r="DD241" s="789"/>
      <c r="DE241" s="787" t="str">
        <f t="shared" si="66"/>
        <v>-</v>
      </c>
      <c r="DF241" s="788"/>
      <c r="DG241" s="788"/>
      <c r="DH241" s="789"/>
      <c r="DI241" s="790" t="str">
        <f t="shared" si="76"/>
        <v>-</v>
      </c>
      <c r="DJ241" s="785"/>
      <c r="DK241" s="785"/>
      <c r="DL241" s="786"/>
      <c r="DM241" s="790" t="str">
        <f t="shared" si="67"/>
        <v>-</v>
      </c>
      <c r="DN241" s="785"/>
      <c r="DO241" s="785"/>
      <c r="DP241" s="786"/>
      <c r="DQ241" s="790" t="str">
        <f>IF(CU241="","-",INDEX($A$5:$BP$257,MATCH(CU241,$BN$5:$BN$257,0),39)*(IF(CU241="","-",(1+(((-('Densidade do AR'!$M$4))+('Densidade do AR'!$T$15*1000000))/(IF(INDEX($A$5:$BP$257,MATCH(CU241,$BN$5:$BN$257,0),50)="Aço Inoxidável",('Densidade do AR'!$S$8*1000000),IF(INDEX($A$5:$BP$257,MATCH(CU241,$BN$5:$BN$257,0),50)="Ferro Fundido",('Densidade do AR'!$S$12*1000000),IF(INDEX($A$5:$BP$257,MATCH(CU241,$BN$5:$BN$257,0),50)="Latão",('Densidade do AR'!$S$10*1000000),IF(INDEX($A$5:$BP$257,MATCH(CU241,$BN$5:$BN$257,0),50)="Alumínio",('Densidade do AR'!$S$4*1000000)))))))-(((-('Densidade do AR'!$M$4))+('Densidade do AR'!$T$15*1000000))/('Densidade do AR'!$S$14*1000000))))))</f>
        <v>-</v>
      </c>
      <c r="DR241" s="785"/>
      <c r="DS241" s="785"/>
      <c r="DT241" s="791"/>
      <c r="DU241" s="91" t="str">
        <f t="shared" si="77"/>
        <v>-</v>
      </c>
      <c r="DV241" s="746"/>
      <c r="DW241" s="747"/>
      <c r="DX241" s="784" t="str">
        <f>IF(DV241="","-",(IF(INDEX($A$5:$BP$257,MATCH(DV241,$BN$5:$BN$257,0),50)="Aço Inoxidável",('Densidade do AR'!$S$8*1000000),IF(INDEX($A$5:$BP$257,MATCH(DV241,$BN$5:$BN$257,0),50)="Ferro Fundido",('Densidade do AR'!$S$12*1000000),IF(INDEX($A$5:$BP$257,MATCH(DV241,$BN$5:$BN$257,0),50)="Latão",('Densidade do AR'!$S$10*1000000),IF(INDEX($A$5:$BP$257,MATCH(DV241,$BN$5:$BN$257,0),50)="Alumínio",('Densidade do AR'!$S$4*1000000)))))))</f>
        <v>-</v>
      </c>
      <c r="DY241" s="785"/>
      <c r="DZ241" s="785"/>
      <c r="EA241" s="786"/>
      <c r="EB241" s="787" t="str">
        <f t="shared" si="78"/>
        <v>-</v>
      </c>
      <c r="EC241" s="788"/>
      <c r="ED241" s="788"/>
      <c r="EE241" s="789"/>
      <c r="EF241" s="787" t="str">
        <f t="shared" si="68"/>
        <v>-</v>
      </c>
      <c r="EG241" s="788"/>
      <c r="EH241" s="788"/>
      <c r="EI241" s="789"/>
      <c r="EJ241" s="790" t="str">
        <f t="shared" si="79"/>
        <v>-</v>
      </c>
      <c r="EK241" s="785"/>
      <c r="EL241" s="785"/>
      <c r="EM241" s="786"/>
      <c r="EN241" s="790" t="str">
        <f t="shared" si="69"/>
        <v>-</v>
      </c>
      <c r="EO241" s="785"/>
      <c r="EP241" s="785"/>
      <c r="EQ241" s="786"/>
      <c r="ER241" s="790" t="str">
        <f>IF(DV241="","-",INDEX($A$5:$BP$257,MATCH(DV241,$BN$5:$BN$257,0),39)*(IF(DV241="","-",(1+(((-('Densidade do AR'!$M$4))+('Densidade do AR'!$T$15*1000000))/(IF(INDEX($A$5:$BP$257,MATCH(DV241,$BN$5:$BN$257,0),50)="Aço Inoxidável",('Densidade do AR'!$S$8*1000000),IF(INDEX($A$5:$BP$257,MATCH(DV241,$BN$5:$BN$257,0),50)="Ferro Fundido",('Densidade do AR'!$S$12*1000000),IF(INDEX($A$5:$BP$257,MATCH(DV241,$BN$5:$BN$257,0),50)="Latão",('Densidade do AR'!$S$10*1000000),IF(INDEX($A$5:$BP$257,MATCH(DV241,$BN$5:$BN$257,0),50)="Alumínio",('Densidade do AR'!$S$4*1000000)))))))-(((-('Densidade do AR'!$M$4))+('Densidade do AR'!$T$15*1000000))/('Densidade do AR'!$S$14*1000000))))))</f>
        <v>-</v>
      </c>
      <c r="ES241" s="785"/>
      <c r="ET241" s="785"/>
      <c r="EU241" s="791"/>
      <c r="EV241" s="91" t="str">
        <f t="shared" si="80"/>
        <v>-</v>
      </c>
      <c r="EW241" s="746"/>
      <c r="EX241" s="747"/>
      <c r="EY241" s="784" t="str">
        <f>IF(EW241="","-",(IF(INDEX($A$5:$BP$257,MATCH(EW241,$BN$5:$BN$257,0),50)="Aço Inoxidável",('Densidade do AR'!$S$8*1000000),IF(INDEX($A$5:$BP$257,MATCH(EW241,$BN$5:$BN$257,0),50)="Ferro Fundido",('Densidade do AR'!$S$12*1000000),IF(INDEX($A$5:$BP$257,MATCH(EW241,$BN$5:$BN$257,0),50)="Latão",('Densidade do AR'!$S$10*1000000),IF(INDEX($A$5:$BP$257,MATCH(EW241,$BN$5:$BN$257,0),50)="Alumínio",('Densidade do AR'!$S$4*1000000)))))))</f>
        <v>-</v>
      </c>
      <c r="EZ241" s="785"/>
      <c r="FA241" s="785"/>
      <c r="FB241" s="786"/>
      <c r="FC241" s="787" t="str">
        <f t="shared" si="81"/>
        <v>-</v>
      </c>
      <c r="FD241" s="788"/>
      <c r="FE241" s="788"/>
      <c r="FF241" s="789"/>
      <c r="FG241" s="787" t="str">
        <f t="shared" si="70"/>
        <v>-</v>
      </c>
      <c r="FH241" s="788"/>
      <c r="FI241" s="788"/>
      <c r="FJ241" s="789"/>
      <c r="FK241" s="790" t="str">
        <f t="shared" si="82"/>
        <v>-</v>
      </c>
      <c r="FL241" s="785"/>
      <c r="FM241" s="785"/>
      <c r="FN241" s="786"/>
      <c r="FO241" s="790" t="str">
        <f t="shared" si="71"/>
        <v>-</v>
      </c>
      <c r="FP241" s="785"/>
      <c r="FQ241" s="785"/>
      <c r="FR241" s="786"/>
      <c r="FS241" s="790" t="str">
        <f>IF(EW241="","-",INDEX($A$5:$BP$257,MATCH(EW241,$BN$5:$BN$257,0),39)*(IF(EW241="","-",(1+(((-('Densidade do AR'!$M$4))+('Densidade do AR'!$T$15*1000000))/(IF(INDEX($A$5:$BP$257,MATCH(EW241,$BN$5:$BN$257,0),50)="Aço Inoxidável",('Densidade do AR'!$S$8*1000000),IF(INDEX($A$5:$BP$257,MATCH(EW241,$BN$5:$BN$257,0),50)="Ferro Fundido",('Densidade do AR'!$S$12*1000000),IF(INDEX($A$5:$BP$257,MATCH(EW241,$BN$5:$BN$257,0),50)="Latão",('Densidade do AR'!$S$10*1000000),IF(INDEX($A$5:$BP$257,MATCH(EW241,$BN$5:$BN$257,0),50)="Alumínio",('Densidade do AR'!$S$4*1000000)))))))-(((-('Densidade do AR'!$M$4))+('Densidade do AR'!$T$15*1000000))/('Densidade do AR'!$S$14*1000000))))))</f>
        <v>-</v>
      </c>
      <c r="FT241" s="785"/>
      <c r="FU241" s="785"/>
      <c r="FV241" s="791"/>
      <c r="FW241" s="91" t="str">
        <f t="shared" si="83"/>
        <v>-</v>
      </c>
      <c r="FX241" s="135"/>
    </row>
    <row r="242" spans="1:180" ht="12.75" customHeight="1" x14ac:dyDescent="0.2">
      <c r="A242" s="718">
        <v>238</v>
      </c>
      <c r="B242" s="713"/>
      <c r="C242" s="719"/>
      <c r="D242" s="709"/>
      <c r="E242" s="709"/>
      <c r="F242" s="709"/>
      <c r="G242" s="710"/>
      <c r="H242" s="720"/>
      <c r="I242" s="712"/>
      <c r="J242" s="712"/>
      <c r="K242" s="713"/>
      <c r="L242" s="719"/>
      <c r="M242" s="709"/>
      <c r="N242" s="709"/>
      <c r="O242" s="709"/>
      <c r="P242" s="719"/>
      <c r="Q242" s="709"/>
      <c r="R242" s="709"/>
      <c r="S242" s="709"/>
      <c r="T242" s="710"/>
      <c r="U242" s="721"/>
      <c r="V242" s="722"/>
      <c r="W242" s="722"/>
      <c r="X242" s="722"/>
      <c r="Y242" s="722"/>
      <c r="Z242" s="722"/>
      <c r="AA242" s="723"/>
      <c r="AB242" s="853"/>
      <c r="AC242" s="854"/>
      <c r="AD242" s="854"/>
      <c r="AE242" s="854"/>
      <c r="AF242" s="854"/>
      <c r="AG242" s="854"/>
      <c r="AH242" s="854"/>
      <c r="AI242" s="854"/>
      <c r="AJ242" s="854"/>
      <c r="AK242" s="854"/>
      <c r="AL242" s="855"/>
      <c r="AM242" s="909"/>
      <c r="AN242" s="712"/>
      <c r="AO242" s="712"/>
      <c r="AP242" s="712"/>
      <c r="AQ242" s="712"/>
      <c r="AR242" s="712"/>
      <c r="AS242" s="713"/>
      <c r="AT242" s="909"/>
      <c r="AU242" s="712"/>
      <c r="AV242" s="712"/>
      <c r="AW242" s="713"/>
      <c r="AX242" s="908"/>
      <c r="AY242" s="712"/>
      <c r="AZ242" s="712"/>
      <c r="BA242" s="712"/>
      <c r="BB242" s="712"/>
      <c r="BC242" s="713"/>
      <c r="BD242" s="909"/>
      <c r="BE242" s="712"/>
      <c r="BF242" s="712"/>
      <c r="BG242" s="713"/>
      <c r="BH242" s="908"/>
      <c r="BI242" s="712"/>
      <c r="BJ242" s="712"/>
      <c r="BK242" s="712"/>
      <c r="BL242" s="910"/>
      <c r="BN242" s="881"/>
      <c r="BO242" s="709"/>
      <c r="BP242" s="884"/>
      <c r="BT242" s="736"/>
      <c r="BU242" s="737"/>
      <c r="BV242" s="738" t="str">
        <f>IF(BT242="","-",(IF(INDEX($A$5:$BP$257,MATCH(BT242,$BN$5:$BN$257,0),50)="Aço Inoxidável",('Densidade do AR'!$S$8*1000000),IF(INDEX($A$5:$BP$257,MATCH(BT242,$BN$5:$BN$257,0),50)="Ferro Fundido",('Densidade do AR'!$S$12*1000000),IF(INDEX($A$5:$BP$257,MATCH(BT242,$BN$5:$BN$257,0),50)="Latão",('Densidade do AR'!$S$10*1000000),IF(INDEX($A$5:$BP$257,MATCH(BT242,$BN$5:$BN$257,0),50)="Alumínio",('Densidade do AR'!$S$4*1000000)))))))</f>
        <v>-</v>
      </c>
      <c r="BW242" s="739"/>
      <c r="BX242" s="739"/>
      <c r="BY242" s="740"/>
      <c r="BZ242" s="741" t="str">
        <f t="shared" si="72"/>
        <v>-</v>
      </c>
      <c r="CA242" s="742"/>
      <c r="CB242" s="742"/>
      <c r="CC242" s="743"/>
      <c r="CD242" s="741" t="str">
        <f t="shared" si="64"/>
        <v>-</v>
      </c>
      <c r="CE242" s="742"/>
      <c r="CF242" s="742"/>
      <c r="CG242" s="743"/>
      <c r="CH242" s="744" t="str">
        <f t="shared" si="73"/>
        <v>-</v>
      </c>
      <c r="CI242" s="739"/>
      <c r="CJ242" s="739"/>
      <c r="CK242" s="740"/>
      <c r="CL242" s="744" t="str">
        <f t="shared" si="65"/>
        <v>-</v>
      </c>
      <c r="CM242" s="739"/>
      <c r="CN242" s="739"/>
      <c r="CO242" s="740"/>
      <c r="CP242" s="744" t="str">
        <f>IF(BT242="","-",INDEX($A$5:$BP$257,MATCH(BT242,$BN$5:$BN$257,0),39)*(IF(BT242="","-",(1+(((-('Densidade do AR'!$M$4))+('Densidade do AR'!$T$15*1000000))/(IF(INDEX($A$5:$BP$257,MATCH(BT242,$BN$5:$BN$257,0),50)="Aço Inoxidável",('Densidade do AR'!$S$8*1000000),IF(INDEX($A$5:$BP$257,MATCH(BT242,$BN$5:$BN$257,0),50)="Ferro Fundido",('Densidade do AR'!$S$12*1000000),IF(INDEX($A$5:$BP$257,MATCH(BT242,$BN$5:$BN$257,0),50)="Latão",('Densidade do AR'!$S$10*1000000),IF(INDEX($A$5:$BP$257,MATCH(BT242,$BN$5:$BN$257,0),50)="Alumínio",('Densidade do AR'!$S$4*1000000)))))))-(((-('Densidade do AR'!$M$4))+('Densidade do AR'!$T$15*1000000))/('Densidade do AR'!$S$14*1000000))))))</f>
        <v>-</v>
      </c>
      <c r="CQ242" s="739"/>
      <c r="CR242" s="739"/>
      <c r="CS242" s="745"/>
      <c r="CT242" s="91" t="str">
        <f t="shared" si="74"/>
        <v>-</v>
      </c>
      <c r="CU242" s="736"/>
      <c r="CV242" s="737"/>
      <c r="CW242" s="738" t="str">
        <f>IF(CU242="","-",(IF(INDEX($A$5:$BP$257,MATCH(CU242,$BN$5:$BN$257,0),50)="Aço Inoxidável",('Densidade do AR'!$S$8*1000000),IF(INDEX($A$5:$BP$257,MATCH(CU242,$BN$5:$BN$257,0),50)="Ferro Fundido",('Densidade do AR'!$S$12*1000000),IF(INDEX($A$5:$BP$257,MATCH(CU242,$BN$5:$BN$257,0),50)="Latão",('Densidade do AR'!$S$10*1000000),IF(INDEX($A$5:$BP$257,MATCH(CU242,$BN$5:$BN$257,0),50)="Alumínio",('Densidade do AR'!$S$4*1000000)))))))</f>
        <v>-</v>
      </c>
      <c r="CX242" s="739"/>
      <c r="CY242" s="739"/>
      <c r="CZ242" s="740"/>
      <c r="DA242" s="741" t="str">
        <f t="shared" si="75"/>
        <v>-</v>
      </c>
      <c r="DB242" s="742"/>
      <c r="DC242" s="742"/>
      <c r="DD242" s="743"/>
      <c r="DE242" s="741" t="str">
        <f t="shared" si="66"/>
        <v>-</v>
      </c>
      <c r="DF242" s="742"/>
      <c r="DG242" s="742"/>
      <c r="DH242" s="743"/>
      <c r="DI242" s="744" t="str">
        <f t="shared" si="76"/>
        <v>-</v>
      </c>
      <c r="DJ242" s="739"/>
      <c r="DK242" s="739"/>
      <c r="DL242" s="740"/>
      <c r="DM242" s="744" t="str">
        <f t="shared" si="67"/>
        <v>-</v>
      </c>
      <c r="DN242" s="739"/>
      <c r="DO242" s="739"/>
      <c r="DP242" s="740"/>
      <c r="DQ242" s="744" t="str">
        <f>IF(CU242="","-",INDEX($A$5:$BP$257,MATCH(CU242,$BN$5:$BN$257,0),39)*(IF(CU242="","-",(1+(((-('Densidade do AR'!$M$4))+('Densidade do AR'!$T$15*1000000))/(IF(INDEX($A$5:$BP$257,MATCH(CU242,$BN$5:$BN$257,0),50)="Aço Inoxidável",('Densidade do AR'!$S$8*1000000),IF(INDEX($A$5:$BP$257,MATCH(CU242,$BN$5:$BN$257,0),50)="Ferro Fundido",('Densidade do AR'!$S$12*1000000),IF(INDEX($A$5:$BP$257,MATCH(CU242,$BN$5:$BN$257,0),50)="Latão",('Densidade do AR'!$S$10*1000000),IF(INDEX($A$5:$BP$257,MATCH(CU242,$BN$5:$BN$257,0),50)="Alumínio",('Densidade do AR'!$S$4*1000000)))))))-(((-('Densidade do AR'!$M$4))+('Densidade do AR'!$T$15*1000000))/('Densidade do AR'!$S$14*1000000))))))</f>
        <v>-</v>
      </c>
      <c r="DR242" s="739"/>
      <c r="DS242" s="739"/>
      <c r="DT242" s="745"/>
      <c r="DU242" s="91" t="str">
        <f t="shared" si="77"/>
        <v>-</v>
      </c>
      <c r="DV242" s="736"/>
      <c r="DW242" s="737"/>
      <c r="DX242" s="738" t="str">
        <f>IF(DV242="","-",(IF(INDEX($A$5:$BP$257,MATCH(DV242,$BN$5:$BN$257,0),50)="Aço Inoxidável",('Densidade do AR'!$S$8*1000000),IF(INDEX($A$5:$BP$257,MATCH(DV242,$BN$5:$BN$257,0),50)="Ferro Fundido",('Densidade do AR'!$S$12*1000000),IF(INDEX($A$5:$BP$257,MATCH(DV242,$BN$5:$BN$257,0),50)="Latão",('Densidade do AR'!$S$10*1000000),IF(INDEX($A$5:$BP$257,MATCH(DV242,$BN$5:$BN$257,0),50)="Alumínio",('Densidade do AR'!$S$4*1000000)))))))</f>
        <v>-</v>
      </c>
      <c r="DY242" s="739"/>
      <c r="DZ242" s="739"/>
      <c r="EA242" s="740"/>
      <c r="EB242" s="741" t="str">
        <f t="shared" si="78"/>
        <v>-</v>
      </c>
      <c r="EC242" s="742"/>
      <c r="ED242" s="742"/>
      <c r="EE242" s="743"/>
      <c r="EF242" s="741" t="str">
        <f t="shared" si="68"/>
        <v>-</v>
      </c>
      <c r="EG242" s="742"/>
      <c r="EH242" s="742"/>
      <c r="EI242" s="743"/>
      <c r="EJ242" s="744" t="str">
        <f t="shared" si="79"/>
        <v>-</v>
      </c>
      <c r="EK242" s="739"/>
      <c r="EL242" s="739"/>
      <c r="EM242" s="740"/>
      <c r="EN242" s="744" t="str">
        <f t="shared" si="69"/>
        <v>-</v>
      </c>
      <c r="EO242" s="739"/>
      <c r="EP242" s="739"/>
      <c r="EQ242" s="740"/>
      <c r="ER242" s="744" t="str">
        <f>IF(DV242="","-",INDEX($A$5:$BP$257,MATCH(DV242,$BN$5:$BN$257,0),39)*(IF(DV242="","-",(1+(((-('Densidade do AR'!$M$4))+('Densidade do AR'!$T$15*1000000))/(IF(INDEX($A$5:$BP$257,MATCH(DV242,$BN$5:$BN$257,0),50)="Aço Inoxidável",('Densidade do AR'!$S$8*1000000),IF(INDEX($A$5:$BP$257,MATCH(DV242,$BN$5:$BN$257,0),50)="Ferro Fundido",('Densidade do AR'!$S$12*1000000),IF(INDEX($A$5:$BP$257,MATCH(DV242,$BN$5:$BN$257,0),50)="Latão",('Densidade do AR'!$S$10*1000000),IF(INDEX($A$5:$BP$257,MATCH(DV242,$BN$5:$BN$257,0),50)="Alumínio",('Densidade do AR'!$S$4*1000000)))))))-(((-('Densidade do AR'!$M$4))+('Densidade do AR'!$T$15*1000000))/('Densidade do AR'!$S$14*1000000))))))</f>
        <v>-</v>
      </c>
      <c r="ES242" s="739"/>
      <c r="ET242" s="739"/>
      <c r="EU242" s="745"/>
      <c r="EV242" s="91" t="str">
        <f t="shared" si="80"/>
        <v>-</v>
      </c>
      <c r="EW242" s="736"/>
      <c r="EX242" s="737"/>
      <c r="EY242" s="738" t="str">
        <f>IF(EW242="","-",(IF(INDEX($A$5:$BP$257,MATCH(EW242,$BN$5:$BN$257,0),50)="Aço Inoxidável",('Densidade do AR'!$S$8*1000000),IF(INDEX($A$5:$BP$257,MATCH(EW242,$BN$5:$BN$257,0),50)="Ferro Fundido",('Densidade do AR'!$S$12*1000000),IF(INDEX($A$5:$BP$257,MATCH(EW242,$BN$5:$BN$257,0),50)="Latão",('Densidade do AR'!$S$10*1000000),IF(INDEX($A$5:$BP$257,MATCH(EW242,$BN$5:$BN$257,0),50)="Alumínio",('Densidade do AR'!$S$4*1000000)))))))</f>
        <v>-</v>
      </c>
      <c r="EZ242" s="739"/>
      <c r="FA242" s="739"/>
      <c r="FB242" s="740"/>
      <c r="FC242" s="741" t="str">
        <f t="shared" si="81"/>
        <v>-</v>
      </c>
      <c r="FD242" s="742"/>
      <c r="FE242" s="742"/>
      <c r="FF242" s="743"/>
      <c r="FG242" s="741" t="str">
        <f t="shared" si="70"/>
        <v>-</v>
      </c>
      <c r="FH242" s="742"/>
      <c r="FI242" s="742"/>
      <c r="FJ242" s="743"/>
      <c r="FK242" s="744" t="str">
        <f t="shared" si="82"/>
        <v>-</v>
      </c>
      <c r="FL242" s="739"/>
      <c r="FM242" s="739"/>
      <c r="FN242" s="740"/>
      <c r="FO242" s="744" t="str">
        <f t="shared" si="71"/>
        <v>-</v>
      </c>
      <c r="FP242" s="739"/>
      <c r="FQ242" s="739"/>
      <c r="FR242" s="740"/>
      <c r="FS242" s="744" t="str">
        <f>IF(EW242="","-",INDEX($A$5:$BP$257,MATCH(EW242,$BN$5:$BN$257,0),39)*(IF(EW242="","-",(1+(((-('Densidade do AR'!$M$4))+('Densidade do AR'!$T$15*1000000))/(IF(INDEX($A$5:$BP$257,MATCH(EW242,$BN$5:$BN$257,0),50)="Aço Inoxidável",('Densidade do AR'!$S$8*1000000),IF(INDEX($A$5:$BP$257,MATCH(EW242,$BN$5:$BN$257,0),50)="Ferro Fundido",('Densidade do AR'!$S$12*1000000),IF(INDEX($A$5:$BP$257,MATCH(EW242,$BN$5:$BN$257,0),50)="Latão",('Densidade do AR'!$S$10*1000000),IF(INDEX($A$5:$BP$257,MATCH(EW242,$BN$5:$BN$257,0),50)="Alumínio",('Densidade do AR'!$S$4*1000000)))))))-(((-('Densidade do AR'!$M$4))+('Densidade do AR'!$T$15*1000000))/('Densidade do AR'!$S$14*1000000))))))</f>
        <v>-</v>
      </c>
      <c r="FT242" s="739"/>
      <c r="FU242" s="739"/>
      <c r="FV242" s="745"/>
      <c r="FW242" s="91" t="str">
        <f t="shared" si="83"/>
        <v>-</v>
      </c>
      <c r="FX242" s="135"/>
    </row>
    <row r="243" spans="1:180" ht="12.75" customHeight="1" x14ac:dyDescent="0.2">
      <c r="A243" s="717">
        <v>239</v>
      </c>
      <c r="B243" s="713"/>
      <c r="C243" s="708"/>
      <c r="D243" s="709"/>
      <c r="E243" s="709"/>
      <c r="F243" s="709"/>
      <c r="G243" s="710"/>
      <c r="H243" s="711"/>
      <c r="I243" s="712"/>
      <c r="J243" s="712"/>
      <c r="K243" s="713"/>
      <c r="L243" s="708"/>
      <c r="M243" s="709"/>
      <c r="N243" s="709"/>
      <c r="O243" s="709"/>
      <c r="P243" s="708"/>
      <c r="Q243" s="709"/>
      <c r="R243" s="709"/>
      <c r="S243" s="709"/>
      <c r="T243" s="710"/>
      <c r="U243" s="714"/>
      <c r="V243" s="715"/>
      <c r="W243" s="715"/>
      <c r="X243" s="715"/>
      <c r="Y243" s="715"/>
      <c r="Z243" s="715"/>
      <c r="AA243" s="716"/>
      <c r="AB243" s="850"/>
      <c r="AC243" s="851"/>
      <c r="AD243" s="851"/>
      <c r="AE243" s="851"/>
      <c r="AF243" s="851"/>
      <c r="AG243" s="851"/>
      <c r="AH243" s="851"/>
      <c r="AI243" s="851"/>
      <c r="AJ243" s="851"/>
      <c r="AK243" s="851"/>
      <c r="AL243" s="852"/>
      <c r="AM243" s="917"/>
      <c r="AN243" s="712"/>
      <c r="AO243" s="712"/>
      <c r="AP243" s="712"/>
      <c r="AQ243" s="712"/>
      <c r="AR243" s="712"/>
      <c r="AS243" s="713"/>
      <c r="AT243" s="917"/>
      <c r="AU243" s="712"/>
      <c r="AV243" s="712"/>
      <c r="AW243" s="713"/>
      <c r="AX243" s="917"/>
      <c r="AY243" s="712"/>
      <c r="AZ243" s="712"/>
      <c r="BA243" s="712"/>
      <c r="BB243" s="712"/>
      <c r="BC243" s="713"/>
      <c r="BD243" s="917"/>
      <c r="BE243" s="712"/>
      <c r="BF243" s="712"/>
      <c r="BG243" s="713"/>
      <c r="BH243" s="918"/>
      <c r="BI243" s="712"/>
      <c r="BJ243" s="712"/>
      <c r="BK243" s="712"/>
      <c r="BL243" s="910"/>
      <c r="BN243" s="878"/>
      <c r="BO243" s="709"/>
      <c r="BP243" s="884"/>
      <c r="BT243" s="746"/>
      <c r="BU243" s="747"/>
      <c r="BV243" s="784" t="str">
        <f>IF(BT243="","-",(IF(INDEX($A$5:$BP$257,MATCH(BT243,$BN$5:$BN$257,0),50)="Aço Inoxidável",('Densidade do AR'!$S$8*1000000),IF(INDEX($A$5:$BP$257,MATCH(BT243,$BN$5:$BN$257,0),50)="Ferro Fundido",('Densidade do AR'!$S$12*1000000),IF(INDEX($A$5:$BP$257,MATCH(BT243,$BN$5:$BN$257,0),50)="Latão",('Densidade do AR'!$S$10*1000000),IF(INDEX($A$5:$BP$257,MATCH(BT243,$BN$5:$BN$257,0),50)="Alumínio",('Densidade do AR'!$S$4*1000000)))))))</f>
        <v>-</v>
      </c>
      <c r="BW243" s="785"/>
      <c r="BX243" s="785"/>
      <c r="BY243" s="786"/>
      <c r="BZ243" s="787" t="str">
        <f t="shared" si="72"/>
        <v>-</v>
      </c>
      <c r="CA243" s="788"/>
      <c r="CB243" s="788"/>
      <c r="CC243" s="789"/>
      <c r="CD243" s="787" t="str">
        <f t="shared" si="64"/>
        <v>-</v>
      </c>
      <c r="CE243" s="788"/>
      <c r="CF243" s="788"/>
      <c r="CG243" s="789"/>
      <c r="CH243" s="790" t="str">
        <f t="shared" si="73"/>
        <v>-</v>
      </c>
      <c r="CI243" s="785"/>
      <c r="CJ243" s="785"/>
      <c r="CK243" s="786"/>
      <c r="CL243" s="790" t="str">
        <f t="shared" si="65"/>
        <v>-</v>
      </c>
      <c r="CM243" s="785"/>
      <c r="CN243" s="785"/>
      <c r="CO243" s="786"/>
      <c r="CP243" s="790" t="str">
        <f>IF(BT243="","-",INDEX($A$5:$BP$257,MATCH(BT243,$BN$5:$BN$257,0),39)*(IF(BT243="","-",(1+(((-('Densidade do AR'!$M$4))+('Densidade do AR'!$T$15*1000000))/(IF(INDEX($A$5:$BP$257,MATCH(BT243,$BN$5:$BN$257,0),50)="Aço Inoxidável",('Densidade do AR'!$S$8*1000000),IF(INDEX($A$5:$BP$257,MATCH(BT243,$BN$5:$BN$257,0),50)="Ferro Fundido",('Densidade do AR'!$S$12*1000000),IF(INDEX($A$5:$BP$257,MATCH(BT243,$BN$5:$BN$257,0),50)="Latão",('Densidade do AR'!$S$10*1000000),IF(INDEX($A$5:$BP$257,MATCH(BT243,$BN$5:$BN$257,0),50)="Alumínio",('Densidade do AR'!$S$4*1000000)))))))-(((-('Densidade do AR'!$M$4))+('Densidade do AR'!$T$15*1000000))/('Densidade do AR'!$S$14*1000000))))))</f>
        <v>-</v>
      </c>
      <c r="CQ243" s="785"/>
      <c r="CR243" s="785"/>
      <c r="CS243" s="791"/>
      <c r="CT243" s="91" t="str">
        <f t="shared" si="74"/>
        <v>-</v>
      </c>
      <c r="CU243" s="746"/>
      <c r="CV243" s="747"/>
      <c r="CW243" s="784" t="str">
        <f>IF(CU243="","-",(IF(INDEX($A$5:$BP$257,MATCH(CU243,$BN$5:$BN$257,0),50)="Aço Inoxidável",('Densidade do AR'!$S$8*1000000),IF(INDEX($A$5:$BP$257,MATCH(CU243,$BN$5:$BN$257,0),50)="Ferro Fundido",('Densidade do AR'!$S$12*1000000),IF(INDEX($A$5:$BP$257,MATCH(CU243,$BN$5:$BN$257,0),50)="Latão",('Densidade do AR'!$S$10*1000000),IF(INDEX($A$5:$BP$257,MATCH(CU243,$BN$5:$BN$257,0),50)="Alumínio",('Densidade do AR'!$S$4*1000000)))))))</f>
        <v>-</v>
      </c>
      <c r="CX243" s="785"/>
      <c r="CY243" s="785"/>
      <c r="CZ243" s="786"/>
      <c r="DA243" s="787" t="str">
        <f t="shared" si="75"/>
        <v>-</v>
      </c>
      <c r="DB243" s="788"/>
      <c r="DC243" s="788"/>
      <c r="DD243" s="789"/>
      <c r="DE243" s="787" t="str">
        <f t="shared" si="66"/>
        <v>-</v>
      </c>
      <c r="DF243" s="788"/>
      <c r="DG243" s="788"/>
      <c r="DH243" s="789"/>
      <c r="DI243" s="790" t="str">
        <f t="shared" si="76"/>
        <v>-</v>
      </c>
      <c r="DJ243" s="785"/>
      <c r="DK243" s="785"/>
      <c r="DL243" s="786"/>
      <c r="DM243" s="790" t="str">
        <f t="shared" si="67"/>
        <v>-</v>
      </c>
      <c r="DN243" s="785"/>
      <c r="DO243" s="785"/>
      <c r="DP243" s="786"/>
      <c r="DQ243" s="790" t="str">
        <f>IF(CU243="","-",INDEX($A$5:$BP$257,MATCH(CU243,$BN$5:$BN$257,0),39)*(IF(CU243="","-",(1+(((-('Densidade do AR'!$M$4))+('Densidade do AR'!$T$15*1000000))/(IF(INDEX($A$5:$BP$257,MATCH(CU243,$BN$5:$BN$257,0),50)="Aço Inoxidável",('Densidade do AR'!$S$8*1000000),IF(INDEX($A$5:$BP$257,MATCH(CU243,$BN$5:$BN$257,0),50)="Ferro Fundido",('Densidade do AR'!$S$12*1000000),IF(INDEX($A$5:$BP$257,MATCH(CU243,$BN$5:$BN$257,0),50)="Latão",('Densidade do AR'!$S$10*1000000),IF(INDEX($A$5:$BP$257,MATCH(CU243,$BN$5:$BN$257,0),50)="Alumínio",('Densidade do AR'!$S$4*1000000)))))))-(((-('Densidade do AR'!$M$4))+('Densidade do AR'!$T$15*1000000))/('Densidade do AR'!$S$14*1000000))))))</f>
        <v>-</v>
      </c>
      <c r="DR243" s="785"/>
      <c r="DS243" s="785"/>
      <c r="DT243" s="791"/>
      <c r="DU243" s="91" t="str">
        <f t="shared" si="77"/>
        <v>-</v>
      </c>
      <c r="DV243" s="746"/>
      <c r="DW243" s="747"/>
      <c r="DX243" s="784" t="str">
        <f>IF(DV243="","-",(IF(INDEX($A$5:$BP$257,MATCH(DV243,$BN$5:$BN$257,0),50)="Aço Inoxidável",('Densidade do AR'!$S$8*1000000),IF(INDEX($A$5:$BP$257,MATCH(DV243,$BN$5:$BN$257,0),50)="Ferro Fundido",('Densidade do AR'!$S$12*1000000),IF(INDEX($A$5:$BP$257,MATCH(DV243,$BN$5:$BN$257,0),50)="Latão",('Densidade do AR'!$S$10*1000000),IF(INDEX($A$5:$BP$257,MATCH(DV243,$BN$5:$BN$257,0),50)="Alumínio",('Densidade do AR'!$S$4*1000000)))))))</f>
        <v>-</v>
      </c>
      <c r="DY243" s="785"/>
      <c r="DZ243" s="785"/>
      <c r="EA243" s="786"/>
      <c r="EB243" s="787" t="str">
        <f t="shared" si="78"/>
        <v>-</v>
      </c>
      <c r="EC243" s="788"/>
      <c r="ED243" s="788"/>
      <c r="EE243" s="789"/>
      <c r="EF243" s="787" t="str">
        <f t="shared" si="68"/>
        <v>-</v>
      </c>
      <c r="EG243" s="788"/>
      <c r="EH243" s="788"/>
      <c r="EI243" s="789"/>
      <c r="EJ243" s="790" t="str">
        <f t="shared" si="79"/>
        <v>-</v>
      </c>
      <c r="EK243" s="785"/>
      <c r="EL243" s="785"/>
      <c r="EM243" s="786"/>
      <c r="EN243" s="790" t="str">
        <f t="shared" si="69"/>
        <v>-</v>
      </c>
      <c r="EO243" s="785"/>
      <c r="EP243" s="785"/>
      <c r="EQ243" s="786"/>
      <c r="ER243" s="790" t="str">
        <f>IF(DV243="","-",INDEX($A$5:$BP$257,MATCH(DV243,$BN$5:$BN$257,0),39)*(IF(DV243="","-",(1+(((-('Densidade do AR'!$M$4))+('Densidade do AR'!$T$15*1000000))/(IF(INDEX($A$5:$BP$257,MATCH(DV243,$BN$5:$BN$257,0),50)="Aço Inoxidável",('Densidade do AR'!$S$8*1000000),IF(INDEX($A$5:$BP$257,MATCH(DV243,$BN$5:$BN$257,0),50)="Ferro Fundido",('Densidade do AR'!$S$12*1000000),IF(INDEX($A$5:$BP$257,MATCH(DV243,$BN$5:$BN$257,0),50)="Latão",('Densidade do AR'!$S$10*1000000),IF(INDEX($A$5:$BP$257,MATCH(DV243,$BN$5:$BN$257,0),50)="Alumínio",('Densidade do AR'!$S$4*1000000)))))))-(((-('Densidade do AR'!$M$4))+('Densidade do AR'!$T$15*1000000))/('Densidade do AR'!$S$14*1000000))))))</f>
        <v>-</v>
      </c>
      <c r="ES243" s="785"/>
      <c r="ET243" s="785"/>
      <c r="EU243" s="791"/>
      <c r="EV243" s="91" t="str">
        <f t="shared" si="80"/>
        <v>-</v>
      </c>
      <c r="EW243" s="746"/>
      <c r="EX243" s="747"/>
      <c r="EY243" s="784" t="str">
        <f>IF(EW243="","-",(IF(INDEX($A$5:$BP$257,MATCH(EW243,$BN$5:$BN$257,0),50)="Aço Inoxidável",('Densidade do AR'!$S$8*1000000),IF(INDEX($A$5:$BP$257,MATCH(EW243,$BN$5:$BN$257,0),50)="Ferro Fundido",('Densidade do AR'!$S$12*1000000),IF(INDEX($A$5:$BP$257,MATCH(EW243,$BN$5:$BN$257,0),50)="Latão",('Densidade do AR'!$S$10*1000000),IF(INDEX($A$5:$BP$257,MATCH(EW243,$BN$5:$BN$257,0),50)="Alumínio",('Densidade do AR'!$S$4*1000000)))))))</f>
        <v>-</v>
      </c>
      <c r="EZ243" s="785"/>
      <c r="FA243" s="785"/>
      <c r="FB243" s="786"/>
      <c r="FC243" s="787" t="str">
        <f t="shared" si="81"/>
        <v>-</v>
      </c>
      <c r="FD243" s="788"/>
      <c r="FE243" s="788"/>
      <c r="FF243" s="789"/>
      <c r="FG243" s="787" t="str">
        <f t="shared" si="70"/>
        <v>-</v>
      </c>
      <c r="FH243" s="788"/>
      <c r="FI243" s="788"/>
      <c r="FJ243" s="789"/>
      <c r="FK243" s="790" t="str">
        <f t="shared" si="82"/>
        <v>-</v>
      </c>
      <c r="FL243" s="785"/>
      <c r="FM243" s="785"/>
      <c r="FN243" s="786"/>
      <c r="FO243" s="790" t="str">
        <f t="shared" si="71"/>
        <v>-</v>
      </c>
      <c r="FP243" s="785"/>
      <c r="FQ243" s="785"/>
      <c r="FR243" s="786"/>
      <c r="FS243" s="790" t="str">
        <f>IF(EW243="","-",INDEX($A$5:$BP$257,MATCH(EW243,$BN$5:$BN$257,0),39)*(IF(EW243="","-",(1+(((-('Densidade do AR'!$M$4))+('Densidade do AR'!$T$15*1000000))/(IF(INDEX($A$5:$BP$257,MATCH(EW243,$BN$5:$BN$257,0),50)="Aço Inoxidável",('Densidade do AR'!$S$8*1000000),IF(INDEX($A$5:$BP$257,MATCH(EW243,$BN$5:$BN$257,0),50)="Ferro Fundido",('Densidade do AR'!$S$12*1000000),IF(INDEX($A$5:$BP$257,MATCH(EW243,$BN$5:$BN$257,0),50)="Latão",('Densidade do AR'!$S$10*1000000),IF(INDEX($A$5:$BP$257,MATCH(EW243,$BN$5:$BN$257,0),50)="Alumínio",('Densidade do AR'!$S$4*1000000)))))))-(((-('Densidade do AR'!$M$4))+('Densidade do AR'!$T$15*1000000))/('Densidade do AR'!$S$14*1000000))))))</f>
        <v>-</v>
      </c>
      <c r="FT243" s="785"/>
      <c r="FU243" s="785"/>
      <c r="FV243" s="791"/>
      <c r="FW243" s="91" t="str">
        <f t="shared" si="83"/>
        <v>-</v>
      </c>
      <c r="FX243" s="135"/>
    </row>
    <row r="244" spans="1:180" ht="13.5" customHeight="1" x14ac:dyDescent="0.2">
      <c r="A244" s="718">
        <v>240</v>
      </c>
      <c r="B244" s="713"/>
      <c r="C244" s="719"/>
      <c r="D244" s="709"/>
      <c r="E244" s="709"/>
      <c r="F244" s="709"/>
      <c r="G244" s="710"/>
      <c r="H244" s="720"/>
      <c r="I244" s="712"/>
      <c r="J244" s="712"/>
      <c r="K244" s="713"/>
      <c r="L244" s="719"/>
      <c r="M244" s="709"/>
      <c r="N244" s="709"/>
      <c r="O244" s="709"/>
      <c r="P244" s="719"/>
      <c r="Q244" s="709"/>
      <c r="R244" s="709"/>
      <c r="S244" s="709"/>
      <c r="T244" s="710"/>
      <c r="U244" s="721"/>
      <c r="V244" s="722"/>
      <c r="W244" s="722"/>
      <c r="X244" s="722"/>
      <c r="Y244" s="722"/>
      <c r="Z244" s="722"/>
      <c r="AA244" s="723"/>
      <c r="AB244" s="853"/>
      <c r="AC244" s="854"/>
      <c r="AD244" s="854"/>
      <c r="AE244" s="854"/>
      <c r="AF244" s="854"/>
      <c r="AG244" s="854"/>
      <c r="AH244" s="854"/>
      <c r="AI244" s="854"/>
      <c r="AJ244" s="854"/>
      <c r="AK244" s="854"/>
      <c r="AL244" s="855"/>
      <c r="AM244" s="909"/>
      <c r="AN244" s="712"/>
      <c r="AO244" s="712"/>
      <c r="AP244" s="712"/>
      <c r="AQ244" s="712"/>
      <c r="AR244" s="712"/>
      <c r="AS244" s="713"/>
      <c r="AT244" s="909"/>
      <c r="AU244" s="712"/>
      <c r="AV244" s="712"/>
      <c r="AW244" s="713"/>
      <c r="AX244" s="908"/>
      <c r="AY244" s="712"/>
      <c r="AZ244" s="712"/>
      <c r="BA244" s="712"/>
      <c r="BB244" s="712"/>
      <c r="BC244" s="713"/>
      <c r="BD244" s="909"/>
      <c r="BE244" s="712"/>
      <c r="BF244" s="712"/>
      <c r="BG244" s="713"/>
      <c r="BH244" s="908"/>
      <c r="BI244" s="712"/>
      <c r="BJ244" s="712"/>
      <c r="BK244" s="712"/>
      <c r="BL244" s="910"/>
      <c r="BN244" s="881"/>
      <c r="BO244" s="709"/>
      <c r="BP244" s="884"/>
      <c r="BT244" s="736"/>
      <c r="BU244" s="737"/>
      <c r="BV244" s="738" t="str">
        <f>IF(BT244="","-",(IF(INDEX($A$5:$BP$257,MATCH(BT244,$BN$5:$BN$257,0),50)="Aço Inoxidável",('Densidade do AR'!$S$8*1000000),IF(INDEX($A$5:$BP$257,MATCH(BT244,$BN$5:$BN$257,0),50)="Ferro Fundido",('Densidade do AR'!$S$12*1000000),IF(INDEX($A$5:$BP$257,MATCH(BT244,$BN$5:$BN$257,0),50)="Latão",('Densidade do AR'!$S$10*1000000),IF(INDEX($A$5:$BP$257,MATCH(BT244,$BN$5:$BN$257,0),50)="Alumínio",('Densidade do AR'!$S$4*1000000)))))))</f>
        <v>-</v>
      </c>
      <c r="BW244" s="739"/>
      <c r="BX244" s="739"/>
      <c r="BY244" s="740"/>
      <c r="BZ244" s="741" t="str">
        <f t="shared" si="72"/>
        <v>-</v>
      </c>
      <c r="CA244" s="742"/>
      <c r="CB244" s="742"/>
      <c r="CC244" s="743"/>
      <c r="CD244" s="741" t="str">
        <f t="shared" si="64"/>
        <v>-</v>
      </c>
      <c r="CE244" s="742"/>
      <c r="CF244" s="742"/>
      <c r="CG244" s="743"/>
      <c r="CH244" s="744" t="str">
        <f t="shared" si="73"/>
        <v>-</v>
      </c>
      <c r="CI244" s="739"/>
      <c r="CJ244" s="739"/>
      <c r="CK244" s="740"/>
      <c r="CL244" s="744" t="str">
        <f t="shared" si="65"/>
        <v>-</v>
      </c>
      <c r="CM244" s="739"/>
      <c r="CN244" s="739"/>
      <c r="CO244" s="740"/>
      <c r="CP244" s="744" t="str">
        <f>IF(BT244="","-",INDEX($A$5:$BP$257,MATCH(BT244,$BN$5:$BN$257,0),39)*(IF(BT244="","-",(1+(((-('Densidade do AR'!$M$4))+('Densidade do AR'!$T$15*1000000))/(IF(INDEX($A$5:$BP$257,MATCH(BT244,$BN$5:$BN$257,0),50)="Aço Inoxidável",('Densidade do AR'!$S$8*1000000),IF(INDEX($A$5:$BP$257,MATCH(BT244,$BN$5:$BN$257,0),50)="Ferro Fundido",('Densidade do AR'!$S$12*1000000),IF(INDEX($A$5:$BP$257,MATCH(BT244,$BN$5:$BN$257,0),50)="Latão",('Densidade do AR'!$S$10*1000000),IF(INDEX($A$5:$BP$257,MATCH(BT244,$BN$5:$BN$257,0),50)="Alumínio",('Densidade do AR'!$S$4*1000000)))))))-(((-('Densidade do AR'!$M$4))+('Densidade do AR'!$T$15*1000000))/('Densidade do AR'!$S$14*1000000))))))</f>
        <v>-</v>
      </c>
      <c r="CQ244" s="739"/>
      <c r="CR244" s="739"/>
      <c r="CS244" s="745"/>
      <c r="CT244" s="91" t="str">
        <f t="shared" si="74"/>
        <v>-</v>
      </c>
      <c r="CU244" s="736"/>
      <c r="CV244" s="737"/>
      <c r="CW244" s="738" t="str">
        <f>IF(CU244="","-",(IF(INDEX($A$5:$BP$257,MATCH(CU244,$BN$5:$BN$257,0),50)="Aço Inoxidável",('Densidade do AR'!$S$8*1000000),IF(INDEX($A$5:$BP$257,MATCH(CU244,$BN$5:$BN$257,0),50)="Ferro Fundido",('Densidade do AR'!$S$12*1000000),IF(INDEX($A$5:$BP$257,MATCH(CU244,$BN$5:$BN$257,0),50)="Latão",('Densidade do AR'!$S$10*1000000),IF(INDEX($A$5:$BP$257,MATCH(CU244,$BN$5:$BN$257,0),50)="Alumínio",('Densidade do AR'!$S$4*1000000)))))))</f>
        <v>-</v>
      </c>
      <c r="CX244" s="739"/>
      <c r="CY244" s="739"/>
      <c r="CZ244" s="740"/>
      <c r="DA244" s="741" t="str">
        <f t="shared" si="75"/>
        <v>-</v>
      </c>
      <c r="DB244" s="742"/>
      <c r="DC244" s="742"/>
      <c r="DD244" s="743"/>
      <c r="DE244" s="741" t="str">
        <f t="shared" si="66"/>
        <v>-</v>
      </c>
      <c r="DF244" s="742"/>
      <c r="DG244" s="742"/>
      <c r="DH244" s="743"/>
      <c r="DI244" s="744" t="str">
        <f t="shared" si="76"/>
        <v>-</v>
      </c>
      <c r="DJ244" s="739"/>
      <c r="DK244" s="739"/>
      <c r="DL244" s="740"/>
      <c r="DM244" s="744" t="str">
        <f t="shared" si="67"/>
        <v>-</v>
      </c>
      <c r="DN244" s="739"/>
      <c r="DO244" s="739"/>
      <c r="DP244" s="740"/>
      <c r="DQ244" s="744" t="str">
        <f>IF(CU244="","-",INDEX($A$5:$BP$257,MATCH(CU244,$BN$5:$BN$257,0),39)*(IF(CU244="","-",(1+(((-('Densidade do AR'!$M$4))+('Densidade do AR'!$T$15*1000000))/(IF(INDEX($A$5:$BP$257,MATCH(CU244,$BN$5:$BN$257,0),50)="Aço Inoxidável",('Densidade do AR'!$S$8*1000000),IF(INDEX($A$5:$BP$257,MATCH(CU244,$BN$5:$BN$257,0),50)="Ferro Fundido",('Densidade do AR'!$S$12*1000000),IF(INDEX($A$5:$BP$257,MATCH(CU244,$BN$5:$BN$257,0),50)="Latão",('Densidade do AR'!$S$10*1000000),IF(INDEX($A$5:$BP$257,MATCH(CU244,$BN$5:$BN$257,0),50)="Alumínio",('Densidade do AR'!$S$4*1000000)))))))-(((-('Densidade do AR'!$M$4))+('Densidade do AR'!$T$15*1000000))/('Densidade do AR'!$S$14*1000000))))))</f>
        <v>-</v>
      </c>
      <c r="DR244" s="739"/>
      <c r="DS244" s="739"/>
      <c r="DT244" s="745"/>
      <c r="DU244" s="91" t="str">
        <f t="shared" si="77"/>
        <v>-</v>
      </c>
      <c r="DV244" s="736"/>
      <c r="DW244" s="737"/>
      <c r="DX244" s="738" t="str">
        <f>IF(DV244="","-",(IF(INDEX($A$5:$BP$257,MATCH(DV244,$BN$5:$BN$257,0),50)="Aço Inoxidável",('Densidade do AR'!$S$8*1000000),IF(INDEX($A$5:$BP$257,MATCH(DV244,$BN$5:$BN$257,0),50)="Ferro Fundido",('Densidade do AR'!$S$12*1000000),IF(INDEX($A$5:$BP$257,MATCH(DV244,$BN$5:$BN$257,0),50)="Latão",('Densidade do AR'!$S$10*1000000),IF(INDEX($A$5:$BP$257,MATCH(DV244,$BN$5:$BN$257,0),50)="Alumínio",('Densidade do AR'!$S$4*1000000)))))))</f>
        <v>-</v>
      </c>
      <c r="DY244" s="739"/>
      <c r="DZ244" s="739"/>
      <c r="EA244" s="740"/>
      <c r="EB244" s="741" t="str">
        <f t="shared" si="78"/>
        <v>-</v>
      </c>
      <c r="EC244" s="742"/>
      <c r="ED244" s="742"/>
      <c r="EE244" s="743"/>
      <c r="EF244" s="741" t="str">
        <f t="shared" si="68"/>
        <v>-</v>
      </c>
      <c r="EG244" s="742"/>
      <c r="EH244" s="742"/>
      <c r="EI244" s="743"/>
      <c r="EJ244" s="744" t="str">
        <f t="shared" si="79"/>
        <v>-</v>
      </c>
      <c r="EK244" s="739"/>
      <c r="EL244" s="739"/>
      <c r="EM244" s="740"/>
      <c r="EN244" s="744" t="str">
        <f t="shared" si="69"/>
        <v>-</v>
      </c>
      <c r="EO244" s="739"/>
      <c r="EP244" s="739"/>
      <c r="EQ244" s="740"/>
      <c r="ER244" s="744" t="str">
        <f>IF(DV244="","-",INDEX($A$5:$BP$257,MATCH(DV244,$BN$5:$BN$257,0),39)*(IF(DV244="","-",(1+(((-('Densidade do AR'!$M$4))+('Densidade do AR'!$T$15*1000000))/(IF(INDEX($A$5:$BP$257,MATCH(DV244,$BN$5:$BN$257,0),50)="Aço Inoxidável",('Densidade do AR'!$S$8*1000000),IF(INDEX($A$5:$BP$257,MATCH(DV244,$BN$5:$BN$257,0),50)="Ferro Fundido",('Densidade do AR'!$S$12*1000000),IF(INDEX($A$5:$BP$257,MATCH(DV244,$BN$5:$BN$257,0),50)="Latão",('Densidade do AR'!$S$10*1000000),IF(INDEX($A$5:$BP$257,MATCH(DV244,$BN$5:$BN$257,0),50)="Alumínio",('Densidade do AR'!$S$4*1000000)))))))-(((-('Densidade do AR'!$M$4))+('Densidade do AR'!$T$15*1000000))/('Densidade do AR'!$S$14*1000000))))))</f>
        <v>-</v>
      </c>
      <c r="ES244" s="739"/>
      <c r="ET244" s="739"/>
      <c r="EU244" s="745"/>
      <c r="EV244" s="91" t="str">
        <f t="shared" si="80"/>
        <v>-</v>
      </c>
      <c r="EW244" s="736"/>
      <c r="EX244" s="737"/>
      <c r="EY244" s="738" t="str">
        <f>IF(EW244="","-",(IF(INDEX($A$5:$BP$257,MATCH(EW244,$BN$5:$BN$257,0),50)="Aço Inoxidável",('Densidade do AR'!$S$8*1000000),IF(INDEX($A$5:$BP$257,MATCH(EW244,$BN$5:$BN$257,0),50)="Ferro Fundido",('Densidade do AR'!$S$12*1000000),IF(INDEX($A$5:$BP$257,MATCH(EW244,$BN$5:$BN$257,0),50)="Latão",('Densidade do AR'!$S$10*1000000),IF(INDEX($A$5:$BP$257,MATCH(EW244,$BN$5:$BN$257,0),50)="Alumínio",('Densidade do AR'!$S$4*1000000)))))))</f>
        <v>-</v>
      </c>
      <c r="EZ244" s="739"/>
      <c r="FA244" s="739"/>
      <c r="FB244" s="740"/>
      <c r="FC244" s="741" t="str">
        <f t="shared" si="81"/>
        <v>-</v>
      </c>
      <c r="FD244" s="742"/>
      <c r="FE244" s="742"/>
      <c r="FF244" s="743"/>
      <c r="FG244" s="741" t="str">
        <f t="shared" si="70"/>
        <v>-</v>
      </c>
      <c r="FH244" s="742"/>
      <c r="FI244" s="742"/>
      <c r="FJ244" s="743"/>
      <c r="FK244" s="744" t="str">
        <f t="shared" si="82"/>
        <v>-</v>
      </c>
      <c r="FL244" s="739"/>
      <c r="FM244" s="739"/>
      <c r="FN244" s="740"/>
      <c r="FO244" s="744" t="str">
        <f t="shared" si="71"/>
        <v>-</v>
      </c>
      <c r="FP244" s="739"/>
      <c r="FQ244" s="739"/>
      <c r="FR244" s="740"/>
      <c r="FS244" s="744" t="str">
        <f>IF(EW244="","-",INDEX($A$5:$BP$257,MATCH(EW244,$BN$5:$BN$257,0),39)*(IF(EW244="","-",(1+(((-('Densidade do AR'!$M$4))+('Densidade do AR'!$T$15*1000000))/(IF(INDEX($A$5:$BP$257,MATCH(EW244,$BN$5:$BN$257,0),50)="Aço Inoxidável",('Densidade do AR'!$S$8*1000000),IF(INDEX($A$5:$BP$257,MATCH(EW244,$BN$5:$BN$257,0),50)="Ferro Fundido",('Densidade do AR'!$S$12*1000000),IF(INDEX($A$5:$BP$257,MATCH(EW244,$BN$5:$BN$257,0),50)="Latão",('Densidade do AR'!$S$10*1000000),IF(INDEX($A$5:$BP$257,MATCH(EW244,$BN$5:$BN$257,0),50)="Alumínio",('Densidade do AR'!$S$4*1000000)))))))-(((-('Densidade do AR'!$M$4))+('Densidade do AR'!$T$15*1000000))/('Densidade do AR'!$S$14*1000000))))))</f>
        <v>-</v>
      </c>
      <c r="FT244" s="739"/>
      <c r="FU244" s="739"/>
      <c r="FV244" s="745"/>
      <c r="FW244" s="91" t="str">
        <f t="shared" si="83"/>
        <v>-</v>
      </c>
      <c r="FX244" s="135"/>
    </row>
    <row r="245" spans="1:180" x14ac:dyDescent="0.2">
      <c r="A245" s="717">
        <v>241</v>
      </c>
      <c r="B245" s="713"/>
      <c r="C245" s="708"/>
      <c r="D245" s="709"/>
      <c r="E245" s="709"/>
      <c r="F245" s="709"/>
      <c r="G245" s="710"/>
      <c r="H245" s="711"/>
      <c r="I245" s="712"/>
      <c r="J245" s="712"/>
      <c r="K245" s="713"/>
      <c r="L245" s="708"/>
      <c r="M245" s="709"/>
      <c r="N245" s="709"/>
      <c r="O245" s="709"/>
      <c r="P245" s="708"/>
      <c r="Q245" s="709"/>
      <c r="R245" s="709"/>
      <c r="S245" s="709"/>
      <c r="T245" s="710"/>
      <c r="U245" s="714"/>
      <c r="V245" s="715"/>
      <c r="W245" s="715"/>
      <c r="X245" s="715"/>
      <c r="Y245" s="715"/>
      <c r="Z245" s="715"/>
      <c r="AA245" s="716"/>
      <c r="AB245" s="850"/>
      <c r="AC245" s="851"/>
      <c r="AD245" s="851"/>
      <c r="AE245" s="851"/>
      <c r="AF245" s="851"/>
      <c r="AG245" s="851"/>
      <c r="AH245" s="851"/>
      <c r="AI245" s="851"/>
      <c r="AJ245" s="851"/>
      <c r="AK245" s="851"/>
      <c r="AL245" s="852"/>
      <c r="AM245" s="917"/>
      <c r="AN245" s="712"/>
      <c r="AO245" s="712"/>
      <c r="AP245" s="712"/>
      <c r="AQ245" s="712"/>
      <c r="AR245" s="712"/>
      <c r="AS245" s="713"/>
      <c r="AT245" s="917"/>
      <c r="AU245" s="712"/>
      <c r="AV245" s="712"/>
      <c r="AW245" s="713"/>
      <c r="AX245" s="917"/>
      <c r="AY245" s="712"/>
      <c r="AZ245" s="712"/>
      <c r="BA245" s="712"/>
      <c r="BB245" s="712"/>
      <c r="BC245" s="713"/>
      <c r="BD245" s="917"/>
      <c r="BE245" s="712"/>
      <c r="BF245" s="712"/>
      <c r="BG245" s="713"/>
      <c r="BH245" s="918"/>
      <c r="BI245" s="712"/>
      <c r="BJ245" s="712"/>
      <c r="BK245" s="712"/>
      <c r="BL245" s="910"/>
      <c r="BN245" s="878"/>
      <c r="BO245" s="709"/>
      <c r="BP245" s="884"/>
      <c r="BT245" s="746"/>
      <c r="BU245" s="747"/>
      <c r="BV245" s="784" t="str">
        <f>IF(BT245="","-",(IF(INDEX($A$5:$BP$257,MATCH(BT245,$BN$5:$BN$257,0),50)="Aço Inoxidável",('Densidade do AR'!$S$8*1000000),IF(INDEX($A$5:$BP$257,MATCH(BT245,$BN$5:$BN$257,0),50)="Ferro Fundido",('Densidade do AR'!$S$12*1000000),IF(INDEX($A$5:$BP$257,MATCH(BT245,$BN$5:$BN$257,0),50)="Latão",('Densidade do AR'!$S$10*1000000),IF(INDEX($A$5:$BP$257,MATCH(BT245,$BN$5:$BN$257,0),50)="Alumínio",('Densidade do AR'!$S$4*1000000)))))))</f>
        <v>-</v>
      </c>
      <c r="BW245" s="785"/>
      <c r="BX245" s="785"/>
      <c r="BY245" s="786"/>
      <c r="BZ245" s="787" t="str">
        <f t="shared" si="72"/>
        <v>-</v>
      </c>
      <c r="CA245" s="788"/>
      <c r="CB245" s="788"/>
      <c r="CC245" s="789"/>
      <c r="CD245" s="787" t="str">
        <f t="shared" si="64"/>
        <v>-</v>
      </c>
      <c r="CE245" s="788"/>
      <c r="CF245" s="788"/>
      <c r="CG245" s="789"/>
      <c r="CH245" s="790" t="str">
        <f t="shared" si="73"/>
        <v>-</v>
      </c>
      <c r="CI245" s="785"/>
      <c r="CJ245" s="785"/>
      <c r="CK245" s="786"/>
      <c r="CL245" s="790" t="str">
        <f t="shared" si="65"/>
        <v>-</v>
      </c>
      <c r="CM245" s="785"/>
      <c r="CN245" s="785"/>
      <c r="CO245" s="786"/>
      <c r="CP245" s="790" t="str">
        <f>IF(BT245="","-",INDEX($A$5:$BP$257,MATCH(BT245,$BN$5:$BN$257,0),39)*(IF(BT245="","-",(1+(((-('Densidade do AR'!$M$4))+('Densidade do AR'!$T$15*1000000))/(IF(INDEX($A$5:$BP$257,MATCH(BT245,$BN$5:$BN$257,0),50)="Aço Inoxidável",('Densidade do AR'!$S$8*1000000),IF(INDEX($A$5:$BP$257,MATCH(BT245,$BN$5:$BN$257,0),50)="Ferro Fundido",('Densidade do AR'!$S$12*1000000),IF(INDEX($A$5:$BP$257,MATCH(BT245,$BN$5:$BN$257,0),50)="Latão",('Densidade do AR'!$S$10*1000000),IF(INDEX($A$5:$BP$257,MATCH(BT245,$BN$5:$BN$257,0),50)="Alumínio",('Densidade do AR'!$S$4*1000000)))))))-(((-('Densidade do AR'!$M$4))+('Densidade do AR'!$T$15*1000000))/('Densidade do AR'!$S$14*1000000))))))</f>
        <v>-</v>
      </c>
      <c r="CQ245" s="785"/>
      <c r="CR245" s="785"/>
      <c r="CS245" s="791"/>
      <c r="CT245" s="91" t="str">
        <f t="shared" si="74"/>
        <v>-</v>
      </c>
      <c r="CU245" s="746"/>
      <c r="CV245" s="747"/>
      <c r="CW245" s="784" t="str">
        <f>IF(CU245="","-",(IF(INDEX($A$5:$BP$257,MATCH(CU245,$BN$5:$BN$257,0),50)="Aço Inoxidável",('Densidade do AR'!$S$8*1000000),IF(INDEX($A$5:$BP$257,MATCH(CU245,$BN$5:$BN$257,0),50)="Ferro Fundido",('Densidade do AR'!$S$12*1000000),IF(INDEX($A$5:$BP$257,MATCH(CU245,$BN$5:$BN$257,0),50)="Latão",('Densidade do AR'!$S$10*1000000),IF(INDEX($A$5:$BP$257,MATCH(CU245,$BN$5:$BN$257,0),50)="Alumínio",('Densidade do AR'!$S$4*1000000)))))))</f>
        <v>-</v>
      </c>
      <c r="CX245" s="785"/>
      <c r="CY245" s="785"/>
      <c r="CZ245" s="786"/>
      <c r="DA245" s="787" t="str">
        <f t="shared" si="75"/>
        <v>-</v>
      </c>
      <c r="DB245" s="788"/>
      <c r="DC245" s="788"/>
      <c r="DD245" s="789"/>
      <c r="DE245" s="787" t="str">
        <f t="shared" si="66"/>
        <v>-</v>
      </c>
      <c r="DF245" s="788"/>
      <c r="DG245" s="788"/>
      <c r="DH245" s="789"/>
      <c r="DI245" s="790" t="str">
        <f t="shared" si="76"/>
        <v>-</v>
      </c>
      <c r="DJ245" s="785"/>
      <c r="DK245" s="785"/>
      <c r="DL245" s="786"/>
      <c r="DM245" s="790" t="str">
        <f t="shared" si="67"/>
        <v>-</v>
      </c>
      <c r="DN245" s="785"/>
      <c r="DO245" s="785"/>
      <c r="DP245" s="786"/>
      <c r="DQ245" s="790" t="str">
        <f>IF(CU245="","-",INDEX($A$5:$BP$257,MATCH(CU245,$BN$5:$BN$257,0),39)*(IF(CU245="","-",(1+(((-('Densidade do AR'!$M$4))+('Densidade do AR'!$T$15*1000000))/(IF(INDEX($A$5:$BP$257,MATCH(CU245,$BN$5:$BN$257,0),50)="Aço Inoxidável",('Densidade do AR'!$S$8*1000000),IF(INDEX($A$5:$BP$257,MATCH(CU245,$BN$5:$BN$257,0),50)="Ferro Fundido",('Densidade do AR'!$S$12*1000000),IF(INDEX($A$5:$BP$257,MATCH(CU245,$BN$5:$BN$257,0),50)="Latão",('Densidade do AR'!$S$10*1000000),IF(INDEX($A$5:$BP$257,MATCH(CU245,$BN$5:$BN$257,0),50)="Alumínio",('Densidade do AR'!$S$4*1000000)))))))-(((-('Densidade do AR'!$M$4))+('Densidade do AR'!$T$15*1000000))/('Densidade do AR'!$S$14*1000000))))))</f>
        <v>-</v>
      </c>
      <c r="DR245" s="785"/>
      <c r="DS245" s="785"/>
      <c r="DT245" s="791"/>
      <c r="DU245" s="91" t="str">
        <f t="shared" si="77"/>
        <v>-</v>
      </c>
      <c r="DV245" s="746"/>
      <c r="DW245" s="747"/>
      <c r="DX245" s="784" t="str">
        <f>IF(DV245="","-",(IF(INDEX($A$5:$BP$257,MATCH(DV245,$BN$5:$BN$257,0),50)="Aço Inoxidável",('Densidade do AR'!$S$8*1000000),IF(INDEX($A$5:$BP$257,MATCH(DV245,$BN$5:$BN$257,0),50)="Ferro Fundido",('Densidade do AR'!$S$12*1000000),IF(INDEX($A$5:$BP$257,MATCH(DV245,$BN$5:$BN$257,0),50)="Latão",('Densidade do AR'!$S$10*1000000),IF(INDEX($A$5:$BP$257,MATCH(DV245,$BN$5:$BN$257,0),50)="Alumínio",('Densidade do AR'!$S$4*1000000)))))))</f>
        <v>-</v>
      </c>
      <c r="DY245" s="785"/>
      <c r="DZ245" s="785"/>
      <c r="EA245" s="786"/>
      <c r="EB245" s="787" t="str">
        <f t="shared" si="78"/>
        <v>-</v>
      </c>
      <c r="EC245" s="788"/>
      <c r="ED245" s="788"/>
      <c r="EE245" s="789"/>
      <c r="EF245" s="787" t="str">
        <f t="shared" si="68"/>
        <v>-</v>
      </c>
      <c r="EG245" s="788"/>
      <c r="EH245" s="788"/>
      <c r="EI245" s="789"/>
      <c r="EJ245" s="790" t="str">
        <f t="shared" si="79"/>
        <v>-</v>
      </c>
      <c r="EK245" s="785"/>
      <c r="EL245" s="785"/>
      <c r="EM245" s="786"/>
      <c r="EN245" s="790" t="str">
        <f t="shared" si="69"/>
        <v>-</v>
      </c>
      <c r="EO245" s="785"/>
      <c r="EP245" s="785"/>
      <c r="EQ245" s="786"/>
      <c r="ER245" s="790" t="str">
        <f>IF(DV245="","-",INDEX($A$5:$BP$257,MATCH(DV245,$BN$5:$BN$257,0),39)*(IF(DV245="","-",(1+(((-('Densidade do AR'!$M$4))+('Densidade do AR'!$T$15*1000000))/(IF(INDEX($A$5:$BP$257,MATCH(DV245,$BN$5:$BN$257,0),50)="Aço Inoxidável",('Densidade do AR'!$S$8*1000000),IF(INDEX($A$5:$BP$257,MATCH(DV245,$BN$5:$BN$257,0),50)="Ferro Fundido",('Densidade do AR'!$S$12*1000000),IF(INDEX($A$5:$BP$257,MATCH(DV245,$BN$5:$BN$257,0),50)="Latão",('Densidade do AR'!$S$10*1000000),IF(INDEX($A$5:$BP$257,MATCH(DV245,$BN$5:$BN$257,0),50)="Alumínio",('Densidade do AR'!$S$4*1000000)))))))-(((-('Densidade do AR'!$M$4))+('Densidade do AR'!$T$15*1000000))/('Densidade do AR'!$S$14*1000000))))))</f>
        <v>-</v>
      </c>
      <c r="ES245" s="785"/>
      <c r="ET245" s="785"/>
      <c r="EU245" s="791"/>
      <c r="EV245" s="91" t="str">
        <f t="shared" si="80"/>
        <v>-</v>
      </c>
      <c r="EW245" s="746"/>
      <c r="EX245" s="747"/>
      <c r="EY245" s="784" t="str">
        <f>IF(EW245="","-",(IF(INDEX($A$5:$BP$257,MATCH(EW245,$BN$5:$BN$257,0),50)="Aço Inoxidável",('Densidade do AR'!$S$8*1000000),IF(INDEX($A$5:$BP$257,MATCH(EW245,$BN$5:$BN$257,0),50)="Ferro Fundido",('Densidade do AR'!$S$12*1000000),IF(INDEX($A$5:$BP$257,MATCH(EW245,$BN$5:$BN$257,0),50)="Latão",('Densidade do AR'!$S$10*1000000),IF(INDEX($A$5:$BP$257,MATCH(EW245,$BN$5:$BN$257,0),50)="Alumínio",('Densidade do AR'!$S$4*1000000)))))))</f>
        <v>-</v>
      </c>
      <c r="EZ245" s="785"/>
      <c r="FA245" s="785"/>
      <c r="FB245" s="786"/>
      <c r="FC245" s="787" t="str">
        <f t="shared" si="81"/>
        <v>-</v>
      </c>
      <c r="FD245" s="788"/>
      <c r="FE245" s="788"/>
      <c r="FF245" s="789"/>
      <c r="FG245" s="787" t="str">
        <f t="shared" si="70"/>
        <v>-</v>
      </c>
      <c r="FH245" s="788"/>
      <c r="FI245" s="788"/>
      <c r="FJ245" s="789"/>
      <c r="FK245" s="790" t="str">
        <f t="shared" si="82"/>
        <v>-</v>
      </c>
      <c r="FL245" s="785"/>
      <c r="FM245" s="785"/>
      <c r="FN245" s="786"/>
      <c r="FO245" s="790" t="str">
        <f t="shared" si="71"/>
        <v>-</v>
      </c>
      <c r="FP245" s="785"/>
      <c r="FQ245" s="785"/>
      <c r="FR245" s="786"/>
      <c r="FS245" s="790" t="str">
        <f>IF(EW245="","-",INDEX($A$5:$BP$257,MATCH(EW245,$BN$5:$BN$257,0),39)*(IF(EW245="","-",(1+(((-('Densidade do AR'!$M$4))+('Densidade do AR'!$T$15*1000000))/(IF(INDEX($A$5:$BP$257,MATCH(EW245,$BN$5:$BN$257,0),50)="Aço Inoxidável",('Densidade do AR'!$S$8*1000000),IF(INDEX($A$5:$BP$257,MATCH(EW245,$BN$5:$BN$257,0),50)="Ferro Fundido",('Densidade do AR'!$S$12*1000000),IF(INDEX($A$5:$BP$257,MATCH(EW245,$BN$5:$BN$257,0),50)="Latão",('Densidade do AR'!$S$10*1000000),IF(INDEX($A$5:$BP$257,MATCH(EW245,$BN$5:$BN$257,0),50)="Alumínio",('Densidade do AR'!$S$4*1000000)))))))-(((-('Densidade do AR'!$M$4))+('Densidade do AR'!$T$15*1000000))/('Densidade do AR'!$S$14*1000000))))))</f>
        <v>-</v>
      </c>
      <c r="FT245" s="785"/>
      <c r="FU245" s="785"/>
      <c r="FV245" s="791"/>
      <c r="FW245" s="91" t="str">
        <f t="shared" si="83"/>
        <v>-</v>
      </c>
      <c r="FX245" s="135"/>
    </row>
    <row r="246" spans="1:180" x14ac:dyDescent="0.2">
      <c r="A246" s="718">
        <v>242</v>
      </c>
      <c r="B246" s="713"/>
      <c r="C246" s="719"/>
      <c r="D246" s="709"/>
      <c r="E246" s="709"/>
      <c r="F246" s="709"/>
      <c r="G246" s="710"/>
      <c r="H246" s="720"/>
      <c r="I246" s="712"/>
      <c r="J246" s="712"/>
      <c r="K246" s="713"/>
      <c r="L246" s="719"/>
      <c r="M246" s="709"/>
      <c r="N246" s="709"/>
      <c r="O246" s="709"/>
      <c r="P246" s="719"/>
      <c r="Q246" s="709"/>
      <c r="R246" s="709"/>
      <c r="S246" s="709"/>
      <c r="T246" s="710"/>
      <c r="U246" s="721"/>
      <c r="V246" s="722"/>
      <c r="W246" s="722"/>
      <c r="X246" s="722"/>
      <c r="Y246" s="722"/>
      <c r="Z246" s="722"/>
      <c r="AA246" s="723"/>
      <c r="AB246" s="853"/>
      <c r="AC246" s="854"/>
      <c r="AD246" s="854"/>
      <c r="AE246" s="854"/>
      <c r="AF246" s="854"/>
      <c r="AG246" s="854"/>
      <c r="AH246" s="854"/>
      <c r="AI246" s="854"/>
      <c r="AJ246" s="854"/>
      <c r="AK246" s="854"/>
      <c r="AL246" s="855"/>
      <c r="AM246" s="909"/>
      <c r="AN246" s="712"/>
      <c r="AO246" s="712"/>
      <c r="AP246" s="712"/>
      <c r="AQ246" s="712"/>
      <c r="AR246" s="712"/>
      <c r="AS246" s="713"/>
      <c r="AT246" s="909"/>
      <c r="AU246" s="712"/>
      <c r="AV246" s="712"/>
      <c r="AW246" s="713"/>
      <c r="AX246" s="908"/>
      <c r="AY246" s="712"/>
      <c r="AZ246" s="712"/>
      <c r="BA246" s="712"/>
      <c r="BB246" s="712"/>
      <c r="BC246" s="713"/>
      <c r="BD246" s="909"/>
      <c r="BE246" s="712"/>
      <c r="BF246" s="712"/>
      <c r="BG246" s="713"/>
      <c r="BH246" s="908"/>
      <c r="BI246" s="712"/>
      <c r="BJ246" s="712"/>
      <c r="BK246" s="712"/>
      <c r="BL246" s="910"/>
      <c r="BN246" s="881"/>
      <c r="BO246" s="709"/>
      <c r="BP246" s="884"/>
      <c r="BT246" s="736"/>
      <c r="BU246" s="737"/>
      <c r="BV246" s="738" t="str">
        <f>IF(BT246="","-",(IF(INDEX($A$5:$BP$257,MATCH(BT246,$BN$5:$BN$257,0),50)="Aço Inoxidável",('Densidade do AR'!$S$8*1000000),IF(INDEX($A$5:$BP$257,MATCH(BT246,$BN$5:$BN$257,0),50)="Ferro Fundido",('Densidade do AR'!$S$12*1000000),IF(INDEX($A$5:$BP$257,MATCH(BT246,$BN$5:$BN$257,0),50)="Latão",('Densidade do AR'!$S$10*1000000),IF(INDEX($A$5:$BP$257,MATCH(BT246,$BN$5:$BN$257,0),50)="Alumínio",('Densidade do AR'!$S$4*1000000)))))))</f>
        <v>-</v>
      </c>
      <c r="BW246" s="739"/>
      <c r="BX246" s="739"/>
      <c r="BY246" s="740"/>
      <c r="BZ246" s="741" t="str">
        <f t="shared" si="72"/>
        <v>-</v>
      </c>
      <c r="CA246" s="742"/>
      <c r="CB246" s="742"/>
      <c r="CC246" s="743"/>
      <c r="CD246" s="741" t="str">
        <f t="shared" si="64"/>
        <v>-</v>
      </c>
      <c r="CE246" s="742"/>
      <c r="CF246" s="742"/>
      <c r="CG246" s="743"/>
      <c r="CH246" s="744" t="str">
        <f t="shared" si="73"/>
        <v>-</v>
      </c>
      <c r="CI246" s="739"/>
      <c r="CJ246" s="739"/>
      <c r="CK246" s="740"/>
      <c r="CL246" s="744" t="str">
        <f t="shared" si="65"/>
        <v>-</v>
      </c>
      <c r="CM246" s="739"/>
      <c r="CN246" s="739"/>
      <c r="CO246" s="740"/>
      <c r="CP246" s="744" t="str">
        <f>IF(BT246="","-",INDEX($A$5:$BP$257,MATCH(BT246,$BN$5:$BN$257,0),39)*(IF(BT246="","-",(1+(((-('Densidade do AR'!$M$4))+('Densidade do AR'!$T$15*1000000))/(IF(INDEX($A$5:$BP$257,MATCH(BT246,$BN$5:$BN$257,0),50)="Aço Inoxidável",('Densidade do AR'!$S$8*1000000),IF(INDEX($A$5:$BP$257,MATCH(BT246,$BN$5:$BN$257,0),50)="Ferro Fundido",('Densidade do AR'!$S$12*1000000),IF(INDEX($A$5:$BP$257,MATCH(BT246,$BN$5:$BN$257,0),50)="Latão",('Densidade do AR'!$S$10*1000000),IF(INDEX($A$5:$BP$257,MATCH(BT246,$BN$5:$BN$257,0),50)="Alumínio",('Densidade do AR'!$S$4*1000000)))))))-(((-('Densidade do AR'!$M$4))+('Densidade do AR'!$T$15*1000000))/('Densidade do AR'!$S$14*1000000))))))</f>
        <v>-</v>
      </c>
      <c r="CQ246" s="739"/>
      <c r="CR246" s="739"/>
      <c r="CS246" s="745"/>
      <c r="CT246" s="91" t="str">
        <f t="shared" si="74"/>
        <v>-</v>
      </c>
      <c r="CU246" s="736"/>
      <c r="CV246" s="737"/>
      <c r="CW246" s="738" t="str">
        <f>IF(CU246="","-",(IF(INDEX($A$5:$BP$257,MATCH(CU246,$BN$5:$BN$257,0),50)="Aço Inoxidável",('Densidade do AR'!$S$8*1000000),IF(INDEX($A$5:$BP$257,MATCH(CU246,$BN$5:$BN$257,0),50)="Ferro Fundido",('Densidade do AR'!$S$12*1000000),IF(INDEX($A$5:$BP$257,MATCH(CU246,$BN$5:$BN$257,0),50)="Latão",('Densidade do AR'!$S$10*1000000),IF(INDEX($A$5:$BP$257,MATCH(CU246,$BN$5:$BN$257,0),50)="Alumínio",('Densidade do AR'!$S$4*1000000)))))))</f>
        <v>-</v>
      </c>
      <c r="CX246" s="739"/>
      <c r="CY246" s="739"/>
      <c r="CZ246" s="740"/>
      <c r="DA246" s="741" t="str">
        <f t="shared" si="75"/>
        <v>-</v>
      </c>
      <c r="DB246" s="742"/>
      <c r="DC246" s="742"/>
      <c r="DD246" s="743"/>
      <c r="DE246" s="741" t="str">
        <f t="shared" si="66"/>
        <v>-</v>
      </c>
      <c r="DF246" s="742"/>
      <c r="DG246" s="742"/>
      <c r="DH246" s="743"/>
      <c r="DI246" s="744" t="str">
        <f t="shared" si="76"/>
        <v>-</v>
      </c>
      <c r="DJ246" s="739"/>
      <c r="DK246" s="739"/>
      <c r="DL246" s="740"/>
      <c r="DM246" s="744" t="str">
        <f t="shared" si="67"/>
        <v>-</v>
      </c>
      <c r="DN246" s="739"/>
      <c r="DO246" s="739"/>
      <c r="DP246" s="740"/>
      <c r="DQ246" s="744" t="str">
        <f>IF(CU246="","-",INDEX($A$5:$BP$257,MATCH(CU246,$BN$5:$BN$257,0),39)*(IF(CU246="","-",(1+(((-('Densidade do AR'!$M$4))+('Densidade do AR'!$T$15*1000000))/(IF(INDEX($A$5:$BP$257,MATCH(CU246,$BN$5:$BN$257,0),50)="Aço Inoxidável",('Densidade do AR'!$S$8*1000000),IF(INDEX($A$5:$BP$257,MATCH(CU246,$BN$5:$BN$257,0),50)="Ferro Fundido",('Densidade do AR'!$S$12*1000000),IF(INDEX($A$5:$BP$257,MATCH(CU246,$BN$5:$BN$257,0),50)="Latão",('Densidade do AR'!$S$10*1000000),IF(INDEX($A$5:$BP$257,MATCH(CU246,$BN$5:$BN$257,0),50)="Alumínio",('Densidade do AR'!$S$4*1000000)))))))-(((-('Densidade do AR'!$M$4))+('Densidade do AR'!$T$15*1000000))/('Densidade do AR'!$S$14*1000000))))))</f>
        <v>-</v>
      </c>
      <c r="DR246" s="739"/>
      <c r="DS246" s="739"/>
      <c r="DT246" s="745"/>
      <c r="DU246" s="91" t="str">
        <f t="shared" si="77"/>
        <v>-</v>
      </c>
      <c r="DV246" s="736"/>
      <c r="DW246" s="737"/>
      <c r="DX246" s="738" t="str">
        <f>IF(DV246="","-",(IF(INDEX($A$5:$BP$257,MATCH(DV246,$BN$5:$BN$257,0),50)="Aço Inoxidável",('Densidade do AR'!$S$8*1000000),IF(INDEX($A$5:$BP$257,MATCH(DV246,$BN$5:$BN$257,0),50)="Ferro Fundido",('Densidade do AR'!$S$12*1000000),IF(INDEX($A$5:$BP$257,MATCH(DV246,$BN$5:$BN$257,0),50)="Latão",('Densidade do AR'!$S$10*1000000),IF(INDEX($A$5:$BP$257,MATCH(DV246,$BN$5:$BN$257,0),50)="Alumínio",('Densidade do AR'!$S$4*1000000)))))))</f>
        <v>-</v>
      </c>
      <c r="DY246" s="739"/>
      <c r="DZ246" s="739"/>
      <c r="EA246" s="740"/>
      <c r="EB246" s="741" t="str">
        <f t="shared" si="78"/>
        <v>-</v>
      </c>
      <c r="EC246" s="742"/>
      <c r="ED246" s="742"/>
      <c r="EE246" s="743"/>
      <c r="EF246" s="741" t="str">
        <f t="shared" si="68"/>
        <v>-</v>
      </c>
      <c r="EG246" s="742"/>
      <c r="EH246" s="742"/>
      <c r="EI246" s="743"/>
      <c r="EJ246" s="744" t="str">
        <f t="shared" si="79"/>
        <v>-</v>
      </c>
      <c r="EK246" s="739"/>
      <c r="EL246" s="739"/>
      <c r="EM246" s="740"/>
      <c r="EN246" s="744" t="str">
        <f t="shared" si="69"/>
        <v>-</v>
      </c>
      <c r="EO246" s="739"/>
      <c r="EP246" s="739"/>
      <c r="EQ246" s="740"/>
      <c r="ER246" s="744" t="str">
        <f>IF(DV246="","-",INDEX($A$5:$BP$257,MATCH(DV246,$BN$5:$BN$257,0),39)*(IF(DV246="","-",(1+(((-('Densidade do AR'!$M$4))+('Densidade do AR'!$T$15*1000000))/(IF(INDEX($A$5:$BP$257,MATCH(DV246,$BN$5:$BN$257,0),50)="Aço Inoxidável",('Densidade do AR'!$S$8*1000000),IF(INDEX($A$5:$BP$257,MATCH(DV246,$BN$5:$BN$257,0),50)="Ferro Fundido",('Densidade do AR'!$S$12*1000000),IF(INDEX($A$5:$BP$257,MATCH(DV246,$BN$5:$BN$257,0),50)="Latão",('Densidade do AR'!$S$10*1000000),IF(INDEX($A$5:$BP$257,MATCH(DV246,$BN$5:$BN$257,0),50)="Alumínio",('Densidade do AR'!$S$4*1000000)))))))-(((-('Densidade do AR'!$M$4))+('Densidade do AR'!$T$15*1000000))/('Densidade do AR'!$S$14*1000000))))))</f>
        <v>-</v>
      </c>
      <c r="ES246" s="739"/>
      <c r="ET246" s="739"/>
      <c r="EU246" s="745"/>
      <c r="EV246" s="91" t="str">
        <f t="shared" si="80"/>
        <v>-</v>
      </c>
      <c r="EW246" s="736"/>
      <c r="EX246" s="737"/>
      <c r="EY246" s="738" t="str">
        <f>IF(EW246="","-",(IF(INDEX($A$5:$BP$257,MATCH(EW246,$BN$5:$BN$257,0),50)="Aço Inoxidável",('Densidade do AR'!$S$8*1000000),IF(INDEX($A$5:$BP$257,MATCH(EW246,$BN$5:$BN$257,0),50)="Ferro Fundido",('Densidade do AR'!$S$12*1000000),IF(INDEX($A$5:$BP$257,MATCH(EW246,$BN$5:$BN$257,0),50)="Latão",('Densidade do AR'!$S$10*1000000),IF(INDEX($A$5:$BP$257,MATCH(EW246,$BN$5:$BN$257,0),50)="Alumínio",('Densidade do AR'!$S$4*1000000)))))))</f>
        <v>-</v>
      </c>
      <c r="EZ246" s="739"/>
      <c r="FA246" s="739"/>
      <c r="FB246" s="740"/>
      <c r="FC246" s="741" t="str">
        <f t="shared" si="81"/>
        <v>-</v>
      </c>
      <c r="FD246" s="742"/>
      <c r="FE246" s="742"/>
      <c r="FF246" s="743"/>
      <c r="FG246" s="741" t="str">
        <f t="shared" si="70"/>
        <v>-</v>
      </c>
      <c r="FH246" s="742"/>
      <c r="FI246" s="742"/>
      <c r="FJ246" s="743"/>
      <c r="FK246" s="744" t="str">
        <f t="shared" si="82"/>
        <v>-</v>
      </c>
      <c r="FL246" s="739"/>
      <c r="FM246" s="739"/>
      <c r="FN246" s="740"/>
      <c r="FO246" s="744" t="str">
        <f t="shared" si="71"/>
        <v>-</v>
      </c>
      <c r="FP246" s="739"/>
      <c r="FQ246" s="739"/>
      <c r="FR246" s="740"/>
      <c r="FS246" s="744" t="str">
        <f>IF(EW246="","-",INDEX($A$5:$BP$257,MATCH(EW246,$BN$5:$BN$257,0),39)*(IF(EW246="","-",(1+(((-('Densidade do AR'!$M$4))+('Densidade do AR'!$T$15*1000000))/(IF(INDEX($A$5:$BP$257,MATCH(EW246,$BN$5:$BN$257,0),50)="Aço Inoxidável",('Densidade do AR'!$S$8*1000000),IF(INDEX($A$5:$BP$257,MATCH(EW246,$BN$5:$BN$257,0),50)="Ferro Fundido",('Densidade do AR'!$S$12*1000000),IF(INDEX($A$5:$BP$257,MATCH(EW246,$BN$5:$BN$257,0),50)="Latão",('Densidade do AR'!$S$10*1000000),IF(INDEX($A$5:$BP$257,MATCH(EW246,$BN$5:$BN$257,0),50)="Alumínio",('Densidade do AR'!$S$4*1000000)))))))-(((-('Densidade do AR'!$M$4))+('Densidade do AR'!$T$15*1000000))/('Densidade do AR'!$S$14*1000000))))))</f>
        <v>-</v>
      </c>
      <c r="FT246" s="739"/>
      <c r="FU246" s="739"/>
      <c r="FV246" s="745"/>
      <c r="FW246" s="91" t="str">
        <f t="shared" si="83"/>
        <v>-</v>
      </c>
      <c r="FX246" s="135"/>
    </row>
    <row r="247" spans="1:180" x14ac:dyDescent="0.2">
      <c r="A247" s="717">
        <v>243</v>
      </c>
      <c r="B247" s="713"/>
      <c r="C247" s="708"/>
      <c r="D247" s="709"/>
      <c r="E247" s="709"/>
      <c r="F247" s="709"/>
      <c r="G247" s="710"/>
      <c r="H247" s="711"/>
      <c r="I247" s="712"/>
      <c r="J247" s="712"/>
      <c r="K247" s="713"/>
      <c r="L247" s="708"/>
      <c r="M247" s="709"/>
      <c r="N247" s="709"/>
      <c r="O247" s="709"/>
      <c r="P247" s="708"/>
      <c r="Q247" s="709"/>
      <c r="R247" s="709"/>
      <c r="S247" s="709"/>
      <c r="T247" s="710"/>
      <c r="U247" s="714"/>
      <c r="V247" s="715"/>
      <c r="W247" s="715"/>
      <c r="X247" s="715"/>
      <c r="Y247" s="715"/>
      <c r="Z247" s="715"/>
      <c r="AA247" s="716"/>
      <c r="AB247" s="850"/>
      <c r="AC247" s="851"/>
      <c r="AD247" s="851"/>
      <c r="AE247" s="851"/>
      <c r="AF247" s="851"/>
      <c r="AG247" s="851"/>
      <c r="AH247" s="851"/>
      <c r="AI247" s="851"/>
      <c r="AJ247" s="851"/>
      <c r="AK247" s="851"/>
      <c r="AL247" s="852"/>
      <c r="AM247" s="917"/>
      <c r="AN247" s="712"/>
      <c r="AO247" s="712"/>
      <c r="AP247" s="712"/>
      <c r="AQ247" s="712"/>
      <c r="AR247" s="712"/>
      <c r="AS247" s="713"/>
      <c r="AT247" s="917"/>
      <c r="AU247" s="712"/>
      <c r="AV247" s="712"/>
      <c r="AW247" s="713"/>
      <c r="AX247" s="917"/>
      <c r="AY247" s="712"/>
      <c r="AZ247" s="712"/>
      <c r="BA247" s="712"/>
      <c r="BB247" s="712"/>
      <c r="BC247" s="713"/>
      <c r="BD247" s="917"/>
      <c r="BE247" s="712"/>
      <c r="BF247" s="712"/>
      <c r="BG247" s="713"/>
      <c r="BH247" s="918"/>
      <c r="BI247" s="712"/>
      <c r="BJ247" s="712"/>
      <c r="BK247" s="712"/>
      <c r="BL247" s="910"/>
      <c r="BN247" s="878"/>
      <c r="BO247" s="709"/>
      <c r="BP247" s="884"/>
      <c r="BT247" s="746"/>
      <c r="BU247" s="747"/>
      <c r="BV247" s="784" t="str">
        <f>IF(BT247="","-",(IF(INDEX($A$5:$BP$257,MATCH(BT247,$BN$5:$BN$257,0),50)="Aço Inoxidável",('Densidade do AR'!$S$8*1000000),IF(INDEX($A$5:$BP$257,MATCH(BT247,$BN$5:$BN$257,0),50)="Ferro Fundido",('Densidade do AR'!$S$12*1000000),IF(INDEX($A$5:$BP$257,MATCH(BT247,$BN$5:$BN$257,0),50)="Latão",('Densidade do AR'!$S$10*1000000),IF(INDEX($A$5:$BP$257,MATCH(BT247,$BN$5:$BN$257,0),50)="Alumínio",('Densidade do AR'!$S$4*1000000)))))))</f>
        <v>-</v>
      </c>
      <c r="BW247" s="785"/>
      <c r="BX247" s="785"/>
      <c r="BY247" s="786"/>
      <c r="BZ247" s="787" t="str">
        <f t="shared" si="72"/>
        <v>-</v>
      </c>
      <c r="CA247" s="788"/>
      <c r="CB247" s="788"/>
      <c r="CC247" s="789"/>
      <c r="CD247" s="787" t="str">
        <f t="shared" si="64"/>
        <v>-</v>
      </c>
      <c r="CE247" s="788"/>
      <c r="CF247" s="788"/>
      <c r="CG247" s="789"/>
      <c r="CH247" s="790" t="str">
        <f t="shared" si="73"/>
        <v>-</v>
      </c>
      <c r="CI247" s="785"/>
      <c r="CJ247" s="785"/>
      <c r="CK247" s="786"/>
      <c r="CL247" s="790" t="str">
        <f t="shared" si="65"/>
        <v>-</v>
      </c>
      <c r="CM247" s="785"/>
      <c r="CN247" s="785"/>
      <c r="CO247" s="786"/>
      <c r="CP247" s="790" t="str">
        <f>IF(BT247="","-",INDEX($A$5:$BP$257,MATCH(BT247,$BN$5:$BN$257,0),39)*(IF(BT247="","-",(1+(((-('Densidade do AR'!$M$4))+('Densidade do AR'!$T$15*1000000))/(IF(INDEX($A$5:$BP$257,MATCH(BT247,$BN$5:$BN$257,0),50)="Aço Inoxidável",('Densidade do AR'!$S$8*1000000),IF(INDEX($A$5:$BP$257,MATCH(BT247,$BN$5:$BN$257,0),50)="Ferro Fundido",('Densidade do AR'!$S$12*1000000),IF(INDEX($A$5:$BP$257,MATCH(BT247,$BN$5:$BN$257,0),50)="Latão",('Densidade do AR'!$S$10*1000000),IF(INDEX($A$5:$BP$257,MATCH(BT247,$BN$5:$BN$257,0),50)="Alumínio",('Densidade do AR'!$S$4*1000000)))))))-(((-('Densidade do AR'!$M$4))+('Densidade do AR'!$T$15*1000000))/('Densidade do AR'!$S$14*1000000))))))</f>
        <v>-</v>
      </c>
      <c r="CQ247" s="785"/>
      <c r="CR247" s="785"/>
      <c r="CS247" s="791"/>
      <c r="CT247" s="91" t="str">
        <f t="shared" si="74"/>
        <v>-</v>
      </c>
      <c r="CU247" s="746"/>
      <c r="CV247" s="747"/>
      <c r="CW247" s="784" t="str">
        <f>IF(CU247="","-",(IF(INDEX($A$5:$BP$257,MATCH(CU247,$BN$5:$BN$257,0),50)="Aço Inoxidável",('Densidade do AR'!$S$8*1000000),IF(INDEX($A$5:$BP$257,MATCH(CU247,$BN$5:$BN$257,0),50)="Ferro Fundido",('Densidade do AR'!$S$12*1000000),IF(INDEX($A$5:$BP$257,MATCH(CU247,$BN$5:$BN$257,0),50)="Latão",('Densidade do AR'!$S$10*1000000),IF(INDEX($A$5:$BP$257,MATCH(CU247,$BN$5:$BN$257,0),50)="Alumínio",('Densidade do AR'!$S$4*1000000)))))))</f>
        <v>-</v>
      </c>
      <c r="CX247" s="785"/>
      <c r="CY247" s="785"/>
      <c r="CZ247" s="786"/>
      <c r="DA247" s="787" t="str">
        <f t="shared" si="75"/>
        <v>-</v>
      </c>
      <c r="DB247" s="788"/>
      <c r="DC247" s="788"/>
      <c r="DD247" s="789"/>
      <c r="DE247" s="787" t="str">
        <f t="shared" si="66"/>
        <v>-</v>
      </c>
      <c r="DF247" s="788"/>
      <c r="DG247" s="788"/>
      <c r="DH247" s="789"/>
      <c r="DI247" s="790" t="str">
        <f t="shared" si="76"/>
        <v>-</v>
      </c>
      <c r="DJ247" s="785"/>
      <c r="DK247" s="785"/>
      <c r="DL247" s="786"/>
      <c r="DM247" s="790" t="str">
        <f t="shared" si="67"/>
        <v>-</v>
      </c>
      <c r="DN247" s="785"/>
      <c r="DO247" s="785"/>
      <c r="DP247" s="786"/>
      <c r="DQ247" s="790" t="str">
        <f>IF(CU247="","-",INDEX($A$5:$BP$257,MATCH(CU247,$BN$5:$BN$257,0),39)*(IF(CU247="","-",(1+(((-('Densidade do AR'!$M$4))+('Densidade do AR'!$T$15*1000000))/(IF(INDEX($A$5:$BP$257,MATCH(CU247,$BN$5:$BN$257,0),50)="Aço Inoxidável",('Densidade do AR'!$S$8*1000000),IF(INDEX($A$5:$BP$257,MATCH(CU247,$BN$5:$BN$257,0),50)="Ferro Fundido",('Densidade do AR'!$S$12*1000000),IF(INDEX($A$5:$BP$257,MATCH(CU247,$BN$5:$BN$257,0),50)="Latão",('Densidade do AR'!$S$10*1000000),IF(INDEX($A$5:$BP$257,MATCH(CU247,$BN$5:$BN$257,0),50)="Alumínio",('Densidade do AR'!$S$4*1000000)))))))-(((-('Densidade do AR'!$M$4))+('Densidade do AR'!$T$15*1000000))/('Densidade do AR'!$S$14*1000000))))))</f>
        <v>-</v>
      </c>
      <c r="DR247" s="785"/>
      <c r="DS247" s="785"/>
      <c r="DT247" s="791"/>
      <c r="DU247" s="91" t="str">
        <f t="shared" si="77"/>
        <v>-</v>
      </c>
      <c r="DV247" s="746"/>
      <c r="DW247" s="747"/>
      <c r="DX247" s="784" t="str">
        <f>IF(DV247="","-",(IF(INDEX($A$5:$BP$257,MATCH(DV247,$BN$5:$BN$257,0),50)="Aço Inoxidável",('Densidade do AR'!$S$8*1000000),IF(INDEX($A$5:$BP$257,MATCH(DV247,$BN$5:$BN$257,0),50)="Ferro Fundido",('Densidade do AR'!$S$12*1000000),IF(INDEX($A$5:$BP$257,MATCH(DV247,$BN$5:$BN$257,0),50)="Latão",('Densidade do AR'!$S$10*1000000),IF(INDEX($A$5:$BP$257,MATCH(DV247,$BN$5:$BN$257,0),50)="Alumínio",('Densidade do AR'!$S$4*1000000)))))))</f>
        <v>-</v>
      </c>
      <c r="DY247" s="785"/>
      <c r="DZ247" s="785"/>
      <c r="EA247" s="786"/>
      <c r="EB247" s="787" t="str">
        <f t="shared" si="78"/>
        <v>-</v>
      </c>
      <c r="EC247" s="788"/>
      <c r="ED247" s="788"/>
      <c r="EE247" s="789"/>
      <c r="EF247" s="787" t="str">
        <f t="shared" si="68"/>
        <v>-</v>
      </c>
      <c r="EG247" s="788"/>
      <c r="EH247" s="788"/>
      <c r="EI247" s="789"/>
      <c r="EJ247" s="790" t="str">
        <f t="shared" si="79"/>
        <v>-</v>
      </c>
      <c r="EK247" s="785"/>
      <c r="EL247" s="785"/>
      <c r="EM247" s="786"/>
      <c r="EN247" s="790" t="str">
        <f t="shared" si="69"/>
        <v>-</v>
      </c>
      <c r="EO247" s="785"/>
      <c r="EP247" s="785"/>
      <c r="EQ247" s="786"/>
      <c r="ER247" s="790" t="str">
        <f>IF(DV247="","-",INDEX($A$5:$BP$257,MATCH(DV247,$BN$5:$BN$257,0),39)*(IF(DV247="","-",(1+(((-('Densidade do AR'!$M$4))+('Densidade do AR'!$T$15*1000000))/(IF(INDEX($A$5:$BP$257,MATCH(DV247,$BN$5:$BN$257,0),50)="Aço Inoxidável",('Densidade do AR'!$S$8*1000000),IF(INDEX($A$5:$BP$257,MATCH(DV247,$BN$5:$BN$257,0),50)="Ferro Fundido",('Densidade do AR'!$S$12*1000000),IF(INDEX($A$5:$BP$257,MATCH(DV247,$BN$5:$BN$257,0),50)="Latão",('Densidade do AR'!$S$10*1000000),IF(INDEX($A$5:$BP$257,MATCH(DV247,$BN$5:$BN$257,0),50)="Alumínio",('Densidade do AR'!$S$4*1000000)))))))-(((-('Densidade do AR'!$M$4))+('Densidade do AR'!$T$15*1000000))/('Densidade do AR'!$S$14*1000000))))))</f>
        <v>-</v>
      </c>
      <c r="ES247" s="785"/>
      <c r="ET247" s="785"/>
      <c r="EU247" s="791"/>
      <c r="EV247" s="91" t="str">
        <f t="shared" si="80"/>
        <v>-</v>
      </c>
      <c r="EW247" s="746"/>
      <c r="EX247" s="747"/>
      <c r="EY247" s="784" t="str">
        <f>IF(EW247="","-",(IF(INDEX($A$5:$BP$257,MATCH(EW247,$BN$5:$BN$257,0),50)="Aço Inoxidável",('Densidade do AR'!$S$8*1000000),IF(INDEX($A$5:$BP$257,MATCH(EW247,$BN$5:$BN$257,0),50)="Ferro Fundido",('Densidade do AR'!$S$12*1000000),IF(INDEX($A$5:$BP$257,MATCH(EW247,$BN$5:$BN$257,0),50)="Latão",('Densidade do AR'!$S$10*1000000),IF(INDEX($A$5:$BP$257,MATCH(EW247,$BN$5:$BN$257,0),50)="Alumínio",('Densidade do AR'!$S$4*1000000)))))))</f>
        <v>-</v>
      </c>
      <c r="EZ247" s="785"/>
      <c r="FA247" s="785"/>
      <c r="FB247" s="786"/>
      <c r="FC247" s="787" t="str">
        <f t="shared" si="81"/>
        <v>-</v>
      </c>
      <c r="FD247" s="788"/>
      <c r="FE247" s="788"/>
      <c r="FF247" s="789"/>
      <c r="FG247" s="787" t="str">
        <f t="shared" si="70"/>
        <v>-</v>
      </c>
      <c r="FH247" s="788"/>
      <c r="FI247" s="788"/>
      <c r="FJ247" s="789"/>
      <c r="FK247" s="790" t="str">
        <f t="shared" si="82"/>
        <v>-</v>
      </c>
      <c r="FL247" s="785"/>
      <c r="FM247" s="785"/>
      <c r="FN247" s="786"/>
      <c r="FO247" s="790" t="str">
        <f t="shared" si="71"/>
        <v>-</v>
      </c>
      <c r="FP247" s="785"/>
      <c r="FQ247" s="785"/>
      <c r="FR247" s="786"/>
      <c r="FS247" s="790" t="str">
        <f>IF(EW247="","-",INDEX($A$5:$BP$257,MATCH(EW247,$BN$5:$BN$257,0),39)*(IF(EW247="","-",(1+(((-('Densidade do AR'!$M$4))+('Densidade do AR'!$T$15*1000000))/(IF(INDEX($A$5:$BP$257,MATCH(EW247,$BN$5:$BN$257,0),50)="Aço Inoxidável",('Densidade do AR'!$S$8*1000000),IF(INDEX($A$5:$BP$257,MATCH(EW247,$BN$5:$BN$257,0),50)="Ferro Fundido",('Densidade do AR'!$S$12*1000000),IF(INDEX($A$5:$BP$257,MATCH(EW247,$BN$5:$BN$257,0),50)="Latão",('Densidade do AR'!$S$10*1000000),IF(INDEX($A$5:$BP$257,MATCH(EW247,$BN$5:$BN$257,0),50)="Alumínio",('Densidade do AR'!$S$4*1000000)))))))-(((-('Densidade do AR'!$M$4))+('Densidade do AR'!$T$15*1000000))/('Densidade do AR'!$S$14*1000000))))))</f>
        <v>-</v>
      </c>
      <c r="FT247" s="785"/>
      <c r="FU247" s="785"/>
      <c r="FV247" s="791"/>
      <c r="FW247" s="91" t="str">
        <f t="shared" si="83"/>
        <v>-</v>
      </c>
      <c r="FX247" s="135"/>
    </row>
    <row r="248" spans="1:180" x14ac:dyDescent="0.2">
      <c r="A248" s="718">
        <v>244</v>
      </c>
      <c r="B248" s="713"/>
      <c r="C248" s="719"/>
      <c r="D248" s="709"/>
      <c r="E248" s="709"/>
      <c r="F248" s="709"/>
      <c r="G248" s="710"/>
      <c r="H248" s="720"/>
      <c r="I248" s="712"/>
      <c r="J248" s="712"/>
      <c r="K248" s="713"/>
      <c r="L248" s="719"/>
      <c r="M248" s="709"/>
      <c r="N248" s="709"/>
      <c r="O248" s="709"/>
      <c r="P248" s="719"/>
      <c r="Q248" s="709"/>
      <c r="R248" s="709"/>
      <c r="S248" s="709"/>
      <c r="T248" s="710"/>
      <c r="U248" s="721"/>
      <c r="V248" s="722"/>
      <c r="W248" s="722"/>
      <c r="X248" s="722"/>
      <c r="Y248" s="722"/>
      <c r="Z248" s="722"/>
      <c r="AA248" s="723"/>
      <c r="AB248" s="853"/>
      <c r="AC248" s="854"/>
      <c r="AD248" s="854"/>
      <c r="AE248" s="854"/>
      <c r="AF248" s="854"/>
      <c r="AG248" s="854"/>
      <c r="AH248" s="854"/>
      <c r="AI248" s="854"/>
      <c r="AJ248" s="854"/>
      <c r="AK248" s="854"/>
      <c r="AL248" s="855"/>
      <c r="AM248" s="909"/>
      <c r="AN248" s="712"/>
      <c r="AO248" s="712"/>
      <c r="AP248" s="712"/>
      <c r="AQ248" s="712"/>
      <c r="AR248" s="712"/>
      <c r="AS248" s="713"/>
      <c r="AT248" s="909"/>
      <c r="AU248" s="712"/>
      <c r="AV248" s="712"/>
      <c r="AW248" s="713"/>
      <c r="AX248" s="908"/>
      <c r="AY248" s="712"/>
      <c r="AZ248" s="712"/>
      <c r="BA248" s="712"/>
      <c r="BB248" s="712"/>
      <c r="BC248" s="713"/>
      <c r="BD248" s="909"/>
      <c r="BE248" s="712"/>
      <c r="BF248" s="712"/>
      <c r="BG248" s="713"/>
      <c r="BH248" s="908"/>
      <c r="BI248" s="712"/>
      <c r="BJ248" s="712"/>
      <c r="BK248" s="712"/>
      <c r="BL248" s="910"/>
      <c r="BN248" s="881"/>
      <c r="BO248" s="709"/>
      <c r="BP248" s="884"/>
      <c r="BT248" s="736"/>
      <c r="BU248" s="737"/>
      <c r="BV248" s="738" t="str">
        <f>IF(BT248="","-",(IF(INDEX($A$5:$BP$257,MATCH(BT248,$BN$5:$BN$257,0),50)="Aço Inoxidável",('Densidade do AR'!$S$8*1000000),IF(INDEX($A$5:$BP$257,MATCH(BT248,$BN$5:$BN$257,0),50)="Ferro Fundido",('Densidade do AR'!$S$12*1000000),IF(INDEX($A$5:$BP$257,MATCH(BT248,$BN$5:$BN$257,0),50)="Latão",('Densidade do AR'!$S$10*1000000),IF(INDEX($A$5:$BP$257,MATCH(BT248,$BN$5:$BN$257,0),50)="Alumínio",('Densidade do AR'!$S$4*1000000)))))))</f>
        <v>-</v>
      </c>
      <c r="BW248" s="739"/>
      <c r="BX248" s="739"/>
      <c r="BY248" s="740"/>
      <c r="BZ248" s="741" t="str">
        <f t="shared" si="72"/>
        <v>-</v>
      </c>
      <c r="CA248" s="742"/>
      <c r="CB248" s="742"/>
      <c r="CC248" s="743"/>
      <c r="CD248" s="741" t="str">
        <f t="shared" si="64"/>
        <v>-</v>
      </c>
      <c r="CE248" s="742"/>
      <c r="CF248" s="742"/>
      <c r="CG248" s="743"/>
      <c r="CH248" s="744" t="str">
        <f t="shared" si="73"/>
        <v>-</v>
      </c>
      <c r="CI248" s="739"/>
      <c r="CJ248" s="739"/>
      <c r="CK248" s="740"/>
      <c r="CL248" s="744" t="str">
        <f t="shared" si="65"/>
        <v>-</v>
      </c>
      <c r="CM248" s="739"/>
      <c r="CN248" s="739"/>
      <c r="CO248" s="740"/>
      <c r="CP248" s="744" t="str">
        <f>IF(BT248="","-",INDEX($A$5:$BP$257,MATCH(BT248,$BN$5:$BN$257,0),39)*(IF(BT248="","-",(1+(((-('Densidade do AR'!$M$4))+('Densidade do AR'!$T$15*1000000))/(IF(INDEX($A$5:$BP$257,MATCH(BT248,$BN$5:$BN$257,0),50)="Aço Inoxidável",('Densidade do AR'!$S$8*1000000),IF(INDEX($A$5:$BP$257,MATCH(BT248,$BN$5:$BN$257,0),50)="Ferro Fundido",('Densidade do AR'!$S$12*1000000),IF(INDEX($A$5:$BP$257,MATCH(BT248,$BN$5:$BN$257,0),50)="Latão",('Densidade do AR'!$S$10*1000000),IF(INDEX($A$5:$BP$257,MATCH(BT248,$BN$5:$BN$257,0),50)="Alumínio",('Densidade do AR'!$S$4*1000000)))))))-(((-('Densidade do AR'!$M$4))+('Densidade do AR'!$T$15*1000000))/('Densidade do AR'!$S$14*1000000))))))</f>
        <v>-</v>
      </c>
      <c r="CQ248" s="739"/>
      <c r="CR248" s="739"/>
      <c r="CS248" s="745"/>
      <c r="CT248" s="91" t="str">
        <f t="shared" si="74"/>
        <v>-</v>
      </c>
      <c r="CU248" s="736"/>
      <c r="CV248" s="737"/>
      <c r="CW248" s="738" t="str">
        <f>IF(CU248="","-",(IF(INDEX($A$5:$BP$257,MATCH(CU248,$BN$5:$BN$257,0),50)="Aço Inoxidável",('Densidade do AR'!$S$8*1000000),IF(INDEX($A$5:$BP$257,MATCH(CU248,$BN$5:$BN$257,0),50)="Ferro Fundido",('Densidade do AR'!$S$12*1000000),IF(INDEX($A$5:$BP$257,MATCH(CU248,$BN$5:$BN$257,0),50)="Latão",('Densidade do AR'!$S$10*1000000),IF(INDEX($A$5:$BP$257,MATCH(CU248,$BN$5:$BN$257,0),50)="Alumínio",('Densidade do AR'!$S$4*1000000)))))))</f>
        <v>-</v>
      </c>
      <c r="CX248" s="739"/>
      <c r="CY248" s="739"/>
      <c r="CZ248" s="740"/>
      <c r="DA248" s="741" t="str">
        <f t="shared" si="75"/>
        <v>-</v>
      </c>
      <c r="DB248" s="742"/>
      <c r="DC248" s="742"/>
      <c r="DD248" s="743"/>
      <c r="DE248" s="741" t="str">
        <f t="shared" si="66"/>
        <v>-</v>
      </c>
      <c r="DF248" s="742"/>
      <c r="DG248" s="742"/>
      <c r="DH248" s="743"/>
      <c r="DI248" s="744" t="str">
        <f t="shared" si="76"/>
        <v>-</v>
      </c>
      <c r="DJ248" s="739"/>
      <c r="DK248" s="739"/>
      <c r="DL248" s="740"/>
      <c r="DM248" s="744" t="str">
        <f t="shared" si="67"/>
        <v>-</v>
      </c>
      <c r="DN248" s="739"/>
      <c r="DO248" s="739"/>
      <c r="DP248" s="740"/>
      <c r="DQ248" s="744" t="str">
        <f>IF(CU248="","-",INDEX($A$5:$BP$257,MATCH(CU248,$BN$5:$BN$257,0),39)*(IF(CU248="","-",(1+(((-('Densidade do AR'!$M$4))+('Densidade do AR'!$T$15*1000000))/(IF(INDEX($A$5:$BP$257,MATCH(CU248,$BN$5:$BN$257,0),50)="Aço Inoxidável",('Densidade do AR'!$S$8*1000000),IF(INDEX($A$5:$BP$257,MATCH(CU248,$BN$5:$BN$257,0),50)="Ferro Fundido",('Densidade do AR'!$S$12*1000000),IF(INDEX($A$5:$BP$257,MATCH(CU248,$BN$5:$BN$257,0),50)="Latão",('Densidade do AR'!$S$10*1000000),IF(INDEX($A$5:$BP$257,MATCH(CU248,$BN$5:$BN$257,0),50)="Alumínio",('Densidade do AR'!$S$4*1000000)))))))-(((-('Densidade do AR'!$M$4))+('Densidade do AR'!$T$15*1000000))/('Densidade do AR'!$S$14*1000000))))))</f>
        <v>-</v>
      </c>
      <c r="DR248" s="739"/>
      <c r="DS248" s="739"/>
      <c r="DT248" s="745"/>
      <c r="DU248" s="91" t="str">
        <f t="shared" si="77"/>
        <v>-</v>
      </c>
      <c r="DV248" s="736"/>
      <c r="DW248" s="737"/>
      <c r="DX248" s="738" t="str">
        <f>IF(DV248="","-",(IF(INDEX($A$5:$BP$257,MATCH(DV248,$BN$5:$BN$257,0),50)="Aço Inoxidável",('Densidade do AR'!$S$8*1000000),IF(INDEX($A$5:$BP$257,MATCH(DV248,$BN$5:$BN$257,0),50)="Ferro Fundido",('Densidade do AR'!$S$12*1000000),IF(INDEX($A$5:$BP$257,MATCH(DV248,$BN$5:$BN$257,0),50)="Latão",('Densidade do AR'!$S$10*1000000),IF(INDEX($A$5:$BP$257,MATCH(DV248,$BN$5:$BN$257,0),50)="Alumínio",('Densidade do AR'!$S$4*1000000)))))))</f>
        <v>-</v>
      </c>
      <c r="DY248" s="739"/>
      <c r="DZ248" s="739"/>
      <c r="EA248" s="740"/>
      <c r="EB248" s="741" t="str">
        <f t="shared" si="78"/>
        <v>-</v>
      </c>
      <c r="EC248" s="742"/>
      <c r="ED248" s="742"/>
      <c r="EE248" s="743"/>
      <c r="EF248" s="741" t="str">
        <f t="shared" si="68"/>
        <v>-</v>
      </c>
      <c r="EG248" s="742"/>
      <c r="EH248" s="742"/>
      <c r="EI248" s="743"/>
      <c r="EJ248" s="744" t="str">
        <f t="shared" si="79"/>
        <v>-</v>
      </c>
      <c r="EK248" s="739"/>
      <c r="EL248" s="739"/>
      <c r="EM248" s="740"/>
      <c r="EN248" s="744" t="str">
        <f t="shared" si="69"/>
        <v>-</v>
      </c>
      <c r="EO248" s="739"/>
      <c r="EP248" s="739"/>
      <c r="EQ248" s="740"/>
      <c r="ER248" s="744" t="str">
        <f>IF(DV248="","-",INDEX($A$5:$BP$257,MATCH(DV248,$BN$5:$BN$257,0),39)*(IF(DV248="","-",(1+(((-('Densidade do AR'!$M$4))+('Densidade do AR'!$T$15*1000000))/(IF(INDEX($A$5:$BP$257,MATCH(DV248,$BN$5:$BN$257,0),50)="Aço Inoxidável",('Densidade do AR'!$S$8*1000000),IF(INDEX($A$5:$BP$257,MATCH(DV248,$BN$5:$BN$257,0),50)="Ferro Fundido",('Densidade do AR'!$S$12*1000000),IF(INDEX($A$5:$BP$257,MATCH(DV248,$BN$5:$BN$257,0),50)="Latão",('Densidade do AR'!$S$10*1000000),IF(INDEX($A$5:$BP$257,MATCH(DV248,$BN$5:$BN$257,0),50)="Alumínio",('Densidade do AR'!$S$4*1000000)))))))-(((-('Densidade do AR'!$M$4))+('Densidade do AR'!$T$15*1000000))/('Densidade do AR'!$S$14*1000000))))))</f>
        <v>-</v>
      </c>
      <c r="ES248" s="739"/>
      <c r="ET248" s="739"/>
      <c r="EU248" s="745"/>
      <c r="EV248" s="91" t="str">
        <f t="shared" si="80"/>
        <v>-</v>
      </c>
      <c r="EW248" s="736"/>
      <c r="EX248" s="737"/>
      <c r="EY248" s="738" t="str">
        <f>IF(EW248="","-",(IF(INDEX($A$5:$BP$257,MATCH(EW248,$BN$5:$BN$257,0),50)="Aço Inoxidável",('Densidade do AR'!$S$8*1000000),IF(INDEX($A$5:$BP$257,MATCH(EW248,$BN$5:$BN$257,0),50)="Ferro Fundido",('Densidade do AR'!$S$12*1000000),IF(INDEX($A$5:$BP$257,MATCH(EW248,$BN$5:$BN$257,0),50)="Latão",('Densidade do AR'!$S$10*1000000),IF(INDEX($A$5:$BP$257,MATCH(EW248,$BN$5:$BN$257,0),50)="Alumínio",('Densidade do AR'!$S$4*1000000)))))))</f>
        <v>-</v>
      </c>
      <c r="EZ248" s="739"/>
      <c r="FA248" s="739"/>
      <c r="FB248" s="740"/>
      <c r="FC248" s="741" t="str">
        <f t="shared" si="81"/>
        <v>-</v>
      </c>
      <c r="FD248" s="742"/>
      <c r="FE248" s="742"/>
      <c r="FF248" s="743"/>
      <c r="FG248" s="741" t="str">
        <f t="shared" si="70"/>
        <v>-</v>
      </c>
      <c r="FH248" s="742"/>
      <c r="FI248" s="742"/>
      <c r="FJ248" s="743"/>
      <c r="FK248" s="744" t="str">
        <f t="shared" si="82"/>
        <v>-</v>
      </c>
      <c r="FL248" s="739"/>
      <c r="FM248" s="739"/>
      <c r="FN248" s="740"/>
      <c r="FO248" s="744" t="str">
        <f t="shared" si="71"/>
        <v>-</v>
      </c>
      <c r="FP248" s="739"/>
      <c r="FQ248" s="739"/>
      <c r="FR248" s="740"/>
      <c r="FS248" s="744" t="str">
        <f>IF(EW248="","-",INDEX($A$5:$BP$257,MATCH(EW248,$BN$5:$BN$257,0),39)*(IF(EW248="","-",(1+(((-('Densidade do AR'!$M$4))+('Densidade do AR'!$T$15*1000000))/(IF(INDEX($A$5:$BP$257,MATCH(EW248,$BN$5:$BN$257,0),50)="Aço Inoxidável",('Densidade do AR'!$S$8*1000000),IF(INDEX($A$5:$BP$257,MATCH(EW248,$BN$5:$BN$257,0),50)="Ferro Fundido",('Densidade do AR'!$S$12*1000000),IF(INDEX($A$5:$BP$257,MATCH(EW248,$BN$5:$BN$257,0),50)="Latão",('Densidade do AR'!$S$10*1000000),IF(INDEX($A$5:$BP$257,MATCH(EW248,$BN$5:$BN$257,0),50)="Alumínio",('Densidade do AR'!$S$4*1000000)))))))-(((-('Densidade do AR'!$M$4))+('Densidade do AR'!$T$15*1000000))/('Densidade do AR'!$S$14*1000000))))))</f>
        <v>-</v>
      </c>
      <c r="FT248" s="739"/>
      <c r="FU248" s="739"/>
      <c r="FV248" s="745"/>
      <c r="FW248" s="91" t="str">
        <f t="shared" si="83"/>
        <v>-</v>
      </c>
      <c r="FX248" s="135"/>
    </row>
    <row r="249" spans="1:180" x14ac:dyDescent="0.2">
      <c r="A249" s="717">
        <v>245</v>
      </c>
      <c r="B249" s="713"/>
      <c r="C249" s="708"/>
      <c r="D249" s="709"/>
      <c r="E249" s="709"/>
      <c r="F249" s="709"/>
      <c r="G249" s="710"/>
      <c r="H249" s="711"/>
      <c r="I249" s="712"/>
      <c r="J249" s="712"/>
      <c r="K249" s="713"/>
      <c r="L249" s="708"/>
      <c r="M249" s="709"/>
      <c r="N249" s="709"/>
      <c r="O249" s="709"/>
      <c r="P249" s="708"/>
      <c r="Q249" s="709"/>
      <c r="R249" s="709"/>
      <c r="S249" s="709"/>
      <c r="T249" s="710"/>
      <c r="U249" s="714"/>
      <c r="V249" s="715"/>
      <c r="W249" s="715"/>
      <c r="X249" s="715"/>
      <c r="Y249" s="715"/>
      <c r="Z249" s="715"/>
      <c r="AA249" s="716"/>
      <c r="AB249" s="850"/>
      <c r="AC249" s="851"/>
      <c r="AD249" s="851"/>
      <c r="AE249" s="851"/>
      <c r="AF249" s="851"/>
      <c r="AG249" s="851"/>
      <c r="AH249" s="851"/>
      <c r="AI249" s="851"/>
      <c r="AJ249" s="851"/>
      <c r="AK249" s="851"/>
      <c r="AL249" s="852"/>
      <c r="AM249" s="917"/>
      <c r="AN249" s="712"/>
      <c r="AO249" s="712"/>
      <c r="AP249" s="712"/>
      <c r="AQ249" s="712"/>
      <c r="AR249" s="712"/>
      <c r="AS249" s="713"/>
      <c r="AT249" s="917"/>
      <c r="AU249" s="712"/>
      <c r="AV249" s="712"/>
      <c r="AW249" s="713"/>
      <c r="AX249" s="917"/>
      <c r="AY249" s="712"/>
      <c r="AZ249" s="712"/>
      <c r="BA249" s="712"/>
      <c r="BB249" s="712"/>
      <c r="BC249" s="713"/>
      <c r="BD249" s="917"/>
      <c r="BE249" s="712"/>
      <c r="BF249" s="712"/>
      <c r="BG249" s="713"/>
      <c r="BH249" s="918"/>
      <c r="BI249" s="712"/>
      <c r="BJ249" s="712"/>
      <c r="BK249" s="712"/>
      <c r="BL249" s="910"/>
      <c r="BN249" s="878"/>
      <c r="BO249" s="709"/>
      <c r="BP249" s="884"/>
      <c r="BT249" s="746"/>
      <c r="BU249" s="747"/>
      <c r="BV249" s="784" t="str">
        <f>IF(BT249="","-",(IF(INDEX($A$5:$BP$257,MATCH(BT249,$BN$5:$BN$257,0),50)="Aço Inoxidável",('Densidade do AR'!$S$8*1000000),IF(INDEX($A$5:$BP$257,MATCH(BT249,$BN$5:$BN$257,0),50)="Ferro Fundido",('Densidade do AR'!$S$12*1000000),IF(INDEX($A$5:$BP$257,MATCH(BT249,$BN$5:$BN$257,0),50)="Latão",('Densidade do AR'!$S$10*1000000),IF(INDEX($A$5:$BP$257,MATCH(BT249,$BN$5:$BN$257,0),50)="Alumínio",('Densidade do AR'!$S$4*1000000)))))))</f>
        <v>-</v>
      </c>
      <c r="BW249" s="785"/>
      <c r="BX249" s="785"/>
      <c r="BY249" s="786"/>
      <c r="BZ249" s="787" t="str">
        <f t="shared" si="72"/>
        <v>-</v>
      </c>
      <c r="CA249" s="788"/>
      <c r="CB249" s="788"/>
      <c r="CC249" s="789"/>
      <c r="CD249" s="787" t="str">
        <f t="shared" si="64"/>
        <v>-</v>
      </c>
      <c r="CE249" s="788"/>
      <c r="CF249" s="788"/>
      <c r="CG249" s="789"/>
      <c r="CH249" s="790" t="str">
        <f t="shared" si="73"/>
        <v>-</v>
      </c>
      <c r="CI249" s="785"/>
      <c r="CJ249" s="785"/>
      <c r="CK249" s="786"/>
      <c r="CL249" s="790" t="str">
        <f t="shared" si="65"/>
        <v>-</v>
      </c>
      <c r="CM249" s="785"/>
      <c r="CN249" s="785"/>
      <c r="CO249" s="786"/>
      <c r="CP249" s="790" t="str">
        <f>IF(BT249="","-",INDEX($A$5:$BP$257,MATCH(BT249,$BN$5:$BN$257,0),39)*(IF(BT249="","-",(1+(((-('Densidade do AR'!$M$4))+('Densidade do AR'!$T$15*1000000))/(IF(INDEX($A$5:$BP$257,MATCH(BT249,$BN$5:$BN$257,0),50)="Aço Inoxidável",('Densidade do AR'!$S$8*1000000),IF(INDEX($A$5:$BP$257,MATCH(BT249,$BN$5:$BN$257,0),50)="Ferro Fundido",('Densidade do AR'!$S$12*1000000),IF(INDEX($A$5:$BP$257,MATCH(BT249,$BN$5:$BN$257,0),50)="Latão",('Densidade do AR'!$S$10*1000000),IF(INDEX($A$5:$BP$257,MATCH(BT249,$BN$5:$BN$257,0),50)="Alumínio",('Densidade do AR'!$S$4*1000000)))))))-(((-('Densidade do AR'!$M$4))+('Densidade do AR'!$T$15*1000000))/('Densidade do AR'!$S$14*1000000))))))</f>
        <v>-</v>
      </c>
      <c r="CQ249" s="785"/>
      <c r="CR249" s="785"/>
      <c r="CS249" s="791"/>
      <c r="CT249" s="91" t="str">
        <f t="shared" si="74"/>
        <v>-</v>
      </c>
      <c r="CU249" s="746"/>
      <c r="CV249" s="747"/>
      <c r="CW249" s="784" t="str">
        <f>IF(CU249="","-",(IF(INDEX($A$5:$BP$257,MATCH(CU249,$BN$5:$BN$257,0),50)="Aço Inoxidável",('Densidade do AR'!$S$8*1000000),IF(INDEX($A$5:$BP$257,MATCH(CU249,$BN$5:$BN$257,0),50)="Ferro Fundido",('Densidade do AR'!$S$12*1000000),IF(INDEX($A$5:$BP$257,MATCH(CU249,$BN$5:$BN$257,0),50)="Latão",('Densidade do AR'!$S$10*1000000),IF(INDEX($A$5:$BP$257,MATCH(CU249,$BN$5:$BN$257,0),50)="Alumínio",('Densidade do AR'!$S$4*1000000)))))))</f>
        <v>-</v>
      </c>
      <c r="CX249" s="785"/>
      <c r="CY249" s="785"/>
      <c r="CZ249" s="786"/>
      <c r="DA249" s="787" t="str">
        <f t="shared" si="75"/>
        <v>-</v>
      </c>
      <c r="DB249" s="788"/>
      <c r="DC249" s="788"/>
      <c r="DD249" s="789"/>
      <c r="DE249" s="787" t="str">
        <f t="shared" si="66"/>
        <v>-</v>
      </c>
      <c r="DF249" s="788"/>
      <c r="DG249" s="788"/>
      <c r="DH249" s="789"/>
      <c r="DI249" s="790" t="str">
        <f t="shared" si="76"/>
        <v>-</v>
      </c>
      <c r="DJ249" s="785"/>
      <c r="DK249" s="785"/>
      <c r="DL249" s="786"/>
      <c r="DM249" s="790" t="str">
        <f t="shared" si="67"/>
        <v>-</v>
      </c>
      <c r="DN249" s="785"/>
      <c r="DO249" s="785"/>
      <c r="DP249" s="786"/>
      <c r="DQ249" s="790" t="str">
        <f>IF(CU249="","-",INDEX($A$5:$BP$257,MATCH(CU249,$BN$5:$BN$257,0),39)*(IF(CU249="","-",(1+(((-('Densidade do AR'!$M$4))+('Densidade do AR'!$T$15*1000000))/(IF(INDEX($A$5:$BP$257,MATCH(CU249,$BN$5:$BN$257,0),50)="Aço Inoxidável",('Densidade do AR'!$S$8*1000000),IF(INDEX($A$5:$BP$257,MATCH(CU249,$BN$5:$BN$257,0),50)="Ferro Fundido",('Densidade do AR'!$S$12*1000000),IF(INDEX($A$5:$BP$257,MATCH(CU249,$BN$5:$BN$257,0),50)="Latão",('Densidade do AR'!$S$10*1000000),IF(INDEX($A$5:$BP$257,MATCH(CU249,$BN$5:$BN$257,0),50)="Alumínio",('Densidade do AR'!$S$4*1000000)))))))-(((-('Densidade do AR'!$M$4))+('Densidade do AR'!$T$15*1000000))/('Densidade do AR'!$S$14*1000000))))))</f>
        <v>-</v>
      </c>
      <c r="DR249" s="785"/>
      <c r="DS249" s="785"/>
      <c r="DT249" s="791"/>
      <c r="DU249" s="91" t="str">
        <f t="shared" si="77"/>
        <v>-</v>
      </c>
      <c r="DV249" s="746"/>
      <c r="DW249" s="747"/>
      <c r="DX249" s="784" t="str">
        <f>IF(DV249="","-",(IF(INDEX($A$5:$BP$257,MATCH(DV249,$BN$5:$BN$257,0),50)="Aço Inoxidável",('Densidade do AR'!$S$8*1000000),IF(INDEX($A$5:$BP$257,MATCH(DV249,$BN$5:$BN$257,0),50)="Ferro Fundido",('Densidade do AR'!$S$12*1000000),IF(INDEX($A$5:$BP$257,MATCH(DV249,$BN$5:$BN$257,0),50)="Latão",('Densidade do AR'!$S$10*1000000),IF(INDEX($A$5:$BP$257,MATCH(DV249,$BN$5:$BN$257,0),50)="Alumínio",('Densidade do AR'!$S$4*1000000)))))))</f>
        <v>-</v>
      </c>
      <c r="DY249" s="785"/>
      <c r="DZ249" s="785"/>
      <c r="EA249" s="786"/>
      <c r="EB249" s="787" t="str">
        <f t="shared" si="78"/>
        <v>-</v>
      </c>
      <c r="EC249" s="788"/>
      <c r="ED249" s="788"/>
      <c r="EE249" s="789"/>
      <c r="EF249" s="787" t="str">
        <f t="shared" si="68"/>
        <v>-</v>
      </c>
      <c r="EG249" s="788"/>
      <c r="EH249" s="788"/>
      <c r="EI249" s="789"/>
      <c r="EJ249" s="790" t="str">
        <f t="shared" si="79"/>
        <v>-</v>
      </c>
      <c r="EK249" s="785"/>
      <c r="EL249" s="785"/>
      <c r="EM249" s="786"/>
      <c r="EN249" s="790" t="str">
        <f t="shared" si="69"/>
        <v>-</v>
      </c>
      <c r="EO249" s="785"/>
      <c r="EP249" s="785"/>
      <c r="EQ249" s="786"/>
      <c r="ER249" s="790" t="str">
        <f>IF(DV249="","-",INDEX($A$5:$BP$257,MATCH(DV249,$BN$5:$BN$257,0),39)*(IF(DV249="","-",(1+(((-('Densidade do AR'!$M$4))+('Densidade do AR'!$T$15*1000000))/(IF(INDEX($A$5:$BP$257,MATCH(DV249,$BN$5:$BN$257,0),50)="Aço Inoxidável",('Densidade do AR'!$S$8*1000000),IF(INDEX($A$5:$BP$257,MATCH(DV249,$BN$5:$BN$257,0),50)="Ferro Fundido",('Densidade do AR'!$S$12*1000000),IF(INDEX($A$5:$BP$257,MATCH(DV249,$BN$5:$BN$257,0),50)="Latão",('Densidade do AR'!$S$10*1000000),IF(INDEX($A$5:$BP$257,MATCH(DV249,$BN$5:$BN$257,0),50)="Alumínio",('Densidade do AR'!$S$4*1000000)))))))-(((-('Densidade do AR'!$M$4))+('Densidade do AR'!$T$15*1000000))/('Densidade do AR'!$S$14*1000000))))))</f>
        <v>-</v>
      </c>
      <c r="ES249" s="785"/>
      <c r="ET249" s="785"/>
      <c r="EU249" s="791"/>
      <c r="EV249" s="91" t="str">
        <f t="shared" si="80"/>
        <v>-</v>
      </c>
      <c r="EW249" s="746"/>
      <c r="EX249" s="747"/>
      <c r="EY249" s="784" t="str">
        <f>IF(EW249="","-",(IF(INDEX($A$5:$BP$257,MATCH(EW249,$BN$5:$BN$257,0),50)="Aço Inoxidável",('Densidade do AR'!$S$8*1000000),IF(INDEX($A$5:$BP$257,MATCH(EW249,$BN$5:$BN$257,0),50)="Ferro Fundido",('Densidade do AR'!$S$12*1000000),IF(INDEX($A$5:$BP$257,MATCH(EW249,$BN$5:$BN$257,0),50)="Latão",('Densidade do AR'!$S$10*1000000),IF(INDEX($A$5:$BP$257,MATCH(EW249,$BN$5:$BN$257,0),50)="Alumínio",('Densidade do AR'!$S$4*1000000)))))))</f>
        <v>-</v>
      </c>
      <c r="EZ249" s="785"/>
      <c r="FA249" s="785"/>
      <c r="FB249" s="786"/>
      <c r="FC249" s="787" t="str">
        <f t="shared" si="81"/>
        <v>-</v>
      </c>
      <c r="FD249" s="788"/>
      <c r="FE249" s="788"/>
      <c r="FF249" s="789"/>
      <c r="FG249" s="787" t="str">
        <f t="shared" si="70"/>
        <v>-</v>
      </c>
      <c r="FH249" s="788"/>
      <c r="FI249" s="788"/>
      <c r="FJ249" s="789"/>
      <c r="FK249" s="790" t="str">
        <f t="shared" si="82"/>
        <v>-</v>
      </c>
      <c r="FL249" s="785"/>
      <c r="FM249" s="785"/>
      <c r="FN249" s="786"/>
      <c r="FO249" s="790" t="str">
        <f t="shared" si="71"/>
        <v>-</v>
      </c>
      <c r="FP249" s="785"/>
      <c r="FQ249" s="785"/>
      <c r="FR249" s="786"/>
      <c r="FS249" s="790" t="str">
        <f>IF(EW249="","-",INDEX($A$5:$BP$257,MATCH(EW249,$BN$5:$BN$257,0),39)*(IF(EW249="","-",(1+(((-('Densidade do AR'!$M$4))+('Densidade do AR'!$T$15*1000000))/(IF(INDEX($A$5:$BP$257,MATCH(EW249,$BN$5:$BN$257,0),50)="Aço Inoxidável",('Densidade do AR'!$S$8*1000000),IF(INDEX($A$5:$BP$257,MATCH(EW249,$BN$5:$BN$257,0),50)="Ferro Fundido",('Densidade do AR'!$S$12*1000000),IF(INDEX($A$5:$BP$257,MATCH(EW249,$BN$5:$BN$257,0),50)="Latão",('Densidade do AR'!$S$10*1000000),IF(INDEX($A$5:$BP$257,MATCH(EW249,$BN$5:$BN$257,0),50)="Alumínio",('Densidade do AR'!$S$4*1000000)))))))-(((-('Densidade do AR'!$M$4))+('Densidade do AR'!$T$15*1000000))/('Densidade do AR'!$S$14*1000000))))))</f>
        <v>-</v>
      </c>
      <c r="FT249" s="785"/>
      <c r="FU249" s="785"/>
      <c r="FV249" s="791"/>
      <c r="FW249" s="91" t="str">
        <f t="shared" si="83"/>
        <v>-</v>
      </c>
      <c r="FX249" s="135"/>
    </row>
    <row r="250" spans="1:180" x14ac:dyDescent="0.2">
      <c r="A250" s="718">
        <v>246</v>
      </c>
      <c r="B250" s="713"/>
      <c r="C250" s="719"/>
      <c r="D250" s="709"/>
      <c r="E250" s="709"/>
      <c r="F250" s="709"/>
      <c r="G250" s="710"/>
      <c r="H250" s="720"/>
      <c r="I250" s="712"/>
      <c r="J250" s="712"/>
      <c r="K250" s="713"/>
      <c r="L250" s="719"/>
      <c r="M250" s="709"/>
      <c r="N250" s="709"/>
      <c r="O250" s="709"/>
      <c r="P250" s="719"/>
      <c r="Q250" s="709"/>
      <c r="R250" s="709"/>
      <c r="S250" s="709"/>
      <c r="T250" s="710"/>
      <c r="U250" s="721"/>
      <c r="V250" s="722"/>
      <c r="W250" s="722"/>
      <c r="X250" s="722"/>
      <c r="Y250" s="722"/>
      <c r="Z250" s="722"/>
      <c r="AA250" s="723"/>
      <c r="AB250" s="853"/>
      <c r="AC250" s="854"/>
      <c r="AD250" s="854"/>
      <c r="AE250" s="854"/>
      <c r="AF250" s="854"/>
      <c r="AG250" s="854"/>
      <c r="AH250" s="854"/>
      <c r="AI250" s="854"/>
      <c r="AJ250" s="854"/>
      <c r="AK250" s="854"/>
      <c r="AL250" s="855"/>
      <c r="AM250" s="909"/>
      <c r="AN250" s="712"/>
      <c r="AO250" s="712"/>
      <c r="AP250" s="712"/>
      <c r="AQ250" s="712"/>
      <c r="AR250" s="712"/>
      <c r="AS250" s="713"/>
      <c r="AT250" s="909"/>
      <c r="AU250" s="712"/>
      <c r="AV250" s="712"/>
      <c r="AW250" s="713"/>
      <c r="AX250" s="908"/>
      <c r="AY250" s="712"/>
      <c r="AZ250" s="712"/>
      <c r="BA250" s="712"/>
      <c r="BB250" s="712"/>
      <c r="BC250" s="713"/>
      <c r="BD250" s="909"/>
      <c r="BE250" s="712"/>
      <c r="BF250" s="712"/>
      <c r="BG250" s="713"/>
      <c r="BH250" s="908"/>
      <c r="BI250" s="712"/>
      <c r="BJ250" s="712"/>
      <c r="BK250" s="712"/>
      <c r="BL250" s="910"/>
      <c r="BN250" s="881"/>
      <c r="BO250" s="709"/>
      <c r="BP250" s="884"/>
      <c r="BT250" s="736"/>
      <c r="BU250" s="737"/>
      <c r="BV250" s="738" t="str">
        <f>IF(BT250="","-",(IF(INDEX($A$5:$BP$257,MATCH(BT250,$BN$5:$BN$257,0),50)="Aço Inoxidável",('Densidade do AR'!$S$8*1000000),IF(INDEX($A$5:$BP$257,MATCH(BT250,$BN$5:$BN$257,0),50)="Ferro Fundido",('Densidade do AR'!$S$12*1000000),IF(INDEX($A$5:$BP$257,MATCH(BT250,$BN$5:$BN$257,0),50)="Latão",('Densidade do AR'!$S$10*1000000),IF(INDEX($A$5:$BP$257,MATCH(BT250,$BN$5:$BN$257,0),50)="Alumínio",('Densidade do AR'!$S$4*1000000)))))))</f>
        <v>-</v>
      </c>
      <c r="BW250" s="739"/>
      <c r="BX250" s="739"/>
      <c r="BY250" s="740"/>
      <c r="BZ250" s="741" t="str">
        <f t="shared" si="72"/>
        <v>-</v>
      </c>
      <c r="CA250" s="742"/>
      <c r="CB250" s="742"/>
      <c r="CC250" s="743"/>
      <c r="CD250" s="741" t="str">
        <f t="shared" si="64"/>
        <v>-</v>
      </c>
      <c r="CE250" s="742"/>
      <c r="CF250" s="742"/>
      <c r="CG250" s="743"/>
      <c r="CH250" s="744" t="str">
        <f t="shared" si="73"/>
        <v>-</v>
      </c>
      <c r="CI250" s="739"/>
      <c r="CJ250" s="739"/>
      <c r="CK250" s="740"/>
      <c r="CL250" s="744" t="str">
        <f t="shared" si="65"/>
        <v>-</v>
      </c>
      <c r="CM250" s="739"/>
      <c r="CN250" s="739"/>
      <c r="CO250" s="740"/>
      <c r="CP250" s="744" t="str">
        <f>IF(BT250="","-",INDEX($A$5:$BP$257,MATCH(BT250,$BN$5:$BN$257,0),39)*(IF(BT250="","-",(1+(((-('Densidade do AR'!$M$4))+('Densidade do AR'!$T$15*1000000))/(IF(INDEX($A$5:$BP$257,MATCH(BT250,$BN$5:$BN$257,0),50)="Aço Inoxidável",('Densidade do AR'!$S$8*1000000),IF(INDEX($A$5:$BP$257,MATCH(BT250,$BN$5:$BN$257,0),50)="Ferro Fundido",('Densidade do AR'!$S$12*1000000),IF(INDEX($A$5:$BP$257,MATCH(BT250,$BN$5:$BN$257,0),50)="Latão",('Densidade do AR'!$S$10*1000000),IF(INDEX($A$5:$BP$257,MATCH(BT250,$BN$5:$BN$257,0),50)="Alumínio",('Densidade do AR'!$S$4*1000000)))))))-(((-('Densidade do AR'!$M$4))+('Densidade do AR'!$T$15*1000000))/('Densidade do AR'!$S$14*1000000))))))</f>
        <v>-</v>
      </c>
      <c r="CQ250" s="739"/>
      <c r="CR250" s="739"/>
      <c r="CS250" s="745"/>
      <c r="CT250" s="91" t="str">
        <f t="shared" si="74"/>
        <v>-</v>
      </c>
      <c r="CU250" s="736"/>
      <c r="CV250" s="737"/>
      <c r="CW250" s="738" t="str">
        <f>IF(CU250="","-",(IF(INDEX($A$5:$BP$257,MATCH(CU250,$BN$5:$BN$257,0),50)="Aço Inoxidável",('Densidade do AR'!$S$8*1000000),IF(INDEX($A$5:$BP$257,MATCH(CU250,$BN$5:$BN$257,0),50)="Ferro Fundido",('Densidade do AR'!$S$12*1000000),IF(INDEX($A$5:$BP$257,MATCH(CU250,$BN$5:$BN$257,0),50)="Latão",('Densidade do AR'!$S$10*1000000),IF(INDEX($A$5:$BP$257,MATCH(CU250,$BN$5:$BN$257,0),50)="Alumínio",('Densidade do AR'!$S$4*1000000)))))))</f>
        <v>-</v>
      </c>
      <c r="CX250" s="739"/>
      <c r="CY250" s="739"/>
      <c r="CZ250" s="740"/>
      <c r="DA250" s="741" t="str">
        <f t="shared" si="75"/>
        <v>-</v>
      </c>
      <c r="DB250" s="742"/>
      <c r="DC250" s="742"/>
      <c r="DD250" s="743"/>
      <c r="DE250" s="741" t="str">
        <f t="shared" si="66"/>
        <v>-</v>
      </c>
      <c r="DF250" s="742"/>
      <c r="DG250" s="742"/>
      <c r="DH250" s="743"/>
      <c r="DI250" s="744" t="str">
        <f t="shared" si="76"/>
        <v>-</v>
      </c>
      <c r="DJ250" s="739"/>
      <c r="DK250" s="739"/>
      <c r="DL250" s="740"/>
      <c r="DM250" s="744" t="str">
        <f t="shared" si="67"/>
        <v>-</v>
      </c>
      <c r="DN250" s="739"/>
      <c r="DO250" s="739"/>
      <c r="DP250" s="740"/>
      <c r="DQ250" s="744" t="str">
        <f>IF(CU250="","-",INDEX($A$5:$BP$257,MATCH(CU250,$BN$5:$BN$257,0),39)*(IF(CU250="","-",(1+(((-('Densidade do AR'!$M$4))+('Densidade do AR'!$T$15*1000000))/(IF(INDEX($A$5:$BP$257,MATCH(CU250,$BN$5:$BN$257,0),50)="Aço Inoxidável",('Densidade do AR'!$S$8*1000000),IF(INDEX($A$5:$BP$257,MATCH(CU250,$BN$5:$BN$257,0),50)="Ferro Fundido",('Densidade do AR'!$S$12*1000000),IF(INDEX($A$5:$BP$257,MATCH(CU250,$BN$5:$BN$257,0),50)="Latão",('Densidade do AR'!$S$10*1000000),IF(INDEX($A$5:$BP$257,MATCH(CU250,$BN$5:$BN$257,0),50)="Alumínio",('Densidade do AR'!$S$4*1000000)))))))-(((-('Densidade do AR'!$M$4))+('Densidade do AR'!$T$15*1000000))/('Densidade do AR'!$S$14*1000000))))))</f>
        <v>-</v>
      </c>
      <c r="DR250" s="739"/>
      <c r="DS250" s="739"/>
      <c r="DT250" s="745"/>
      <c r="DU250" s="91" t="str">
        <f t="shared" si="77"/>
        <v>-</v>
      </c>
      <c r="DV250" s="736"/>
      <c r="DW250" s="737"/>
      <c r="DX250" s="738" t="str">
        <f>IF(DV250="","-",(IF(INDEX($A$5:$BP$257,MATCH(DV250,$BN$5:$BN$257,0),50)="Aço Inoxidável",('Densidade do AR'!$S$8*1000000),IF(INDEX($A$5:$BP$257,MATCH(DV250,$BN$5:$BN$257,0),50)="Ferro Fundido",('Densidade do AR'!$S$12*1000000),IF(INDEX($A$5:$BP$257,MATCH(DV250,$BN$5:$BN$257,0),50)="Latão",('Densidade do AR'!$S$10*1000000),IF(INDEX($A$5:$BP$257,MATCH(DV250,$BN$5:$BN$257,0),50)="Alumínio",('Densidade do AR'!$S$4*1000000)))))))</f>
        <v>-</v>
      </c>
      <c r="DY250" s="739"/>
      <c r="DZ250" s="739"/>
      <c r="EA250" s="740"/>
      <c r="EB250" s="741" t="str">
        <f t="shared" si="78"/>
        <v>-</v>
      </c>
      <c r="EC250" s="742"/>
      <c r="ED250" s="742"/>
      <c r="EE250" s="743"/>
      <c r="EF250" s="741" t="str">
        <f t="shared" si="68"/>
        <v>-</v>
      </c>
      <c r="EG250" s="742"/>
      <c r="EH250" s="742"/>
      <c r="EI250" s="743"/>
      <c r="EJ250" s="744" t="str">
        <f t="shared" si="79"/>
        <v>-</v>
      </c>
      <c r="EK250" s="739"/>
      <c r="EL250" s="739"/>
      <c r="EM250" s="740"/>
      <c r="EN250" s="744" t="str">
        <f t="shared" si="69"/>
        <v>-</v>
      </c>
      <c r="EO250" s="739"/>
      <c r="EP250" s="739"/>
      <c r="EQ250" s="740"/>
      <c r="ER250" s="744" t="str">
        <f>IF(DV250="","-",INDEX($A$5:$BP$257,MATCH(DV250,$BN$5:$BN$257,0),39)*(IF(DV250="","-",(1+(((-('Densidade do AR'!$M$4))+('Densidade do AR'!$T$15*1000000))/(IF(INDEX($A$5:$BP$257,MATCH(DV250,$BN$5:$BN$257,0),50)="Aço Inoxidável",('Densidade do AR'!$S$8*1000000),IF(INDEX($A$5:$BP$257,MATCH(DV250,$BN$5:$BN$257,0),50)="Ferro Fundido",('Densidade do AR'!$S$12*1000000),IF(INDEX($A$5:$BP$257,MATCH(DV250,$BN$5:$BN$257,0),50)="Latão",('Densidade do AR'!$S$10*1000000),IF(INDEX($A$5:$BP$257,MATCH(DV250,$BN$5:$BN$257,0),50)="Alumínio",('Densidade do AR'!$S$4*1000000)))))))-(((-('Densidade do AR'!$M$4))+('Densidade do AR'!$T$15*1000000))/('Densidade do AR'!$S$14*1000000))))))</f>
        <v>-</v>
      </c>
      <c r="ES250" s="739"/>
      <c r="ET250" s="739"/>
      <c r="EU250" s="745"/>
      <c r="EV250" s="91" t="str">
        <f t="shared" si="80"/>
        <v>-</v>
      </c>
      <c r="EW250" s="736"/>
      <c r="EX250" s="737"/>
      <c r="EY250" s="738" t="str">
        <f>IF(EW250="","-",(IF(INDEX($A$5:$BP$257,MATCH(EW250,$BN$5:$BN$257,0),50)="Aço Inoxidável",('Densidade do AR'!$S$8*1000000),IF(INDEX($A$5:$BP$257,MATCH(EW250,$BN$5:$BN$257,0),50)="Ferro Fundido",('Densidade do AR'!$S$12*1000000),IF(INDEX($A$5:$BP$257,MATCH(EW250,$BN$5:$BN$257,0),50)="Latão",('Densidade do AR'!$S$10*1000000),IF(INDEX($A$5:$BP$257,MATCH(EW250,$BN$5:$BN$257,0),50)="Alumínio",('Densidade do AR'!$S$4*1000000)))))))</f>
        <v>-</v>
      </c>
      <c r="EZ250" s="739"/>
      <c r="FA250" s="739"/>
      <c r="FB250" s="740"/>
      <c r="FC250" s="741" t="str">
        <f t="shared" si="81"/>
        <v>-</v>
      </c>
      <c r="FD250" s="742"/>
      <c r="FE250" s="742"/>
      <c r="FF250" s="743"/>
      <c r="FG250" s="741" t="str">
        <f t="shared" si="70"/>
        <v>-</v>
      </c>
      <c r="FH250" s="742"/>
      <c r="FI250" s="742"/>
      <c r="FJ250" s="743"/>
      <c r="FK250" s="744" t="str">
        <f t="shared" si="82"/>
        <v>-</v>
      </c>
      <c r="FL250" s="739"/>
      <c r="FM250" s="739"/>
      <c r="FN250" s="740"/>
      <c r="FO250" s="744" t="str">
        <f t="shared" si="71"/>
        <v>-</v>
      </c>
      <c r="FP250" s="739"/>
      <c r="FQ250" s="739"/>
      <c r="FR250" s="740"/>
      <c r="FS250" s="744" t="str">
        <f>IF(EW250="","-",INDEX($A$5:$BP$257,MATCH(EW250,$BN$5:$BN$257,0),39)*(IF(EW250="","-",(1+(((-('Densidade do AR'!$M$4))+('Densidade do AR'!$T$15*1000000))/(IF(INDEX($A$5:$BP$257,MATCH(EW250,$BN$5:$BN$257,0),50)="Aço Inoxidável",('Densidade do AR'!$S$8*1000000),IF(INDEX($A$5:$BP$257,MATCH(EW250,$BN$5:$BN$257,0),50)="Ferro Fundido",('Densidade do AR'!$S$12*1000000),IF(INDEX($A$5:$BP$257,MATCH(EW250,$BN$5:$BN$257,0),50)="Latão",('Densidade do AR'!$S$10*1000000),IF(INDEX($A$5:$BP$257,MATCH(EW250,$BN$5:$BN$257,0),50)="Alumínio",('Densidade do AR'!$S$4*1000000)))))))-(((-('Densidade do AR'!$M$4))+('Densidade do AR'!$T$15*1000000))/('Densidade do AR'!$S$14*1000000))))))</f>
        <v>-</v>
      </c>
      <c r="FT250" s="739"/>
      <c r="FU250" s="739"/>
      <c r="FV250" s="745"/>
      <c r="FW250" s="91" t="str">
        <f t="shared" si="83"/>
        <v>-</v>
      </c>
      <c r="FX250" s="135"/>
    </row>
    <row r="251" spans="1:180" x14ac:dyDescent="0.2">
      <c r="A251" s="717">
        <v>247</v>
      </c>
      <c r="B251" s="713"/>
      <c r="C251" s="708"/>
      <c r="D251" s="709"/>
      <c r="E251" s="709"/>
      <c r="F251" s="709"/>
      <c r="G251" s="710"/>
      <c r="H251" s="711"/>
      <c r="I251" s="712"/>
      <c r="J251" s="712"/>
      <c r="K251" s="713"/>
      <c r="L251" s="708"/>
      <c r="M251" s="709"/>
      <c r="N251" s="709"/>
      <c r="O251" s="709"/>
      <c r="P251" s="708"/>
      <c r="Q251" s="709"/>
      <c r="R251" s="709"/>
      <c r="S251" s="709"/>
      <c r="T251" s="710"/>
      <c r="U251" s="714"/>
      <c r="V251" s="715"/>
      <c r="W251" s="715"/>
      <c r="X251" s="715"/>
      <c r="Y251" s="715"/>
      <c r="Z251" s="715"/>
      <c r="AA251" s="716"/>
      <c r="AB251" s="850"/>
      <c r="AC251" s="851"/>
      <c r="AD251" s="851"/>
      <c r="AE251" s="851"/>
      <c r="AF251" s="851"/>
      <c r="AG251" s="851"/>
      <c r="AH251" s="851"/>
      <c r="AI251" s="851"/>
      <c r="AJ251" s="851"/>
      <c r="AK251" s="851"/>
      <c r="AL251" s="852"/>
      <c r="AM251" s="917"/>
      <c r="AN251" s="712"/>
      <c r="AO251" s="712"/>
      <c r="AP251" s="712"/>
      <c r="AQ251" s="712"/>
      <c r="AR251" s="712"/>
      <c r="AS251" s="713"/>
      <c r="AT251" s="917"/>
      <c r="AU251" s="712"/>
      <c r="AV251" s="712"/>
      <c r="AW251" s="713"/>
      <c r="AX251" s="917"/>
      <c r="AY251" s="712"/>
      <c r="AZ251" s="712"/>
      <c r="BA251" s="712"/>
      <c r="BB251" s="712"/>
      <c r="BC251" s="713"/>
      <c r="BD251" s="917"/>
      <c r="BE251" s="712"/>
      <c r="BF251" s="712"/>
      <c r="BG251" s="713"/>
      <c r="BH251" s="918"/>
      <c r="BI251" s="712"/>
      <c r="BJ251" s="712"/>
      <c r="BK251" s="712"/>
      <c r="BL251" s="910"/>
      <c r="BN251" s="878"/>
      <c r="BO251" s="709"/>
      <c r="BP251" s="884"/>
      <c r="BT251" s="746"/>
      <c r="BU251" s="747"/>
      <c r="BV251" s="784" t="str">
        <f>IF(BT251="","-",(IF(INDEX($A$5:$BP$257,MATCH(BT251,$BN$5:$BN$257,0),50)="Aço Inoxidável",('Densidade do AR'!$S$8*1000000),IF(INDEX($A$5:$BP$257,MATCH(BT251,$BN$5:$BN$257,0),50)="Ferro Fundido",('Densidade do AR'!$S$12*1000000),IF(INDEX($A$5:$BP$257,MATCH(BT251,$BN$5:$BN$257,0),50)="Latão",('Densidade do AR'!$S$10*1000000),IF(INDEX($A$5:$BP$257,MATCH(BT251,$BN$5:$BN$257,0),50)="Alumínio",('Densidade do AR'!$S$4*1000000)))))))</f>
        <v>-</v>
      </c>
      <c r="BW251" s="785"/>
      <c r="BX251" s="785"/>
      <c r="BY251" s="786"/>
      <c r="BZ251" s="787" t="str">
        <f t="shared" si="72"/>
        <v>-</v>
      </c>
      <c r="CA251" s="788"/>
      <c r="CB251" s="788"/>
      <c r="CC251" s="789"/>
      <c r="CD251" s="787" t="str">
        <f t="shared" si="64"/>
        <v>-</v>
      </c>
      <c r="CE251" s="788"/>
      <c r="CF251" s="788"/>
      <c r="CG251" s="789"/>
      <c r="CH251" s="790" t="str">
        <f t="shared" si="73"/>
        <v>-</v>
      </c>
      <c r="CI251" s="785"/>
      <c r="CJ251" s="785"/>
      <c r="CK251" s="786"/>
      <c r="CL251" s="790" t="str">
        <f t="shared" si="65"/>
        <v>-</v>
      </c>
      <c r="CM251" s="785"/>
      <c r="CN251" s="785"/>
      <c r="CO251" s="786"/>
      <c r="CP251" s="790" t="str">
        <f>IF(BT251="","-",INDEX($A$5:$BP$257,MATCH(BT251,$BN$5:$BN$257,0),39)*(IF(BT251="","-",(1+(((-('Densidade do AR'!$M$4))+('Densidade do AR'!$T$15*1000000))/(IF(INDEX($A$5:$BP$257,MATCH(BT251,$BN$5:$BN$257,0),50)="Aço Inoxidável",('Densidade do AR'!$S$8*1000000),IF(INDEX($A$5:$BP$257,MATCH(BT251,$BN$5:$BN$257,0),50)="Ferro Fundido",('Densidade do AR'!$S$12*1000000),IF(INDEX($A$5:$BP$257,MATCH(BT251,$BN$5:$BN$257,0),50)="Latão",('Densidade do AR'!$S$10*1000000),IF(INDEX($A$5:$BP$257,MATCH(BT251,$BN$5:$BN$257,0),50)="Alumínio",('Densidade do AR'!$S$4*1000000)))))))-(((-('Densidade do AR'!$M$4))+('Densidade do AR'!$T$15*1000000))/('Densidade do AR'!$S$14*1000000))))))</f>
        <v>-</v>
      </c>
      <c r="CQ251" s="785"/>
      <c r="CR251" s="785"/>
      <c r="CS251" s="791"/>
      <c r="CT251" s="91" t="str">
        <f t="shared" si="74"/>
        <v>-</v>
      </c>
      <c r="CU251" s="746"/>
      <c r="CV251" s="747"/>
      <c r="CW251" s="784" t="str">
        <f>IF(CU251="","-",(IF(INDEX($A$5:$BP$257,MATCH(CU251,$BN$5:$BN$257,0),50)="Aço Inoxidável",('Densidade do AR'!$S$8*1000000),IF(INDEX($A$5:$BP$257,MATCH(CU251,$BN$5:$BN$257,0),50)="Ferro Fundido",('Densidade do AR'!$S$12*1000000),IF(INDEX($A$5:$BP$257,MATCH(CU251,$BN$5:$BN$257,0),50)="Latão",('Densidade do AR'!$S$10*1000000),IF(INDEX($A$5:$BP$257,MATCH(CU251,$BN$5:$BN$257,0),50)="Alumínio",('Densidade do AR'!$S$4*1000000)))))))</f>
        <v>-</v>
      </c>
      <c r="CX251" s="785"/>
      <c r="CY251" s="785"/>
      <c r="CZ251" s="786"/>
      <c r="DA251" s="787" t="str">
        <f t="shared" si="75"/>
        <v>-</v>
      </c>
      <c r="DB251" s="788"/>
      <c r="DC251" s="788"/>
      <c r="DD251" s="789"/>
      <c r="DE251" s="787" t="str">
        <f t="shared" si="66"/>
        <v>-</v>
      </c>
      <c r="DF251" s="788"/>
      <c r="DG251" s="788"/>
      <c r="DH251" s="789"/>
      <c r="DI251" s="790" t="str">
        <f t="shared" si="76"/>
        <v>-</v>
      </c>
      <c r="DJ251" s="785"/>
      <c r="DK251" s="785"/>
      <c r="DL251" s="786"/>
      <c r="DM251" s="790" t="str">
        <f t="shared" si="67"/>
        <v>-</v>
      </c>
      <c r="DN251" s="785"/>
      <c r="DO251" s="785"/>
      <c r="DP251" s="786"/>
      <c r="DQ251" s="790" t="str">
        <f>IF(CU251="","-",INDEX($A$5:$BP$257,MATCH(CU251,$BN$5:$BN$257,0),39)*(IF(CU251="","-",(1+(((-('Densidade do AR'!$M$4))+('Densidade do AR'!$T$15*1000000))/(IF(INDEX($A$5:$BP$257,MATCH(CU251,$BN$5:$BN$257,0),50)="Aço Inoxidável",('Densidade do AR'!$S$8*1000000),IF(INDEX($A$5:$BP$257,MATCH(CU251,$BN$5:$BN$257,0),50)="Ferro Fundido",('Densidade do AR'!$S$12*1000000),IF(INDEX($A$5:$BP$257,MATCH(CU251,$BN$5:$BN$257,0),50)="Latão",('Densidade do AR'!$S$10*1000000),IF(INDEX($A$5:$BP$257,MATCH(CU251,$BN$5:$BN$257,0),50)="Alumínio",('Densidade do AR'!$S$4*1000000)))))))-(((-('Densidade do AR'!$M$4))+('Densidade do AR'!$T$15*1000000))/('Densidade do AR'!$S$14*1000000))))))</f>
        <v>-</v>
      </c>
      <c r="DR251" s="785"/>
      <c r="DS251" s="785"/>
      <c r="DT251" s="791"/>
      <c r="DU251" s="91" t="str">
        <f t="shared" si="77"/>
        <v>-</v>
      </c>
      <c r="DV251" s="746"/>
      <c r="DW251" s="747"/>
      <c r="DX251" s="784" t="str">
        <f>IF(DV251="","-",(IF(INDEX($A$5:$BP$257,MATCH(DV251,$BN$5:$BN$257,0),50)="Aço Inoxidável",('Densidade do AR'!$S$8*1000000),IF(INDEX($A$5:$BP$257,MATCH(DV251,$BN$5:$BN$257,0),50)="Ferro Fundido",('Densidade do AR'!$S$12*1000000),IF(INDEX($A$5:$BP$257,MATCH(DV251,$BN$5:$BN$257,0),50)="Latão",('Densidade do AR'!$S$10*1000000),IF(INDEX($A$5:$BP$257,MATCH(DV251,$BN$5:$BN$257,0),50)="Alumínio",('Densidade do AR'!$S$4*1000000)))))))</f>
        <v>-</v>
      </c>
      <c r="DY251" s="785"/>
      <c r="DZ251" s="785"/>
      <c r="EA251" s="786"/>
      <c r="EB251" s="787" t="str">
        <f t="shared" si="78"/>
        <v>-</v>
      </c>
      <c r="EC251" s="788"/>
      <c r="ED251" s="788"/>
      <c r="EE251" s="789"/>
      <c r="EF251" s="787" t="str">
        <f t="shared" si="68"/>
        <v>-</v>
      </c>
      <c r="EG251" s="788"/>
      <c r="EH251" s="788"/>
      <c r="EI251" s="789"/>
      <c r="EJ251" s="790" t="str">
        <f t="shared" si="79"/>
        <v>-</v>
      </c>
      <c r="EK251" s="785"/>
      <c r="EL251" s="785"/>
      <c r="EM251" s="786"/>
      <c r="EN251" s="790" t="str">
        <f t="shared" si="69"/>
        <v>-</v>
      </c>
      <c r="EO251" s="785"/>
      <c r="EP251" s="785"/>
      <c r="EQ251" s="786"/>
      <c r="ER251" s="790" t="str">
        <f>IF(DV251="","-",INDEX($A$5:$BP$257,MATCH(DV251,$BN$5:$BN$257,0),39)*(IF(DV251="","-",(1+(((-('Densidade do AR'!$M$4))+('Densidade do AR'!$T$15*1000000))/(IF(INDEX($A$5:$BP$257,MATCH(DV251,$BN$5:$BN$257,0),50)="Aço Inoxidável",('Densidade do AR'!$S$8*1000000),IF(INDEX($A$5:$BP$257,MATCH(DV251,$BN$5:$BN$257,0),50)="Ferro Fundido",('Densidade do AR'!$S$12*1000000),IF(INDEX($A$5:$BP$257,MATCH(DV251,$BN$5:$BN$257,0),50)="Latão",('Densidade do AR'!$S$10*1000000),IF(INDEX($A$5:$BP$257,MATCH(DV251,$BN$5:$BN$257,0),50)="Alumínio",('Densidade do AR'!$S$4*1000000)))))))-(((-('Densidade do AR'!$M$4))+('Densidade do AR'!$T$15*1000000))/('Densidade do AR'!$S$14*1000000))))))</f>
        <v>-</v>
      </c>
      <c r="ES251" s="785"/>
      <c r="ET251" s="785"/>
      <c r="EU251" s="791"/>
      <c r="EV251" s="91" t="str">
        <f t="shared" si="80"/>
        <v>-</v>
      </c>
      <c r="EW251" s="746"/>
      <c r="EX251" s="747"/>
      <c r="EY251" s="784" t="str">
        <f>IF(EW251="","-",(IF(INDEX($A$5:$BP$257,MATCH(EW251,$BN$5:$BN$257,0),50)="Aço Inoxidável",('Densidade do AR'!$S$8*1000000),IF(INDEX($A$5:$BP$257,MATCH(EW251,$BN$5:$BN$257,0),50)="Ferro Fundido",('Densidade do AR'!$S$12*1000000),IF(INDEX($A$5:$BP$257,MATCH(EW251,$BN$5:$BN$257,0),50)="Latão",('Densidade do AR'!$S$10*1000000),IF(INDEX($A$5:$BP$257,MATCH(EW251,$BN$5:$BN$257,0),50)="Alumínio",('Densidade do AR'!$S$4*1000000)))))))</f>
        <v>-</v>
      </c>
      <c r="EZ251" s="785"/>
      <c r="FA251" s="785"/>
      <c r="FB251" s="786"/>
      <c r="FC251" s="787" t="str">
        <f t="shared" si="81"/>
        <v>-</v>
      </c>
      <c r="FD251" s="788"/>
      <c r="FE251" s="788"/>
      <c r="FF251" s="789"/>
      <c r="FG251" s="787" t="str">
        <f t="shared" si="70"/>
        <v>-</v>
      </c>
      <c r="FH251" s="788"/>
      <c r="FI251" s="788"/>
      <c r="FJ251" s="789"/>
      <c r="FK251" s="790" t="str">
        <f t="shared" si="82"/>
        <v>-</v>
      </c>
      <c r="FL251" s="785"/>
      <c r="FM251" s="785"/>
      <c r="FN251" s="786"/>
      <c r="FO251" s="790" t="str">
        <f t="shared" si="71"/>
        <v>-</v>
      </c>
      <c r="FP251" s="785"/>
      <c r="FQ251" s="785"/>
      <c r="FR251" s="786"/>
      <c r="FS251" s="790" t="str">
        <f>IF(EW251="","-",INDEX($A$5:$BP$257,MATCH(EW251,$BN$5:$BN$257,0),39)*(IF(EW251="","-",(1+(((-('Densidade do AR'!$M$4))+('Densidade do AR'!$T$15*1000000))/(IF(INDEX($A$5:$BP$257,MATCH(EW251,$BN$5:$BN$257,0),50)="Aço Inoxidável",('Densidade do AR'!$S$8*1000000),IF(INDEX($A$5:$BP$257,MATCH(EW251,$BN$5:$BN$257,0),50)="Ferro Fundido",('Densidade do AR'!$S$12*1000000),IF(INDEX($A$5:$BP$257,MATCH(EW251,$BN$5:$BN$257,0),50)="Latão",('Densidade do AR'!$S$10*1000000),IF(INDEX($A$5:$BP$257,MATCH(EW251,$BN$5:$BN$257,0),50)="Alumínio",('Densidade do AR'!$S$4*1000000)))))))-(((-('Densidade do AR'!$M$4))+('Densidade do AR'!$T$15*1000000))/('Densidade do AR'!$S$14*1000000))))))</f>
        <v>-</v>
      </c>
      <c r="FT251" s="785"/>
      <c r="FU251" s="785"/>
      <c r="FV251" s="791"/>
      <c r="FW251" s="91" t="str">
        <f t="shared" si="83"/>
        <v>-</v>
      </c>
      <c r="FX251" s="135"/>
    </row>
    <row r="252" spans="1:180" x14ac:dyDescent="0.2">
      <c r="A252" s="718">
        <v>248</v>
      </c>
      <c r="B252" s="713"/>
      <c r="C252" s="719"/>
      <c r="D252" s="709"/>
      <c r="E252" s="709"/>
      <c r="F252" s="709"/>
      <c r="G252" s="710"/>
      <c r="H252" s="720"/>
      <c r="I252" s="712"/>
      <c r="J252" s="712"/>
      <c r="K252" s="713"/>
      <c r="L252" s="719"/>
      <c r="M252" s="709"/>
      <c r="N252" s="709"/>
      <c r="O252" s="709"/>
      <c r="P252" s="719"/>
      <c r="Q252" s="709"/>
      <c r="R252" s="709"/>
      <c r="S252" s="709"/>
      <c r="T252" s="710"/>
      <c r="U252" s="721"/>
      <c r="V252" s="722"/>
      <c r="W252" s="722"/>
      <c r="X252" s="722"/>
      <c r="Y252" s="722"/>
      <c r="Z252" s="722"/>
      <c r="AA252" s="723"/>
      <c r="AB252" s="853"/>
      <c r="AC252" s="854"/>
      <c r="AD252" s="854"/>
      <c r="AE252" s="854"/>
      <c r="AF252" s="854"/>
      <c r="AG252" s="854"/>
      <c r="AH252" s="854"/>
      <c r="AI252" s="854"/>
      <c r="AJ252" s="854"/>
      <c r="AK252" s="854"/>
      <c r="AL252" s="855"/>
      <c r="AM252" s="909"/>
      <c r="AN252" s="712"/>
      <c r="AO252" s="712"/>
      <c r="AP252" s="712"/>
      <c r="AQ252" s="712"/>
      <c r="AR252" s="712"/>
      <c r="AS252" s="713"/>
      <c r="AT252" s="909"/>
      <c r="AU252" s="712"/>
      <c r="AV252" s="712"/>
      <c r="AW252" s="713"/>
      <c r="AX252" s="908"/>
      <c r="AY252" s="712"/>
      <c r="AZ252" s="712"/>
      <c r="BA252" s="712"/>
      <c r="BB252" s="712"/>
      <c r="BC252" s="713"/>
      <c r="BD252" s="909"/>
      <c r="BE252" s="712"/>
      <c r="BF252" s="712"/>
      <c r="BG252" s="713"/>
      <c r="BH252" s="908"/>
      <c r="BI252" s="712"/>
      <c r="BJ252" s="712"/>
      <c r="BK252" s="712"/>
      <c r="BL252" s="910"/>
      <c r="BN252" s="881"/>
      <c r="BO252" s="709"/>
      <c r="BP252" s="884"/>
      <c r="BT252" s="736"/>
      <c r="BU252" s="737"/>
      <c r="BV252" s="738" t="str">
        <f>IF(BT252="","-",(IF(INDEX($A$5:$BP$257,MATCH(BT252,$BN$5:$BN$257,0),50)="Aço Inoxidável",('Densidade do AR'!$S$8*1000000),IF(INDEX($A$5:$BP$257,MATCH(BT252,$BN$5:$BN$257,0),50)="Ferro Fundido",('Densidade do AR'!$S$12*1000000),IF(INDEX($A$5:$BP$257,MATCH(BT252,$BN$5:$BN$257,0),50)="Latão",('Densidade do AR'!$S$10*1000000),IF(INDEX($A$5:$BP$257,MATCH(BT252,$BN$5:$BN$257,0),50)="Alumínio",('Densidade do AR'!$S$4*1000000)))))))</f>
        <v>-</v>
      </c>
      <c r="BW252" s="739"/>
      <c r="BX252" s="739"/>
      <c r="BY252" s="740"/>
      <c r="BZ252" s="741" t="str">
        <f t="shared" si="72"/>
        <v>-</v>
      </c>
      <c r="CA252" s="742"/>
      <c r="CB252" s="742"/>
      <c r="CC252" s="743"/>
      <c r="CD252" s="741" t="str">
        <f t="shared" si="64"/>
        <v>-</v>
      </c>
      <c r="CE252" s="742"/>
      <c r="CF252" s="742"/>
      <c r="CG252" s="743"/>
      <c r="CH252" s="744" t="str">
        <f t="shared" si="73"/>
        <v>-</v>
      </c>
      <c r="CI252" s="739"/>
      <c r="CJ252" s="739"/>
      <c r="CK252" s="740"/>
      <c r="CL252" s="744" t="str">
        <f t="shared" si="65"/>
        <v>-</v>
      </c>
      <c r="CM252" s="739"/>
      <c r="CN252" s="739"/>
      <c r="CO252" s="740"/>
      <c r="CP252" s="744" t="str">
        <f>IF(BT252="","-",INDEX($A$5:$BP$257,MATCH(BT252,$BN$5:$BN$257,0),39)*(IF(BT252="","-",(1+(((-('Densidade do AR'!$M$4))+('Densidade do AR'!$T$15*1000000))/(IF(INDEX($A$5:$BP$257,MATCH(BT252,$BN$5:$BN$257,0),50)="Aço Inoxidável",('Densidade do AR'!$S$8*1000000),IF(INDEX($A$5:$BP$257,MATCH(BT252,$BN$5:$BN$257,0),50)="Ferro Fundido",('Densidade do AR'!$S$12*1000000),IF(INDEX($A$5:$BP$257,MATCH(BT252,$BN$5:$BN$257,0),50)="Latão",('Densidade do AR'!$S$10*1000000),IF(INDEX($A$5:$BP$257,MATCH(BT252,$BN$5:$BN$257,0),50)="Alumínio",('Densidade do AR'!$S$4*1000000)))))))-(((-('Densidade do AR'!$M$4))+('Densidade do AR'!$T$15*1000000))/('Densidade do AR'!$S$14*1000000))))))</f>
        <v>-</v>
      </c>
      <c r="CQ252" s="739"/>
      <c r="CR252" s="739"/>
      <c r="CS252" s="745"/>
      <c r="CT252" s="91" t="str">
        <f t="shared" si="74"/>
        <v>-</v>
      </c>
      <c r="CU252" s="736"/>
      <c r="CV252" s="737"/>
      <c r="CW252" s="738" t="str">
        <f>IF(CU252="","-",(IF(INDEX($A$5:$BP$257,MATCH(CU252,$BN$5:$BN$257,0),50)="Aço Inoxidável",('Densidade do AR'!$S$8*1000000),IF(INDEX($A$5:$BP$257,MATCH(CU252,$BN$5:$BN$257,0),50)="Ferro Fundido",('Densidade do AR'!$S$12*1000000),IF(INDEX($A$5:$BP$257,MATCH(CU252,$BN$5:$BN$257,0),50)="Latão",('Densidade do AR'!$S$10*1000000),IF(INDEX($A$5:$BP$257,MATCH(CU252,$BN$5:$BN$257,0),50)="Alumínio",('Densidade do AR'!$S$4*1000000)))))))</f>
        <v>-</v>
      </c>
      <c r="CX252" s="739"/>
      <c r="CY252" s="739"/>
      <c r="CZ252" s="740"/>
      <c r="DA252" s="741" t="str">
        <f t="shared" si="75"/>
        <v>-</v>
      </c>
      <c r="DB252" s="742"/>
      <c r="DC252" s="742"/>
      <c r="DD252" s="743"/>
      <c r="DE252" s="741" t="str">
        <f t="shared" si="66"/>
        <v>-</v>
      </c>
      <c r="DF252" s="742"/>
      <c r="DG252" s="742"/>
      <c r="DH252" s="743"/>
      <c r="DI252" s="744" t="str">
        <f t="shared" si="76"/>
        <v>-</v>
      </c>
      <c r="DJ252" s="739"/>
      <c r="DK252" s="739"/>
      <c r="DL252" s="740"/>
      <c r="DM252" s="744" t="str">
        <f t="shared" si="67"/>
        <v>-</v>
      </c>
      <c r="DN252" s="739"/>
      <c r="DO252" s="739"/>
      <c r="DP252" s="740"/>
      <c r="DQ252" s="744" t="str">
        <f>IF(CU252="","-",INDEX($A$5:$BP$257,MATCH(CU252,$BN$5:$BN$257,0),39)*(IF(CU252="","-",(1+(((-('Densidade do AR'!$M$4))+('Densidade do AR'!$T$15*1000000))/(IF(INDEX($A$5:$BP$257,MATCH(CU252,$BN$5:$BN$257,0),50)="Aço Inoxidável",('Densidade do AR'!$S$8*1000000),IF(INDEX($A$5:$BP$257,MATCH(CU252,$BN$5:$BN$257,0),50)="Ferro Fundido",('Densidade do AR'!$S$12*1000000),IF(INDEX($A$5:$BP$257,MATCH(CU252,$BN$5:$BN$257,0),50)="Latão",('Densidade do AR'!$S$10*1000000),IF(INDEX($A$5:$BP$257,MATCH(CU252,$BN$5:$BN$257,0),50)="Alumínio",('Densidade do AR'!$S$4*1000000)))))))-(((-('Densidade do AR'!$M$4))+('Densidade do AR'!$T$15*1000000))/('Densidade do AR'!$S$14*1000000))))))</f>
        <v>-</v>
      </c>
      <c r="DR252" s="739"/>
      <c r="DS252" s="739"/>
      <c r="DT252" s="745"/>
      <c r="DU252" s="91" t="str">
        <f t="shared" si="77"/>
        <v>-</v>
      </c>
      <c r="DV252" s="736"/>
      <c r="DW252" s="737"/>
      <c r="DX252" s="738" t="str">
        <f>IF(DV252="","-",(IF(INDEX($A$5:$BP$257,MATCH(DV252,$BN$5:$BN$257,0),50)="Aço Inoxidável",('Densidade do AR'!$S$8*1000000),IF(INDEX($A$5:$BP$257,MATCH(DV252,$BN$5:$BN$257,0),50)="Ferro Fundido",('Densidade do AR'!$S$12*1000000),IF(INDEX($A$5:$BP$257,MATCH(DV252,$BN$5:$BN$257,0),50)="Latão",('Densidade do AR'!$S$10*1000000),IF(INDEX($A$5:$BP$257,MATCH(DV252,$BN$5:$BN$257,0),50)="Alumínio",('Densidade do AR'!$S$4*1000000)))))))</f>
        <v>-</v>
      </c>
      <c r="DY252" s="739"/>
      <c r="DZ252" s="739"/>
      <c r="EA252" s="740"/>
      <c r="EB252" s="741" t="str">
        <f t="shared" si="78"/>
        <v>-</v>
      </c>
      <c r="EC252" s="742"/>
      <c r="ED252" s="742"/>
      <c r="EE252" s="743"/>
      <c r="EF252" s="741" t="str">
        <f t="shared" si="68"/>
        <v>-</v>
      </c>
      <c r="EG252" s="742"/>
      <c r="EH252" s="742"/>
      <c r="EI252" s="743"/>
      <c r="EJ252" s="744" t="str">
        <f t="shared" si="79"/>
        <v>-</v>
      </c>
      <c r="EK252" s="739"/>
      <c r="EL252" s="739"/>
      <c r="EM252" s="740"/>
      <c r="EN252" s="744" t="str">
        <f t="shared" si="69"/>
        <v>-</v>
      </c>
      <c r="EO252" s="739"/>
      <c r="EP252" s="739"/>
      <c r="EQ252" s="740"/>
      <c r="ER252" s="744" t="str">
        <f>IF(DV252="","-",INDEX($A$5:$BP$257,MATCH(DV252,$BN$5:$BN$257,0),39)*(IF(DV252="","-",(1+(((-('Densidade do AR'!$M$4))+('Densidade do AR'!$T$15*1000000))/(IF(INDEX($A$5:$BP$257,MATCH(DV252,$BN$5:$BN$257,0),50)="Aço Inoxidável",('Densidade do AR'!$S$8*1000000),IF(INDEX($A$5:$BP$257,MATCH(DV252,$BN$5:$BN$257,0),50)="Ferro Fundido",('Densidade do AR'!$S$12*1000000),IF(INDEX($A$5:$BP$257,MATCH(DV252,$BN$5:$BN$257,0),50)="Latão",('Densidade do AR'!$S$10*1000000),IF(INDEX($A$5:$BP$257,MATCH(DV252,$BN$5:$BN$257,0),50)="Alumínio",('Densidade do AR'!$S$4*1000000)))))))-(((-('Densidade do AR'!$M$4))+('Densidade do AR'!$T$15*1000000))/('Densidade do AR'!$S$14*1000000))))))</f>
        <v>-</v>
      </c>
      <c r="ES252" s="739"/>
      <c r="ET252" s="739"/>
      <c r="EU252" s="745"/>
      <c r="EV252" s="91" t="str">
        <f t="shared" si="80"/>
        <v>-</v>
      </c>
      <c r="EW252" s="736"/>
      <c r="EX252" s="737"/>
      <c r="EY252" s="738" t="str">
        <f>IF(EW252="","-",(IF(INDEX($A$5:$BP$257,MATCH(EW252,$BN$5:$BN$257,0),50)="Aço Inoxidável",('Densidade do AR'!$S$8*1000000),IF(INDEX($A$5:$BP$257,MATCH(EW252,$BN$5:$BN$257,0),50)="Ferro Fundido",('Densidade do AR'!$S$12*1000000),IF(INDEX($A$5:$BP$257,MATCH(EW252,$BN$5:$BN$257,0),50)="Latão",('Densidade do AR'!$S$10*1000000),IF(INDEX($A$5:$BP$257,MATCH(EW252,$BN$5:$BN$257,0),50)="Alumínio",('Densidade do AR'!$S$4*1000000)))))))</f>
        <v>-</v>
      </c>
      <c r="EZ252" s="739"/>
      <c r="FA252" s="739"/>
      <c r="FB252" s="740"/>
      <c r="FC252" s="741" t="str">
        <f t="shared" si="81"/>
        <v>-</v>
      </c>
      <c r="FD252" s="742"/>
      <c r="FE252" s="742"/>
      <c r="FF252" s="743"/>
      <c r="FG252" s="741" t="str">
        <f t="shared" si="70"/>
        <v>-</v>
      </c>
      <c r="FH252" s="742"/>
      <c r="FI252" s="742"/>
      <c r="FJ252" s="743"/>
      <c r="FK252" s="744" t="str">
        <f t="shared" si="82"/>
        <v>-</v>
      </c>
      <c r="FL252" s="739"/>
      <c r="FM252" s="739"/>
      <c r="FN252" s="740"/>
      <c r="FO252" s="744" t="str">
        <f t="shared" si="71"/>
        <v>-</v>
      </c>
      <c r="FP252" s="739"/>
      <c r="FQ252" s="739"/>
      <c r="FR252" s="740"/>
      <c r="FS252" s="744" t="str">
        <f>IF(EW252="","-",INDEX($A$5:$BP$257,MATCH(EW252,$BN$5:$BN$257,0),39)*(IF(EW252="","-",(1+(((-('Densidade do AR'!$M$4))+('Densidade do AR'!$T$15*1000000))/(IF(INDEX($A$5:$BP$257,MATCH(EW252,$BN$5:$BN$257,0),50)="Aço Inoxidável",('Densidade do AR'!$S$8*1000000),IF(INDEX($A$5:$BP$257,MATCH(EW252,$BN$5:$BN$257,0),50)="Ferro Fundido",('Densidade do AR'!$S$12*1000000),IF(INDEX($A$5:$BP$257,MATCH(EW252,$BN$5:$BN$257,0),50)="Latão",('Densidade do AR'!$S$10*1000000),IF(INDEX($A$5:$BP$257,MATCH(EW252,$BN$5:$BN$257,0),50)="Alumínio",('Densidade do AR'!$S$4*1000000)))))))-(((-('Densidade do AR'!$M$4))+('Densidade do AR'!$T$15*1000000))/('Densidade do AR'!$S$14*1000000))))))</f>
        <v>-</v>
      </c>
      <c r="FT252" s="739"/>
      <c r="FU252" s="739"/>
      <c r="FV252" s="745"/>
      <c r="FW252" s="91" t="str">
        <f t="shared" si="83"/>
        <v>-</v>
      </c>
      <c r="FX252" s="135"/>
    </row>
    <row r="253" spans="1:180" x14ac:dyDescent="0.2">
      <c r="A253" s="717">
        <v>249</v>
      </c>
      <c r="B253" s="713"/>
      <c r="C253" s="708"/>
      <c r="D253" s="709"/>
      <c r="E253" s="709"/>
      <c r="F253" s="709"/>
      <c r="G253" s="710"/>
      <c r="H253" s="711"/>
      <c r="I253" s="712"/>
      <c r="J253" s="712"/>
      <c r="K253" s="713"/>
      <c r="L253" s="708"/>
      <c r="M253" s="709"/>
      <c r="N253" s="709"/>
      <c r="O253" s="709"/>
      <c r="P253" s="708"/>
      <c r="Q253" s="709"/>
      <c r="R253" s="709"/>
      <c r="S253" s="709"/>
      <c r="T253" s="710"/>
      <c r="U253" s="714"/>
      <c r="V253" s="715"/>
      <c r="W253" s="715"/>
      <c r="X253" s="715"/>
      <c r="Y253" s="715"/>
      <c r="Z253" s="715"/>
      <c r="AA253" s="716"/>
      <c r="AB253" s="850"/>
      <c r="AC253" s="851"/>
      <c r="AD253" s="851"/>
      <c r="AE253" s="851"/>
      <c r="AF253" s="851"/>
      <c r="AG253" s="851"/>
      <c r="AH253" s="851"/>
      <c r="AI253" s="851"/>
      <c r="AJ253" s="851"/>
      <c r="AK253" s="851"/>
      <c r="AL253" s="852"/>
      <c r="AM253" s="917"/>
      <c r="AN253" s="712"/>
      <c r="AO253" s="712"/>
      <c r="AP253" s="712"/>
      <c r="AQ253" s="712"/>
      <c r="AR253" s="712"/>
      <c r="AS253" s="713"/>
      <c r="AT253" s="917"/>
      <c r="AU253" s="712"/>
      <c r="AV253" s="712"/>
      <c r="AW253" s="713"/>
      <c r="AX253" s="917"/>
      <c r="AY253" s="712"/>
      <c r="AZ253" s="712"/>
      <c r="BA253" s="712"/>
      <c r="BB253" s="712"/>
      <c r="BC253" s="713"/>
      <c r="BD253" s="917"/>
      <c r="BE253" s="712"/>
      <c r="BF253" s="712"/>
      <c r="BG253" s="713"/>
      <c r="BH253" s="918"/>
      <c r="BI253" s="712"/>
      <c r="BJ253" s="712"/>
      <c r="BK253" s="712"/>
      <c r="BL253" s="910"/>
      <c r="BN253" s="878"/>
      <c r="BO253" s="709"/>
      <c r="BP253" s="884"/>
      <c r="BT253" s="746"/>
      <c r="BU253" s="747"/>
      <c r="BV253" s="784" t="str">
        <f>IF(BT253="","-",(IF(INDEX($A$5:$BP$257,MATCH(BT253,$BN$5:$BN$257,0),50)="Aço Inoxidável",('Densidade do AR'!$S$8*1000000),IF(INDEX($A$5:$BP$257,MATCH(BT253,$BN$5:$BN$257,0),50)="Ferro Fundido",('Densidade do AR'!$S$12*1000000),IF(INDEX($A$5:$BP$257,MATCH(BT253,$BN$5:$BN$257,0),50)="Latão",('Densidade do AR'!$S$10*1000000),IF(INDEX($A$5:$BP$257,MATCH(BT253,$BN$5:$BN$257,0),50)="Alumínio",('Densidade do AR'!$S$4*1000000)))))))</f>
        <v>-</v>
      </c>
      <c r="BW253" s="785"/>
      <c r="BX253" s="785"/>
      <c r="BY253" s="786"/>
      <c r="BZ253" s="787" t="str">
        <f t="shared" si="72"/>
        <v>-</v>
      </c>
      <c r="CA253" s="788"/>
      <c r="CB253" s="788"/>
      <c r="CC253" s="789"/>
      <c r="CD253" s="787" t="str">
        <f t="shared" si="64"/>
        <v>-</v>
      </c>
      <c r="CE253" s="788"/>
      <c r="CF253" s="788"/>
      <c r="CG253" s="789"/>
      <c r="CH253" s="790" t="str">
        <f t="shared" si="73"/>
        <v>-</v>
      </c>
      <c r="CI253" s="785"/>
      <c r="CJ253" s="785"/>
      <c r="CK253" s="786"/>
      <c r="CL253" s="790" t="str">
        <f t="shared" si="65"/>
        <v>-</v>
      </c>
      <c r="CM253" s="785"/>
      <c r="CN253" s="785"/>
      <c r="CO253" s="786"/>
      <c r="CP253" s="790" t="str">
        <f>IF(BT253="","-",INDEX($A$5:$BP$257,MATCH(BT253,$BN$5:$BN$257,0),39)*(IF(BT253="","-",(1+(((-('Densidade do AR'!$M$4))+('Densidade do AR'!$T$15*1000000))/(IF(INDEX($A$5:$BP$257,MATCH(BT253,$BN$5:$BN$257,0),50)="Aço Inoxidável",('Densidade do AR'!$S$8*1000000),IF(INDEX($A$5:$BP$257,MATCH(BT253,$BN$5:$BN$257,0),50)="Ferro Fundido",('Densidade do AR'!$S$12*1000000),IF(INDEX($A$5:$BP$257,MATCH(BT253,$BN$5:$BN$257,0),50)="Latão",('Densidade do AR'!$S$10*1000000),IF(INDEX($A$5:$BP$257,MATCH(BT253,$BN$5:$BN$257,0),50)="Alumínio",('Densidade do AR'!$S$4*1000000)))))))-(((-('Densidade do AR'!$M$4))+('Densidade do AR'!$T$15*1000000))/('Densidade do AR'!$S$14*1000000))))))</f>
        <v>-</v>
      </c>
      <c r="CQ253" s="785"/>
      <c r="CR253" s="785"/>
      <c r="CS253" s="791"/>
      <c r="CT253" s="91" t="str">
        <f t="shared" si="74"/>
        <v>-</v>
      </c>
      <c r="CU253" s="746"/>
      <c r="CV253" s="747"/>
      <c r="CW253" s="784" t="str">
        <f>IF(CU253="","-",(IF(INDEX($A$5:$BP$257,MATCH(CU253,$BN$5:$BN$257,0),50)="Aço Inoxidável",('Densidade do AR'!$S$8*1000000),IF(INDEX($A$5:$BP$257,MATCH(CU253,$BN$5:$BN$257,0),50)="Ferro Fundido",('Densidade do AR'!$S$12*1000000),IF(INDEX($A$5:$BP$257,MATCH(CU253,$BN$5:$BN$257,0),50)="Latão",('Densidade do AR'!$S$10*1000000),IF(INDEX($A$5:$BP$257,MATCH(CU253,$BN$5:$BN$257,0),50)="Alumínio",('Densidade do AR'!$S$4*1000000)))))))</f>
        <v>-</v>
      </c>
      <c r="CX253" s="785"/>
      <c r="CY253" s="785"/>
      <c r="CZ253" s="786"/>
      <c r="DA253" s="787" t="str">
        <f t="shared" si="75"/>
        <v>-</v>
      </c>
      <c r="DB253" s="788"/>
      <c r="DC253" s="788"/>
      <c r="DD253" s="789"/>
      <c r="DE253" s="787" t="str">
        <f t="shared" si="66"/>
        <v>-</v>
      </c>
      <c r="DF253" s="788"/>
      <c r="DG253" s="788"/>
      <c r="DH253" s="789"/>
      <c r="DI253" s="790" t="str">
        <f t="shared" si="76"/>
        <v>-</v>
      </c>
      <c r="DJ253" s="785"/>
      <c r="DK253" s="785"/>
      <c r="DL253" s="786"/>
      <c r="DM253" s="790" t="str">
        <f t="shared" si="67"/>
        <v>-</v>
      </c>
      <c r="DN253" s="785"/>
      <c r="DO253" s="785"/>
      <c r="DP253" s="786"/>
      <c r="DQ253" s="790" t="str">
        <f>IF(CU253="","-",INDEX($A$5:$BP$257,MATCH(CU253,$BN$5:$BN$257,0),39)*(IF(CU253="","-",(1+(((-('Densidade do AR'!$M$4))+('Densidade do AR'!$T$15*1000000))/(IF(INDEX($A$5:$BP$257,MATCH(CU253,$BN$5:$BN$257,0),50)="Aço Inoxidável",('Densidade do AR'!$S$8*1000000),IF(INDEX($A$5:$BP$257,MATCH(CU253,$BN$5:$BN$257,0),50)="Ferro Fundido",('Densidade do AR'!$S$12*1000000),IF(INDEX($A$5:$BP$257,MATCH(CU253,$BN$5:$BN$257,0),50)="Latão",('Densidade do AR'!$S$10*1000000),IF(INDEX($A$5:$BP$257,MATCH(CU253,$BN$5:$BN$257,0),50)="Alumínio",('Densidade do AR'!$S$4*1000000)))))))-(((-('Densidade do AR'!$M$4))+('Densidade do AR'!$T$15*1000000))/('Densidade do AR'!$S$14*1000000))))))</f>
        <v>-</v>
      </c>
      <c r="DR253" s="785"/>
      <c r="DS253" s="785"/>
      <c r="DT253" s="791"/>
      <c r="DU253" s="91" t="str">
        <f t="shared" si="77"/>
        <v>-</v>
      </c>
      <c r="DV253" s="746"/>
      <c r="DW253" s="747"/>
      <c r="DX253" s="784" t="str">
        <f>IF(DV253="","-",(IF(INDEX($A$5:$BP$257,MATCH(DV253,$BN$5:$BN$257,0),50)="Aço Inoxidável",('Densidade do AR'!$S$8*1000000),IF(INDEX($A$5:$BP$257,MATCH(DV253,$BN$5:$BN$257,0),50)="Ferro Fundido",('Densidade do AR'!$S$12*1000000),IF(INDEX($A$5:$BP$257,MATCH(DV253,$BN$5:$BN$257,0),50)="Latão",('Densidade do AR'!$S$10*1000000),IF(INDEX($A$5:$BP$257,MATCH(DV253,$BN$5:$BN$257,0),50)="Alumínio",('Densidade do AR'!$S$4*1000000)))))))</f>
        <v>-</v>
      </c>
      <c r="DY253" s="785"/>
      <c r="DZ253" s="785"/>
      <c r="EA253" s="786"/>
      <c r="EB253" s="787" t="str">
        <f t="shared" si="78"/>
        <v>-</v>
      </c>
      <c r="EC253" s="788"/>
      <c r="ED253" s="788"/>
      <c r="EE253" s="789"/>
      <c r="EF253" s="787" t="str">
        <f t="shared" si="68"/>
        <v>-</v>
      </c>
      <c r="EG253" s="788"/>
      <c r="EH253" s="788"/>
      <c r="EI253" s="789"/>
      <c r="EJ253" s="790" t="str">
        <f t="shared" si="79"/>
        <v>-</v>
      </c>
      <c r="EK253" s="785"/>
      <c r="EL253" s="785"/>
      <c r="EM253" s="786"/>
      <c r="EN253" s="790" t="str">
        <f t="shared" si="69"/>
        <v>-</v>
      </c>
      <c r="EO253" s="785"/>
      <c r="EP253" s="785"/>
      <c r="EQ253" s="786"/>
      <c r="ER253" s="790" t="str">
        <f>IF(DV253="","-",INDEX($A$5:$BP$257,MATCH(DV253,$BN$5:$BN$257,0),39)*(IF(DV253="","-",(1+(((-('Densidade do AR'!$M$4))+('Densidade do AR'!$T$15*1000000))/(IF(INDEX($A$5:$BP$257,MATCH(DV253,$BN$5:$BN$257,0),50)="Aço Inoxidável",('Densidade do AR'!$S$8*1000000),IF(INDEX($A$5:$BP$257,MATCH(DV253,$BN$5:$BN$257,0),50)="Ferro Fundido",('Densidade do AR'!$S$12*1000000),IF(INDEX($A$5:$BP$257,MATCH(DV253,$BN$5:$BN$257,0),50)="Latão",('Densidade do AR'!$S$10*1000000),IF(INDEX($A$5:$BP$257,MATCH(DV253,$BN$5:$BN$257,0),50)="Alumínio",('Densidade do AR'!$S$4*1000000)))))))-(((-('Densidade do AR'!$M$4))+('Densidade do AR'!$T$15*1000000))/('Densidade do AR'!$S$14*1000000))))))</f>
        <v>-</v>
      </c>
      <c r="ES253" s="785"/>
      <c r="ET253" s="785"/>
      <c r="EU253" s="791"/>
      <c r="EV253" s="91" t="str">
        <f t="shared" si="80"/>
        <v>-</v>
      </c>
      <c r="EW253" s="746"/>
      <c r="EX253" s="747"/>
      <c r="EY253" s="784" t="str">
        <f>IF(EW253="","-",(IF(INDEX($A$5:$BP$257,MATCH(EW253,$BN$5:$BN$257,0),50)="Aço Inoxidável",('Densidade do AR'!$S$8*1000000),IF(INDEX($A$5:$BP$257,MATCH(EW253,$BN$5:$BN$257,0),50)="Ferro Fundido",('Densidade do AR'!$S$12*1000000),IF(INDEX($A$5:$BP$257,MATCH(EW253,$BN$5:$BN$257,0),50)="Latão",('Densidade do AR'!$S$10*1000000),IF(INDEX($A$5:$BP$257,MATCH(EW253,$BN$5:$BN$257,0),50)="Alumínio",('Densidade do AR'!$S$4*1000000)))))))</f>
        <v>-</v>
      </c>
      <c r="EZ253" s="785"/>
      <c r="FA253" s="785"/>
      <c r="FB253" s="786"/>
      <c r="FC253" s="787" t="str">
        <f t="shared" si="81"/>
        <v>-</v>
      </c>
      <c r="FD253" s="788"/>
      <c r="FE253" s="788"/>
      <c r="FF253" s="789"/>
      <c r="FG253" s="787" t="str">
        <f t="shared" si="70"/>
        <v>-</v>
      </c>
      <c r="FH253" s="788"/>
      <c r="FI253" s="788"/>
      <c r="FJ253" s="789"/>
      <c r="FK253" s="790" t="str">
        <f t="shared" si="82"/>
        <v>-</v>
      </c>
      <c r="FL253" s="785"/>
      <c r="FM253" s="785"/>
      <c r="FN253" s="786"/>
      <c r="FO253" s="790" t="str">
        <f t="shared" si="71"/>
        <v>-</v>
      </c>
      <c r="FP253" s="785"/>
      <c r="FQ253" s="785"/>
      <c r="FR253" s="786"/>
      <c r="FS253" s="790" t="str">
        <f>IF(EW253="","-",INDEX($A$5:$BP$257,MATCH(EW253,$BN$5:$BN$257,0),39)*(IF(EW253="","-",(1+(((-('Densidade do AR'!$M$4))+('Densidade do AR'!$T$15*1000000))/(IF(INDEX($A$5:$BP$257,MATCH(EW253,$BN$5:$BN$257,0),50)="Aço Inoxidável",('Densidade do AR'!$S$8*1000000),IF(INDEX($A$5:$BP$257,MATCH(EW253,$BN$5:$BN$257,0),50)="Ferro Fundido",('Densidade do AR'!$S$12*1000000),IF(INDEX($A$5:$BP$257,MATCH(EW253,$BN$5:$BN$257,0),50)="Latão",('Densidade do AR'!$S$10*1000000),IF(INDEX($A$5:$BP$257,MATCH(EW253,$BN$5:$BN$257,0),50)="Alumínio",('Densidade do AR'!$S$4*1000000)))))))-(((-('Densidade do AR'!$M$4))+('Densidade do AR'!$T$15*1000000))/('Densidade do AR'!$S$14*1000000))))))</f>
        <v>-</v>
      </c>
      <c r="FT253" s="785"/>
      <c r="FU253" s="785"/>
      <c r="FV253" s="791"/>
      <c r="FW253" s="91" t="str">
        <f t="shared" si="83"/>
        <v>-</v>
      </c>
      <c r="FX253" s="135"/>
    </row>
    <row r="254" spans="1:180" x14ac:dyDescent="0.2">
      <c r="A254" s="718">
        <v>250</v>
      </c>
      <c r="B254" s="713"/>
      <c r="C254" s="719"/>
      <c r="D254" s="709"/>
      <c r="E254" s="709"/>
      <c r="F254" s="709"/>
      <c r="G254" s="710"/>
      <c r="H254" s="720"/>
      <c r="I254" s="712"/>
      <c r="J254" s="712"/>
      <c r="K254" s="713"/>
      <c r="L254" s="719"/>
      <c r="M254" s="709"/>
      <c r="N254" s="709"/>
      <c r="O254" s="709"/>
      <c r="P254" s="719"/>
      <c r="Q254" s="709"/>
      <c r="R254" s="709"/>
      <c r="S254" s="709"/>
      <c r="T254" s="710"/>
      <c r="U254" s="721"/>
      <c r="V254" s="722"/>
      <c r="W254" s="722"/>
      <c r="X254" s="722"/>
      <c r="Y254" s="722"/>
      <c r="Z254" s="722"/>
      <c r="AA254" s="723"/>
      <c r="AB254" s="853"/>
      <c r="AC254" s="854"/>
      <c r="AD254" s="854"/>
      <c r="AE254" s="854"/>
      <c r="AF254" s="854"/>
      <c r="AG254" s="854"/>
      <c r="AH254" s="854"/>
      <c r="AI254" s="854"/>
      <c r="AJ254" s="854"/>
      <c r="AK254" s="854"/>
      <c r="AL254" s="855"/>
      <c r="AM254" s="909"/>
      <c r="AN254" s="712"/>
      <c r="AO254" s="712"/>
      <c r="AP254" s="712"/>
      <c r="AQ254" s="712"/>
      <c r="AR254" s="712"/>
      <c r="AS254" s="713"/>
      <c r="AT254" s="909"/>
      <c r="AU254" s="712"/>
      <c r="AV254" s="712"/>
      <c r="AW254" s="713"/>
      <c r="AX254" s="908"/>
      <c r="AY254" s="712"/>
      <c r="AZ254" s="712"/>
      <c r="BA254" s="712"/>
      <c r="BB254" s="712"/>
      <c r="BC254" s="713"/>
      <c r="BD254" s="909"/>
      <c r="BE254" s="712"/>
      <c r="BF254" s="712"/>
      <c r="BG254" s="713"/>
      <c r="BH254" s="908"/>
      <c r="BI254" s="712"/>
      <c r="BJ254" s="712"/>
      <c r="BK254" s="712"/>
      <c r="BL254" s="910"/>
      <c r="BN254" s="881"/>
      <c r="BO254" s="709"/>
      <c r="BP254" s="884"/>
      <c r="BT254" s="736"/>
      <c r="BU254" s="737"/>
      <c r="BV254" s="738" t="str">
        <f>IF(BT254="","-",(IF(INDEX($A$5:$BP$257,MATCH(BT254,$BN$5:$BN$257,0),50)="Aço Inoxidável",('Densidade do AR'!$S$8*1000000),IF(INDEX($A$5:$BP$257,MATCH(BT254,$BN$5:$BN$257,0),50)="Ferro Fundido",('Densidade do AR'!$S$12*1000000),IF(INDEX($A$5:$BP$257,MATCH(BT254,$BN$5:$BN$257,0),50)="Latão",('Densidade do AR'!$S$10*1000000),IF(INDEX($A$5:$BP$257,MATCH(BT254,$BN$5:$BN$257,0),50)="Alumínio",('Densidade do AR'!$S$4*1000000)))))))</f>
        <v>-</v>
      </c>
      <c r="BW254" s="739"/>
      <c r="BX254" s="739"/>
      <c r="BY254" s="740"/>
      <c r="BZ254" s="741" t="str">
        <f t="shared" si="72"/>
        <v>-</v>
      </c>
      <c r="CA254" s="742"/>
      <c r="CB254" s="742"/>
      <c r="CC254" s="743"/>
      <c r="CD254" s="741" t="str">
        <f t="shared" si="64"/>
        <v>-</v>
      </c>
      <c r="CE254" s="742"/>
      <c r="CF254" s="742"/>
      <c r="CG254" s="743"/>
      <c r="CH254" s="744" t="str">
        <f t="shared" si="73"/>
        <v>-</v>
      </c>
      <c r="CI254" s="739"/>
      <c r="CJ254" s="739"/>
      <c r="CK254" s="740"/>
      <c r="CL254" s="744" t="str">
        <f t="shared" si="65"/>
        <v>-</v>
      </c>
      <c r="CM254" s="739"/>
      <c r="CN254" s="739"/>
      <c r="CO254" s="740"/>
      <c r="CP254" s="744" t="str">
        <f>IF(BT254="","-",INDEX($A$5:$BP$257,MATCH(BT254,$BN$5:$BN$257,0),39)*(IF(BT254="","-",(1+(((-('Densidade do AR'!$M$4))+('Densidade do AR'!$T$15*1000000))/(IF(INDEX($A$5:$BP$257,MATCH(BT254,$BN$5:$BN$257,0),50)="Aço Inoxidável",('Densidade do AR'!$S$8*1000000),IF(INDEX($A$5:$BP$257,MATCH(BT254,$BN$5:$BN$257,0),50)="Ferro Fundido",('Densidade do AR'!$S$12*1000000),IF(INDEX($A$5:$BP$257,MATCH(BT254,$BN$5:$BN$257,0),50)="Latão",('Densidade do AR'!$S$10*1000000),IF(INDEX($A$5:$BP$257,MATCH(BT254,$BN$5:$BN$257,0),50)="Alumínio",('Densidade do AR'!$S$4*1000000)))))))-(((-('Densidade do AR'!$M$4))+('Densidade do AR'!$T$15*1000000))/('Densidade do AR'!$S$14*1000000))))))</f>
        <v>-</v>
      </c>
      <c r="CQ254" s="739"/>
      <c r="CR254" s="739"/>
      <c r="CS254" s="745"/>
      <c r="CT254" s="91" t="str">
        <f t="shared" si="74"/>
        <v>-</v>
      </c>
      <c r="CU254" s="736"/>
      <c r="CV254" s="737"/>
      <c r="CW254" s="738" t="str">
        <f>IF(CU254="","-",(IF(INDEX($A$5:$BP$257,MATCH(CU254,$BN$5:$BN$257,0),50)="Aço Inoxidável",('Densidade do AR'!$S$8*1000000),IF(INDEX($A$5:$BP$257,MATCH(CU254,$BN$5:$BN$257,0),50)="Ferro Fundido",('Densidade do AR'!$S$12*1000000),IF(INDEX($A$5:$BP$257,MATCH(CU254,$BN$5:$BN$257,0),50)="Latão",('Densidade do AR'!$S$10*1000000),IF(INDEX($A$5:$BP$257,MATCH(CU254,$BN$5:$BN$257,0),50)="Alumínio",('Densidade do AR'!$S$4*1000000)))))))</f>
        <v>-</v>
      </c>
      <c r="CX254" s="739"/>
      <c r="CY254" s="739"/>
      <c r="CZ254" s="740"/>
      <c r="DA254" s="741" t="str">
        <f t="shared" si="75"/>
        <v>-</v>
      </c>
      <c r="DB254" s="742"/>
      <c r="DC254" s="742"/>
      <c r="DD254" s="743"/>
      <c r="DE254" s="741" t="str">
        <f t="shared" si="66"/>
        <v>-</v>
      </c>
      <c r="DF254" s="742"/>
      <c r="DG254" s="742"/>
      <c r="DH254" s="743"/>
      <c r="DI254" s="744" t="str">
        <f t="shared" si="76"/>
        <v>-</v>
      </c>
      <c r="DJ254" s="739"/>
      <c r="DK254" s="739"/>
      <c r="DL254" s="740"/>
      <c r="DM254" s="744" t="str">
        <f t="shared" si="67"/>
        <v>-</v>
      </c>
      <c r="DN254" s="739"/>
      <c r="DO254" s="739"/>
      <c r="DP254" s="740"/>
      <c r="DQ254" s="744" t="str">
        <f>IF(CU254="","-",INDEX($A$5:$BP$257,MATCH(CU254,$BN$5:$BN$257,0),39)*(IF(CU254="","-",(1+(((-('Densidade do AR'!$M$4))+('Densidade do AR'!$T$15*1000000))/(IF(INDEX($A$5:$BP$257,MATCH(CU254,$BN$5:$BN$257,0),50)="Aço Inoxidável",('Densidade do AR'!$S$8*1000000),IF(INDEX($A$5:$BP$257,MATCH(CU254,$BN$5:$BN$257,0),50)="Ferro Fundido",('Densidade do AR'!$S$12*1000000),IF(INDEX($A$5:$BP$257,MATCH(CU254,$BN$5:$BN$257,0),50)="Latão",('Densidade do AR'!$S$10*1000000),IF(INDEX($A$5:$BP$257,MATCH(CU254,$BN$5:$BN$257,0),50)="Alumínio",('Densidade do AR'!$S$4*1000000)))))))-(((-('Densidade do AR'!$M$4))+('Densidade do AR'!$T$15*1000000))/('Densidade do AR'!$S$14*1000000))))))</f>
        <v>-</v>
      </c>
      <c r="DR254" s="739"/>
      <c r="DS254" s="739"/>
      <c r="DT254" s="745"/>
      <c r="DU254" s="91" t="str">
        <f t="shared" si="77"/>
        <v>-</v>
      </c>
      <c r="DV254" s="736"/>
      <c r="DW254" s="737"/>
      <c r="DX254" s="738" t="str">
        <f>IF(DV254="","-",(IF(INDEX($A$5:$BP$257,MATCH(DV254,$BN$5:$BN$257,0),50)="Aço Inoxidável",('Densidade do AR'!$S$8*1000000),IF(INDEX($A$5:$BP$257,MATCH(DV254,$BN$5:$BN$257,0),50)="Ferro Fundido",('Densidade do AR'!$S$12*1000000),IF(INDEX($A$5:$BP$257,MATCH(DV254,$BN$5:$BN$257,0),50)="Latão",('Densidade do AR'!$S$10*1000000),IF(INDEX($A$5:$BP$257,MATCH(DV254,$BN$5:$BN$257,0),50)="Alumínio",('Densidade do AR'!$S$4*1000000)))))))</f>
        <v>-</v>
      </c>
      <c r="DY254" s="739"/>
      <c r="DZ254" s="739"/>
      <c r="EA254" s="740"/>
      <c r="EB254" s="741" t="str">
        <f t="shared" si="78"/>
        <v>-</v>
      </c>
      <c r="EC254" s="742"/>
      <c r="ED254" s="742"/>
      <c r="EE254" s="743"/>
      <c r="EF254" s="741" t="str">
        <f t="shared" si="68"/>
        <v>-</v>
      </c>
      <c r="EG254" s="742"/>
      <c r="EH254" s="742"/>
      <c r="EI254" s="743"/>
      <c r="EJ254" s="744" t="str">
        <f t="shared" si="79"/>
        <v>-</v>
      </c>
      <c r="EK254" s="739"/>
      <c r="EL254" s="739"/>
      <c r="EM254" s="740"/>
      <c r="EN254" s="744" t="str">
        <f t="shared" si="69"/>
        <v>-</v>
      </c>
      <c r="EO254" s="739"/>
      <c r="EP254" s="739"/>
      <c r="EQ254" s="740"/>
      <c r="ER254" s="744" t="str">
        <f>IF(DV254="","-",INDEX($A$5:$BP$257,MATCH(DV254,$BN$5:$BN$257,0),39)*(IF(DV254="","-",(1+(((-('Densidade do AR'!$M$4))+('Densidade do AR'!$T$15*1000000))/(IF(INDEX($A$5:$BP$257,MATCH(DV254,$BN$5:$BN$257,0),50)="Aço Inoxidável",('Densidade do AR'!$S$8*1000000),IF(INDEX($A$5:$BP$257,MATCH(DV254,$BN$5:$BN$257,0),50)="Ferro Fundido",('Densidade do AR'!$S$12*1000000),IF(INDEX($A$5:$BP$257,MATCH(DV254,$BN$5:$BN$257,0),50)="Latão",('Densidade do AR'!$S$10*1000000),IF(INDEX($A$5:$BP$257,MATCH(DV254,$BN$5:$BN$257,0),50)="Alumínio",('Densidade do AR'!$S$4*1000000)))))))-(((-('Densidade do AR'!$M$4))+('Densidade do AR'!$T$15*1000000))/('Densidade do AR'!$S$14*1000000))))))</f>
        <v>-</v>
      </c>
      <c r="ES254" s="739"/>
      <c r="ET254" s="739"/>
      <c r="EU254" s="745"/>
      <c r="EV254" s="91" t="str">
        <f t="shared" si="80"/>
        <v>-</v>
      </c>
      <c r="EW254" s="736"/>
      <c r="EX254" s="737"/>
      <c r="EY254" s="738" t="str">
        <f>IF(EW254="","-",(IF(INDEX($A$5:$BP$257,MATCH(EW254,$BN$5:$BN$257,0),50)="Aço Inoxidável",('Densidade do AR'!$S$8*1000000),IF(INDEX($A$5:$BP$257,MATCH(EW254,$BN$5:$BN$257,0),50)="Ferro Fundido",('Densidade do AR'!$S$12*1000000),IF(INDEX($A$5:$BP$257,MATCH(EW254,$BN$5:$BN$257,0),50)="Latão",('Densidade do AR'!$S$10*1000000),IF(INDEX($A$5:$BP$257,MATCH(EW254,$BN$5:$BN$257,0),50)="Alumínio",('Densidade do AR'!$S$4*1000000)))))))</f>
        <v>-</v>
      </c>
      <c r="EZ254" s="739"/>
      <c r="FA254" s="739"/>
      <c r="FB254" s="740"/>
      <c r="FC254" s="741" t="str">
        <f t="shared" si="81"/>
        <v>-</v>
      </c>
      <c r="FD254" s="742"/>
      <c r="FE254" s="742"/>
      <c r="FF254" s="743"/>
      <c r="FG254" s="741" t="str">
        <f t="shared" si="70"/>
        <v>-</v>
      </c>
      <c r="FH254" s="742"/>
      <c r="FI254" s="742"/>
      <c r="FJ254" s="743"/>
      <c r="FK254" s="744" t="str">
        <f t="shared" si="82"/>
        <v>-</v>
      </c>
      <c r="FL254" s="739"/>
      <c r="FM254" s="739"/>
      <c r="FN254" s="740"/>
      <c r="FO254" s="744" t="str">
        <f t="shared" si="71"/>
        <v>-</v>
      </c>
      <c r="FP254" s="739"/>
      <c r="FQ254" s="739"/>
      <c r="FR254" s="740"/>
      <c r="FS254" s="744" t="str">
        <f>IF(EW254="","-",INDEX($A$5:$BP$257,MATCH(EW254,$BN$5:$BN$257,0),39)*(IF(EW254="","-",(1+(((-('Densidade do AR'!$M$4))+('Densidade do AR'!$T$15*1000000))/(IF(INDEX($A$5:$BP$257,MATCH(EW254,$BN$5:$BN$257,0),50)="Aço Inoxidável",('Densidade do AR'!$S$8*1000000),IF(INDEX($A$5:$BP$257,MATCH(EW254,$BN$5:$BN$257,0),50)="Ferro Fundido",('Densidade do AR'!$S$12*1000000),IF(INDEX($A$5:$BP$257,MATCH(EW254,$BN$5:$BN$257,0),50)="Latão",('Densidade do AR'!$S$10*1000000),IF(INDEX($A$5:$BP$257,MATCH(EW254,$BN$5:$BN$257,0),50)="Alumínio",('Densidade do AR'!$S$4*1000000)))))))-(((-('Densidade do AR'!$M$4))+('Densidade do AR'!$T$15*1000000))/('Densidade do AR'!$S$14*1000000))))))</f>
        <v>-</v>
      </c>
      <c r="FT254" s="739"/>
      <c r="FU254" s="739"/>
      <c r="FV254" s="745"/>
      <c r="FW254" s="91" t="str">
        <f t="shared" si="83"/>
        <v>-</v>
      </c>
      <c r="FX254" s="135"/>
    </row>
    <row r="255" spans="1:180" x14ac:dyDescent="0.2">
      <c r="A255" s="717">
        <v>251</v>
      </c>
      <c r="B255" s="713"/>
      <c r="C255" s="708"/>
      <c r="D255" s="709"/>
      <c r="E255" s="709"/>
      <c r="F255" s="709"/>
      <c r="G255" s="710"/>
      <c r="H255" s="711"/>
      <c r="I255" s="712"/>
      <c r="J255" s="712"/>
      <c r="K255" s="713"/>
      <c r="L255" s="708"/>
      <c r="M255" s="709"/>
      <c r="N255" s="709"/>
      <c r="O255" s="709"/>
      <c r="P255" s="708"/>
      <c r="Q255" s="709"/>
      <c r="R255" s="709"/>
      <c r="S255" s="709"/>
      <c r="T255" s="710"/>
      <c r="U255" s="714"/>
      <c r="V255" s="715"/>
      <c r="W255" s="715"/>
      <c r="X255" s="715"/>
      <c r="Y255" s="715"/>
      <c r="Z255" s="715"/>
      <c r="AA255" s="716"/>
      <c r="AB255" s="850"/>
      <c r="AC255" s="851"/>
      <c r="AD255" s="851"/>
      <c r="AE255" s="851"/>
      <c r="AF255" s="851"/>
      <c r="AG255" s="851"/>
      <c r="AH255" s="851"/>
      <c r="AI255" s="851"/>
      <c r="AJ255" s="851"/>
      <c r="AK255" s="851"/>
      <c r="AL255" s="852"/>
      <c r="AM255" s="917"/>
      <c r="AN255" s="712"/>
      <c r="AO255" s="712"/>
      <c r="AP255" s="712"/>
      <c r="AQ255" s="712"/>
      <c r="AR255" s="712"/>
      <c r="AS255" s="713"/>
      <c r="AT255" s="917"/>
      <c r="AU255" s="712"/>
      <c r="AV255" s="712"/>
      <c r="AW255" s="713"/>
      <c r="AX255" s="917"/>
      <c r="AY255" s="712"/>
      <c r="AZ255" s="712"/>
      <c r="BA255" s="712"/>
      <c r="BB255" s="712"/>
      <c r="BC255" s="713"/>
      <c r="BD255" s="917"/>
      <c r="BE255" s="712"/>
      <c r="BF255" s="712"/>
      <c r="BG255" s="713"/>
      <c r="BH255" s="918"/>
      <c r="BI255" s="712"/>
      <c r="BJ255" s="712"/>
      <c r="BK255" s="712"/>
      <c r="BL255" s="910"/>
      <c r="BN255" s="878"/>
      <c r="BO255" s="709"/>
      <c r="BP255" s="884"/>
      <c r="BT255" s="746"/>
      <c r="BU255" s="747"/>
      <c r="BV255" s="784" t="str">
        <f>IF(BT255="","-",(IF(INDEX($A$5:$BP$257,MATCH(BT255,$BN$5:$BN$257,0),50)="Aço Inoxidável",('Densidade do AR'!$S$8*1000000),IF(INDEX($A$5:$BP$257,MATCH(BT255,$BN$5:$BN$257,0),50)="Ferro Fundido",('Densidade do AR'!$S$12*1000000),IF(INDEX($A$5:$BP$257,MATCH(BT255,$BN$5:$BN$257,0),50)="Latão",('Densidade do AR'!$S$10*1000000),IF(INDEX($A$5:$BP$257,MATCH(BT255,$BN$5:$BN$257,0),50)="Alumínio",('Densidade do AR'!$S$4*1000000)))))))</f>
        <v>-</v>
      </c>
      <c r="BW255" s="785"/>
      <c r="BX255" s="785"/>
      <c r="BY255" s="786"/>
      <c r="BZ255" s="787" t="str">
        <f t="shared" si="72"/>
        <v>-</v>
      </c>
      <c r="CA255" s="788"/>
      <c r="CB255" s="788"/>
      <c r="CC255" s="789"/>
      <c r="CD255" s="787" t="str">
        <f t="shared" si="64"/>
        <v>-</v>
      </c>
      <c r="CE255" s="788"/>
      <c r="CF255" s="788"/>
      <c r="CG255" s="789"/>
      <c r="CH255" s="790" t="str">
        <f t="shared" si="73"/>
        <v>-</v>
      </c>
      <c r="CI255" s="785"/>
      <c r="CJ255" s="785"/>
      <c r="CK255" s="786"/>
      <c r="CL255" s="790" t="str">
        <f t="shared" si="65"/>
        <v>-</v>
      </c>
      <c r="CM255" s="785"/>
      <c r="CN255" s="785"/>
      <c r="CO255" s="786"/>
      <c r="CP255" s="790" t="str">
        <f>IF(BT255="","-",INDEX($A$5:$BP$257,MATCH(BT255,$BN$5:$BN$257,0),39)*(IF(BT255="","-",(1+(((-('Densidade do AR'!$M$4))+('Densidade do AR'!$T$15*1000000))/(IF(INDEX($A$5:$BP$257,MATCH(BT255,$BN$5:$BN$257,0),50)="Aço Inoxidável",('Densidade do AR'!$S$8*1000000),IF(INDEX($A$5:$BP$257,MATCH(BT255,$BN$5:$BN$257,0),50)="Ferro Fundido",('Densidade do AR'!$S$12*1000000),IF(INDEX($A$5:$BP$257,MATCH(BT255,$BN$5:$BN$257,0),50)="Latão",('Densidade do AR'!$S$10*1000000),IF(INDEX($A$5:$BP$257,MATCH(BT255,$BN$5:$BN$257,0),50)="Alumínio",('Densidade do AR'!$S$4*1000000)))))))-(((-('Densidade do AR'!$M$4))+('Densidade do AR'!$T$15*1000000))/('Densidade do AR'!$S$14*1000000))))))</f>
        <v>-</v>
      </c>
      <c r="CQ255" s="785"/>
      <c r="CR255" s="785"/>
      <c r="CS255" s="791"/>
      <c r="CT255" s="91" t="str">
        <f t="shared" si="74"/>
        <v>-</v>
      </c>
      <c r="CU255" s="746"/>
      <c r="CV255" s="747"/>
      <c r="CW255" s="784" t="str">
        <f>IF(CU255="","-",(IF(INDEX($A$5:$BP$257,MATCH(CU255,$BN$5:$BN$257,0),50)="Aço Inoxidável",('Densidade do AR'!$S$8*1000000),IF(INDEX($A$5:$BP$257,MATCH(CU255,$BN$5:$BN$257,0),50)="Ferro Fundido",('Densidade do AR'!$S$12*1000000),IF(INDEX($A$5:$BP$257,MATCH(CU255,$BN$5:$BN$257,0),50)="Latão",('Densidade do AR'!$S$10*1000000),IF(INDEX($A$5:$BP$257,MATCH(CU255,$BN$5:$BN$257,0),50)="Alumínio",('Densidade do AR'!$S$4*1000000)))))))</f>
        <v>-</v>
      </c>
      <c r="CX255" s="785"/>
      <c r="CY255" s="785"/>
      <c r="CZ255" s="786"/>
      <c r="DA255" s="787" t="str">
        <f t="shared" si="75"/>
        <v>-</v>
      </c>
      <c r="DB255" s="788"/>
      <c r="DC255" s="788"/>
      <c r="DD255" s="789"/>
      <c r="DE255" s="787" t="str">
        <f t="shared" si="66"/>
        <v>-</v>
      </c>
      <c r="DF255" s="788"/>
      <c r="DG255" s="788"/>
      <c r="DH255" s="789"/>
      <c r="DI255" s="790" t="str">
        <f t="shared" si="76"/>
        <v>-</v>
      </c>
      <c r="DJ255" s="785"/>
      <c r="DK255" s="785"/>
      <c r="DL255" s="786"/>
      <c r="DM255" s="790" t="str">
        <f t="shared" si="67"/>
        <v>-</v>
      </c>
      <c r="DN255" s="785"/>
      <c r="DO255" s="785"/>
      <c r="DP255" s="786"/>
      <c r="DQ255" s="790" t="str">
        <f>IF(CU255="","-",INDEX($A$5:$BP$257,MATCH(CU255,$BN$5:$BN$257,0),39)*(IF(CU255="","-",(1+(((-('Densidade do AR'!$M$4))+('Densidade do AR'!$T$15*1000000))/(IF(INDEX($A$5:$BP$257,MATCH(CU255,$BN$5:$BN$257,0),50)="Aço Inoxidável",('Densidade do AR'!$S$8*1000000),IF(INDEX($A$5:$BP$257,MATCH(CU255,$BN$5:$BN$257,0),50)="Ferro Fundido",('Densidade do AR'!$S$12*1000000),IF(INDEX($A$5:$BP$257,MATCH(CU255,$BN$5:$BN$257,0),50)="Latão",('Densidade do AR'!$S$10*1000000),IF(INDEX($A$5:$BP$257,MATCH(CU255,$BN$5:$BN$257,0),50)="Alumínio",('Densidade do AR'!$S$4*1000000)))))))-(((-('Densidade do AR'!$M$4))+('Densidade do AR'!$T$15*1000000))/('Densidade do AR'!$S$14*1000000))))))</f>
        <v>-</v>
      </c>
      <c r="DR255" s="785"/>
      <c r="DS255" s="785"/>
      <c r="DT255" s="791"/>
      <c r="DU255" s="91" t="str">
        <f t="shared" si="77"/>
        <v>-</v>
      </c>
      <c r="DV255" s="746"/>
      <c r="DW255" s="747"/>
      <c r="DX255" s="784" t="str">
        <f>IF(DV255="","-",(IF(INDEX($A$5:$BP$257,MATCH(DV255,$BN$5:$BN$257,0),50)="Aço Inoxidável",('Densidade do AR'!$S$8*1000000),IF(INDEX($A$5:$BP$257,MATCH(DV255,$BN$5:$BN$257,0),50)="Ferro Fundido",('Densidade do AR'!$S$12*1000000),IF(INDEX($A$5:$BP$257,MATCH(DV255,$BN$5:$BN$257,0),50)="Latão",('Densidade do AR'!$S$10*1000000),IF(INDEX($A$5:$BP$257,MATCH(DV255,$BN$5:$BN$257,0),50)="Alumínio",('Densidade do AR'!$S$4*1000000)))))))</f>
        <v>-</v>
      </c>
      <c r="DY255" s="785"/>
      <c r="DZ255" s="785"/>
      <c r="EA255" s="786"/>
      <c r="EB255" s="787" t="str">
        <f t="shared" si="78"/>
        <v>-</v>
      </c>
      <c r="EC255" s="788"/>
      <c r="ED255" s="788"/>
      <c r="EE255" s="789"/>
      <c r="EF255" s="787" t="str">
        <f t="shared" si="68"/>
        <v>-</v>
      </c>
      <c r="EG255" s="788"/>
      <c r="EH255" s="788"/>
      <c r="EI255" s="789"/>
      <c r="EJ255" s="790" t="str">
        <f t="shared" si="79"/>
        <v>-</v>
      </c>
      <c r="EK255" s="785"/>
      <c r="EL255" s="785"/>
      <c r="EM255" s="786"/>
      <c r="EN255" s="790" t="str">
        <f t="shared" si="69"/>
        <v>-</v>
      </c>
      <c r="EO255" s="785"/>
      <c r="EP255" s="785"/>
      <c r="EQ255" s="786"/>
      <c r="ER255" s="790" t="str">
        <f>IF(DV255="","-",INDEX($A$5:$BP$257,MATCH(DV255,$BN$5:$BN$257,0),39)*(IF(DV255="","-",(1+(((-('Densidade do AR'!$M$4))+('Densidade do AR'!$T$15*1000000))/(IF(INDEX($A$5:$BP$257,MATCH(DV255,$BN$5:$BN$257,0),50)="Aço Inoxidável",('Densidade do AR'!$S$8*1000000),IF(INDEX($A$5:$BP$257,MATCH(DV255,$BN$5:$BN$257,0),50)="Ferro Fundido",('Densidade do AR'!$S$12*1000000),IF(INDEX($A$5:$BP$257,MATCH(DV255,$BN$5:$BN$257,0),50)="Latão",('Densidade do AR'!$S$10*1000000),IF(INDEX($A$5:$BP$257,MATCH(DV255,$BN$5:$BN$257,0),50)="Alumínio",('Densidade do AR'!$S$4*1000000)))))))-(((-('Densidade do AR'!$M$4))+('Densidade do AR'!$T$15*1000000))/('Densidade do AR'!$S$14*1000000))))))</f>
        <v>-</v>
      </c>
      <c r="ES255" s="785"/>
      <c r="ET255" s="785"/>
      <c r="EU255" s="791"/>
      <c r="EV255" s="91" t="str">
        <f t="shared" si="80"/>
        <v>-</v>
      </c>
      <c r="EW255" s="746"/>
      <c r="EX255" s="747"/>
      <c r="EY255" s="784" t="str">
        <f>IF(EW255="","-",(IF(INDEX($A$5:$BP$257,MATCH(EW255,$BN$5:$BN$257,0),50)="Aço Inoxidável",('Densidade do AR'!$S$8*1000000),IF(INDEX($A$5:$BP$257,MATCH(EW255,$BN$5:$BN$257,0),50)="Ferro Fundido",('Densidade do AR'!$S$12*1000000),IF(INDEX($A$5:$BP$257,MATCH(EW255,$BN$5:$BN$257,0),50)="Latão",('Densidade do AR'!$S$10*1000000),IF(INDEX($A$5:$BP$257,MATCH(EW255,$BN$5:$BN$257,0),50)="Alumínio",('Densidade do AR'!$S$4*1000000)))))))</f>
        <v>-</v>
      </c>
      <c r="EZ255" s="785"/>
      <c r="FA255" s="785"/>
      <c r="FB255" s="786"/>
      <c r="FC255" s="787" t="str">
        <f t="shared" si="81"/>
        <v>-</v>
      </c>
      <c r="FD255" s="788"/>
      <c r="FE255" s="788"/>
      <c r="FF255" s="789"/>
      <c r="FG255" s="787" t="str">
        <f t="shared" si="70"/>
        <v>-</v>
      </c>
      <c r="FH255" s="788"/>
      <c r="FI255" s="788"/>
      <c r="FJ255" s="789"/>
      <c r="FK255" s="790" t="str">
        <f t="shared" si="82"/>
        <v>-</v>
      </c>
      <c r="FL255" s="785"/>
      <c r="FM255" s="785"/>
      <c r="FN255" s="786"/>
      <c r="FO255" s="790" t="str">
        <f t="shared" si="71"/>
        <v>-</v>
      </c>
      <c r="FP255" s="785"/>
      <c r="FQ255" s="785"/>
      <c r="FR255" s="786"/>
      <c r="FS255" s="790" t="str">
        <f>IF(EW255="","-",INDEX($A$5:$BP$257,MATCH(EW255,$BN$5:$BN$257,0),39)*(IF(EW255="","-",(1+(((-('Densidade do AR'!$M$4))+('Densidade do AR'!$T$15*1000000))/(IF(INDEX($A$5:$BP$257,MATCH(EW255,$BN$5:$BN$257,0),50)="Aço Inoxidável",('Densidade do AR'!$S$8*1000000),IF(INDEX($A$5:$BP$257,MATCH(EW255,$BN$5:$BN$257,0),50)="Ferro Fundido",('Densidade do AR'!$S$12*1000000),IF(INDEX($A$5:$BP$257,MATCH(EW255,$BN$5:$BN$257,0),50)="Latão",('Densidade do AR'!$S$10*1000000),IF(INDEX($A$5:$BP$257,MATCH(EW255,$BN$5:$BN$257,0),50)="Alumínio",('Densidade do AR'!$S$4*1000000)))))))-(((-('Densidade do AR'!$M$4))+('Densidade do AR'!$T$15*1000000))/('Densidade do AR'!$S$14*1000000))))))</f>
        <v>-</v>
      </c>
      <c r="FT255" s="785"/>
      <c r="FU255" s="785"/>
      <c r="FV255" s="791"/>
      <c r="FW255" s="91" t="str">
        <f t="shared" si="83"/>
        <v>-</v>
      </c>
      <c r="FX255" s="135"/>
    </row>
    <row r="256" spans="1:180" x14ac:dyDescent="0.2">
      <c r="A256" s="718">
        <v>252</v>
      </c>
      <c r="B256" s="713"/>
      <c r="C256" s="719"/>
      <c r="D256" s="709"/>
      <c r="E256" s="709"/>
      <c r="F256" s="709"/>
      <c r="G256" s="710"/>
      <c r="H256" s="720"/>
      <c r="I256" s="712"/>
      <c r="J256" s="712"/>
      <c r="K256" s="713"/>
      <c r="L256" s="719"/>
      <c r="M256" s="709"/>
      <c r="N256" s="709"/>
      <c r="O256" s="709"/>
      <c r="P256" s="719"/>
      <c r="Q256" s="709"/>
      <c r="R256" s="709"/>
      <c r="S256" s="709"/>
      <c r="T256" s="710"/>
      <c r="U256" s="721"/>
      <c r="V256" s="722"/>
      <c r="W256" s="722"/>
      <c r="X256" s="722"/>
      <c r="Y256" s="722"/>
      <c r="Z256" s="722"/>
      <c r="AA256" s="723"/>
      <c r="AB256" s="853"/>
      <c r="AC256" s="854"/>
      <c r="AD256" s="854"/>
      <c r="AE256" s="854"/>
      <c r="AF256" s="854"/>
      <c r="AG256" s="854"/>
      <c r="AH256" s="854"/>
      <c r="AI256" s="854"/>
      <c r="AJ256" s="854"/>
      <c r="AK256" s="854"/>
      <c r="AL256" s="855"/>
      <c r="AM256" s="909"/>
      <c r="AN256" s="712"/>
      <c r="AO256" s="712"/>
      <c r="AP256" s="712"/>
      <c r="AQ256" s="712"/>
      <c r="AR256" s="712"/>
      <c r="AS256" s="713"/>
      <c r="AT256" s="909"/>
      <c r="AU256" s="712"/>
      <c r="AV256" s="712"/>
      <c r="AW256" s="713"/>
      <c r="AX256" s="908"/>
      <c r="AY256" s="712"/>
      <c r="AZ256" s="712"/>
      <c r="BA256" s="712"/>
      <c r="BB256" s="712"/>
      <c r="BC256" s="713"/>
      <c r="BD256" s="909"/>
      <c r="BE256" s="712"/>
      <c r="BF256" s="712"/>
      <c r="BG256" s="713"/>
      <c r="BH256" s="908"/>
      <c r="BI256" s="712"/>
      <c r="BJ256" s="712"/>
      <c r="BK256" s="712"/>
      <c r="BL256" s="910"/>
      <c r="BN256" s="881"/>
      <c r="BO256" s="709"/>
      <c r="BP256" s="884"/>
      <c r="BT256" s="736"/>
      <c r="BU256" s="737"/>
      <c r="BV256" s="738" t="str">
        <f>IF(BT256="","-",(IF(INDEX($A$5:$BP$257,MATCH(BT256,$BN$5:$BN$257,0),50)="Aço Inoxidável",('Densidade do AR'!$S$8*1000000),IF(INDEX($A$5:$BP$257,MATCH(BT256,$BN$5:$BN$257,0),50)="Ferro Fundido",('Densidade do AR'!$S$12*1000000),IF(INDEX($A$5:$BP$257,MATCH(BT256,$BN$5:$BN$257,0),50)="Latão",('Densidade do AR'!$S$10*1000000),IF(INDEX($A$5:$BP$257,MATCH(BT256,$BN$5:$BN$257,0),50)="Alumínio",('Densidade do AR'!$S$4*1000000)))))))</f>
        <v>-</v>
      </c>
      <c r="BW256" s="739"/>
      <c r="BX256" s="739"/>
      <c r="BY256" s="740"/>
      <c r="BZ256" s="741" t="str">
        <f t="shared" si="72"/>
        <v>-</v>
      </c>
      <c r="CA256" s="742"/>
      <c r="CB256" s="742"/>
      <c r="CC256" s="743"/>
      <c r="CD256" s="741" t="str">
        <f t="shared" si="64"/>
        <v>-</v>
      </c>
      <c r="CE256" s="742"/>
      <c r="CF256" s="742"/>
      <c r="CG256" s="743"/>
      <c r="CH256" s="744" t="str">
        <f t="shared" si="73"/>
        <v>-</v>
      </c>
      <c r="CI256" s="739"/>
      <c r="CJ256" s="739"/>
      <c r="CK256" s="740"/>
      <c r="CL256" s="744" t="str">
        <f t="shared" si="65"/>
        <v>-</v>
      </c>
      <c r="CM256" s="739"/>
      <c r="CN256" s="739"/>
      <c r="CO256" s="740"/>
      <c r="CP256" s="744" t="str">
        <f>IF(BT256="","-",INDEX($A$5:$BP$257,MATCH(BT256,$BN$5:$BN$257,0),39)*(IF(BT256="","-",(1+(((-('Densidade do AR'!$M$4))+('Densidade do AR'!$T$15*1000000))/(IF(INDEX($A$5:$BP$257,MATCH(BT256,$BN$5:$BN$257,0),50)="Aço Inoxidável",('Densidade do AR'!$S$8*1000000),IF(INDEX($A$5:$BP$257,MATCH(BT256,$BN$5:$BN$257,0),50)="Ferro Fundido",('Densidade do AR'!$S$12*1000000),IF(INDEX($A$5:$BP$257,MATCH(BT256,$BN$5:$BN$257,0),50)="Latão",('Densidade do AR'!$S$10*1000000),IF(INDEX($A$5:$BP$257,MATCH(BT256,$BN$5:$BN$257,0),50)="Alumínio",('Densidade do AR'!$S$4*1000000)))))))-(((-('Densidade do AR'!$M$4))+('Densidade do AR'!$T$15*1000000))/('Densidade do AR'!$S$14*1000000))))))</f>
        <v>-</v>
      </c>
      <c r="CQ256" s="739"/>
      <c r="CR256" s="739"/>
      <c r="CS256" s="745"/>
      <c r="CT256" s="91" t="str">
        <f t="shared" si="74"/>
        <v>-</v>
      </c>
      <c r="CU256" s="736"/>
      <c r="CV256" s="737"/>
      <c r="CW256" s="738" t="str">
        <f>IF(CU256="","-",(IF(INDEX($A$5:$BP$257,MATCH(CU256,$BN$5:$BN$257,0),50)="Aço Inoxidável",('Densidade do AR'!$S$8*1000000),IF(INDEX($A$5:$BP$257,MATCH(CU256,$BN$5:$BN$257,0),50)="Ferro Fundido",('Densidade do AR'!$S$12*1000000),IF(INDEX($A$5:$BP$257,MATCH(CU256,$BN$5:$BN$257,0),50)="Latão",('Densidade do AR'!$S$10*1000000),IF(INDEX($A$5:$BP$257,MATCH(CU256,$BN$5:$BN$257,0),50)="Alumínio",('Densidade do AR'!$S$4*1000000)))))))</f>
        <v>-</v>
      </c>
      <c r="CX256" s="739"/>
      <c r="CY256" s="739"/>
      <c r="CZ256" s="740"/>
      <c r="DA256" s="741" t="str">
        <f t="shared" si="75"/>
        <v>-</v>
      </c>
      <c r="DB256" s="742"/>
      <c r="DC256" s="742"/>
      <c r="DD256" s="743"/>
      <c r="DE256" s="741" t="str">
        <f t="shared" si="66"/>
        <v>-</v>
      </c>
      <c r="DF256" s="742"/>
      <c r="DG256" s="742"/>
      <c r="DH256" s="743"/>
      <c r="DI256" s="744" t="str">
        <f t="shared" si="76"/>
        <v>-</v>
      </c>
      <c r="DJ256" s="739"/>
      <c r="DK256" s="739"/>
      <c r="DL256" s="740"/>
      <c r="DM256" s="744" t="str">
        <f t="shared" si="67"/>
        <v>-</v>
      </c>
      <c r="DN256" s="739"/>
      <c r="DO256" s="739"/>
      <c r="DP256" s="740"/>
      <c r="DQ256" s="744" t="str">
        <f>IF(CU256="","-",INDEX($A$5:$BP$257,MATCH(CU256,$BN$5:$BN$257,0),39)*(IF(CU256="","-",(1+(((-('Densidade do AR'!$M$4))+('Densidade do AR'!$T$15*1000000))/(IF(INDEX($A$5:$BP$257,MATCH(CU256,$BN$5:$BN$257,0),50)="Aço Inoxidável",('Densidade do AR'!$S$8*1000000),IF(INDEX($A$5:$BP$257,MATCH(CU256,$BN$5:$BN$257,0),50)="Ferro Fundido",('Densidade do AR'!$S$12*1000000),IF(INDEX($A$5:$BP$257,MATCH(CU256,$BN$5:$BN$257,0),50)="Latão",('Densidade do AR'!$S$10*1000000),IF(INDEX($A$5:$BP$257,MATCH(CU256,$BN$5:$BN$257,0),50)="Alumínio",('Densidade do AR'!$S$4*1000000)))))))-(((-('Densidade do AR'!$M$4))+('Densidade do AR'!$T$15*1000000))/('Densidade do AR'!$S$14*1000000))))))</f>
        <v>-</v>
      </c>
      <c r="DR256" s="739"/>
      <c r="DS256" s="739"/>
      <c r="DT256" s="745"/>
      <c r="DU256" s="91" t="str">
        <f t="shared" si="77"/>
        <v>-</v>
      </c>
      <c r="DV256" s="736"/>
      <c r="DW256" s="737"/>
      <c r="DX256" s="738" t="str">
        <f>IF(DV256="","-",(IF(INDEX($A$5:$BP$257,MATCH(DV256,$BN$5:$BN$257,0),50)="Aço Inoxidável",('Densidade do AR'!$S$8*1000000),IF(INDEX($A$5:$BP$257,MATCH(DV256,$BN$5:$BN$257,0),50)="Ferro Fundido",('Densidade do AR'!$S$12*1000000),IF(INDEX($A$5:$BP$257,MATCH(DV256,$BN$5:$BN$257,0),50)="Latão",('Densidade do AR'!$S$10*1000000),IF(INDEX($A$5:$BP$257,MATCH(DV256,$BN$5:$BN$257,0),50)="Alumínio",('Densidade do AR'!$S$4*1000000)))))))</f>
        <v>-</v>
      </c>
      <c r="DY256" s="739"/>
      <c r="DZ256" s="739"/>
      <c r="EA256" s="740"/>
      <c r="EB256" s="741" t="str">
        <f t="shared" si="78"/>
        <v>-</v>
      </c>
      <c r="EC256" s="742"/>
      <c r="ED256" s="742"/>
      <c r="EE256" s="743"/>
      <c r="EF256" s="741" t="str">
        <f t="shared" si="68"/>
        <v>-</v>
      </c>
      <c r="EG256" s="742"/>
      <c r="EH256" s="742"/>
      <c r="EI256" s="743"/>
      <c r="EJ256" s="744" t="str">
        <f t="shared" si="79"/>
        <v>-</v>
      </c>
      <c r="EK256" s="739"/>
      <c r="EL256" s="739"/>
      <c r="EM256" s="740"/>
      <c r="EN256" s="744" t="str">
        <f t="shared" si="69"/>
        <v>-</v>
      </c>
      <c r="EO256" s="739"/>
      <c r="EP256" s="739"/>
      <c r="EQ256" s="740"/>
      <c r="ER256" s="744" t="str">
        <f>IF(DV256="","-",INDEX($A$5:$BP$257,MATCH(DV256,$BN$5:$BN$257,0),39)*(IF(DV256="","-",(1+(((-('Densidade do AR'!$M$4))+('Densidade do AR'!$T$15*1000000))/(IF(INDEX($A$5:$BP$257,MATCH(DV256,$BN$5:$BN$257,0),50)="Aço Inoxidável",('Densidade do AR'!$S$8*1000000),IF(INDEX($A$5:$BP$257,MATCH(DV256,$BN$5:$BN$257,0),50)="Ferro Fundido",('Densidade do AR'!$S$12*1000000),IF(INDEX($A$5:$BP$257,MATCH(DV256,$BN$5:$BN$257,0),50)="Latão",('Densidade do AR'!$S$10*1000000),IF(INDEX($A$5:$BP$257,MATCH(DV256,$BN$5:$BN$257,0),50)="Alumínio",('Densidade do AR'!$S$4*1000000)))))))-(((-('Densidade do AR'!$M$4))+('Densidade do AR'!$T$15*1000000))/('Densidade do AR'!$S$14*1000000))))))</f>
        <v>-</v>
      </c>
      <c r="ES256" s="739"/>
      <c r="ET256" s="739"/>
      <c r="EU256" s="745"/>
      <c r="EV256" s="91" t="str">
        <f t="shared" si="80"/>
        <v>-</v>
      </c>
      <c r="EW256" s="736"/>
      <c r="EX256" s="737"/>
      <c r="EY256" s="738" t="str">
        <f>IF(EW256="","-",(IF(INDEX($A$5:$BP$257,MATCH(EW256,$BN$5:$BN$257,0),50)="Aço Inoxidável",('Densidade do AR'!$S$8*1000000),IF(INDEX($A$5:$BP$257,MATCH(EW256,$BN$5:$BN$257,0),50)="Ferro Fundido",('Densidade do AR'!$S$12*1000000),IF(INDEX($A$5:$BP$257,MATCH(EW256,$BN$5:$BN$257,0),50)="Latão",('Densidade do AR'!$S$10*1000000),IF(INDEX($A$5:$BP$257,MATCH(EW256,$BN$5:$BN$257,0),50)="Alumínio",('Densidade do AR'!$S$4*1000000)))))))</f>
        <v>-</v>
      </c>
      <c r="EZ256" s="739"/>
      <c r="FA256" s="739"/>
      <c r="FB256" s="740"/>
      <c r="FC256" s="741" t="str">
        <f t="shared" si="81"/>
        <v>-</v>
      </c>
      <c r="FD256" s="742"/>
      <c r="FE256" s="742"/>
      <c r="FF256" s="743"/>
      <c r="FG256" s="741" t="str">
        <f t="shared" si="70"/>
        <v>-</v>
      </c>
      <c r="FH256" s="742"/>
      <c r="FI256" s="742"/>
      <c r="FJ256" s="743"/>
      <c r="FK256" s="744" t="str">
        <f t="shared" si="82"/>
        <v>-</v>
      </c>
      <c r="FL256" s="739"/>
      <c r="FM256" s="739"/>
      <c r="FN256" s="740"/>
      <c r="FO256" s="744" t="str">
        <f t="shared" si="71"/>
        <v>-</v>
      </c>
      <c r="FP256" s="739"/>
      <c r="FQ256" s="739"/>
      <c r="FR256" s="740"/>
      <c r="FS256" s="744" t="str">
        <f>IF(EW256="","-",INDEX($A$5:$BP$257,MATCH(EW256,$BN$5:$BN$257,0),39)*(IF(EW256="","-",(1+(((-('Densidade do AR'!$M$4))+('Densidade do AR'!$T$15*1000000))/(IF(INDEX($A$5:$BP$257,MATCH(EW256,$BN$5:$BN$257,0),50)="Aço Inoxidável",('Densidade do AR'!$S$8*1000000),IF(INDEX($A$5:$BP$257,MATCH(EW256,$BN$5:$BN$257,0),50)="Ferro Fundido",('Densidade do AR'!$S$12*1000000),IF(INDEX($A$5:$BP$257,MATCH(EW256,$BN$5:$BN$257,0),50)="Latão",('Densidade do AR'!$S$10*1000000),IF(INDEX($A$5:$BP$257,MATCH(EW256,$BN$5:$BN$257,0),50)="Alumínio",('Densidade do AR'!$S$4*1000000)))))))-(((-('Densidade do AR'!$M$4))+('Densidade do AR'!$T$15*1000000))/('Densidade do AR'!$S$14*1000000))))))</f>
        <v>-</v>
      </c>
      <c r="FT256" s="739"/>
      <c r="FU256" s="739"/>
      <c r="FV256" s="745"/>
      <c r="FW256" s="91" t="str">
        <f t="shared" si="83"/>
        <v>-</v>
      </c>
      <c r="FX256" s="135"/>
    </row>
    <row r="257" spans="1:180" ht="13.5" thickBot="1" x14ac:dyDescent="0.25">
      <c r="A257" s="731">
        <v>253</v>
      </c>
      <c r="B257" s="732"/>
      <c r="C257" s="733"/>
      <c r="D257" s="734"/>
      <c r="E257" s="734"/>
      <c r="F257" s="734"/>
      <c r="G257" s="735"/>
      <c r="H257" s="1087"/>
      <c r="I257" s="912"/>
      <c r="J257" s="912"/>
      <c r="K257" s="732"/>
      <c r="L257" s="1084"/>
      <c r="M257" s="1085"/>
      <c r="N257" s="1085"/>
      <c r="O257" s="1086"/>
      <c r="P257" s="733"/>
      <c r="Q257" s="734"/>
      <c r="R257" s="734"/>
      <c r="S257" s="734"/>
      <c r="T257" s="735"/>
      <c r="U257" s="724"/>
      <c r="V257" s="725"/>
      <c r="W257" s="725"/>
      <c r="X257" s="725"/>
      <c r="Y257" s="725"/>
      <c r="Z257" s="725"/>
      <c r="AA257" s="726"/>
      <c r="AB257" s="1126"/>
      <c r="AC257" s="1127"/>
      <c r="AD257" s="1127"/>
      <c r="AE257" s="1127"/>
      <c r="AF257" s="1127"/>
      <c r="AG257" s="1127"/>
      <c r="AH257" s="1127"/>
      <c r="AI257" s="1127"/>
      <c r="AJ257" s="1127"/>
      <c r="AK257" s="1127"/>
      <c r="AL257" s="1128"/>
      <c r="AM257" s="911"/>
      <c r="AN257" s="912"/>
      <c r="AO257" s="912"/>
      <c r="AP257" s="912"/>
      <c r="AQ257" s="912"/>
      <c r="AR257" s="912"/>
      <c r="AS257" s="732"/>
      <c r="AT257" s="911"/>
      <c r="AU257" s="912"/>
      <c r="AV257" s="912"/>
      <c r="AW257" s="732"/>
      <c r="AX257" s="911"/>
      <c r="AY257" s="912"/>
      <c r="AZ257" s="912"/>
      <c r="BA257" s="912"/>
      <c r="BB257" s="912"/>
      <c r="BC257" s="732"/>
      <c r="BD257" s="911"/>
      <c r="BE257" s="912"/>
      <c r="BF257" s="912"/>
      <c r="BG257" s="732"/>
      <c r="BH257" s="913"/>
      <c r="BI257" s="912"/>
      <c r="BJ257" s="912"/>
      <c r="BK257" s="912"/>
      <c r="BL257" s="914"/>
      <c r="BN257" s="915"/>
      <c r="BO257" s="734"/>
      <c r="BP257" s="916"/>
      <c r="BT257" s="746"/>
      <c r="BU257" s="747"/>
      <c r="BV257" s="748" t="str">
        <f>IF(BT257="","-",(IF(INDEX($A$5:$BP$257,MATCH(BT257,$BN$5:$BN$257,0),50)="Aço Inoxidável",('Densidade do AR'!$S$8*1000000),IF(INDEX($A$5:$BP$257,MATCH(BT257,$BN$5:$BN$257,0),50)="Ferro Fundido",('Densidade do AR'!$S$12*1000000),IF(INDEX($A$5:$BP$257,MATCH(BT257,$BN$5:$BN$257,0),50)="Latão",('Densidade do AR'!$S$10*1000000),IF(INDEX($A$5:$BP$257,MATCH(BT257,$BN$5:$BN$257,0),50)="Alumínio",('Densidade do AR'!$S$4*1000000)))))))</f>
        <v>-</v>
      </c>
      <c r="BW257" s="749"/>
      <c r="BX257" s="749"/>
      <c r="BY257" s="750"/>
      <c r="BZ257" s="751" t="str">
        <f t="shared" si="72"/>
        <v>-</v>
      </c>
      <c r="CA257" s="752"/>
      <c r="CB257" s="752"/>
      <c r="CC257" s="753"/>
      <c r="CD257" s="751" t="str">
        <f t="shared" si="64"/>
        <v>-</v>
      </c>
      <c r="CE257" s="752"/>
      <c r="CF257" s="752"/>
      <c r="CG257" s="753"/>
      <c r="CH257" s="754" t="str">
        <f t="shared" si="73"/>
        <v>-</v>
      </c>
      <c r="CI257" s="749"/>
      <c r="CJ257" s="749"/>
      <c r="CK257" s="750"/>
      <c r="CL257" s="754" t="str">
        <f t="shared" si="65"/>
        <v>-</v>
      </c>
      <c r="CM257" s="749"/>
      <c r="CN257" s="749"/>
      <c r="CO257" s="750"/>
      <c r="CP257" s="754" t="str">
        <f>IF(BT257="","-",INDEX($A$5:$BP$257,MATCH(BT257,$BN$5:$BN$257,0),39)*(IF(BT257="","-",(1+(((-('Densidade do AR'!$M$4))+('Densidade do AR'!$T$15*1000000))/(IF(INDEX($A$5:$BP$257,MATCH(BT257,$BN$5:$BN$257,0),50)="Aço Inoxidável",('Densidade do AR'!$S$8*1000000),IF(INDEX($A$5:$BP$257,MATCH(BT257,$BN$5:$BN$257,0),50)="Ferro Fundido",('Densidade do AR'!$S$12*1000000),IF(INDEX($A$5:$BP$257,MATCH(BT257,$BN$5:$BN$257,0),50)="Latão",('Densidade do AR'!$S$10*1000000),IF(INDEX($A$5:$BP$257,MATCH(BT257,$BN$5:$BN$257,0),50)="Alumínio",('Densidade do AR'!$S$4*1000000)))))))-(((-('Densidade do AR'!$M$4))+('Densidade do AR'!$T$15*1000000))/('Densidade do AR'!$S$14*1000000))))))</f>
        <v>-</v>
      </c>
      <c r="CQ257" s="749"/>
      <c r="CR257" s="749"/>
      <c r="CS257" s="755"/>
      <c r="CT257" s="91" t="str">
        <f t="shared" si="74"/>
        <v>-</v>
      </c>
      <c r="CU257" s="746"/>
      <c r="CV257" s="747"/>
      <c r="CW257" s="748" t="str">
        <f>IF(CU257="","-",(IF(INDEX($A$5:$BP$257,MATCH(CU257,$BN$5:$BN$257,0),50)="Aço Inoxidável",('Densidade do AR'!$S$8*1000000),IF(INDEX($A$5:$BP$257,MATCH(CU257,$BN$5:$BN$257,0),50)="Ferro Fundido",('Densidade do AR'!$S$12*1000000),IF(INDEX($A$5:$BP$257,MATCH(CU257,$BN$5:$BN$257,0),50)="Latão",('Densidade do AR'!$S$10*1000000),IF(INDEX($A$5:$BP$257,MATCH(CU257,$BN$5:$BN$257,0),50)="Alumínio",('Densidade do AR'!$S$4*1000000)))))))</f>
        <v>-</v>
      </c>
      <c r="CX257" s="749"/>
      <c r="CY257" s="749"/>
      <c r="CZ257" s="750"/>
      <c r="DA257" s="751" t="str">
        <f t="shared" si="75"/>
        <v>-</v>
      </c>
      <c r="DB257" s="752"/>
      <c r="DC257" s="752"/>
      <c r="DD257" s="753"/>
      <c r="DE257" s="751" t="str">
        <f t="shared" si="66"/>
        <v>-</v>
      </c>
      <c r="DF257" s="752"/>
      <c r="DG257" s="752"/>
      <c r="DH257" s="753"/>
      <c r="DI257" s="754" t="str">
        <f t="shared" si="76"/>
        <v>-</v>
      </c>
      <c r="DJ257" s="749"/>
      <c r="DK257" s="749"/>
      <c r="DL257" s="750"/>
      <c r="DM257" s="754" t="str">
        <f t="shared" si="67"/>
        <v>-</v>
      </c>
      <c r="DN257" s="749"/>
      <c r="DO257" s="749"/>
      <c r="DP257" s="750"/>
      <c r="DQ257" s="754" t="str">
        <f>IF(CU257="","-",INDEX($A$5:$BP$257,MATCH(CU257,$BN$5:$BN$257,0),39)*(IF(CU257="","-",(1+(((-('Densidade do AR'!$M$4))+('Densidade do AR'!$T$15*1000000))/(IF(INDEX($A$5:$BP$257,MATCH(CU257,$BN$5:$BN$257,0),50)="Aço Inoxidável",('Densidade do AR'!$S$8*1000000),IF(INDEX($A$5:$BP$257,MATCH(CU257,$BN$5:$BN$257,0),50)="Ferro Fundido",('Densidade do AR'!$S$12*1000000),IF(INDEX($A$5:$BP$257,MATCH(CU257,$BN$5:$BN$257,0),50)="Latão",('Densidade do AR'!$S$10*1000000),IF(INDEX($A$5:$BP$257,MATCH(CU257,$BN$5:$BN$257,0),50)="Alumínio",('Densidade do AR'!$S$4*1000000)))))))-(((-('Densidade do AR'!$M$4))+('Densidade do AR'!$T$15*1000000))/('Densidade do AR'!$S$14*1000000))))))</f>
        <v>-</v>
      </c>
      <c r="DR257" s="749"/>
      <c r="DS257" s="749"/>
      <c r="DT257" s="755"/>
      <c r="DU257" s="91" t="str">
        <f t="shared" si="77"/>
        <v>-</v>
      </c>
      <c r="DV257" s="746"/>
      <c r="DW257" s="747"/>
      <c r="DX257" s="748" t="str">
        <f>IF(DV257="","-",(IF(INDEX($A$5:$BP$257,MATCH(DV257,$BN$5:$BN$257,0),50)="Aço Inoxidável",('Densidade do AR'!$S$8*1000000),IF(INDEX($A$5:$BP$257,MATCH(DV257,$BN$5:$BN$257,0),50)="Ferro Fundido",('Densidade do AR'!$S$12*1000000),IF(INDEX($A$5:$BP$257,MATCH(DV257,$BN$5:$BN$257,0),50)="Latão",('Densidade do AR'!$S$10*1000000),IF(INDEX($A$5:$BP$257,MATCH(DV257,$BN$5:$BN$257,0),50)="Alumínio",('Densidade do AR'!$S$4*1000000)))))))</f>
        <v>-</v>
      </c>
      <c r="DY257" s="749"/>
      <c r="DZ257" s="749"/>
      <c r="EA257" s="750"/>
      <c r="EB257" s="751" t="str">
        <f t="shared" si="78"/>
        <v>-</v>
      </c>
      <c r="EC257" s="752"/>
      <c r="ED257" s="752"/>
      <c r="EE257" s="753"/>
      <c r="EF257" s="751" t="str">
        <f t="shared" si="68"/>
        <v>-</v>
      </c>
      <c r="EG257" s="752"/>
      <c r="EH257" s="752"/>
      <c r="EI257" s="753"/>
      <c r="EJ257" s="754" t="str">
        <f t="shared" si="79"/>
        <v>-</v>
      </c>
      <c r="EK257" s="749"/>
      <c r="EL257" s="749"/>
      <c r="EM257" s="750"/>
      <c r="EN257" s="754" t="str">
        <f t="shared" si="69"/>
        <v>-</v>
      </c>
      <c r="EO257" s="749"/>
      <c r="EP257" s="749"/>
      <c r="EQ257" s="750"/>
      <c r="ER257" s="754" t="str">
        <f>IF(DV257="","-",INDEX($A$5:$BP$257,MATCH(DV257,$BN$5:$BN$257,0),39)*(IF(DV257="","-",(1+(((-('Densidade do AR'!$M$4))+('Densidade do AR'!$T$15*1000000))/(IF(INDEX($A$5:$BP$257,MATCH(DV257,$BN$5:$BN$257,0),50)="Aço Inoxidável",('Densidade do AR'!$S$8*1000000),IF(INDEX($A$5:$BP$257,MATCH(DV257,$BN$5:$BN$257,0),50)="Ferro Fundido",('Densidade do AR'!$S$12*1000000),IF(INDEX($A$5:$BP$257,MATCH(DV257,$BN$5:$BN$257,0),50)="Latão",('Densidade do AR'!$S$10*1000000),IF(INDEX($A$5:$BP$257,MATCH(DV257,$BN$5:$BN$257,0),50)="Alumínio",('Densidade do AR'!$S$4*1000000)))))))-(((-('Densidade do AR'!$M$4))+('Densidade do AR'!$T$15*1000000))/('Densidade do AR'!$S$14*1000000))))))</f>
        <v>-</v>
      </c>
      <c r="ES257" s="749"/>
      <c r="ET257" s="749"/>
      <c r="EU257" s="755"/>
      <c r="EV257" s="91" t="str">
        <f t="shared" si="80"/>
        <v>-</v>
      </c>
      <c r="EW257" s="746"/>
      <c r="EX257" s="747"/>
      <c r="EY257" s="748" t="str">
        <f>IF(EW257="","-",(IF(INDEX($A$5:$BP$257,MATCH(EW257,$BN$5:$BN$257,0),50)="Aço Inoxidável",('Densidade do AR'!$S$8*1000000),IF(INDEX($A$5:$BP$257,MATCH(EW257,$BN$5:$BN$257,0),50)="Ferro Fundido",('Densidade do AR'!$S$12*1000000),IF(INDEX($A$5:$BP$257,MATCH(EW257,$BN$5:$BN$257,0),50)="Latão",('Densidade do AR'!$S$10*1000000),IF(INDEX($A$5:$BP$257,MATCH(EW257,$BN$5:$BN$257,0),50)="Alumínio",('Densidade do AR'!$S$4*1000000)))))))</f>
        <v>-</v>
      </c>
      <c r="EZ257" s="749"/>
      <c r="FA257" s="749"/>
      <c r="FB257" s="750"/>
      <c r="FC257" s="751" t="str">
        <f t="shared" si="81"/>
        <v>-</v>
      </c>
      <c r="FD257" s="752"/>
      <c r="FE257" s="752"/>
      <c r="FF257" s="753"/>
      <c r="FG257" s="751" t="str">
        <f t="shared" si="70"/>
        <v>-</v>
      </c>
      <c r="FH257" s="752"/>
      <c r="FI257" s="752"/>
      <c r="FJ257" s="753"/>
      <c r="FK257" s="754" t="str">
        <f t="shared" si="82"/>
        <v>-</v>
      </c>
      <c r="FL257" s="749"/>
      <c r="FM257" s="749"/>
      <c r="FN257" s="750"/>
      <c r="FO257" s="754" t="str">
        <f t="shared" si="71"/>
        <v>-</v>
      </c>
      <c r="FP257" s="749"/>
      <c r="FQ257" s="749"/>
      <c r="FR257" s="750"/>
      <c r="FS257" s="754" t="str">
        <f>IF(EW257="","-",INDEX($A$5:$BP$257,MATCH(EW257,$BN$5:$BN$257,0),39)*(IF(EW257="","-",(1+(((-('Densidade do AR'!$M$4))+('Densidade do AR'!$T$15*1000000))/(IF(INDEX($A$5:$BP$257,MATCH(EW257,$BN$5:$BN$257,0),50)="Aço Inoxidável",('Densidade do AR'!$S$8*1000000),IF(INDEX($A$5:$BP$257,MATCH(EW257,$BN$5:$BN$257,0),50)="Ferro Fundido",('Densidade do AR'!$S$12*1000000),IF(INDEX($A$5:$BP$257,MATCH(EW257,$BN$5:$BN$257,0),50)="Latão",('Densidade do AR'!$S$10*1000000),IF(INDEX($A$5:$BP$257,MATCH(EW257,$BN$5:$BN$257,0),50)="Alumínio",('Densidade do AR'!$S$4*1000000)))))))-(((-('Densidade do AR'!$M$4))+('Densidade do AR'!$T$15*1000000))/('Densidade do AR'!$S$14*1000000))))))</f>
        <v>-</v>
      </c>
      <c r="FT257" s="749"/>
      <c r="FU257" s="749"/>
      <c r="FV257" s="755"/>
      <c r="FW257" s="91" t="str">
        <f t="shared" si="83"/>
        <v>-</v>
      </c>
      <c r="FX257" s="135"/>
    </row>
    <row r="258" spans="1:180" ht="13.5" customHeight="1" x14ac:dyDescent="0.2">
      <c r="L258" s="153"/>
      <c r="M258" s="153"/>
      <c r="N258" s="153"/>
      <c r="O258" s="153"/>
      <c r="BT258" s="778" t="s">
        <v>34</v>
      </c>
      <c r="BU258" s="779"/>
      <c r="BV258" s="779"/>
      <c r="BW258" s="779"/>
      <c r="BX258" s="779"/>
      <c r="BY258" s="780" t="s">
        <v>29</v>
      </c>
      <c r="BZ258" s="756" t="s">
        <v>114</v>
      </c>
      <c r="CA258" s="757"/>
      <c r="CB258" s="757"/>
      <c r="CC258" s="758"/>
      <c r="CD258" s="756">
        <f>IF(BT5="","-",SUM(CD5:CG257))</f>
        <v>2.0057724655309451E-18</v>
      </c>
      <c r="CE258" s="757"/>
      <c r="CF258" s="757"/>
      <c r="CG258" s="758"/>
      <c r="CH258" s="762">
        <f>IF(BT5="","-",IF(BT259="micrograma (µg)",SUM(CH5:CK257)*1000,IF(BT259="miligrama (mg)",SUM(CH5:CK257),IF(BT259="grama (g)",SUM(CH5:CK257)/1000,IF(BT259="quilograma (kg)",SUM(CH5:CK257)/1000000,IF(BT259="tonelada (t)",SUM(CH5:CK257)/1000000000))))))</f>
        <v>0</v>
      </c>
      <c r="CI258" s="763"/>
      <c r="CJ258" s="763"/>
      <c r="CK258" s="764"/>
      <c r="CL258" s="762">
        <f>IF(BT5="","-",IF(BT259="micrograma (µg)",SUM(CL5:CO257)*1000,IF(BT259="miligrama (mg)",SUM(CL5:CO257),IF(BT259="grama (g)",SUM(CL5:CO257)/1000,IF(BT259="quilograma (kg)",SUM(CL5:CO257)/1000000,IF(BT259="tonelada (t)",SUM(CL5:CO257)/1000000000))))))</f>
        <v>2.8632911392405063E-3</v>
      </c>
      <c r="CM258" s="763"/>
      <c r="CN258" s="763"/>
      <c r="CO258" s="764"/>
      <c r="CP258" s="772">
        <f ca="1">IF(BT5="","-",IF(BT259="micrograma (µg)",SUM(CP5:CS257)*1000,IF(BT259="miligrama (mg)",SUM(CP5:CS257),IF(BT259="grama (g)",SUM(CP5:CS257)/1000,IF(BT259="quilograma (kg)",SUM(CP5:CS257)/1000000,IF(BT259="tonelada (t)",SUM(CP5:CS257)/1000000000))))))</f>
        <v>400.0001045360745</v>
      </c>
      <c r="CQ258" s="773"/>
      <c r="CR258" s="773"/>
      <c r="CS258" s="774"/>
      <c r="CU258" s="778" t="s">
        <v>34</v>
      </c>
      <c r="CV258" s="779"/>
      <c r="CW258" s="779"/>
      <c r="CX258" s="779"/>
      <c r="CY258" s="779"/>
      <c r="CZ258" s="780" t="s">
        <v>29</v>
      </c>
      <c r="DA258" s="756" t="s">
        <v>114</v>
      </c>
      <c r="DB258" s="757"/>
      <c r="DC258" s="757"/>
      <c r="DD258" s="758"/>
      <c r="DE258" s="756">
        <f>IF(CU5="","-",SUM(DE5:DH257))</f>
        <v>2.4414062500000006E-37</v>
      </c>
      <c r="DF258" s="757"/>
      <c r="DG258" s="757"/>
      <c r="DH258" s="758"/>
      <c r="DI258" s="762">
        <f>IF(CU5="","-",IF(CU259="micrograma (µg)",SUM(DI5:DL257)*1000,IF(CU259="miligrama (mg)",SUM(DI5:DL257),IF(CU259="grama (g)",SUM(DI5:DL257)/1000,IF(CU259="quilograma (kg)",SUM(DI5:DL257)/1000000,IF(CU259="tonelada (t)",SUM(DI5:DL257)/1000000000))))))</f>
        <v>0</v>
      </c>
      <c r="DJ258" s="763"/>
      <c r="DK258" s="763"/>
      <c r="DL258" s="764"/>
      <c r="DM258" s="762">
        <f>IF(CU5="","-",IF(CU259="micrograma (µg)",SUM(DM5:DP257)*1000,IF(CU259="miligrama (mg)",SUM(DM5:DP257),IF(CU259="grama (g)",SUM(DM5:DP257)/1000,IF(CU259="quilograma (kg)",SUM(DM5:DP257)/1000000,IF(CU259="tonelada (t)",SUM(DM5:DP257)/1000000000))))))</f>
        <v>0.125</v>
      </c>
      <c r="DN258" s="763"/>
      <c r="DO258" s="763"/>
      <c r="DP258" s="764"/>
      <c r="DQ258" s="772">
        <f ca="1">IF(CU5="","-",IF(CU259="micrograma (µg)",SUM(DQ5:DT257)*1000,IF(CU259="miligrama (mg)",SUM(DQ5:DT257),IF(CU259="grama (g)",SUM(DQ5:DT257)/1000,IF(CU259="quilograma (kg)",SUM(DQ5:DT257)/1000000,IF(CU259="tonelada (t)",SUM(DQ5:DT257)/1000000000))))))</f>
        <v>4999.9963066996279</v>
      </c>
      <c r="DR258" s="773"/>
      <c r="DS258" s="773"/>
      <c r="DT258" s="774"/>
      <c r="DV258" s="778" t="s">
        <v>34</v>
      </c>
      <c r="DW258" s="779"/>
      <c r="DX258" s="779"/>
      <c r="DY258" s="779"/>
      <c r="DZ258" s="779"/>
      <c r="EA258" s="780" t="s">
        <v>29</v>
      </c>
      <c r="EB258" s="756" t="s">
        <v>114</v>
      </c>
      <c r="EC258" s="757"/>
      <c r="ED258" s="757"/>
      <c r="EE258" s="758"/>
      <c r="EF258" s="756">
        <f>IF(DV5="","-",SUM(EF5:EI257))</f>
        <v>4.8828125000000019E-37</v>
      </c>
      <c r="EG258" s="757"/>
      <c r="EH258" s="757"/>
      <c r="EI258" s="758"/>
      <c r="EJ258" s="762">
        <f>IF(DV5="","-",IF(DV259="micrograma (µg)",SUM(EJ5:EM257)*1000,IF(DV259="miligrama (mg)",SUM(EJ5:EM257),IF(DV259="grama (g)",SUM(EJ5:EM257)/1000,IF(DV259="quilograma (kg)",SUM(EJ5:EM257)/1000000,IF(DV259="tonelada (t)",SUM(EJ5:EM257)/1000000000))))))</f>
        <v>0</v>
      </c>
      <c r="EK258" s="763"/>
      <c r="EL258" s="763"/>
      <c r="EM258" s="764"/>
      <c r="EN258" s="762">
        <f>IF(DV5="","-",IF(DV259="micrograma (µg)",SUM(EN5:EQ257)*1000,IF(DV259="miligrama (mg)",SUM(EN5:EQ257),IF(DV259="grama (g)",SUM(EN5:EQ257)/1000,IF(DV259="quilograma (kg)",SUM(EN5:EQ257)/1000000,IF(DV259="tonelada (t)",SUM(EN5:EQ257)/1000000000))))))</f>
        <v>0.25</v>
      </c>
      <c r="EO258" s="763"/>
      <c r="EP258" s="763"/>
      <c r="EQ258" s="764"/>
      <c r="ER258" s="772">
        <f ca="1">IF(DV5="","-",IF(DV259="micrograma (µg)",SUM(ER5:EU257)*1000,IF(DV259="miligrama (mg)",SUM(ER5:EU257),IF(DV259="grama (g)",SUM(ER5:EU257)/1000,IF(DV259="quilograma (kg)",SUM(ER5:EU257)/1000000,IF(DV259="tonelada (t)",SUM(ER5:EU257)/1000000000))))))</f>
        <v>9999.9976134005647</v>
      </c>
      <c r="ES258" s="773"/>
      <c r="ET258" s="773"/>
      <c r="EU258" s="774"/>
      <c r="EW258" s="778" t="s">
        <v>34</v>
      </c>
      <c r="EX258" s="779"/>
      <c r="EY258" s="779"/>
      <c r="EZ258" s="779"/>
      <c r="FA258" s="779"/>
      <c r="FB258" s="780" t="s">
        <v>29</v>
      </c>
      <c r="FC258" s="756" t="s">
        <v>114</v>
      </c>
      <c r="FD258" s="757"/>
      <c r="FE258" s="757"/>
      <c r="FF258" s="758"/>
      <c r="FG258" s="756">
        <f>IF(EW5="","-",SUM(FG5:FJ257))</f>
        <v>5.3710937500000026E-37</v>
      </c>
      <c r="FH258" s="757"/>
      <c r="FI258" s="757"/>
      <c r="FJ258" s="758"/>
      <c r="FK258" s="762">
        <f>IF(EW5="","-",IF(EW259="micrograma (µg)",SUM(FK5:FN257)*1000,IF(EW259="miligrama (mg)",SUM(FK5:FN257),IF(EW259="grama (g)",SUM(FK5:FN257)/1000,IF(EW259="quilograma (kg)",SUM(FK5:FN257)/1000000,IF(EW259="tonelada (t)",SUM(FK5:FN257)/1000000000))))))</f>
        <v>0</v>
      </c>
      <c r="FL258" s="763"/>
      <c r="FM258" s="763"/>
      <c r="FN258" s="764"/>
      <c r="FO258" s="762">
        <f>IF(EW5="","-",IF(EW259="micrograma (µg)",SUM(FO5:FR257)*1000,IF(EW259="miligrama (mg)",SUM(FO5:FR257),IF(EW259="grama (g)",SUM(FO5:FR257)/1000,IF(EW259="quilograma (kg)",SUM(FO5:FR257)/1000000,IF(EW259="tonelada (t)",SUM(FO5:FR257)/1000000000))))))</f>
        <v>0.27500000000000002</v>
      </c>
      <c r="FP258" s="763"/>
      <c r="FQ258" s="763"/>
      <c r="FR258" s="764"/>
      <c r="FS258" s="772">
        <f ca="1">IF(EW5="","-",IF(EW259="micrograma (µg)",SUM(FS5:FV257)*1000,IF(EW259="miligrama (mg)",SUM(FS5:FV257),IF(EW259="grama (g)",SUM(FS5:FV257)/1000,IF(EW259="quilograma (kg)",SUM(FS5:FV257)/1000000,IF(EW259="tonelada (t)",SUM(FS5:FV257)/1000000000))))))</f>
        <v>10999.997874740751</v>
      </c>
      <c r="FT258" s="773"/>
      <c r="FU258" s="773"/>
      <c r="FV258" s="774"/>
    </row>
    <row r="259" spans="1:180" ht="12.75" hidden="1" customHeight="1" x14ac:dyDescent="0.2">
      <c r="A259" s="727"/>
      <c r="B259" s="727"/>
      <c r="C259" s="727"/>
      <c r="D259" s="727"/>
      <c r="E259" s="727"/>
      <c r="F259" s="727"/>
      <c r="G259" s="727"/>
      <c r="H259" s="727"/>
      <c r="I259" s="727"/>
      <c r="J259" s="727"/>
      <c r="K259" s="727"/>
      <c r="L259" s="727"/>
      <c r="M259" s="727"/>
      <c r="N259" s="727"/>
      <c r="O259" s="727"/>
      <c r="P259" s="727"/>
      <c r="Q259" s="727"/>
      <c r="R259" s="727"/>
      <c r="S259" s="727"/>
      <c r="T259" s="727"/>
      <c r="U259" s="154"/>
      <c r="V259" s="38"/>
      <c r="W259" s="38"/>
      <c r="X259" s="38"/>
      <c r="Y259" s="38"/>
      <c r="Z259" s="38"/>
      <c r="AA259" s="154"/>
      <c r="AB259" s="154"/>
      <c r="AL259" s="3"/>
      <c r="AM259" s="3"/>
      <c r="AN259" s="3"/>
      <c r="AO259" s="3"/>
      <c r="AP259" s="3"/>
      <c r="AQ259" s="3"/>
      <c r="AR259" s="3"/>
      <c r="AS259" s="3"/>
      <c r="AT259" s="3"/>
      <c r="AU259" s="3"/>
      <c r="AV259" s="3"/>
      <c r="AW259" s="3"/>
      <c r="AX259" s="80"/>
      <c r="AY259" s="80"/>
      <c r="AZ259" s="74"/>
      <c r="BT259" s="782" t="str">
        <f>IF('Entrada de Dados'!$D$23="micrograma (µg)","micrograma (µg)",IF('Entrada de Dados'!$D$23="miligrama (mg)","miligrama (mg)",IF('Entrada de Dados'!$D$23="grama (g)","grama (g)",IF('Entrada de Dados'!$D$23="quilograma (kg)","quilograma (kg)","tonelada (t)"))))</f>
        <v>quilograma (kg)</v>
      </c>
      <c r="BU259" s="783"/>
      <c r="BV259" s="783"/>
      <c r="BW259" s="783"/>
      <c r="BX259" s="783"/>
      <c r="BY259" s="781"/>
      <c r="BZ259" s="759"/>
      <c r="CA259" s="760"/>
      <c r="CB259" s="760"/>
      <c r="CC259" s="761"/>
      <c r="CD259" s="759"/>
      <c r="CE259" s="760"/>
      <c r="CF259" s="760"/>
      <c r="CG259" s="761"/>
      <c r="CH259" s="765"/>
      <c r="CI259" s="766"/>
      <c r="CJ259" s="766"/>
      <c r="CK259" s="767"/>
      <c r="CL259" s="765"/>
      <c r="CM259" s="766"/>
      <c r="CN259" s="766"/>
      <c r="CO259" s="767"/>
      <c r="CP259" s="775"/>
      <c r="CQ259" s="776"/>
      <c r="CR259" s="776"/>
      <c r="CS259" s="777"/>
      <c r="CT259" s="225">
        <f t="array" aca="1" ref="CT259" ca="1">IF('Entrada de Dados'!$R$8="","-",IF(MIN(IF('Entrada de Dados'!$D$29:$D$32&gt;=ROUND(CP258,0),'Entrada de Dados'!$D$29:$D$32))&lt;='Entrada de Dados'!$R$8,'Entrada de Dados'!$R$9,'Entrada de Dados'!$R$13))</f>
        <v>20</v>
      </c>
      <c r="CU259" s="782" t="str">
        <f>IF('Entrada de Dados'!$D$23="micrograma (µg)","micrograma (µg)",IF('Entrada de Dados'!$D$23="miligrama (mg)","miligrama (mg)",IF('Entrada de Dados'!$D$23="grama (g)","grama (g)",IF('Entrada de Dados'!$D$23="quilograma (kg)","quilograma (kg)","tonelada (t)"))))</f>
        <v>quilograma (kg)</v>
      </c>
      <c r="CV259" s="783"/>
      <c r="CW259" s="783"/>
      <c r="CX259" s="783"/>
      <c r="CY259" s="783"/>
      <c r="CZ259" s="781"/>
      <c r="DA259" s="759"/>
      <c r="DB259" s="760"/>
      <c r="DC259" s="760"/>
      <c r="DD259" s="761"/>
      <c r="DE259" s="759"/>
      <c r="DF259" s="760"/>
      <c r="DG259" s="760"/>
      <c r="DH259" s="761"/>
      <c r="DI259" s="765"/>
      <c r="DJ259" s="766"/>
      <c r="DK259" s="766"/>
      <c r="DL259" s="767"/>
      <c r="DM259" s="765"/>
      <c r="DN259" s="766"/>
      <c r="DO259" s="766"/>
      <c r="DP259" s="767"/>
      <c r="DQ259" s="775"/>
      <c r="DR259" s="776"/>
      <c r="DS259" s="776"/>
      <c r="DT259" s="777"/>
      <c r="DU259" s="225">
        <f t="array" aca="1" ref="DU259" ca="1">IF('Entrada de Dados'!$R$8="","-",IF(MIN(IF('Entrada de Dados'!$D$29:$D$32&gt;=ROUND(DQ258,0),'Entrada de Dados'!$D$29:$D$32))&lt;='Entrada de Dados'!$R$8,'Entrada de Dados'!$R$9,'Entrada de Dados'!$R$13))</f>
        <v>20</v>
      </c>
      <c r="DV259" s="782" t="str">
        <f>IF('Entrada de Dados'!$D$23="micrograma (µg)","micrograma (µg)",IF('Entrada de Dados'!$D$23="miligrama (mg)","miligrama (mg)",IF('Entrada de Dados'!$D$23="grama (g)","grama (g)",IF('Entrada de Dados'!$D$23="quilograma (kg)","quilograma (kg)","tonelada (t)"))))</f>
        <v>quilograma (kg)</v>
      </c>
      <c r="DW259" s="783"/>
      <c r="DX259" s="783"/>
      <c r="DY259" s="783"/>
      <c r="DZ259" s="783"/>
      <c r="EA259" s="781"/>
      <c r="EB259" s="759"/>
      <c r="EC259" s="760"/>
      <c r="ED259" s="760"/>
      <c r="EE259" s="761"/>
      <c r="EF259" s="759"/>
      <c r="EG259" s="760"/>
      <c r="EH259" s="760"/>
      <c r="EI259" s="761"/>
      <c r="EJ259" s="765"/>
      <c r="EK259" s="766"/>
      <c r="EL259" s="766"/>
      <c r="EM259" s="767"/>
      <c r="EN259" s="765"/>
      <c r="EO259" s="766"/>
      <c r="EP259" s="766"/>
      <c r="EQ259" s="767"/>
      <c r="ER259" s="775"/>
      <c r="ES259" s="776"/>
      <c r="ET259" s="776"/>
      <c r="EU259" s="777"/>
      <c r="EV259" s="225">
        <f t="array" aca="1" ref="EV259" ca="1">IF('Entrada de Dados'!$R$8="","-",IF(MIN(IF('Entrada de Dados'!$D$29:$D$32&gt;=ROUND(ER258,0),'Entrada de Dados'!$D$29:$D$32))&lt;='Entrada de Dados'!$R$8,'Entrada de Dados'!$R$9,'Entrada de Dados'!$R$13))</f>
        <v>20</v>
      </c>
      <c r="EW259" s="782" t="str">
        <f>IF('Entrada de Dados'!$D$23="micrograma (µg)","micrograma (µg)",IF('Entrada de Dados'!$D$23="miligrama (mg)","miligrama (mg)",IF('Entrada de Dados'!$D$23="grama (g)","grama (g)",IF('Entrada de Dados'!$D$23="quilograma (kg)","quilograma (kg)","tonelada (t)"))))</f>
        <v>quilograma (kg)</v>
      </c>
      <c r="EX259" s="783"/>
      <c r="EY259" s="783"/>
      <c r="EZ259" s="783"/>
      <c r="FA259" s="783"/>
      <c r="FB259" s="781"/>
      <c r="FC259" s="759"/>
      <c r="FD259" s="760"/>
      <c r="FE259" s="760"/>
      <c r="FF259" s="761"/>
      <c r="FG259" s="759"/>
      <c r="FH259" s="760"/>
      <c r="FI259" s="760"/>
      <c r="FJ259" s="761"/>
      <c r="FK259" s="765"/>
      <c r="FL259" s="766"/>
      <c r="FM259" s="766"/>
      <c r="FN259" s="767"/>
      <c r="FO259" s="765"/>
      <c r="FP259" s="766"/>
      <c r="FQ259" s="766"/>
      <c r="FR259" s="767"/>
      <c r="FS259" s="775"/>
      <c r="FT259" s="776"/>
      <c r="FU259" s="776"/>
      <c r="FV259" s="777"/>
      <c r="FW259" s="225">
        <f t="array" aca="1" ref="FW259" ca="1">IF('Entrada de Dados'!$R$8="","-",IF(MIN(IF('Entrada de Dados'!$D$29:$D$32&gt;=ROUND(FS258,0),'Entrada de Dados'!$D$29:$D$32))&lt;='Entrada de Dados'!$R$8,'Entrada de Dados'!$R$9,'Entrada de Dados'!$R$13))</f>
        <v>20</v>
      </c>
    </row>
    <row r="260" spans="1:180" ht="12.75" hidden="1" customHeight="1" x14ac:dyDescent="0.2">
      <c r="A260" s="728"/>
      <c r="B260" s="729"/>
      <c r="C260" s="483"/>
      <c r="D260" s="729"/>
      <c r="E260" s="729"/>
      <c r="F260" s="729"/>
      <c r="G260" s="729"/>
      <c r="H260" s="483"/>
      <c r="I260" s="483"/>
      <c r="J260" s="483"/>
      <c r="K260" s="483"/>
      <c r="L260" s="483"/>
      <c r="M260" s="483"/>
      <c r="N260" s="483"/>
      <c r="O260" s="483"/>
      <c r="P260" s="483"/>
      <c r="Q260" s="483"/>
      <c r="R260" s="483"/>
      <c r="S260" s="483"/>
      <c r="T260" s="483"/>
      <c r="U260" s="96"/>
      <c r="V260" s="38"/>
      <c r="W260" s="38"/>
      <c r="X260" s="38"/>
      <c r="Y260" s="38"/>
      <c r="Z260" s="38"/>
      <c r="AA260" s="96"/>
      <c r="AB260" s="96"/>
      <c r="AL260" s="3"/>
      <c r="AM260" s="3"/>
      <c r="AN260" s="3"/>
      <c r="AO260" s="3"/>
      <c r="AP260" s="3"/>
      <c r="AQ260" s="3"/>
      <c r="AR260" s="3"/>
      <c r="AS260" s="3"/>
      <c r="AT260" s="3"/>
      <c r="AU260" s="3"/>
      <c r="AV260" s="3"/>
      <c r="AW260" s="3"/>
      <c r="AX260" s="81"/>
      <c r="AY260" s="80"/>
      <c r="AZ260" s="80"/>
      <c r="BT260" s="856" t="s">
        <v>170</v>
      </c>
      <c r="BU260" s="857"/>
      <c r="BV260" s="857"/>
      <c r="BW260" s="857"/>
      <c r="BX260" s="857"/>
      <c r="BY260" s="857"/>
      <c r="BZ260" s="857"/>
      <c r="CA260" s="857"/>
      <c r="CB260" s="857"/>
      <c r="CC260" s="857"/>
      <c r="CD260" s="857"/>
      <c r="CE260" s="857"/>
      <c r="CF260" s="857"/>
      <c r="CG260" s="857"/>
      <c r="CH260" s="857"/>
      <c r="CI260" s="857"/>
      <c r="CJ260" s="857"/>
      <c r="CK260" s="857"/>
      <c r="CL260" s="857"/>
      <c r="CM260" s="857"/>
      <c r="CN260" s="857"/>
      <c r="CO260" s="858"/>
      <c r="CP260" s="859">
        <f>IF('Entrada de Dados'!$H$29="","-",IF((STDEV('Entrada de Dados'!$H$29:$M$29))/SQRT((COUNTA('Entrada de Dados'!$H$29:$M$29)))=0,0.000000001,(STDEV('Entrada de Dados'!$H$29:$M$29)))/SQRT((COUNTA('Entrada de Dados'!$H$29:$M$29))))</f>
        <v>5.7735026918962588E-10</v>
      </c>
      <c r="CQ260" s="860"/>
      <c r="CR260" s="860"/>
      <c r="CS260" s="861"/>
      <c r="CT260" s="65">
        <f t="shared" ref="CT260:CT266" ca="1" si="84">IF(CP260="-","-",CP260/CP$266)</f>
        <v>9.9999987622348038E-11</v>
      </c>
      <c r="CU260" s="856" t="s">
        <v>170</v>
      </c>
      <c r="CV260" s="857"/>
      <c r="CW260" s="857"/>
      <c r="CX260" s="857"/>
      <c r="CY260" s="857"/>
      <c r="CZ260" s="857"/>
      <c r="DA260" s="857"/>
      <c r="DB260" s="857"/>
      <c r="DC260" s="857"/>
      <c r="DD260" s="857"/>
      <c r="DE260" s="857"/>
      <c r="DF260" s="857"/>
      <c r="DG260" s="857"/>
      <c r="DH260" s="857"/>
      <c r="DI260" s="857"/>
      <c r="DJ260" s="857"/>
      <c r="DK260" s="857"/>
      <c r="DL260" s="857"/>
      <c r="DM260" s="857"/>
      <c r="DN260" s="857"/>
      <c r="DO260" s="857"/>
      <c r="DP260" s="858"/>
      <c r="DQ260" s="859">
        <f>IF('Entrada de Dados'!$H$30="","-",IF((STDEV('Entrada de Dados'!$H$30:$M$30))/SQRT((COUNTA('Entrada de Dados'!$H$30:$M$30)))=0,0.000000001,(STDEV('Entrada de Dados'!$H$30:$M$30)))/SQRT((COUNTA('Entrada de Dados'!$H$30:$M$30))))</f>
        <v>5.7735026918962588E-10</v>
      </c>
      <c r="DR260" s="921"/>
      <c r="DS260" s="921"/>
      <c r="DT260" s="922"/>
      <c r="DU260" s="65">
        <f t="shared" ref="DU260:DU266" ca="1" si="85">IF(DQ260="-","-",DQ260/DQ$266)</f>
        <v>9.9976558245333476E-11</v>
      </c>
      <c r="DV260" s="856" t="s">
        <v>170</v>
      </c>
      <c r="DW260" s="857"/>
      <c r="DX260" s="857"/>
      <c r="DY260" s="857"/>
      <c r="DZ260" s="857"/>
      <c r="EA260" s="857"/>
      <c r="EB260" s="857"/>
      <c r="EC260" s="857"/>
      <c r="ED260" s="857"/>
      <c r="EE260" s="857"/>
      <c r="EF260" s="857"/>
      <c r="EG260" s="857"/>
      <c r="EH260" s="857"/>
      <c r="EI260" s="857"/>
      <c r="EJ260" s="857"/>
      <c r="EK260" s="857"/>
      <c r="EL260" s="857"/>
      <c r="EM260" s="857"/>
      <c r="EN260" s="857"/>
      <c r="EO260" s="857"/>
      <c r="EP260" s="857"/>
      <c r="EQ260" s="858"/>
      <c r="ER260" s="859">
        <f>IF('Entrada de Dados'!$H$31="","-",IF((STDEV('Entrada de Dados'!$H$31:$M$31))/SQRT((COUNTA('Entrada de Dados'!$H$31:$M$31)))=0,0.000000001,(STDEV('Entrada de Dados'!$H$31:$M$31)))/SQRT((COUNTA('Entrada de Dados'!$H$31:$M$31))))</f>
        <v>5.7735026918962588E-10</v>
      </c>
      <c r="ES260" s="921"/>
      <c r="ET260" s="921"/>
      <c r="EU260" s="922"/>
      <c r="EV260" s="65">
        <f t="shared" ref="EV260:EV266" ca="1" si="86">IF(ER260="-","-",ER260/ER$266)</f>
        <v>9.990633177063849E-11</v>
      </c>
      <c r="EW260" s="856" t="s">
        <v>170</v>
      </c>
      <c r="EX260" s="857"/>
      <c r="EY260" s="857"/>
      <c r="EZ260" s="857"/>
      <c r="FA260" s="857"/>
      <c r="FB260" s="857"/>
      <c r="FC260" s="857"/>
      <c r="FD260" s="857"/>
      <c r="FE260" s="857"/>
      <c r="FF260" s="857"/>
      <c r="FG260" s="857"/>
      <c r="FH260" s="857"/>
      <c r="FI260" s="857"/>
      <c r="FJ260" s="857"/>
      <c r="FK260" s="857"/>
      <c r="FL260" s="857"/>
      <c r="FM260" s="857"/>
      <c r="FN260" s="857"/>
      <c r="FO260" s="857"/>
      <c r="FP260" s="857"/>
      <c r="FQ260" s="857"/>
      <c r="FR260" s="858"/>
      <c r="FS260" s="859">
        <f>IF('Entrada de Dados'!$H$32="","-",IF((STDEV('Entrada de Dados'!$H$32:$M$32))/SQRT((COUNTA('Entrada de Dados'!$H$32:$M$32)))=0,0.000000001,(STDEV('Entrada de Dados'!$H$32:$M$32)))/SQRT((COUNTA('Entrada de Dados'!$H$32:$M$32))))</f>
        <v>5.7735026918962588E-10</v>
      </c>
      <c r="FT260" s="860"/>
      <c r="FU260" s="860"/>
      <c r="FV260" s="861"/>
      <c r="FW260" s="65">
        <f t="shared" ref="FW260:FW266" ca="1" si="87">IF(FS260="-","-",FS260/FS$266)</f>
        <v>9.9886694862173346E-11</v>
      </c>
    </row>
    <row r="261" spans="1:180" hidden="1" x14ac:dyDescent="0.2">
      <c r="A261" s="729"/>
      <c r="B261" s="729"/>
      <c r="C261" s="729"/>
      <c r="D261" s="730"/>
      <c r="E261" s="730"/>
      <c r="F261" s="730"/>
      <c r="G261" s="729"/>
      <c r="H261" s="588"/>
      <c r="I261" s="588"/>
      <c r="J261" s="588"/>
      <c r="K261" s="588"/>
      <c r="L261" s="588"/>
      <c r="M261" s="588"/>
      <c r="N261" s="588"/>
      <c r="O261" s="588"/>
      <c r="P261" s="588"/>
      <c r="Q261" s="588"/>
      <c r="R261" s="588"/>
      <c r="S261" s="588"/>
      <c r="T261" s="588"/>
      <c r="U261" s="71"/>
      <c r="V261" s="38"/>
      <c r="W261" s="38"/>
      <c r="X261" s="38"/>
      <c r="Y261" s="38"/>
      <c r="Z261" s="38"/>
      <c r="AA261" s="71"/>
      <c r="AB261" s="71"/>
      <c r="AL261" s="135"/>
      <c r="AM261" s="135"/>
      <c r="AN261" s="135"/>
      <c r="AO261" s="135"/>
      <c r="AR261" s="3"/>
      <c r="AS261" s="3"/>
      <c r="AT261" s="3"/>
      <c r="AU261" s="3"/>
      <c r="AV261" s="135"/>
      <c r="AW261" s="135"/>
      <c r="AX261" s="135"/>
      <c r="BT261" s="768" t="s">
        <v>171</v>
      </c>
      <c r="BU261" s="712"/>
      <c r="BV261" s="712"/>
      <c r="BW261" s="712"/>
      <c r="BX261" s="712"/>
      <c r="BY261" s="712"/>
      <c r="BZ261" s="712"/>
      <c r="CA261" s="712"/>
      <c r="CB261" s="712"/>
      <c r="CC261" s="712"/>
      <c r="CD261" s="712"/>
      <c r="CE261" s="712"/>
      <c r="CF261" s="712"/>
      <c r="CG261" s="712"/>
      <c r="CH261" s="712"/>
      <c r="CI261" s="712"/>
      <c r="CJ261" s="712"/>
      <c r="CK261" s="712"/>
      <c r="CL261" s="712"/>
      <c r="CM261" s="712"/>
      <c r="CN261" s="712"/>
      <c r="CO261" s="713"/>
      <c r="CP261" s="769">
        <f>IF(BT5="","-",CL258)</f>
        <v>2.8632911392405063E-3</v>
      </c>
      <c r="CQ261" s="770"/>
      <c r="CR261" s="770"/>
      <c r="CS261" s="771"/>
      <c r="CT261" s="65">
        <f t="shared" ca="1" si="84"/>
        <v>4.9593651161732987E-4</v>
      </c>
      <c r="CU261" s="768" t="s">
        <v>171</v>
      </c>
      <c r="CV261" s="712"/>
      <c r="CW261" s="712"/>
      <c r="CX261" s="712"/>
      <c r="CY261" s="712"/>
      <c r="CZ261" s="712"/>
      <c r="DA261" s="712"/>
      <c r="DB261" s="712"/>
      <c r="DC261" s="712"/>
      <c r="DD261" s="712"/>
      <c r="DE261" s="712"/>
      <c r="DF261" s="712"/>
      <c r="DG261" s="712"/>
      <c r="DH261" s="712"/>
      <c r="DI261" s="712"/>
      <c r="DJ261" s="712"/>
      <c r="DK261" s="712"/>
      <c r="DL261" s="712"/>
      <c r="DM261" s="712"/>
      <c r="DN261" s="712"/>
      <c r="DO261" s="712"/>
      <c r="DP261" s="713"/>
      <c r="DQ261" s="769">
        <f>IF(CU5="","-",DM258)</f>
        <v>0.125</v>
      </c>
      <c r="DR261" s="770"/>
      <c r="DS261" s="770"/>
      <c r="DT261" s="771"/>
      <c r="DU261" s="65">
        <f t="shared" ca="1" si="85"/>
        <v>2.1645559805848338E-2</v>
      </c>
      <c r="DV261" s="768" t="s">
        <v>171</v>
      </c>
      <c r="DW261" s="712"/>
      <c r="DX261" s="712"/>
      <c r="DY261" s="712"/>
      <c r="DZ261" s="712"/>
      <c r="EA261" s="712"/>
      <c r="EB261" s="712"/>
      <c r="EC261" s="712"/>
      <c r="ED261" s="712"/>
      <c r="EE261" s="712"/>
      <c r="EF261" s="712"/>
      <c r="EG261" s="712"/>
      <c r="EH261" s="712"/>
      <c r="EI261" s="712"/>
      <c r="EJ261" s="712"/>
      <c r="EK261" s="712"/>
      <c r="EL261" s="712"/>
      <c r="EM261" s="712"/>
      <c r="EN261" s="712"/>
      <c r="EO261" s="712"/>
      <c r="EP261" s="712"/>
      <c r="EQ261" s="713"/>
      <c r="ER261" s="769">
        <f>IF(DV5="","-",EN258)</f>
        <v>0.25</v>
      </c>
      <c r="ES261" s="770"/>
      <c r="ET261" s="770"/>
      <c r="EU261" s="771"/>
      <c r="EV261" s="65">
        <f t="shared" ca="1" si="86"/>
        <v>4.3260710656144633E-2</v>
      </c>
      <c r="EW261" s="768" t="s">
        <v>171</v>
      </c>
      <c r="EX261" s="712"/>
      <c r="EY261" s="712"/>
      <c r="EZ261" s="712"/>
      <c r="FA261" s="712"/>
      <c r="FB261" s="712"/>
      <c r="FC261" s="712"/>
      <c r="FD261" s="712"/>
      <c r="FE261" s="712"/>
      <c r="FF261" s="712"/>
      <c r="FG261" s="712"/>
      <c r="FH261" s="712"/>
      <c r="FI261" s="712"/>
      <c r="FJ261" s="712"/>
      <c r="FK261" s="712"/>
      <c r="FL261" s="712"/>
      <c r="FM261" s="712"/>
      <c r="FN261" s="712"/>
      <c r="FO261" s="712"/>
      <c r="FP261" s="712"/>
      <c r="FQ261" s="712"/>
      <c r="FR261" s="713"/>
      <c r="FS261" s="769">
        <f>IF(EW5="","-",FO258)</f>
        <v>0.27500000000000002</v>
      </c>
      <c r="FT261" s="770"/>
      <c r="FU261" s="770"/>
      <c r="FV261" s="771"/>
      <c r="FW261" s="65">
        <f t="shared" ca="1" si="87"/>
        <v>4.7577428387888678E-2</v>
      </c>
    </row>
    <row r="262" spans="1:180" hidden="1" x14ac:dyDescent="0.2">
      <c r="A262" s="729"/>
      <c r="B262" s="729"/>
      <c r="C262" s="729"/>
      <c r="D262" s="729"/>
      <c r="E262" s="729"/>
      <c r="F262" s="729"/>
      <c r="G262" s="729"/>
      <c r="H262" s="588"/>
      <c r="I262" s="588"/>
      <c r="J262" s="588"/>
      <c r="K262" s="588"/>
      <c r="L262" s="588"/>
      <c r="M262" s="588"/>
      <c r="N262" s="588"/>
      <c r="O262" s="588"/>
      <c r="P262" s="588"/>
      <c r="Q262" s="588"/>
      <c r="R262" s="588"/>
      <c r="S262" s="588"/>
      <c r="T262" s="588"/>
      <c r="U262" s="71"/>
      <c r="V262" s="38"/>
      <c r="W262" s="38"/>
      <c r="X262" s="38"/>
      <c r="Y262" s="38"/>
      <c r="Z262" s="38"/>
      <c r="AA262" s="71"/>
      <c r="AB262" s="71"/>
      <c r="AL262" s="135"/>
      <c r="AM262" s="135"/>
      <c r="AN262" s="135"/>
      <c r="AO262" s="135"/>
      <c r="AR262" s="3"/>
      <c r="AS262" s="3"/>
      <c r="AT262" s="3"/>
      <c r="AU262" s="3"/>
      <c r="AV262" s="135"/>
      <c r="AW262" s="135"/>
      <c r="AX262" s="135"/>
      <c r="BT262" s="768" t="s">
        <v>172</v>
      </c>
      <c r="BU262" s="712"/>
      <c r="BV262" s="712"/>
      <c r="BW262" s="712"/>
      <c r="BX262" s="712"/>
      <c r="BY262" s="712"/>
      <c r="BZ262" s="712"/>
      <c r="CA262" s="712"/>
      <c r="CB262" s="712"/>
      <c r="CC262" s="712"/>
      <c r="CD262" s="712"/>
      <c r="CE262" s="712"/>
      <c r="CF262" s="712"/>
      <c r="CG262" s="712"/>
      <c r="CH262" s="712"/>
      <c r="CI262" s="712"/>
      <c r="CJ262" s="712"/>
      <c r="CK262" s="712"/>
      <c r="CL262" s="712"/>
      <c r="CM262" s="712"/>
      <c r="CN262" s="712"/>
      <c r="CO262" s="713"/>
      <c r="CP262" s="769">
        <f ca="1">IF('Entrada de Dados'!$R$9="","-",CT259/(2*SQRT(3)))</f>
        <v>5.7735026918962582</v>
      </c>
      <c r="CQ262" s="770"/>
      <c r="CR262" s="770"/>
      <c r="CS262" s="771"/>
      <c r="CT262" s="65">
        <f t="shared" ca="1" si="84"/>
        <v>0.9999998762234803</v>
      </c>
      <c r="CU262" s="768" t="s">
        <v>172</v>
      </c>
      <c r="CV262" s="712"/>
      <c r="CW262" s="712"/>
      <c r="CX262" s="712"/>
      <c r="CY262" s="712"/>
      <c r="CZ262" s="712"/>
      <c r="DA262" s="712"/>
      <c r="DB262" s="712"/>
      <c r="DC262" s="712"/>
      <c r="DD262" s="712"/>
      <c r="DE262" s="712"/>
      <c r="DF262" s="712"/>
      <c r="DG262" s="712"/>
      <c r="DH262" s="712"/>
      <c r="DI262" s="712"/>
      <c r="DJ262" s="712"/>
      <c r="DK262" s="712"/>
      <c r="DL262" s="712"/>
      <c r="DM262" s="712"/>
      <c r="DN262" s="712"/>
      <c r="DO262" s="712"/>
      <c r="DP262" s="713"/>
      <c r="DQ262" s="769">
        <f ca="1">IF('Entrada de Dados'!$R$9="","-",DU259/(2*SQRT(3)))</f>
        <v>5.7735026918962582</v>
      </c>
      <c r="DR262" s="770"/>
      <c r="DS262" s="770"/>
      <c r="DT262" s="771"/>
      <c r="DU262" s="65">
        <f t="shared" ca="1" si="85"/>
        <v>0.99976558245333469</v>
      </c>
      <c r="DV262" s="768" t="s">
        <v>172</v>
      </c>
      <c r="DW262" s="712"/>
      <c r="DX262" s="712"/>
      <c r="DY262" s="712"/>
      <c r="DZ262" s="712"/>
      <c r="EA262" s="712"/>
      <c r="EB262" s="712"/>
      <c r="EC262" s="712"/>
      <c r="ED262" s="712"/>
      <c r="EE262" s="712"/>
      <c r="EF262" s="712"/>
      <c r="EG262" s="712"/>
      <c r="EH262" s="712"/>
      <c r="EI262" s="712"/>
      <c r="EJ262" s="712"/>
      <c r="EK262" s="712"/>
      <c r="EL262" s="712"/>
      <c r="EM262" s="712"/>
      <c r="EN262" s="712"/>
      <c r="EO262" s="712"/>
      <c r="EP262" s="712"/>
      <c r="EQ262" s="713"/>
      <c r="ER262" s="769">
        <f ca="1">IF('Entrada de Dados'!$R$9="","-",EV259/(2*SQRT(3)))</f>
        <v>5.7735026918962582</v>
      </c>
      <c r="ES262" s="770"/>
      <c r="ET262" s="770"/>
      <c r="EU262" s="771"/>
      <c r="EV262" s="65">
        <f t="shared" ca="1" si="86"/>
        <v>0.99906331770638479</v>
      </c>
      <c r="EW262" s="768" t="s">
        <v>172</v>
      </c>
      <c r="EX262" s="712"/>
      <c r="EY262" s="712"/>
      <c r="EZ262" s="712"/>
      <c r="FA262" s="712"/>
      <c r="FB262" s="712"/>
      <c r="FC262" s="712"/>
      <c r="FD262" s="712"/>
      <c r="FE262" s="712"/>
      <c r="FF262" s="712"/>
      <c r="FG262" s="712"/>
      <c r="FH262" s="712"/>
      <c r="FI262" s="712"/>
      <c r="FJ262" s="712"/>
      <c r="FK262" s="712"/>
      <c r="FL262" s="712"/>
      <c r="FM262" s="712"/>
      <c r="FN262" s="712"/>
      <c r="FO262" s="712"/>
      <c r="FP262" s="712"/>
      <c r="FQ262" s="712"/>
      <c r="FR262" s="713"/>
      <c r="FS262" s="769">
        <f ca="1">IF('Entrada de Dados'!$R$9="","-",FW259/(2*SQRT(3)))</f>
        <v>5.7735026918962582</v>
      </c>
      <c r="FT262" s="770"/>
      <c r="FU262" s="770"/>
      <c r="FV262" s="771"/>
      <c r="FW262" s="65">
        <f t="shared" ca="1" si="87"/>
        <v>0.99886694862173342</v>
      </c>
    </row>
    <row r="263" spans="1:180" hidden="1" x14ac:dyDescent="0.2">
      <c r="A263" s="707"/>
      <c r="B263" s="707"/>
      <c r="C263" s="707"/>
      <c r="D263" s="707"/>
      <c r="E263" s="707"/>
      <c r="F263" s="707"/>
      <c r="G263" s="707"/>
      <c r="H263" s="706"/>
      <c r="I263" s="706"/>
      <c r="J263" s="706"/>
      <c r="K263" s="706"/>
      <c r="L263" s="706"/>
      <c r="M263" s="706"/>
      <c r="N263" s="706"/>
      <c r="O263" s="706"/>
      <c r="P263" s="706"/>
      <c r="Q263" s="706"/>
      <c r="R263" s="706"/>
      <c r="S263" s="706"/>
      <c r="T263" s="706"/>
      <c r="U263" s="155"/>
      <c r="AA263" s="155"/>
      <c r="AB263" s="155"/>
      <c r="AL263" s="74"/>
      <c r="AM263" s="74"/>
      <c r="AN263" s="74"/>
      <c r="AO263" s="74"/>
      <c r="AP263" s="74"/>
      <c r="AQ263" s="74"/>
      <c r="AR263" s="74"/>
      <c r="AS263" s="74"/>
      <c r="AT263" s="74"/>
      <c r="AU263" s="74"/>
      <c r="AV263" s="74"/>
      <c r="AW263" s="74"/>
      <c r="AX263" s="74"/>
      <c r="AY263" s="74"/>
      <c r="AZ263" s="74"/>
      <c r="BH263" s="74"/>
      <c r="BT263" s="768" t="s">
        <v>109</v>
      </c>
      <c r="BU263" s="712"/>
      <c r="BV263" s="712"/>
      <c r="BW263" s="712"/>
      <c r="BX263" s="712"/>
      <c r="BY263" s="712"/>
      <c r="BZ263" s="712"/>
      <c r="CA263" s="712"/>
      <c r="CB263" s="712"/>
      <c r="CC263" s="712"/>
      <c r="CD263" s="712"/>
      <c r="CE263" s="712"/>
      <c r="CF263" s="712"/>
      <c r="CG263" s="712"/>
      <c r="CH263" s="712"/>
      <c r="CI263" s="712"/>
      <c r="CJ263" s="712"/>
      <c r="CK263" s="712"/>
      <c r="CL263" s="712"/>
      <c r="CM263" s="712"/>
      <c r="CN263" s="712"/>
      <c r="CO263" s="713"/>
      <c r="CP263" s="769">
        <f>IF(BT5="","-",CH258)</f>
        <v>0</v>
      </c>
      <c r="CQ263" s="770"/>
      <c r="CR263" s="770"/>
      <c r="CS263" s="771"/>
      <c r="CT263" s="65">
        <f t="shared" ca="1" si="84"/>
        <v>0</v>
      </c>
      <c r="CU263" s="768" t="s">
        <v>109</v>
      </c>
      <c r="CV263" s="712"/>
      <c r="CW263" s="712"/>
      <c r="CX263" s="712"/>
      <c r="CY263" s="712"/>
      <c r="CZ263" s="712"/>
      <c r="DA263" s="712"/>
      <c r="DB263" s="712"/>
      <c r="DC263" s="712"/>
      <c r="DD263" s="712"/>
      <c r="DE263" s="712"/>
      <c r="DF263" s="712"/>
      <c r="DG263" s="712"/>
      <c r="DH263" s="712"/>
      <c r="DI263" s="712"/>
      <c r="DJ263" s="712"/>
      <c r="DK263" s="712"/>
      <c r="DL263" s="712"/>
      <c r="DM263" s="712"/>
      <c r="DN263" s="712"/>
      <c r="DO263" s="712"/>
      <c r="DP263" s="713"/>
      <c r="DQ263" s="769">
        <f>IF(CU5="","-",DI258)</f>
        <v>0</v>
      </c>
      <c r="DR263" s="770"/>
      <c r="DS263" s="770"/>
      <c r="DT263" s="771"/>
      <c r="DU263" s="65">
        <f t="shared" ca="1" si="85"/>
        <v>0</v>
      </c>
      <c r="DV263" s="768" t="s">
        <v>109</v>
      </c>
      <c r="DW263" s="712"/>
      <c r="DX263" s="712"/>
      <c r="DY263" s="712"/>
      <c r="DZ263" s="712"/>
      <c r="EA263" s="712"/>
      <c r="EB263" s="712"/>
      <c r="EC263" s="712"/>
      <c r="ED263" s="712"/>
      <c r="EE263" s="712"/>
      <c r="EF263" s="712"/>
      <c r="EG263" s="712"/>
      <c r="EH263" s="712"/>
      <c r="EI263" s="712"/>
      <c r="EJ263" s="712"/>
      <c r="EK263" s="712"/>
      <c r="EL263" s="712"/>
      <c r="EM263" s="712"/>
      <c r="EN263" s="712"/>
      <c r="EO263" s="712"/>
      <c r="EP263" s="712"/>
      <c r="EQ263" s="713"/>
      <c r="ER263" s="769">
        <f>IF(DV5="","-",EJ258)</f>
        <v>0</v>
      </c>
      <c r="ES263" s="770"/>
      <c r="ET263" s="770"/>
      <c r="EU263" s="771"/>
      <c r="EV263" s="65">
        <f t="shared" ca="1" si="86"/>
        <v>0</v>
      </c>
      <c r="EW263" s="768" t="s">
        <v>109</v>
      </c>
      <c r="EX263" s="712"/>
      <c r="EY263" s="712"/>
      <c r="EZ263" s="712"/>
      <c r="FA263" s="712"/>
      <c r="FB263" s="712"/>
      <c r="FC263" s="712"/>
      <c r="FD263" s="712"/>
      <c r="FE263" s="712"/>
      <c r="FF263" s="712"/>
      <c r="FG263" s="712"/>
      <c r="FH263" s="712"/>
      <c r="FI263" s="712"/>
      <c r="FJ263" s="712"/>
      <c r="FK263" s="712"/>
      <c r="FL263" s="712"/>
      <c r="FM263" s="712"/>
      <c r="FN263" s="712"/>
      <c r="FO263" s="712"/>
      <c r="FP263" s="712"/>
      <c r="FQ263" s="712"/>
      <c r="FR263" s="713"/>
      <c r="FS263" s="769">
        <f>IF(EW5="","-",FK258)</f>
        <v>0</v>
      </c>
      <c r="FT263" s="770"/>
      <c r="FU263" s="770"/>
      <c r="FV263" s="771"/>
      <c r="FW263" s="65">
        <f t="shared" ca="1" si="87"/>
        <v>0</v>
      </c>
    </row>
    <row r="264" spans="1:180" hidden="1" x14ac:dyDescent="0.2">
      <c r="A264" s="707"/>
      <c r="B264" s="707"/>
      <c r="C264" s="707"/>
      <c r="D264" s="707"/>
      <c r="E264" s="707"/>
      <c r="F264" s="707"/>
      <c r="G264" s="707"/>
      <c r="H264" s="706"/>
      <c r="I264" s="706"/>
      <c r="J264" s="706"/>
      <c r="K264" s="706"/>
      <c r="L264" s="706"/>
      <c r="M264" s="706"/>
      <c r="N264" s="706"/>
      <c r="O264" s="706"/>
      <c r="P264" s="706"/>
      <c r="Q264" s="706"/>
      <c r="R264" s="706"/>
      <c r="S264" s="706"/>
      <c r="T264" s="706"/>
      <c r="U264" s="155"/>
      <c r="AA264" s="155"/>
      <c r="AB264" s="155"/>
      <c r="AL264" s="74"/>
      <c r="AM264" s="74"/>
      <c r="AN264" s="74"/>
      <c r="AO264" s="74"/>
      <c r="AP264" s="74"/>
      <c r="AQ264" s="74"/>
      <c r="AR264" s="74"/>
      <c r="AS264" s="74"/>
      <c r="AT264" s="74"/>
      <c r="AU264" s="74"/>
      <c r="AV264" s="74"/>
      <c r="AW264" s="74"/>
      <c r="AX264" s="74"/>
      <c r="AY264" s="74"/>
      <c r="AZ264" s="74"/>
      <c r="BH264" s="74"/>
      <c r="BT264" s="768" t="s">
        <v>173</v>
      </c>
      <c r="BU264" s="712"/>
      <c r="BV264" s="712"/>
      <c r="BW264" s="712"/>
      <c r="BX264" s="712"/>
      <c r="BY264" s="712"/>
      <c r="BZ264" s="712"/>
      <c r="CA264" s="712"/>
      <c r="CB264" s="712"/>
      <c r="CC264" s="712"/>
      <c r="CD264" s="712"/>
      <c r="CE264" s="712"/>
      <c r="CF264" s="712"/>
      <c r="CG264" s="712"/>
      <c r="CH264" s="712"/>
      <c r="CI264" s="712"/>
      <c r="CJ264" s="712"/>
      <c r="CK264" s="712"/>
      <c r="CL264" s="712"/>
      <c r="CM264" s="712"/>
      <c r="CN264" s="712"/>
      <c r="CO264" s="713"/>
      <c r="CP264" s="769">
        <f ca="1">IF(BT5="","-",CP258*0.000001/SQRT(3))</f>
        <v>2.3094016802978107E-4</v>
      </c>
      <c r="CQ264" s="770"/>
      <c r="CR264" s="770"/>
      <c r="CS264" s="771"/>
      <c r="CT264" s="65">
        <f t="shared" ca="1" si="84"/>
        <v>4.000000550254537E-5</v>
      </c>
      <c r="CU264" s="768" t="s">
        <v>173</v>
      </c>
      <c r="CV264" s="712"/>
      <c r="CW264" s="712"/>
      <c r="CX264" s="712"/>
      <c r="CY264" s="712"/>
      <c r="CZ264" s="712"/>
      <c r="DA264" s="712"/>
      <c r="DB264" s="712"/>
      <c r="DC264" s="712"/>
      <c r="DD264" s="712"/>
      <c r="DE264" s="712"/>
      <c r="DF264" s="712"/>
      <c r="DG264" s="712"/>
      <c r="DH264" s="712"/>
      <c r="DI264" s="712"/>
      <c r="DJ264" s="712"/>
      <c r="DK264" s="712"/>
      <c r="DL264" s="712"/>
      <c r="DM264" s="712"/>
      <c r="DN264" s="712"/>
      <c r="DO264" s="712"/>
      <c r="DP264" s="713"/>
      <c r="DQ264" s="769">
        <f ca="1">IF(CU5="","-",DQ258*0.000001/SQRT(3))</f>
        <v>2.886749213620165E-3</v>
      </c>
      <c r="DR264" s="770"/>
      <c r="DS264" s="770"/>
      <c r="DT264" s="771"/>
      <c r="DU264" s="65">
        <f t="shared" ca="1" si="85"/>
        <v>4.998824219832076E-4</v>
      </c>
      <c r="DV264" s="768" t="s">
        <v>173</v>
      </c>
      <c r="DW264" s="712"/>
      <c r="DX264" s="712"/>
      <c r="DY264" s="712"/>
      <c r="DZ264" s="712"/>
      <c r="EA264" s="712"/>
      <c r="EB264" s="712"/>
      <c r="EC264" s="712"/>
      <c r="ED264" s="712"/>
      <c r="EE264" s="712"/>
      <c r="EF264" s="712"/>
      <c r="EG264" s="712"/>
      <c r="EH264" s="712"/>
      <c r="EI264" s="712"/>
      <c r="EJ264" s="712"/>
      <c r="EK264" s="712"/>
      <c r="EL264" s="712"/>
      <c r="EM264" s="712"/>
      <c r="EN264" s="712"/>
      <c r="EO264" s="712"/>
      <c r="EP264" s="712"/>
      <c r="EQ264" s="713"/>
      <c r="ER264" s="769">
        <f ca="1">IF(DV5="","-",ER258*0.000001/SQRT(3))</f>
        <v>5.7735013139924313E-3</v>
      </c>
      <c r="ES264" s="770"/>
      <c r="ET264" s="770"/>
      <c r="EU264" s="771"/>
      <c r="EV264" s="65">
        <f t="shared" ca="1" si="86"/>
        <v>9.9906307926998978E-4</v>
      </c>
      <c r="EW264" s="768" t="s">
        <v>173</v>
      </c>
      <c r="EX264" s="712"/>
      <c r="EY264" s="712"/>
      <c r="EZ264" s="712"/>
      <c r="FA264" s="712"/>
      <c r="FB264" s="712"/>
      <c r="FC264" s="712"/>
      <c r="FD264" s="712"/>
      <c r="FE264" s="712"/>
      <c r="FF264" s="712"/>
      <c r="FG264" s="712"/>
      <c r="FH264" s="712"/>
      <c r="FI264" s="712"/>
      <c r="FJ264" s="712"/>
      <c r="FK264" s="712"/>
      <c r="FL264" s="712"/>
      <c r="FM264" s="712"/>
      <c r="FN264" s="712"/>
      <c r="FO264" s="712"/>
      <c r="FP264" s="712"/>
      <c r="FQ264" s="712"/>
      <c r="FR264" s="713"/>
      <c r="FS264" s="769">
        <f ca="1">IF(EW5="","-",FS258*0.000001/SQRT(3))</f>
        <v>6.3508517340668848E-3</v>
      </c>
      <c r="FT264" s="770"/>
      <c r="FU264" s="770"/>
      <c r="FV264" s="771"/>
      <c r="FW264" s="65">
        <f t="shared" ca="1" si="87"/>
        <v>1.0987534311987846E-3</v>
      </c>
    </row>
    <row r="265" spans="1:180" ht="12.75" hidden="1" customHeight="1" x14ac:dyDescent="0.2">
      <c r="A265" s="707"/>
      <c r="B265" s="707"/>
      <c r="C265" s="707"/>
      <c r="D265" s="707"/>
      <c r="E265" s="707"/>
      <c r="F265" s="707"/>
      <c r="G265" s="707"/>
      <c r="H265" s="706"/>
      <c r="I265" s="706"/>
      <c r="J265" s="706"/>
      <c r="K265" s="706"/>
      <c r="L265" s="706"/>
      <c r="M265" s="706"/>
      <c r="N265" s="706"/>
      <c r="O265" s="706"/>
      <c r="P265" s="706"/>
      <c r="Q265" s="706"/>
      <c r="R265" s="706"/>
      <c r="S265" s="706"/>
      <c r="T265" s="706"/>
      <c r="U265" s="155"/>
      <c r="AA265" s="155"/>
      <c r="AB265" s="155"/>
      <c r="AL265" s="38"/>
      <c r="AM265" s="161"/>
      <c r="AN265" s="161"/>
      <c r="AO265" s="161"/>
      <c r="AP265" s="161"/>
      <c r="AQ265" s="161"/>
      <c r="AR265" s="161"/>
      <c r="AS265" s="161"/>
      <c r="AT265" s="161"/>
      <c r="AU265" s="161"/>
      <c r="AV265" s="161"/>
      <c r="AW265" s="161"/>
      <c r="AX265" s="74"/>
      <c r="AY265" s="74"/>
      <c r="AZ265" s="74"/>
      <c r="BT265" s="768" t="s">
        <v>174</v>
      </c>
      <c r="BU265" s="712"/>
      <c r="BV265" s="712"/>
      <c r="BW265" s="712"/>
      <c r="BX265" s="712"/>
      <c r="BY265" s="712"/>
      <c r="BZ265" s="712"/>
      <c r="CA265" s="712"/>
      <c r="CB265" s="712"/>
      <c r="CC265" s="712"/>
      <c r="CD265" s="712"/>
      <c r="CE265" s="712"/>
      <c r="CF265" s="712"/>
      <c r="CG265" s="712"/>
      <c r="CH265" s="712"/>
      <c r="CI265" s="712"/>
      <c r="CJ265" s="712"/>
      <c r="CK265" s="712"/>
      <c r="CL265" s="712"/>
      <c r="CM265" s="712"/>
      <c r="CN265" s="712"/>
      <c r="CO265" s="713"/>
      <c r="CP265" s="769">
        <f ca="1">IF(CP260="-","-",IF('Anexo 1'!$F$12="-",0,MAX(ABS('Anexo 1'!$I$14),ABS('Anexo 1'!$I$15),ABS('Anexo 1'!$I$16),ABS('Anexo 1'!$I$17))/(10*SQRT(3))))</f>
        <v>0</v>
      </c>
      <c r="CQ265" s="770"/>
      <c r="CR265" s="770"/>
      <c r="CS265" s="771"/>
      <c r="CT265" s="65">
        <f t="shared" ca="1" si="84"/>
        <v>0</v>
      </c>
      <c r="CU265" s="768" t="s">
        <v>174</v>
      </c>
      <c r="CV265" s="712"/>
      <c r="CW265" s="712"/>
      <c r="CX265" s="712"/>
      <c r="CY265" s="712"/>
      <c r="CZ265" s="712"/>
      <c r="DA265" s="712"/>
      <c r="DB265" s="712"/>
      <c r="DC265" s="712"/>
      <c r="DD265" s="712"/>
      <c r="DE265" s="712"/>
      <c r="DF265" s="712"/>
      <c r="DG265" s="712"/>
      <c r="DH265" s="712"/>
      <c r="DI265" s="712"/>
      <c r="DJ265" s="712"/>
      <c r="DK265" s="712"/>
      <c r="DL265" s="712"/>
      <c r="DM265" s="712"/>
      <c r="DN265" s="712"/>
      <c r="DO265" s="712"/>
      <c r="DP265" s="713"/>
      <c r="DQ265" s="769">
        <f ca="1">IF(DQ260="-","-",IF('Anexo 1'!$F$12="-",0,MAX(ABS('Anexo 1'!$I$14),ABS('Anexo 1'!$I$15),ABS('Anexo 1'!$I$16),ABS('Anexo 1'!$I$17))/(10*SQRT(3))))</f>
        <v>0</v>
      </c>
      <c r="DR265" s="770"/>
      <c r="DS265" s="770"/>
      <c r="DT265" s="771"/>
      <c r="DU265" s="65">
        <f t="shared" ca="1" si="85"/>
        <v>0</v>
      </c>
      <c r="DV265" s="768" t="s">
        <v>174</v>
      </c>
      <c r="DW265" s="712"/>
      <c r="DX265" s="712"/>
      <c r="DY265" s="712"/>
      <c r="DZ265" s="712"/>
      <c r="EA265" s="712"/>
      <c r="EB265" s="712"/>
      <c r="EC265" s="712"/>
      <c r="ED265" s="712"/>
      <c r="EE265" s="712"/>
      <c r="EF265" s="712"/>
      <c r="EG265" s="712"/>
      <c r="EH265" s="712"/>
      <c r="EI265" s="712"/>
      <c r="EJ265" s="712"/>
      <c r="EK265" s="712"/>
      <c r="EL265" s="712"/>
      <c r="EM265" s="712"/>
      <c r="EN265" s="712"/>
      <c r="EO265" s="712"/>
      <c r="EP265" s="712"/>
      <c r="EQ265" s="713"/>
      <c r="ER265" s="769">
        <f ca="1">IF(ER260="-","-",IF('Anexo 1'!$F$12="-",0,MAX(ABS('Anexo 1'!$I$14),ABS('Anexo 1'!$I$15),ABS('Anexo 1'!$I$16),ABS('Anexo 1'!$I$17))/(10*SQRT(3))))</f>
        <v>0</v>
      </c>
      <c r="ES265" s="770"/>
      <c r="ET265" s="770"/>
      <c r="EU265" s="771"/>
      <c r="EV265" s="65">
        <f t="shared" ca="1" si="86"/>
        <v>0</v>
      </c>
      <c r="EW265" s="768" t="s">
        <v>174</v>
      </c>
      <c r="EX265" s="712"/>
      <c r="EY265" s="712"/>
      <c r="EZ265" s="712"/>
      <c r="FA265" s="712"/>
      <c r="FB265" s="712"/>
      <c r="FC265" s="712"/>
      <c r="FD265" s="712"/>
      <c r="FE265" s="712"/>
      <c r="FF265" s="712"/>
      <c r="FG265" s="712"/>
      <c r="FH265" s="712"/>
      <c r="FI265" s="712"/>
      <c r="FJ265" s="712"/>
      <c r="FK265" s="712"/>
      <c r="FL265" s="712"/>
      <c r="FM265" s="712"/>
      <c r="FN265" s="712"/>
      <c r="FO265" s="712"/>
      <c r="FP265" s="712"/>
      <c r="FQ265" s="712"/>
      <c r="FR265" s="713"/>
      <c r="FS265" s="769">
        <f ca="1">IF(FS260="-","-",IF('Anexo 1'!$F$12="-",0,MAX(ABS('Anexo 1'!$I$14),ABS('Anexo 1'!$I$15),ABS('Anexo 1'!$I$16),ABS('Anexo 1'!$I$17))/(10*SQRT(3))))</f>
        <v>0</v>
      </c>
      <c r="FT265" s="770"/>
      <c r="FU265" s="770"/>
      <c r="FV265" s="771"/>
      <c r="FW265" s="65">
        <f t="shared" ca="1" si="87"/>
        <v>0</v>
      </c>
    </row>
    <row r="266" spans="1:180" hidden="1" x14ac:dyDescent="0.2">
      <c r="A266" s="707"/>
      <c r="B266" s="707"/>
      <c r="C266" s="707"/>
      <c r="D266" s="707"/>
      <c r="E266" s="707"/>
      <c r="F266" s="707"/>
      <c r="G266" s="707"/>
      <c r="H266" s="706"/>
      <c r="I266" s="706"/>
      <c r="J266" s="706"/>
      <c r="K266" s="706"/>
      <c r="L266" s="706"/>
      <c r="M266" s="706"/>
      <c r="N266" s="706"/>
      <c r="O266" s="706"/>
      <c r="P266" s="706"/>
      <c r="Q266" s="706"/>
      <c r="R266" s="706"/>
      <c r="S266" s="706"/>
      <c r="T266" s="706"/>
      <c r="U266" s="155"/>
      <c r="AA266" s="155"/>
      <c r="AB266" s="155"/>
      <c r="AL266" s="38"/>
      <c r="AM266" s="161"/>
      <c r="AN266" s="161"/>
      <c r="AO266" s="161"/>
      <c r="AP266" s="161"/>
      <c r="AQ266" s="161"/>
      <c r="AR266" s="161"/>
      <c r="AS266" s="161"/>
      <c r="AT266" s="161"/>
      <c r="AU266" s="161"/>
      <c r="AV266" s="161"/>
      <c r="AW266" s="161"/>
      <c r="AX266" s="74"/>
      <c r="AY266" s="74"/>
      <c r="AZ266" s="74"/>
      <c r="BT266" s="768" t="s">
        <v>175</v>
      </c>
      <c r="BU266" s="712"/>
      <c r="BV266" s="712"/>
      <c r="BW266" s="712"/>
      <c r="BX266" s="712"/>
      <c r="BY266" s="712"/>
      <c r="BZ266" s="712"/>
      <c r="CA266" s="712"/>
      <c r="CB266" s="712"/>
      <c r="CC266" s="712"/>
      <c r="CD266" s="712"/>
      <c r="CE266" s="712"/>
      <c r="CF266" s="712"/>
      <c r="CG266" s="712"/>
      <c r="CH266" s="712"/>
      <c r="CI266" s="712"/>
      <c r="CJ266" s="712"/>
      <c r="CK266" s="712"/>
      <c r="CL266" s="712"/>
      <c r="CM266" s="712"/>
      <c r="CN266" s="712"/>
      <c r="CO266" s="713"/>
      <c r="CP266" s="769">
        <f ca="1">IF(CP260="-","-",IF(VALUE('Sem ajuste+Declaração'!D44)=0,IF('Entrada de Dados'!H29="","-",SQRT((CP260^2)+(CP262^2))),IF(BT5="","-",SQRT((CP260^2)+(CP261^2)+(CP262^2)+(CP263^2)+(CP264^2)+(CP265^2)))))</f>
        <v>5.7735034065204163</v>
      </c>
      <c r="CQ266" s="770"/>
      <c r="CR266" s="770"/>
      <c r="CS266" s="771"/>
      <c r="CT266" s="65">
        <f t="shared" ca="1" si="84"/>
        <v>1</v>
      </c>
      <c r="CU266" s="768" t="s">
        <v>175</v>
      </c>
      <c r="CV266" s="712"/>
      <c r="CW266" s="712"/>
      <c r="CX266" s="712"/>
      <c r="CY266" s="712"/>
      <c r="CZ266" s="712"/>
      <c r="DA266" s="712"/>
      <c r="DB266" s="712"/>
      <c r="DC266" s="712"/>
      <c r="DD266" s="712"/>
      <c r="DE266" s="712"/>
      <c r="DF266" s="712"/>
      <c r="DG266" s="712"/>
      <c r="DH266" s="712"/>
      <c r="DI266" s="712"/>
      <c r="DJ266" s="712"/>
      <c r="DK266" s="712"/>
      <c r="DL266" s="712"/>
      <c r="DM266" s="712"/>
      <c r="DN266" s="712"/>
      <c r="DO266" s="712"/>
      <c r="DP266" s="713"/>
      <c r="DQ266" s="769">
        <f ca="1">IF(CU5="","-",SQRT((DQ260^2)+(DQ261^2)+(DQ262^2)+(DQ263^2)+(DQ264^2)+(DQ265^2)))</f>
        <v>5.7748564195704786</v>
      </c>
      <c r="DR266" s="770"/>
      <c r="DS266" s="770"/>
      <c r="DT266" s="771"/>
      <c r="DU266" s="65">
        <f t="shared" ca="1" si="85"/>
        <v>1</v>
      </c>
      <c r="DV266" s="768" t="s">
        <v>175</v>
      </c>
      <c r="DW266" s="712"/>
      <c r="DX266" s="712"/>
      <c r="DY266" s="712"/>
      <c r="DZ266" s="712"/>
      <c r="EA266" s="712"/>
      <c r="EB266" s="712"/>
      <c r="EC266" s="712"/>
      <c r="ED266" s="712"/>
      <c r="EE266" s="712"/>
      <c r="EF266" s="712"/>
      <c r="EG266" s="712"/>
      <c r="EH266" s="712"/>
      <c r="EI266" s="712"/>
      <c r="EJ266" s="712"/>
      <c r="EK266" s="712"/>
      <c r="EL266" s="712"/>
      <c r="EM266" s="712"/>
      <c r="EN266" s="712"/>
      <c r="EO266" s="712"/>
      <c r="EP266" s="712"/>
      <c r="EQ266" s="713"/>
      <c r="ER266" s="769">
        <f ca="1">IF(DV5="","-",SQRT((ER260^2)+(ER261^2)+(ER262^2)+(ER263^2)+(ER264^2)+(ER265^2)))</f>
        <v>5.7789156999086577</v>
      </c>
      <c r="ES266" s="770"/>
      <c r="ET266" s="770"/>
      <c r="EU266" s="771"/>
      <c r="EV266" s="65">
        <f t="shared" ca="1" si="86"/>
        <v>1</v>
      </c>
      <c r="EW266" s="768" t="s">
        <v>175</v>
      </c>
      <c r="EX266" s="712"/>
      <c r="EY266" s="712"/>
      <c r="EZ266" s="712"/>
      <c r="FA266" s="712"/>
      <c r="FB266" s="712"/>
      <c r="FC266" s="712"/>
      <c r="FD266" s="712"/>
      <c r="FE266" s="712"/>
      <c r="FF266" s="712"/>
      <c r="FG266" s="712"/>
      <c r="FH266" s="712"/>
      <c r="FI266" s="712"/>
      <c r="FJ266" s="712"/>
      <c r="FK266" s="712"/>
      <c r="FL266" s="712"/>
      <c r="FM266" s="712"/>
      <c r="FN266" s="712"/>
      <c r="FO266" s="712"/>
      <c r="FP266" s="712"/>
      <c r="FQ266" s="712"/>
      <c r="FR266" s="713"/>
      <c r="FS266" s="769">
        <f ca="1">IF(EW5="","-",SQRT((FS260^2)+(FS261^2)+(FS262^2)+(FS263^2)+(FS264^2)+(FS265^2)))</f>
        <v>5.7800517875405832</v>
      </c>
      <c r="FT266" s="770"/>
      <c r="FU266" s="770"/>
      <c r="FV266" s="771"/>
      <c r="FW266" s="65">
        <f t="shared" ca="1" si="87"/>
        <v>1</v>
      </c>
    </row>
    <row r="267" spans="1:180" hidden="1" x14ac:dyDescent="0.2">
      <c r="A267" s="707"/>
      <c r="B267" s="707"/>
      <c r="C267" s="707"/>
      <c r="D267" s="707"/>
      <c r="E267" s="707"/>
      <c r="F267" s="707"/>
      <c r="G267" s="707"/>
      <c r="H267" s="706"/>
      <c r="I267" s="706"/>
      <c r="J267" s="706"/>
      <c r="K267" s="706"/>
      <c r="L267" s="706"/>
      <c r="M267" s="706"/>
      <c r="N267" s="706"/>
      <c r="O267" s="706"/>
      <c r="P267" s="706"/>
      <c r="Q267" s="706"/>
      <c r="R267" s="706"/>
      <c r="S267" s="706"/>
      <c r="T267" s="706"/>
      <c r="U267" s="155"/>
      <c r="AA267" s="155"/>
      <c r="AB267" s="155"/>
      <c r="AL267" s="38"/>
      <c r="AM267" s="4"/>
      <c r="AN267" s="4"/>
      <c r="AO267" s="4"/>
      <c r="AP267" s="4"/>
      <c r="AQ267" s="4"/>
      <c r="AR267" s="4"/>
      <c r="AS267" s="4"/>
      <c r="AT267" s="162"/>
      <c r="AU267" s="162"/>
      <c r="AV267" s="162"/>
      <c r="AW267" s="162"/>
      <c r="AX267" s="74"/>
      <c r="AY267" s="74"/>
      <c r="AZ267" s="74"/>
      <c r="BH267" s="74"/>
      <c r="BT267" s="768" t="s">
        <v>176</v>
      </c>
      <c r="BU267" s="712"/>
      <c r="BV267" s="712"/>
      <c r="BW267" s="712"/>
      <c r="BX267" s="712"/>
      <c r="BY267" s="712"/>
      <c r="BZ267" s="712"/>
      <c r="CA267" s="712"/>
      <c r="CB267" s="712"/>
      <c r="CC267" s="712"/>
      <c r="CD267" s="712"/>
      <c r="CE267" s="712"/>
      <c r="CF267" s="712"/>
      <c r="CG267" s="712"/>
      <c r="CH267" s="712"/>
      <c r="CI267" s="712"/>
      <c r="CJ267" s="712"/>
      <c r="CK267" s="712"/>
      <c r="CL267" s="712"/>
      <c r="CM267" s="712"/>
      <c r="CN267" s="712"/>
      <c r="CO267" s="713"/>
      <c r="CP267" s="821" t="str">
        <f ca="1">IF(CP260="-","-",IF(((CP266^4)/((CP260^4/(COUNTA('Entrada de Dados'!H29:M29)-1))+CD258))&gt;501,CHAR(165),((CP266^4)/((CP260^4/(COUNTA('Entrada de Dados'!H29:M29)-1))+CD258))))</f>
        <v>¥</v>
      </c>
      <c r="CQ267" s="822"/>
      <c r="CR267" s="822"/>
      <c r="CS267" s="823"/>
      <c r="CT267" s="66"/>
      <c r="CU267" s="768" t="s">
        <v>176</v>
      </c>
      <c r="CV267" s="712"/>
      <c r="CW267" s="712"/>
      <c r="CX267" s="712"/>
      <c r="CY267" s="712"/>
      <c r="CZ267" s="712"/>
      <c r="DA267" s="712"/>
      <c r="DB267" s="712"/>
      <c r="DC267" s="712"/>
      <c r="DD267" s="712"/>
      <c r="DE267" s="712"/>
      <c r="DF267" s="712"/>
      <c r="DG267" s="712"/>
      <c r="DH267" s="712"/>
      <c r="DI267" s="712"/>
      <c r="DJ267" s="712"/>
      <c r="DK267" s="712"/>
      <c r="DL267" s="712"/>
      <c r="DM267" s="712"/>
      <c r="DN267" s="712"/>
      <c r="DO267" s="712"/>
      <c r="DP267" s="713"/>
      <c r="DQ267" s="821" t="str">
        <f ca="1">IF(DQ260="-","-",IF(((DQ266^4)/((DQ260^4/(COUNTA('Entrada de Dados'!$H$30:$M$30)-1))+DE258))&gt;501,CHAR(165),((DQ266^4)/((DQ260^4/(COUNTA('Entrada de Dados'!$H$30:$M$30)-1))+DE258))))</f>
        <v>¥</v>
      </c>
      <c r="DR267" s="822"/>
      <c r="DS267" s="822"/>
      <c r="DT267" s="823"/>
      <c r="DU267" s="66"/>
      <c r="DV267" s="768" t="s">
        <v>176</v>
      </c>
      <c r="DW267" s="712"/>
      <c r="DX267" s="712"/>
      <c r="DY267" s="712"/>
      <c r="DZ267" s="712"/>
      <c r="EA267" s="712"/>
      <c r="EB267" s="712"/>
      <c r="EC267" s="712"/>
      <c r="ED267" s="712"/>
      <c r="EE267" s="712"/>
      <c r="EF267" s="712"/>
      <c r="EG267" s="712"/>
      <c r="EH267" s="712"/>
      <c r="EI267" s="712"/>
      <c r="EJ267" s="712"/>
      <c r="EK267" s="712"/>
      <c r="EL267" s="712"/>
      <c r="EM267" s="712"/>
      <c r="EN267" s="712"/>
      <c r="EO267" s="712"/>
      <c r="EP267" s="712"/>
      <c r="EQ267" s="713"/>
      <c r="ER267" s="821" t="str">
        <f ca="1">IF(ER260="-","-",IF(((ER266^4)/((ER260^4/(COUNTA('Entrada de Dados'!$H$31:$M$31)-1))+EF258))&gt;501,CHAR(165),((ER266^4)/((ER260^4/(COUNTA('Entrada de Dados'!$H$31:$M$31)-1))+EF258))))</f>
        <v>¥</v>
      </c>
      <c r="ES267" s="822"/>
      <c r="ET267" s="822"/>
      <c r="EU267" s="823"/>
      <c r="EV267" s="66"/>
      <c r="EW267" s="768" t="s">
        <v>176</v>
      </c>
      <c r="EX267" s="712"/>
      <c r="EY267" s="712"/>
      <c r="EZ267" s="712"/>
      <c r="FA267" s="712"/>
      <c r="FB267" s="712"/>
      <c r="FC267" s="712"/>
      <c r="FD267" s="712"/>
      <c r="FE267" s="712"/>
      <c r="FF267" s="712"/>
      <c r="FG267" s="712"/>
      <c r="FH267" s="712"/>
      <c r="FI267" s="712"/>
      <c r="FJ267" s="712"/>
      <c r="FK267" s="712"/>
      <c r="FL267" s="712"/>
      <c r="FM267" s="712"/>
      <c r="FN267" s="712"/>
      <c r="FO267" s="712"/>
      <c r="FP267" s="712"/>
      <c r="FQ267" s="712"/>
      <c r="FR267" s="713"/>
      <c r="FS267" s="821" t="str">
        <f ca="1">IF(FS260="-","-",IF(((FS266^4)/((FS260^4/(COUNTA('Entrada de Dados'!$H$32:$M$32)-1))+FG258))&gt;501,CHAR(165),((FS266^4)/((FS260^4/(COUNTA('Entrada de Dados'!$H$32:$M$32)-1))+FG258))))</f>
        <v>¥</v>
      </c>
      <c r="FT267" s="822"/>
      <c r="FU267" s="822"/>
      <c r="FV267" s="823"/>
      <c r="FW267" s="66"/>
    </row>
    <row r="268" spans="1:180" hidden="1" x14ac:dyDescent="0.2">
      <c r="A268" s="707"/>
      <c r="B268" s="707"/>
      <c r="C268" s="707"/>
      <c r="D268" s="707"/>
      <c r="E268" s="707"/>
      <c r="F268" s="707"/>
      <c r="G268" s="707"/>
      <c r="H268" s="706"/>
      <c r="I268" s="706"/>
      <c r="J268" s="706"/>
      <c r="K268" s="706"/>
      <c r="L268" s="706"/>
      <c r="M268" s="706"/>
      <c r="N268" s="706"/>
      <c r="O268" s="706"/>
      <c r="P268" s="706"/>
      <c r="Q268" s="706"/>
      <c r="R268" s="706"/>
      <c r="S268" s="706"/>
      <c r="T268" s="706"/>
      <c r="U268" s="157"/>
      <c r="AA268" s="157"/>
      <c r="AB268" s="157"/>
      <c r="AL268" s="38"/>
      <c r="AM268" s="135"/>
      <c r="AN268" s="135"/>
      <c r="AO268" s="135"/>
      <c r="AP268" s="135"/>
      <c r="AQ268" s="135"/>
      <c r="AR268" s="135"/>
      <c r="AS268" s="163"/>
      <c r="AT268" s="163"/>
      <c r="AU268" s="163"/>
      <c r="AV268" s="163"/>
      <c r="AW268" s="163"/>
      <c r="AX268" s="74"/>
      <c r="AY268" s="74"/>
      <c r="AZ268" s="74"/>
      <c r="BH268" s="74"/>
      <c r="BT268" s="768" t="s">
        <v>177</v>
      </c>
      <c r="BU268" s="712"/>
      <c r="BV268" s="712"/>
      <c r="BW268" s="712"/>
      <c r="BX268" s="712"/>
      <c r="BY268" s="712"/>
      <c r="BZ268" s="712"/>
      <c r="CA268" s="712"/>
      <c r="CB268" s="712"/>
      <c r="CC268" s="712"/>
      <c r="CD268" s="712"/>
      <c r="CE268" s="712"/>
      <c r="CF268" s="712"/>
      <c r="CG268" s="712"/>
      <c r="CH268" s="712"/>
      <c r="CI268" s="712"/>
      <c r="CJ268" s="712"/>
      <c r="CK268" s="712"/>
      <c r="CL268" s="712"/>
      <c r="CM268" s="712"/>
      <c r="CN268" s="712"/>
      <c r="CO268" s="713"/>
      <c r="CP268" s="824">
        <f ca="1">IF(CP260="-","-",IF(CP267=CHAR(165),2,TINV(0.0455,CP267)))</f>
        <v>2</v>
      </c>
      <c r="CQ268" s="825"/>
      <c r="CR268" s="825"/>
      <c r="CS268" s="826"/>
      <c r="CT268" s="66"/>
      <c r="CU268" s="768" t="s">
        <v>177</v>
      </c>
      <c r="CV268" s="712"/>
      <c r="CW268" s="712"/>
      <c r="CX268" s="712"/>
      <c r="CY268" s="712"/>
      <c r="CZ268" s="712"/>
      <c r="DA268" s="712"/>
      <c r="DB268" s="712"/>
      <c r="DC268" s="712"/>
      <c r="DD268" s="712"/>
      <c r="DE268" s="712"/>
      <c r="DF268" s="712"/>
      <c r="DG268" s="712"/>
      <c r="DH268" s="712"/>
      <c r="DI268" s="712"/>
      <c r="DJ268" s="712"/>
      <c r="DK268" s="712"/>
      <c r="DL268" s="712"/>
      <c r="DM268" s="712"/>
      <c r="DN268" s="712"/>
      <c r="DO268" s="712"/>
      <c r="DP268" s="713"/>
      <c r="DQ268" s="824">
        <f ca="1">IF(DQ260="-","-",IF(DQ267=CHAR(165),2,TINV(0.0455,DQ267)))</f>
        <v>2</v>
      </c>
      <c r="DR268" s="825"/>
      <c r="DS268" s="825"/>
      <c r="DT268" s="826"/>
      <c r="DU268" s="66"/>
      <c r="DV268" s="768" t="s">
        <v>177</v>
      </c>
      <c r="DW268" s="712"/>
      <c r="DX268" s="712"/>
      <c r="DY268" s="712"/>
      <c r="DZ268" s="712"/>
      <c r="EA268" s="712"/>
      <c r="EB268" s="712"/>
      <c r="EC268" s="712"/>
      <c r="ED268" s="712"/>
      <c r="EE268" s="712"/>
      <c r="EF268" s="712"/>
      <c r="EG268" s="712"/>
      <c r="EH268" s="712"/>
      <c r="EI268" s="712"/>
      <c r="EJ268" s="712"/>
      <c r="EK268" s="712"/>
      <c r="EL268" s="712"/>
      <c r="EM268" s="712"/>
      <c r="EN268" s="712"/>
      <c r="EO268" s="712"/>
      <c r="EP268" s="712"/>
      <c r="EQ268" s="713"/>
      <c r="ER268" s="824">
        <f ca="1">IF(ER260="-","-",IF(ER267=CHAR(165),2,TINV(0.0455,ER267)))</f>
        <v>2</v>
      </c>
      <c r="ES268" s="825"/>
      <c r="ET268" s="825"/>
      <c r="EU268" s="826"/>
      <c r="EV268" s="66"/>
      <c r="EW268" s="768" t="s">
        <v>177</v>
      </c>
      <c r="EX268" s="712"/>
      <c r="EY268" s="712"/>
      <c r="EZ268" s="712"/>
      <c r="FA268" s="712"/>
      <c r="FB268" s="712"/>
      <c r="FC268" s="712"/>
      <c r="FD268" s="712"/>
      <c r="FE268" s="712"/>
      <c r="FF268" s="712"/>
      <c r="FG268" s="712"/>
      <c r="FH268" s="712"/>
      <c r="FI268" s="712"/>
      <c r="FJ268" s="712"/>
      <c r="FK268" s="712"/>
      <c r="FL268" s="712"/>
      <c r="FM268" s="712"/>
      <c r="FN268" s="712"/>
      <c r="FO268" s="712"/>
      <c r="FP268" s="712"/>
      <c r="FQ268" s="712"/>
      <c r="FR268" s="713"/>
      <c r="FS268" s="824">
        <f ca="1">IF(FS260="-","-",IF(FS267=CHAR(165),2,TINV(0.0455,FS267)))</f>
        <v>2</v>
      </c>
      <c r="FT268" s="825"/>
      <c r="FU268" s="825"/>
      <c r="FV268" s="826"/>
      <c r="FW268" s="66"/>
    </row>
    <row r="269" spans="1:180" ht="13.5" hidden="1" thickBot="1" x14ac:dyDescent="0.25">
      <c r="A269" s="707"/>
      <c r="B269" s="707"/>
      <c r="C269" s="707"/>
      <c r="D269" s="707"/>
      <c r="E269" s="707"/>
      <c r="F269" s="707"/>
      <c r="G269" s="707"/>
      <c r="H269" s="706"/>
      <c r="I269" s="706"/>
      <c r="J269" s="706"/>
      <c r="K269" s="706"/>
      <c r="L269" s="706"/>
      <c r="M269" s="706"/>
      <c r="N269" s="706"/>
      <c r="O269" s="706"/>
      <c r="P269" s="706"/>
      <c r="Q269" s="706"/>
      <c r="R269" s="706"/>
      <c r="S269" s="706"/>
      <c r="T269" s="706"/>
      <c r="U269" s="158"/>
      <c r="AA269" s="158"/>
      <c r="AB269" s="157"/>
      <c r="AL269" s="38"/>
      <c r="AM269" s="135"/>
      <c r="AN269" s="135"/>
      <c r="AO269" s="135"/>
      <c r="AP269" s="135"/>
      <c r="AQ269" s="135"/>
      <c r="AR269" s="135"/>
      <c r="AS269" s="163"/>
      <c r="AT269" s="163"/>
      <c r="AU269" s="163"/>
      <c r="AV269" s="163"/>
      <c r="AW269" s="163"/>
      <c r="AX269" s="74"/>
      <c r="AY269" s="74"/>
      <c r="AZ269" s="74"/>
      <c r="BH269" s="74"/>
      <c r="BT269" s="827" t="s">
        <v>178</v>
      </c>
      <c r="BU269" s="828"/>
      <c r="BV269" s="828"/>
      <c r="BW269" s="828"/>
      <c r="BX269" s="828"/>
      <c r="BY269" s="828"/>
      <c r="BZ269" s="828"/>
      <c r="CA269" s="828"/>
      <c r="CB269" s="828"/>
      <c r="CC269" s="828"/>
      <c r="CD269" s="828"/>
      <c r="CE269" s="828"/>
      <c r="CF269" s="828"/>
      <c r="CG269" s="828"/>
      <c r="CH269" s="828"/>
      <c r="CI269" s="828"/>
      <c r="CJ269" s="828"/>
      <c r="CK269" s="828"/>
      <c r="CL269" s="828"/>
      <c r="CM269" s="828"/>
      <c r="CN269" s="828"/>
      <c r="CO269" s="829"/>
      <c r="CP269" s="830">
        <f ca="1">IF(CP260="-","-",CP266*CP268)</f>
        <v>11.547006813040833</v>
      </c>
      <c r="CQ269" s="831"/>
      <c r="CR269" s="831"/>
      <c r="CS269" s="832"/>
      <c r="CT269" s="65">
        <f ca="1">IF(CP269="-","-",1-(CP266/CP269))</f>
        <v>0.5</v>
      </c>
      <c r="CU269" s="827" t="s">
        <v>178</v>
      </c>
      <c r="CV269" s="828"/>
      <c r="CW269" s="828"/>
      <c r="CX269" s="828"/>
      <c r="CY269" s="828"/>
      <c r="CZ269" s="828"/>
      <c r="DA269" s="828"/>
      <c r="DB269" s="828"/>
      <c r="DC269" s="828"/>
      <c r="DD269" s="828"/>
      <c r="DE269" s="828"/>
      <c r="DF269" s="828"/>
      <c r="DG269" s="828"/>
      <c r="DH269" s="828"/>
      <c r="DI269" s="828"/>
      <c r="DJ269" s="828"/>
      <c r="DK269" s="828"/>
      <c r="DL269" s="828"/>
      <c r="DM269" s="828"/>
      <c r="DN269" s="828"/>
      <c r="DO269" s="828"/>
      <c r="DP269" s="829"/>
      <c r="DQ269" s="830">
        <f ca="1">IF(DQ260="-","-",DQ266*DQ268)</f>
        <v>11.549712839140957</v>
      </c>
      <c r="DR269" s="831"/>
      <c r="DS269" s="831"/>
      <c r="DT269" s="832"/>
      <c r="DU269" s="65">
        <f ca="1">IF(DQ269="-","-",1-(DQ266/DQ269))</f>
        <v>0.5</v>
      </c>
      <c r="DV269" s="827" t="s">
        <v>178</v>
      </c>
      <c r="DW269" s="828"/>
      <c r="DX269" s="828"/>
      <c r="DY269" s="828"/>
      <c r="DZ269" s="828"/>
      <c r="EA269" s="828"/>
      <c r="EB269" s="828"/>
      <c r="EC269" s="828"/>
      <c r="ED269" s="828"/>
      <c r="EE269" s="828"/>
      <c r="EF269" s="828"/>
      <c r="EG269" s="828"/>
      <c r="EH269" s="828"/>
      <c r="EI269" s="828"/>
      <c r="EJ269" s="828"/>
      <c r="EK269" s="828"/>
      <c r="EL269" s="828"/>
      <c r="EM269" s="828"/>
      <c r="EN269" s="828"/>
      <c r="EO269" s="828"/>
      <c r="EP269" s="828"/>
      <c r="EQ269" s="829"/>
      <c r="ER269" s="830">
        <f ca="1">IF(ER260="-","-",ER266*ER268)</f>
        <v>11.557831399817315</v>
      </c>
      <c r="ES269" s="831"/>
      <c r="ET269" s="831"/>
      <c r="EU269" s="832"/>
      <c r="EV269" s="65">
        <f ca="1">IF(ER269="-","-",1-(ER266/ER269))</f>
        <v>0.5</v>
      </c>
      <c r="EW269" s="827" t="s">
        <v>178</v>
      </c>
      <c r="EX269" s="828"/>
      <c r="EY269" s="828"/>
      <c r="EZ269" s="828"/>
      <c r="FA269" s="828"/>
      <c r="FB269" s="828"/>
      <c r="FC269" s="828"/>
      <c r="FD269" s="828"/>
      <c r="FE269" s="828"/>
      <c r="FF269" s="828"/>
      <c r="FG269" s="828"/>
      <c r="FH269" s="828"/>
      <c r="FI269" s="828"/>
      <c r="FJ269" s="828"/>
      <c r="FK269" s="828"/>
      <c r="FL269" s="828"/>
      <c r="FM269" s="828"/>
      <c r="FN269" s="828"/>
      <c r="FO269" s="828"/>
      <c r="FP269" s="828"/>
      <c r="FQ269" s="828"/>
      <c r="FR269" s="829"/>
      <c r="FS269" s="830">
        <f ca="1">IF(FS260="-","-",FS266*FS268)</f>
        <v>11.560103575081166</v>
      </c>
      <c r="FT269" s="831"/>
      <c r="FU269" s="831"/>
      <c r="FV269" s="832"/>
      <c r="FW269" s="65">
        <f ca="1">IF(FS269="-","-",1-(FS266/FS269))</f>
        <v>0.5</v>
      </c>
    </row>
    <row r="270" spans="1:180" hidden="1" x14ac:dyDescent="0.2">
      <c r="A270" s="707"/>
      <c r="B270" s="707"/>
      <c r="C270" s="707"/>
      <c r="D270" s="707"/>
      <c r="E270" s="707"/>
      <c r="F270" s="707"/>
      <c r="G270" s="707"/>
      <c r="H270" s="706"/>
      <c r="I270" s="706"/>
      <c r="J270" s="706"/>
      <c r="K270" s="706"/>
      <c r="L270" s="706"/>
      <c r="M270" s="706"/>
      <c r="N270" s="706"/>
      <c r="O270" s="706"/>
      <c r="P270" s="706"/>
      <c r="Q270" s="706"/>
      <c r="R270" s="706"/>
      <c r="S270" s="706"/>
      <c r="T270" s="706"/>
      <c r="U270" s="158"/>
      <c r="AA270" s="158"/>
      <c r="AB270" s="158"/>
      <c r="AL270" s="38"/>
      <c r="AM270" s="135"/>
      <c r="AN270" s="135"/>
      <c r="AO270" s="135"/>
      <c r="AP270" s="135"/>
      <c r="AQ270" s="135"/>
      <c r="AR270" s="135"/>
      <c r="AS270" s="163"/>
      <c r="AT270" s="163"/>
      <c r="AU270" s="163"/>
      <c r="AV270" s="163"/>
      <c r="AW270" s="163"/>
    </row>
    <row r="271" spans="1:180" hidden="1" x14ac:dyDescent="0.2">
      <c r="A271" s="707"/>
      <c r="B271" s="707"/>
      <c r="C271" s="707"/>
      <c r="D271" s="707"/>
      <c r="E271" s="707"/>
      <c r="F271" s="707"/>
      <c r="G271" s="707"/>
      <c r="H271" s="706"/>
      <c r="I271" s="706"/>
      <c r="J271" s="706"/>
      <c r="K271" s="706"/>
      <c r="L271" s="706"/>
      <c r="M271" s="706"/>
      <c r="N271" s="706"/>
      <c r="O271" s="706"/>
      <c r="P271" s="706"/>
      <c r="Q271" s="706"/>
      <c r="R271" s="706"/>
      <c r="S271" s="706"/>
      <c r="T271" s="706"/>
      <c r="U271" s="155"/>
      <c r="AA271" s="155"/>
      <c r="AB271" s="155"/>
      <c r="AL271" s="74"/>
      <c r="AM271" s="74"/>
      <c r="AN271" s="74"/>
      <c r="AO271" s="74"/>
      <c r="AP271" s="74"/>
      <c r="AQ271" s="74"/>
      <c r="AR271" s="74"/>
      <c r="AS271" s="74"/>
      <c r="AT271" s="74"/>
      <c r="AU271" s="74"/>
      <c r="AV271" s="74"/>
      <c r="AW271" s="74"/>
    </row>
    <row r="272" spans="1:180" hidden="1" x14ac:dyDescent="0.2">
      <c r="A272" s="707"/>
      <c r="B272" s="707"/>
      <c r="C272" s="707"/>
      <c r="D272" s="707"/>
      <c r="E272" s="707"/>
      <c r="F272" s="707"/>
      <c r="G272" s="707"/>
      <c r="H272" s="705"/>
      <c r="I272" s="706"/>
      <c r="J272" s="705"/>
      <c r="K272" s="706"/>
      <c r="L272" s="706"/>
      <c r="M272" s="706"/>
      <c r="N272" s="706"/>
      <c r="O272" s="706"/>
      <c r="P272" s="706"/>
      <c r="Q272" s="706"/>
      <c r="R272" s="706"/>
      <c r="S272" s="706"/>
      <c r="T272" s="706"/>
      <c r="U272" s="155"/>
      <c r="AA272" s="155"/>
      <c r="AB272" s="155"/>
    </row>
    <row r="273" spans="1:52" hidden="1" x14ac:dyDescent="0.2">
      <c r="A273" s="707"/>
      <c r="B273" s="707"/>
      <c r="C273" s="707"/>
      <c r="D273" s="707"/>
      <c r="E273" s="707"/>
      <c r="F273" s="707"/>
      <c r="G273" s="707"/>
      <c r="H273" s="706"/>
      <c r="I273" s="706"/>
      <c r="J273" s="706"/>
      <c r="K273" s="706"/>
      <c r="L273" s="706"/>
      <c r="M273" s="706"/>
      <c r="N273" s="706"/>
      <c r="O273" s="706"/>
      <c r="P273" s="706"/>
      <c r="Q273" s="706"/>
      <c r="R273" s="706"/>
      <c r="S273" s="706"/>
      <c r="T273" s="706"/>
      <c r="U273" s="155"/>
      <c r="AA273" s="155"/>
      <c r="AB273" s="155"/>
    </row>
    <row r="274" spans="1:52" hidden="1" x14ac:dyDescent="0.2">
      <c r="A274" s="707"/>
      <c r="B274" s="707"/>
      <c r="C274" s="707"/>
      <c r="D274" s="707"/>
      <c r="E274" s="707"/>
      <c r="F274" s="707"/>
      <c r="G274" s="707"/>
      <c r="H274" s="706"/>
      <c r="I274" s="706"/>
      <c r="J274" s="706"/>
      <c r="K274" s="706"/>
      <c r="L274" s="706"/>
      <c r="M274" s="706"/>
      <c r="N274" s="706"/>
      <c r="O274" s="706"/>
      <c r="P274" s="706"/>
      <c r="Q274" s="706"/>
      <c r="R274" s="706"/>
      <c r="S274" s="706"/>
      <c r="T274" s="706"/>
      <c r="U274" s="155"/>
      <c r="AA274" s="155"/>
      <c r="AB274" s="155"/>
    </row>
    <row r="275" spans="1:52" hidden="1" x14ac:dyDescent="0.2">
      <c r="A275" s="707"/>
      <c r="B275" s="707"/>
      <c r="C275" s="707"/>
      <c r="D275" s="707"/>
      <c r="E275" s="707"/>
      <c r="F275" s="707"/>
      <c r="G275" s="707"/>
      <c r="H275" s="706"/>
      <c r="I275" s="706"/>
      <c r="J275" s="706"/>
      <c r="K275" s="706"/>
      <c r="L275" s="706"/>
      <c r="M275" s="706"/>
      <c r="N275" s="706"/>
      <c r="O275" s="706"/>
      <c r="P275" s="706"/>
      <c r="Q275" s="706"/>
      <c r="R275" s="706"/>
      <c r="S275" s="706"/>
      <c r="T275" s="706"/>
      <c r="U275" s="155"/>
      <c r="AA275" s="155"/>
      <c r="AB275" s="155"/>
    </row>
    <row r="276" spans="1:52" hidden="1" x14ac:dyDescent="0.2">
      <c r="A276" s="707"/>
      <c r="B276" s="707"/>
      <c r="C276" s="707"/>
      <c r="D276" s="707"/>
      <c r="E276" s="707"/>
      <c r="F276" s="707"/>
      <c r="G276" s="707"/>
      <c r="H276" s="706"/>
      <c r="I276" s="706"/>
      <c r="J276" s="706"/>
      <c r="K276" s="706"/>
      <c r="L276" s="706"/>
      <c r="M276" s="706"/>
      <c r="N276" s="706"/>
      <c r="O276" s="706"/>
      <c r="P276" s="706"/>
      <c r="Q276" s="706"/>
      <c r="R276" s="706"/>
      <c r="S276" s="706"/>
      <c r="T276" s="706"/>
      <c r="U276" s="157"/>
      <c r="AA276" s="157"/>
      <c r="AB276" s="157"/>
      <c r="AL276" s="156"/>
      <c r="AN276" s="74"/>
      <c r="AO276" s="74"/>
      <c r="AP276" s="74"/>
      <c r="AQ276" s="74"/>
      <c r="AR276" s="74"/>
      <c r="AS276" s="160"/>
      <c r="AT276" s="74"/>
      <c r="AU276" s="74"/>
      <c r="AV276" s="74"/>
      <c r="AW276" s="74"/>
      <c r="AX276" s="74"/>
      <c r="AY276" s="74"/>
      <c r="AZ276" s="74"/>
    </row>
    <row r="277" spans="1:52" hidden="1" x14ac:dyDescent="0.2">
      <c r="A277" s="707"/>
      <c r="B277" s="707"/>
      <c r="C277" s="707"/>
      <c r="D277" s="707"/>
      <c r="E277" s="707"/>
      <c r="F277" s="707"/>
      <c r="G277" s="707"/>
      <c r="H277" s="705"/>
      <c r="I277" s="706"/>
      <c r="J277" s="705"/>
      <c r="K277" s="706"/>
      <c r="L277" s="706"/>
      <c r="M277" s="706"/>
      <c r="N277" s="706"/>
      <c r="O277" s="706"/>
      <c r="P277" s="706"/>
      <c r="Q277" s="706"/>
      <c r="R277" s="706"/>
      <c r="S277" s="706"/>
      <c r="T277" s="706"/>
      <c r="U277" s="158"/>
      <c r="AA277" s="158"/>
      <c r="AB277" s="157"/>
      <c r="AL277" s="156"/>
      <c r="AN277" s="74"/>
      <c r="AO277" s="74"/>
      <c r="AP277" s="74"/>
      <c r="AQ277" s="74"/>
      <c r="AR277" s="74"/>
      <c r="AS277" s="160"/>
      <c r="AT277" s="74"/>
      <c r="AU277" s="74"/>
      <c r="AV277" s="74"/>
      <c r="AW277" s="74"/>
      <c r="AX277" s="74"/>
      <c r="AY277" s="74"/>
      <c r="AZ277" s="74"/>
    </row>
    <row r="278" spans="1:52" hidden="1" x14ac:dyDescent="0.2">
      <c r="A278" s="707"/>
      <c r="B278" s="707"/>
      <c r="C278" s="707"/>
      <c r="D278" s="707"/>
      <c r="E278" s="707"/>
      <c r="F278" s="707"/>
      <c r="G278" s="707"/>
      <c r="H278" s="706"/>
      <c r="I278" s="706"/>
      <c r="J278" s="706"/>
      <c r="K278" s="706"/>
      <c r="L278" s="706"/>
      <c r="M278" s="706"/>
      <c r="N278" s="706"/>
      <c r="O278" s="706"/>
      <c r="P278" s="706"/>
      <c r="Q278" s="706"/>
      <c r="R278" s="706"/>
      <c r="S278" s="706"/>
      <c r="T278" s="706"/>
      <c r="U278" s="158"/>
      <c r="AA278" s="158"/>
      <c r="AB278" s="158"/>
    </row>
    <row r="279" spans="1:52" hidden="1" x14ac:dyDescent="0.2">
      <c r="A279" s="707"/>
      <c r="B279" s="707"/>
      <c r="C279" s="707"/>
      <c r="D279" s="707"/>
      <c r="E279" s="707"/>
      <c r="F279" s="707"/>
      <c r="G279" s="707"/>
      <c r="H279" s="706"/>
      <c r="I279" s="706"/>
      <c r="J279" s="706"/>
      <c r="K279" s="706"/>
      <c r="L279" s="706"/>
      <c r="M279" s="706"/>
      <c r="N279" s="706"/>
      <c r="O279" s="706"/>
      <c r="P279" s="706"/>
      <c r="Q279" s="706"/>
      <c r="R279" s="706"/>
      <c r="S279" s="706"/>
      <c r="T279" s="706"/>
    </row>
    <row r="280" spans="1:52" hidden="1" x14ac:dyDescent="0.2">
      <c r="A280" s="707"/>
      <c r="B280" s="707"/>
      <c r="C280" s="707"/>
      <c r="D280" s="707"/>
      <c r="E280" s="707"/>
      <c r="F280" s="707"/>
      <c r="G280" s="707"/>
      <c r="H280" s="706"/>
      <c r="I280" s="706"/>
      <c r="J280" s="706"/>
      <c r="K280" s="706"/>
      <c r="L280" s="706"/>
      <c r="M280" s="706"/>
      <c r="N280" s="706"/>
      <c r="O280" s="706"/>
      <c r="P280" s="706"/>
      <c r="Q280" s="706"/>
      <c r="R280" s="706"/>
      <c r="S280" s="706"/>
      <c r="T280" s="706"/>
    </row>
    <row r="281" spans="1:52" hidden="1" x14ac:dyDescent="0.2">
      <c r="A281" s="707"/>
      <c r="B281" s="707"/>
      <c r="C281" s="707"/>
      <c r="D281" s="707"/>
      <c r="E281" s="707"/>
      <c r="F281" s="707"/>
      <c r="G281" s="707"/>
      <c r="H281" s="706"/>
      <c r="I281" s="706"/>
      <c r="J281" s="706"/>
      <c r="K281" s="706"/>
      <c r="L281" s="706"/>
      <c r="M281" s="706"/>
      <c r="N281" s="706"/>
      <c r="O281" s="706"/>
      <c r="P281" s="706"/>
      <c r="Q281" s="706"/>
      <c r="R281" s="706"/>
      <c r="S281" s="706"/>
      <c r="T281" s="706"/>
    </row>
    <row r="282" spans="1:52" x14ac:dyDescent="0.2">
      <c r="A282" s="707"/>
      <c r="B282" s="707"/>
      <c r="C282" s="707"/>
      <c r="D282" s="707"/>
      <c r="E282" s="707"/>
      <c r="F282" s="707"/>
      <c r="G282" s="707"/>
      <c r="H282" s="705"/>
      <c r="I282" s="706"/>
      <c r="J282" s="705"/>
      <c r="K282" s="706"/>
      <c r="L282" s="706"/>
      <c r="M282" s="706"/>
      <c r="N282" s="706"/>
      <c r="O282" s="706"/>
      <c r="P282" s="706"/>
      <c r="Q282" s="706"/>
      <c r="R282" s="706"/>
      <c r="S282" s="706"/>
      <c r="T282" s="706"/>
    </row>
    <row r="283" spans="1:52" ht="13.5" thickBot="1" x14ac:dyDescent="0.25"/>
    <row r="284" spans="1:52" ht="13.5" thickBot="1" x14ac:dyDescent="0.25">
      <c r="A284" s="1091" t="s">
        <v>204</v>
      </c>
      <c r="B284" s="1092"/>
      <c r="C284" s="1092"/>
      <c r="D284" s="1092"/>
      <c r="E284" s="1092"/>
      <c r="F284" s="1092"/>
      <c r="G284" s="1092"/>
      <c r="H284" s="1092"/>
      <c r="I284" s="1093"/>
    </row>
    <row r="285" spans="1:52" x14ac:dyDescent="0.2">
      <c r="A285" s="1100" t="s">
        <v>179</v>
      </c>
      <c r="B285" s="1101"/>
      <c r="C285" s="1101"/>
      <c r="D285" s="1101"/>
      <c r="E285" s="1102"/>
      <c r="F285" s="1106" t="s">
        <v>180</v>
      </c>
      <c r="G285" s="1107"/>
      <c r="H285" s="1107"/>
      <c r="I285" s="1108"/>
    </row>
    <row r="286" spans="1:52" x14ac:dyDescent="0.2">
      <c r="A286" s="1103"/>
      <c r="B286" s="1104"/>
      <c r="C286" s="1104"/>
      <c r="D286" s="1104"/>
      <c r="E286" s="1105"/>
      <c r="F286" s="1109"/>
      <c r="G286" s="1110"/>
      <c r="H286" s="1110"/>
      <c r="I286" s="1111"/>
    </row>
    <row r="287" spans="1:52" x14ac:dyDescent="0.2">
      <c r="A287" s="1078">
        <v>13.97</v>
      </c>
      <c r="B287" s="1079"/>
      <c r="C287" s="1079"/>
      <c r="D287" s="1079"/>
      <c r="E287" s="1080"/>
      <c r="F287" s="1078">
        <v>1</v>
      </c>
      <c r="G287" s="1079"/>
      <c r="H287" s="1079"/>
      <c r="I287" s="1080"/>
    </row>
    <row r="288" spans="1:52" x14ac:dyDescent="0.2">
      <c r="A288" s="1078">
        <v>4.53</v>
      </c>
      <c r="B288" s="1079"/>
      <c r="C288" s="1079"/>
      <c r="D288" s="1079"/>
      <c r="E288" s="1080"/>
      <c r="F288" s="1081">
        <v>2</v>
      </c>
      <c r="G288" s="1082"/>
      <c r="H288" s="1082"/>
      <c r="I288" s="1083"/>
    </row>
    <row r="289" spans="1:9" x14ac:dyDescent="0.2">
      <c r="A289" s="1078">
        <v>3.31</v>
      </c>
      <c r="B289" s="1079"/>
      <c r="C289" s="1079"/>
      <c r="D289" s="1079"/>
      <c r="E289" s="1080"/>
      <c r="F289" s="1081">
        <v>3</v>
      </c>
      <c r="G289" s="1082"/>
      <c r="H289" s="1082"/>
      <c r="I289" s="1083"/>
    </row>
    <row r="290" spans="1:9" x14ac:dyDescent="0.2">
      <c r="A290" s="1078">
        <v>2.87</v>
      </c>
      <c r="B290" s="1079"/>
      <c r="C290" s="1079"/>
      <c r="D290" s="1079"/>
      <c r="E290" s="1080"/>
      <c r="F290" s="1081">
        <v>4</v>
      </c>
      <c r="G290" s="1082"/>
      <c r="H290" s="1082"/>
      <c r="I290" s="1083"/>
    </row>
    <row r="291" spans="1:9" x14ac:dyDescent="0.2">
      <c r="A291" s="1078">
        <v>2.65</v>
      </c>
      <c r="B291" s="1079"/>
      <c r="C291" s="1079"/>
      <c r="D291" s="1079"/>
      <c r="E291" s="1080"/>
      <c r="F291" s="1081">
        <v>5</v>
      </c>
      <c r="G291" s="1082"/>
      <c r="H291" s="1082"/>
      <c r="I291" s="1083"/>
    </row>
    <row r="292" spans="1:9" x14ac:dyDescent="0.2">
      <c r="A292" s="1078">
        <v>2.52</v>
      </c>
      <c r="B292" s="1079"/>
      <c r="C292" s="1079"/>
      <c r="D292" s="1079"/>
      <c r="E292" s="1080"/>
      <c r="F292" s="1081">
        <v>6</v>
      </c>
      <c r="G292" s="1082"/>
      <c r="H292" s="1082"/>
      <c r="I292" s="1083"/>
    </row>
    <row r="293" spans="1:9" x14ac:dyDescent="0.2">
      <c r="A293" s="1078">
        <v>2.4300000000000002</v>
      </c>
      <c r="B293" s="1079"/>
      <c r="C293" s="1079"/>
      <c r="D293" s="1079"/>
      <c r="E293" s="1080"/>
      <c r="F293" s="1081">
        <v>7</v>
      </c>
      <c r="G293" s="1082"/>
      <c r="H293" s="1082"/>
      <c r="I293" s="1083"/>
    </row>
    <row r="294" spans="1:9" x14ac:dyDescent="0.2">
      <c r="A294" s="1078">
        <v>2.37</v>
      </c>
      <c r="B294" s="1079"/>
      <c r="C294" s="1079"/>
      <c r="D294" s="1079"/>
      <c r="E294" s="1080"/>
      <c r="F294" s="1081">
        <v>8</v>
      </c>
      <c r="G294" s="1082"/>
      <c r="H294" s="1082"/>
      <c r="I294" s="1083"/>
    </row>
    <row r="295" spans="1:9" x14ac:dyDescent="0.2">
      <c r="A295" s="1078">
        <v>2.3199999999999998</v>
      </c>
      <c r="B295" s="1079"/>
      <c r="C295" s="1079"/>
      <c r="D295" s="1079"/>
      <c r="E295" s="1080"/>
      <c r="F295" s="1081">
        <v>9</v>
      </c>
      <c r="G295" s="1082"/>
      <c r="H295" s="1082"/>
      <c r="I295" s="1083"/>
    </row>
    <row r="296" spans="1:9" x14ac:dyDescent="0.2">
      <c r="A296" s="1078">
        <v>2.2799999999999998</v>
      </c>
      <c r="B296" s="1079"/>
      <c r="C296" s="1079"/>
      <c r="D296" s="1079"/>
      <c r="E296" s="1080"/>
      <c r="F296" s="1081">
        <v>10</v>
      </c>
      <c r="G296" s="1082"/>
      <c r="H296" s="1082"/>
      <c r="I296" s="1083"/>
    </row>
    <row r="297" spans="1:9" x14ac:dyDescent="0.2">
      <c r="A297" s="1078">
        <v>2.25</v>
      </c>
      <c r="B297" s="1079"/>
      <c r="C297" s="1079"/>
      <c r="D297" s="1079"/>
      <c r="E297" s="1080"/>
      <c r="F297" s="1081">
        <v>11</v>
      </c>
      <c r="G297" s="1082"/>
      <c r="H297" s="1082"/>
      <c r="I297" s="1083"/>
    </row>
    <row r="298" spans="1:9" x14ac:dyDescent="0.2">
      <c r="A298" s="1078">
        <v>2.23</v>
      </c>
      <c r="B298" s="1079"/>
      <c r="C298" s="1079"/>
      <c r="D298" s="1079"/>
      <c r="E298" s="1080"/>
      <c r="F298" s="1081">
        <v>12</v>
      </c>
      <c r="G298" s="1082"/>
      <c r="H298" s="1082"/>
      <c r="I298" s="1083"/>
    </row>
    <row r="299" spans="1:9" x14ac:dyDescent="0.2">
      <c r="A299" s="1078">
        <v>2.21</v>
      </c>
      <c r="B299" s="1079"/>
      <c r="C299" s="1079"/>
      <c r="D299" s="1079"/>
      <c r="E299" s="1080"/>
      <c r="F299" s="1081">
        <v>13</v>
      </c>
      <c r="G299" s="1082"/>
      <c r="H299" s="1082"/>
      <c r="I299" s="1083"/>
    </row>
    <row r="300" spans="1:9" x14ac:dyDescent="0.2">
      <c r="A300" s="1078">
        <v>2.2000000000000002</v>
      </c>
      <c r="B300" s="1079"/>
      <c r="C300" s="1079"/>
      <c r="D300" s="1079"/>
      <c r="E300" s="1080"/>
      <c r="F300" s="1081">
        <v>14</v>
      </c>
      <c r="G300" s="1082"/>
      <c r="H300" s="1082"/>
      <c r="I300" s="1083"/>
    </row>
    <row r="301" spans="1:9" x14ac:dyDescent="0.2">
      <c r="A301" s="1078">
        <v>2.1800000000000002</v>
      </c>
      <c r="B301" s="1079"/>
      <c r="C301" s="1079"/>
      <c r="D301" s="1079"/>
      <c r="E301" s="1080"/>
      <c r="F301" s="1081">
        <v>15</v>
      </c>
      <c r="G301" s="1082"/>
      <c r="H301" s="1082"/>
      <c r="I301" s="1083"/>
    </row>
    <row r="302" spans="1:9" x14ac:dyDescent="0.2">
      <c r="A302" s="1078">
        <v>2.17</v>
      </c>
      <c r="B302" s="1079"/>
      <c r="C302" s="1079"/>
      <c r="D302" s="1079"/>
      <c r="E302" s="1080"/>
      <c r="F302" s="1088">
        <v>16</v>
      </c>
      <c r="G302" s="1089"/>
      <c r="H302" s="1089"/>
      <c r="I302" s="1090"/>
    </row>
    <row r="303" spans="1:9" x14ac:dyDescent="0.2">
      <c r="A303" s="1078">
        <v>2.16</v>
      </c>
      <c r="B303" s="1079"/>
      <c r="C303" s="1079"/>
      <c r="D303" s="1079"/>
      <c r="E303" s="1080"/>
      <c r="F303" s="1088">
        <v>17</v>
      </c>
      <c r="G303" s="1089"/>
      <c r="H303" s="1089"/>
      <c r="I303" s="1090"/>
    </row>
    <row r="304" spans="1:9" x14ac:dyDescent="0.2">
      <c r="A304" s="1078">
        <v>2.15</v>
      </c>
      <c r="B304" s="1079"/>
      <c r="C304" s="1079"/>
      <c r="D304" s="1079"/>
      <c r="E304" s="1080"/>
      <c r="F304" s="1088">
        <v>18</v>
      </c>
      <c r="G304" s="1089"/>
      <c r="H304" s="1089"/>
      <c r="I304" s="1090"/>
    </row>
    <row r="305" spans="1:9" x14ac:dyDescent="0.2">
      <c r="A305" s="1078">
        <v>2.14</v>
      </c>
      <c r="B305" s="1079"/>
      <c r="C305" s="1079"/>
      <c r="D305" s="1079"/>
      <c r="E305" s="1080"/>
      <c r="F305" s="1088">
        <v>19</v>
      </c>
      <c r="G305" s="1089"/>
      <c r="H305" s="1089"/>
      <c r="I305" s="1090"/>
    </row>
    <row r="306" spans="1:9" x14ac:dyDescent="0.2">
      <c r="A306" s="1078">
        <v>2.13</v>
      </c>
      <c r="B306" s="1079"/>
      <c r="C306" s="1079"/>
      <c r="D306" s="1079"/>
      <c r="E306" s="1080"/>
      <c r="F306" s="1088">
        <v>20</v>
      </c>
      <c r="G306" s="1089"/>
      <c r="H306" s="1089"/>
      <c r="I306" s="1090"/>
    </row>
    <row r="307" spans="1:9" x14ac:dyDescent="0.2">
      <c r="A307" s="1078">
        <v>2.13</v>
      </c>
      <c r="B307" s="1079"/>
      <c r="C307" s="1079"/>
      <c r="D307" s="1079"/>
      <c r="E307" s="1080"/>
      <c r="F307" s="1088">
        <v>21</v>
      </c>
      <c r="G307" s="1089"/>
      <c r="H307" s="1089"/>
      <c r="I307" s="1090"/>
    </row>
    <row r="308" spans="1:9" x14ac:dyDescent="0.2">
      <c r="A308" s="1078">
        <v>2.12</v>
      </c>
      <c r="B308" s="1079"/>
      <c r="C308" s="1079"/>
      <c r="D308" s="1079"/>
      <c r="E308" s="1080"/>
      <c r="F308" s="1088">
        <v>22</v>
      </c>
      <c r="G308" s="1089"/>
      <c r="H308" s="1089"/>
      <c r="I308" s="1090"/>
    </row>
    <row r="309" spans="1:9" x14ac:dyDescent="0.2">
      <c r="A309" s="1078">
        <v>2.11</v>
      </c>
      <c r="B309" s="1079"/>
      <c r="C309" s="1079"/>
      <c r="D309" s="1079"/>
      <c r="E309" s="1080"/>
      <c r="F309" s="1088">
        <v>25</v>
      </c>
      <c r="G309" s="1089"/>
      <c r="H309" s="1089"/>
      <c r="I309" s="1090"/>
    </row>
    <row r="310" spans="1:9" x14ac:dyDescent="0.2">
      <c r="A310" s="1078">
        <v>2.1</v>
      </c>
      <c r="B310" s="1079"/>
      <c r="C310" s="1079"/>
      <c r="D310" s="1079"/>
      <c r="E310" s="1080"/>
      <c r="F310" s="1088">
        <v>27</v>
      </c>
      <c r="G310" s="1089"/>
      <c r="H310" s="1089"/>
      <c r="I310" s="1090"/>
    </row>
    <row r="311" spans="1:9" x14ac:dyDescent="0.2">
      <c r="A311" s="1078">
        <v>2.09</v>
      </c>
      <c r="B311" s="1079"/>
      <c r="C311" s="1079"/>
      <c r="D311" s="1079"/>
      <c r="E311" s="1080"/>
      <c r="F311" s="1088">
        <v>30</v>
      </c>
      <c r="G311" s="1089"/>
      <c r="H311" s="1089"/>
      <c r="I311" s="1090"/>
    </row>
    <row r="312" spans="1:9" x14ac:dyDescent="0.2">
      <c r="A312" s="1078">
        <v>2.08</v>
      </c>
      <c r="B312" s="1079"/>
      <c r="C312" s="1079"/>
      <c r="D312" s="1079"/>
      <c r="E312" s="1080"/>
      <c r="F312" s="1088">
        <v>34</v>
      </c>
      <c r="G312" s="1089"/>
      <c r="H312" s="1089"/>
      <c r="I312" s="1090"/>
    </row>
    <row r="313" spans="1:9" x14ac:dyDescent="0.2">
      <c r="A313" s="1078">
        <v>2.0699999999999998</v>
      </c>
      <c r="B313" s="1079"/>
      <c r="C313" s="1079"/>
      <c r="D313" s="1079"/>
      <c r="E313" s="1080"/>
      <c r="F313" s="1088">
        <v>39</v>
      </c>
      <c r="G313" s="1089"/>
      <c r="H313" s="1089"/>
      <c r="I313" s="1090"/>
    </row>
    <row r="314" spans="1:9" x14ac:dyDescent="0.2">
      <c r="A314" s="1078">
        <v>2.06</v>
      </c>
      <c r="B314" s="1079"/>
      <c r="C314" s="1079"/>
      <c r="D314" s="1079"/>
      <c r="E314" s="1080"/>
      <c r="F314" s="1088">
        <v>46</v>
      </c>
      <c r="G314" s="1089"/>
      <c r="H314" s="1089"/>
      <c r="I314" s="1090"/>
    </row>
    <row r="315" spans="1:9" x14ac:dyDescent="0.2">
      <c r="A315" s="1078">
        <v>2.0499999999999998</v>
      </c>
      <c r="B315" s="1079"/>
      <c r="C315" s="1079"/>
      <c r="D315" s="1079"/>
      <c r="E315" s="1080"/>
      <c r="F315" s="1088">
        <v>56</v>
      </c>
      <c r="G315" s="1089"/>
      <c r="H315" s="1089"/>
      <c r="I315" s="1090"/>
    </row>
    <row r="316" spans="1:9" x14ac:dyDescent="0.2">
      <c r="A316" s="1078">
        <v>2.04</v>
      </c>
      <c r="B316" s="1079"/>
      <c r="C316" s="1079"/>
      <c r="D316" s="1079"/>
      <c r="E316" s="1080"/>
      <c r="F316" s="1088">
        <v>72</v>
      </c>
      <c r="G316" s="1089"/>
      <c r="H316" s="1089"/>
      <c r="I316" s="1090"/>
    </row>
    <row r="317" spans="1:9" x14ac:dyDescent="0.2">
      <c r="A317" s="1078">
        <v>2.0299999999999998</v>
      </c>
      <c r="B317" s="1079"/>
      <c r="C317" s="1079"/>
      <c r="D317" s="1079"/>
      <c r="E317" s="1080"/>
      <c r="F317" s="1088">
        <v>101</v>
      </c>
      <c r="G317" s="1089"/>
      <c r="H317" s="1089"/>
      <c r="I317" s="1090"/>
    </row>
    <row r="318" spans="1:9" x14ac:dyDescent="0.2">
      <c r="A318" s="1078">
        <v>2.02</v>
      </c>
      <c r="B318" s="1079"/>
      <c r="C318" s="1079"/>
      <c r="D318" s="1079"/>
      <c r="E318" s="1080"/>
      <c r="F318" s="1088">
        <v>167</v>
      </c>
      <c r="G318" s="1089"/>
      <c r="H318" s="1089"/>
      <c r="I318" s="1090"/>
    </row>
    <row r="319" spans="1:9" x14ac:dyDescent="0.2">
      <c r="A319" s="1078">
        <v>2.0099999999999998</v>
      </c>
      <c r="B319" s="1079"/>
      <c r="C319" s="1079"/>
      <c r="D319" s="1079"/>
      <c r="E319" s="1080"/>
      <c r="F319" s="1088">
        <v>501</v>
      </c>
      <c r="G319" s="1089"/>
      <c r="H319" s="1089"/>
      <c r="I319" s="1090"/>
    </row>
    <row r="320" spans="1:9" ht="13.5" thickBot="1" x14ac:dyDescent="0.25">
      <c r="A320" s="1094">
        <v>2</v>
      </c>
      <c r="B320" s="1095"/>
      <c r="C320" s="1095"/>
      <c r="D320" s="1095"/>
      <c r="E320" s="1096"/>
      <c r="F320" s="1097">
        <f>10^30</f>
        <v>1E+30</v>
      </c>
      <c r="G320" s="1098"/>
      <c r="H320" s="1098"/>
      <c r="I320" s="1099"/>
    </row>
  </sheetData>
  <sheetProtection selectLockedCells="1"/>
  <mergeCells count="10747">
    <mergeCell ref="AB231:AL231"/>
    <mergeCell ref="AB232:AL232"/>
    <mergeCell ref="AB233:AL233"/>
    <mergeCell ref="AB234:AL234"/>
    <mergeCell ref="AB235:AL235"/>
    <mergeCell ref="AB236:AL236"/>
    <mergeCell ref="AB237:AL237"/>
    <mergeCell ref="AB238:AL238"/>
    <mergeCell ref="AB239:AL239"/>
    <mergeCell ref="AB240:AL240"/>
    <mergeCell ref="AB241:AL241"/>
    <mergeCell ref="AB242:AL242"/>
    <mergeCell ref="AB243:AL243"/>
    <mergeCell ref="AB244:AL244"/>
    <mergeCell ref="AB245:AL245"/>
    <mergeCell ref="AB246:AL246"/>
    <mergeCell ref="AB247:AL247"/>
    <mergeCell ref="AB248:AL248"/>
    <mergeCell ref="AB249:AL249"/>
    <mergeCell ref="AB250:AL250"/>
    <mergeCell ref="AB251:AL251"/>
    <mergeCell ref="AB252:AL252"/>
    <mergeCell ref="AB253:AL253"/>
    <mergeCell ref="AB254:AL254"/>
    <mergeCell ref="AB255:AL255"/>
    <mergeCell ref="AB256:AL256"/>
    <mergeCell ref="AB257:AL257"/>
    <mergeCell ref="AB187:AL187"/>
    <mergeCell ref="AB188:AL188"/>
    <mergeCell ref="AB189:AL189"/>
    <mergeCell ref="AB190:AL190"/>
    <mergeCell ref="AB191:AL191"/>
    <mergeCell ref="AB192:AL192"/>
    <mergeCell ref="AB193:AL193"/>
    <mergeCell ref="AB194:AL194"/>
    <mergeCell ref="AB195:AL195"/>
    <mergeCell ref="AB196:AL196"/>
    <mergeCell ref="AB197:AL197"/>
    <mergeCell ref="AB198:AL198"/>
    <mergeCell ref="AB199:AL199"/>
    <mergeCell ref="AB200:AL200"/>
    <mergeCell ref="AB201:AL201"/>
    <mergeCell ref="AB202:AL202"/>
    <mergeCell ref="AB203:AL203"/>
    <mergeCell ref="AB204:AL204"/>
    <mergeCell ref="AB205:AL205"/>
    <mergeCell ref="AB206:AL206"/>
    <mergeCell ref="AB207:AL207"/>
    <mergeCell ref="AB208:AL208"/>
    <mergeCell ref="AB209:AL209"/>
    <mergeCell ref="AB210:AL210"/>
    <mergeCell ref="AB211:AL211"/>
    <mergeCell ref="AB212:AL212"/>
    <mergeCell ref="AB213:AL213"/>
    <mergeCell ref="AB214:AL214"/>
    <mergeCell ref="AB215:AL215"/>
    <mergeCell ref="AB216:AL216"/>
    <mergeCell ref="AB217:AL217"/>
    <mergeCell ref="AB218:AL218"/>
    <mergeCell ref="AB219:AL219"/>
    <mergeCell ref="AB119:AL119"/>
    <mergeCell ref="AB120:AL120"/>
    <mergeCell ref="AB121:AL121"/>
    <mergeCell ref="AB122:AL122"/>
    <mergeCell ref="AB123:AL123"/>
    <mergeCell ref="AB124:AL124"/>
    <mergeCell ref="AB125:AL125"/>
    <mergeCell ref="AB126:AL126"/>
    <mergeCell ref="AB127:AL127"/>
    <mergeCell ref="AB128:AL128"/>
    <mergeCell ref="AB129:AL129"/>
    <mergeCell ref="AB130:AL130"/>
    <mergeCell ref="AB131:AL131"/>
    <mergeCell ref="AB132:AL132"/>
    <mergeCell ref="AB133:AL133"/>
    <mergeCell ref="AB134:AL134"/>
    <mergeCell ref="AB135:AL135"/>
    <mergeCell ref="AB136:AL136"/>
    <mergeCell ref="AB137:AL137"/>
    <mergeCell ref="AB138:AL138"/>
    <mergeCell ref="AB139:AL139"/>
    <mergeCell ref="AB140:AL140"/>
    <mergeCell ref="AB141:AL141"/>
    <mergeCell ref="AB142:AL142"/>
    <mergeCell ref="AB143:AL143"/>
    <mergeCell ref="AB144:AL144"/>
    <mergeCell ref="AB145:AL145"/>
    <mergeCell ref="AB146:AL146"/>
    <mergeCell ref="AB147:AL147"/>
    <mergeCell ref="AB149:AL149"/>
    <mergeCell ref="AB150:AL150"/>
    <mergeCell ref="AB151:AL151"/>
    <mergeCell ref="AB152:AL152"/>
    <mergeCell ref="AB2:AL4"/>
    <mergeCell ref="AB5:AL5"/>
    <mergeCell ref="AB6:AL6"/>
    <mergeCell ref="AB7:AL7"/>
    <mergeCell ref="AB8:AL8"/>
    <mergeCell ref="AB9:AL9"/>
    <mergeCell ref="AB10:AL10"/>
    <mergeCell ref="AB11:AL11"/>
    <mergeCell ref="AB12:AL12"/>
    <mergeCell ref="AB13:AL13"/>
    <mergeCell ref="AB14:AL14"/>
    <mergeCell ref="AB15:AL15"/>
    <mergeCell ref="AB16:AL16"/>
    <mergeCell ref="AB17:AL17"/>
    <mergeCell ref="AB18:AL18"/>
    <mergeCell ref="AB19:AL19"/>
    <mergeCell ref="AB20:AL20"/>
    <mergeCell ref="AB21:AL21"/>
    <mergeCell ref="AB22:AL22"/>
    <mergeCell ref="AB23:AL23"/>
    <mergeCell ref="AB24:AL24"/>
    <mergeCell ref="AB25:AL25"/>
    <mergeCell ref="AB26:AL26"/>
    <mergeCell ref="AB27:AL27"/>
    <mergeCell ref="AB28:AL28"/>
    <mergeCell ref="AB29:AL29"/>
    <mergeCell ref="AB30:AL30"/>
    <mergeCell ref="AB31:AL31"/>
    <mergeCell ref="AB32:AL32"/>
    <mergeCell ref="AB33:AL33"/>
    <mergeCell ref="AB34:AL34"/>
    <mergeCell ref="AB35:AL35"/>
    <mergeCell ref="CU2:DP2"/>
    <mergeCell ref="AX7:BC7"/>
    <mergeCell ref="BD7:BG7"/>
    <mergeCell ref="BH7:BL7"/>
    <mergeCell ref="BH8:BL8"/>
    <mergeCell ref="BH5:BL5"/>
    <mergeCell ref="BD19:BG19"/>
    <mergeCell ref="DI18:DL18"/>
    <mergeCell ref="CW19:CZ19"/>
    <mergeCell ref="DE19:DH19"/>
    <mergeCell ref="DI19:DL19"/>
    <mergeCell ref="DM24:DP24"/>
    <mergeCell ref="BN25:BP25"/>
    <mergeCell ref="BN26:BP26"/>
    <mergeCell ref="AM3:AS4"/>
    <mergeCell ref="BT12:BU12"/>
    <mergeCell ref="CL12:CO12"/>
    <mergeCell ref="CP12:CS12"/>
    <mergeCell ref="BT13:BU13"/>
    <mergeCell ref="CL13:CO13"/>
    <mergeCell ref="CP13:CS13"/>
    <mergeCell ref="CH12:CK12"/>
    <mergeCell ref="BV13:BY13"/>
    <mergeCell ref="BZ13:CC13"/>
    <mergeCell ref="CD13:CG13"/>
    <mergeCell ref="CH13:CK13"/>
    <mergeCell ref="BQ1:BS4"/>
    <mergeCell ref="BT3:BU4"/>
    <mergeCell ref="CL3:CO4"/>
    <mergeCell ref="BT5:BU5"/>
    <mergeCell ref="CL5:CO5"/>
    <mergeCell ref="CL6:CO6"/>
    <mergeCell ref="DQ2:DT2"/>
    <mergeCell ref="DV2:EQ2"/>
    <mergeCell ref="ER2:EU2"/>
    <mergeCell ref="EW2:FR2"/>
    <mergeCell ref="FS2:FV2"/>
    <mergeCell ref="J263:K263"/>
    <mergeCell ref="L263:M263"/>
    <mergeCell ref="N263:O263"/>
    <mergeCell ref="P263:R263"/>
    <mergeCell ref="H267:I267"/>
    <mergeCell ref="J267:K267"/>
    <mergeCell ref="L267:M267"/>
    <mergeCell ref="N267:O267"/>
    <mergeCell ref="P267:R267"/>
    <mergeCell ref="A314:E314"/>
    <mergeCell ref="F314:I314"/>
    <mergeCell ref="A315:E315"/>
    <mergeCell ref="F315:I315"/>
    <mergeCell ref="A316:E316"/>
    <mergeCell ref="F316:I316"/>
    <mergeCell ref="A317:E317"/>
    <mergeCell ref="F317:I317"/>
    <mergeCell ref="A318:E318"/>
    <mergeCell ref="F318:I318"/>
    <mergeCell ref="A319:E319"/>
    <mergeCell ref="F319:I319"/>
    <mergeCell ref="A320:E320"/>
    <mergeCell ref="F320:I320"/>
    <mergeCell ref="A303:E303"/>
    <mergeCell ref="F303:I303"/>
    <mergeCell ref="A304:E304"/>
    <mergeCell ref="F304:I304"/>
    <mergeCell ref="A305:E305"/>
    <mergeCell ref="F305:I305"/>
    <mergeCell ref="A306:E306"/>
    <mergeCell ref="F306:I306"/>
    <mergeCell ref="A307:E307"/>
    <mergeCell ref="F307:I307"/>
    <mergeCell ref="A308:E308"/>
    <mergeCell ref="F308:I308"/>
    <mergeCell ref="A309:E309"/>
    <mergeCell ref="F309:I309"/>
    <mergeCell ref="A310:E310"/>
    <mergeCell ref="F310:I310"/>
    <mergeCell ref="A311:E311"/>
    <mergeCell ref="F311:I311"/>
    <mergeCell ref="A312:E312"/>
    <mergeCell ref="F312:I312"/>
    <mergeCell ref="A313:E313"/>
    <mergeCell ref="F313:I313"/>
    <mergeCell ref="A285:E286"/>
    <mergeCell ref="F285:I286"/>
    <mergeCell ref="A287:E287"/>
    <mergeCell ref="F287:I287"/>
    <mergeCell ref="A288:E288"/>
    <mergeCell ref="F288:I288"/>
    <mergeCell ref="A289:E289"/>
    <mergeCell ref="F289:I289"/>
    <mergeCell ref="A290:E290"/>
    <mergeCell ref="F290:I290"/>
    <mergeCell ref="A291:E291"/>
    <mergeCell ref="F291:I291"/>
    <mergeCell ref="A292:E292"/>
    <mergeCell ref="F292:I292"/>
    <mergeCell ref="A294:E294"/>
    <mergeCell ref="F294:I294"/>
    <mergeCell ref="A295:E295"/>
    <mergeCell ref="F295:I295"/>
    <mergeCell ref="A296:E296"/>
    <mergeCell ref="F296:I296"/>
    <mergeCell ref="A297:E297"/>
    <mergeCell ref="F297:I297"/>
    <mergeCell ref="A298:E298"/>
    <mergeCell ref="F298:I298"/>
    <mergeCell ref="A299:E299"/>
    <mergeCell ref="F299:I299"/>
    <mergeCell ref="A300:E300"/>
    <mergeCell ref="F300:I300"/>
    <mergeCell ref="A301:E301"/>
    <mergeCell ref="F301:I301"/>
    <mergeCell ref="A302:E302"/>
    <mergeCell ref="F302:I302"/>
    <mergeCell ref="L274:M274"/>
    <mergeCell ref="N274:O274"/>
    <mergeCell ref="P274:R274"/>
    <mergeCell ref="L265:M265"/>
    <mergeCell ref="N265:O265"/>
    <mergeCell ref="P265:R265"/>
    <mergeCell ref="S265:T265"/>
    <mergeCell ref="H266:I266"/>
    <mergeCell ref="J266:K266"/>
    <mergeCell ref="L266:M266"/>
    <mergeCell ref="N266:O266"/>
    <mergeCell ref="P266:R266"/>
    <mergeCell ref="S266:T266"/>
    <mergeCell ref="A278:B282"/>
    <mergeCell ref="P279:R279"/>
    <mergeCell ref="S279:T279"/>
    <mergeCell ref="H280:I280"/>
    <mergeCell ref="J280:K280"/>
    <mergeCell ref="L280:M280"/>
    <mergeCell ref="N280:O280"/>
    <mergeCell ref="P280:R280"/>
    <mergeCell ref="S280:T280"/>
    <mergeCell ref="H281:I281"/>
    <mergeCell ref="J281:K281"/>
    <mergeCell ref="L281:M281"/>
    <mergeCell ref="N281:O281"/>
    <mergeCell ref="P281:R281"/>
    <mergeCell ref="S281:T281"/>
    <mergeCell ref="H282:I282"/>
    <mergeCell ref="J282:K282"/>
    <mergeCell ref="L282:M282"/>
    <mergeCell ref="N282:O282"/>
    <mergeCell ref="P282:R282"/>
    <mergeCell ref="S282:T282"/>
    <mergeCell ref="A284:I284"/>
    <mergeCell ref="A263:B267"/>
    <mergeCell ref="A268:B272"/>
    <mergeCell ref="J269:K269"/>
    <mergeCell ref="L269:M269"/>
    <mergeCell ref="N269:O269"/>
    <mergeCell ref="P269:R269"/>
    <mergeCell ref="S269:T269"/>
    <mergeCell ref="H270:I270"/>
    <mergeCell ref="A273:B277"/>
    <mergeCell ref="P276:R276"/>
    <mergeCell ref="S276:T276"/>
    <mergeCell ref="BD252:BG252"/>
    <mergeCell ref="BH252:BL252"/>
    <mergeCell ref="BN252:BP252"/>
    <mergeCell ref="P253:T253"/>
    <mergeCell ref="AM253:AS253"/>
    <mergeCell ref="AT253:AW253"/>
    <mergeCell ref="BN251:BP251"/>
    <mergeCell ref="P252:T252"/>
    <mergeCell ref="AM252:AS252"/>
    <mergeCell ref="AT252:AW252"/>
    <mergeCell ref="AX252:BC252"/>
    <mergeCell ref="AX251:BC251"/>
    <mergeCell ref="BD251:BG251"/>
    <mergeCell ref="BH251:BL251"/>
    <mergeCell ref="BD250:BG250"/>
    <mergeCell ref="BH250:BL250"/>
    <mergeCell ref="BN250:BP250"/>
    <mergeCell ref="P251:T251"/>
    <mergeCell ref="AM251:AS251"/>
    <mergeCell ref="AT251:AW251"/>
    <mergeCell ref="BN249:BP249"/>
    <mergeCell ref="P250:T250"/>
    <mergeCell ref="AM250:AS250"/>
    <mergeCell ref="AT250:AW250"/>
    <mergeCell ref="AX250:BC250"/>
    <mergeCell ref="AX249:BC249"/>
    <mergeCell ref="BD249:BG249"/>
    <mergeCell ref="BH249:BL249"/>
    <mergeCell ref="BD248:BG248"/>
    <mergeCell ref="BH248:BL248"/>
    <mergeCell ref="BN248:BP248"/>
    <mergeCell ref="P249:T249"/>
    <mergeCell ref="A293:E293"/>
    <mergeCell ref="F293:I293"/>
    <mergeCell ref="A252:B252"/>
    <mergeCell ref="C252:G252"/>
    <mergeCell ref="H252:K252"/>
    <mergeCell ref="H251:K251"/>
    <mergeCell ref="A250:B250"/>
    <mergeCell ref="AM257:AS257"/>
    <mergeCell ref="AT257:AW257"/>
    <mergeCell ref="H264:I264"/>
    <mergeCell ref="J264:K264"/>
    <mergeCell ref="L264:M264"/>
    <mergeCell ref="N264:O264"/>
    <mergeCell ref="P264:R264"/>
    <mergeCell ref="S264:T264"/>
    <mergeCell ref="L256:O256"/>
    <mergeCell ref="L257:O257"/>
    <mergeCell ref="C257:G257"/>
    <mergeCell ref="H257:K257"/>
    <mergeCell ref="C268:G272"/>
    <mergeCell ref="H268:I268"/>
    <mergeCell ref="J268:K268"/>
    <mergeCell ref="L268:M268"/>
    <mergeCell ref="N268:O268"/>
    <mergeCell ref="P268:R268"/>
    <mergeCell ref="S268:T268"/>
    <mergeCell ref="H269:I269"/>
    <mergeCell ref="C273:G277"/>
    <mergeCell ref="H276:I276"/>
    <mergeCell ref="J276:K276"/>
    <mergeCell ref="L276:M276"/>
    <mergeCell ref="N276:O276"/>
    <mergeCell ref="EW17:EX17"/>
    <mergeCell ref="EW18:EX18"/>
    <mergeCell ref="EW19:EX19"/>
    <mergeCell ref="EW20:EX20"/>
    <mergeCell ref="EW21:EX21"/>
    <mergeCell ref="EW269:FR269"/>
    <mergeCell ref="FS269:FV269"/>
    <mergeCell ref="EW205:EX205"/>
    <mergeCell ref="EW198:EX198"/>
    <mergeCell ref="FO198:FR198"/>
    <mergeCell ref="FS198:FV198"/>
    <mergeCell ref="EW199:EX199"/>
    <mergeCell ref="FO199:FR199"/>
    <mergeCell ref="FS199:FV199"/>
    <mergeCell ref="EW200:EX200"/>
    <mergeCell ref="FO200:FR200"/>
    <mergeCell ref="FS200:FV200"/>
    <mergeCell ref="EW201:EX201"/>
    <mergeCell ref="FO212:FR212"/>
    <mergeCell ref="FS212:FV212"/>
    <mergeCell ref="FO213:FR213"/>
    <mergeCell ref="FS213:FV213"/>
    <mergeCell ref="EW212:EX212"/>
    <mergeCell ref="FS210:FV210"/>
    <mergeCell ref="EW211:EX211"/>
    <mergeCell ref="FO211:FR211"/>
    <mergeCell ref="FS211:FV211"/>
    <mergeCell ref="FO209:FR209"/>
    <mergeCell ref="FS209:FV209"/>
    <mergeCell ref="EW210:EX210"/>
    <mergeCell ref="FO210:FR210"/>
    <mergeCell ref="FG210:FJ210"/>
    <mergeCell ref="FK210:FN210"/>
    <mergeCell ref="FO214:FR214"/>
    <mergeCell ref="FS214:FV214"/>
    <mergeCell ref="EW214:EX214"/>
    <mergeCell ref="EW84:EX84"/>
    <mergeCell ref="EW78:EX78"/>
    <mergeCell ref="EW79:EX79"/>
    <mergeCell ref="EW80:EX80"/>
    <mergeCell ref="EW81:EX81"/>
    <mergeCell ref="EW82:EX82"/>
    <mergeCell ref="EW83:EX83"/>
    <mergeCell ref="EW72:EX72"/>
    <mergeCell ref="EW73:EX73"/>
    <mergeCell ref="EW74:EX74"/>
    <mergeCell ref="EW75:EX75"/>
    <mergeCell ref="EW76:EX76"/>
    <mergeCell ref="EW77:EX77"/>
    <mergeCell ref="EW71:EX71"/>
    <mergeCell ref="EW65:EX65"/>
    <mergeCell ref="EW66:EX66"/>
    <mergeCell ref="EW67:EX67"/>
    <mergeCell ref="EW68:EX68"/>
    <mergeCell ref="EW69:EX69"/>
    <mergeCell ref="EW70:EX70"/>
    <mergeCell ref="EW59:EX59"/>
    <mergeCell ref="EW60:EX60"/>
    <mergeCell ref="EW61:EX61"/>
    <mergeCell ref="EW62:EX62"/>
    <mergeCell ref="EW63:EX63"/>
    <mergeCell ref="EW64:EX64"/>
    <mergeCell ref="EW53:EX53"/>
    <mergeCell ref="EW54:EX54"/>
    <mergeCell ref="EW55:EX55"/>
    <mergeCell ref="EW56:EX56"/>
    <mergeCell ref="EW57:EX57"/>
    <mergeCell ref="EW58:EX58"/>
    <mergeCell ref="EW47:EX47"/>
    <mergeCell ref="EW48:EX48"/>
    <mergeCell ref="EW49:EX49"/>
    <mergeCell ref="EW50:EX50"/>
    <mergeCell ref="EW51:EX51"/>
    <mergeCell ref="EW52:EX52"/>
    <mergeCell ref="EW5:EX5"/>
    <mergeCell ref="EW6:EX6"/>
    <mergeCell ref="EW7:EX7"/>
    <mergeCell ref="EW8:EX8"/>
    <mergeCell ref="EW9:EX9"/>
    <mergeCell ref="EW10:EX10"/>
    <mergeCell ref="DV71:DW71"/>
    <mergeCell ref="DV72:DW72"/>
    <mergeCell ref="DV73:DW73"/>
    <mergeCell ref="DV74:DW74"/>
    <mergeCell ref="DV75:DW75"/>
    <mergeCell ref="DV76:DW76"/>
    <mergeCell ref="DV65:DW65"/>
    <mergeCell ref="DV66:DW66"/>
    <mergeCell ref="DV67:DW67"/>
    <mergeCell ref="DV68:DW68"/>
    <mergeCell ref="DV69:DW69"/>
    <mergeCell ref="DV70:DW70"/>
    <mergeCell ref="DV59:DW59"/>
    <mergeCell ref="DV60:DW60"/>
    <mergeCell ref="DV61:DW61"/>
    <mergeCell ref="DV62:DW62"/>
    <mergeCell ref="DV63:DW63"/>
    <mergeCell ref="DV64:DW64"/>
    <mergeCell ref="DV53:DW53"/>
    <mergeCell ref="DV54:DW54"/>
    <mergeCell ref="DV55:DW55"/>
    <mergeCell ref="DV56:DW56"/>
    <mergeCell ref="DV57:DW57"/>
    <mergeCell ref="DV58:DW58"/>
    <mergeCell ref="DV47:DW47"/>
    <mergeCell ref="DV48:DW48"/>
    <mergeCell ref="DV49:DW49"/>
    <mergeCell ref="DV50:DW50"/>
    <mergeCell ref="DV51:DW51"/>
    <mergeCell ref="DV52:DW52"/>
    <mergeCell ref="DV41:DW41"/>
    <mergeCell ref="DV42:DW42"/>
    <mergeCell ref="DV43:DW43"/>
    <mergeCell ref="DV44:DW44"/>
    <mergeCell ref="DV45:DW45"/>
    <mergeCell ref="DV46:DW46"/>
    <mergeCell ref="DV35:DW35"/>
    <mergeCell ref="DV36:DW36"/>
    <mergeCell ref="DV37:DW37"/>
    <mergeCell ref="DV38:DW38"/>
    <mergeCell ref="DV39:DW39"/>
    <mergeCell ref="DV40:DW40"/>
    <mergeCell ref="DV29:DW29"/>
    <mergeCell ref="DV30:DW30"/>
    <mergeCell ref="DV31:DW31"/>
    <mergeCell ref="DV32:DW32"/>
    <mergeCell ref="DV33:DW33"/>
    <mergeCell ref="DV34:DW34"/>
    <mergeCell ref="EW11:EX11"/>
    <mergeCell ref="EW12:EX12"/>
    <mergeCell ref="EW13:EX13"/>
    <mergeCell ref="EW14:EX14"/>
    <mergeCell ref="EW15:EX15"/>
    <mergeCell ref="EW16:EX16"/>
    <mergeCell ref="EW25:EX25"/>
    <mergeCell ref="EW26:EX26"/>
    <mergeCell ref="EW27:EX27"/>
    <mergeCell ref="EW28:EX28"/>
    <mergeCell ref="DV28:DW28"/>
    <mergeCell ref="EW41:EX41"/>
    <mergeCell ref="EW42:EX42"/>
    <mergeCell ref="EW43:EX43"/>
    <mergeCell ref="EW44:EX44"/>
    <mergeCell ref="DV5:DW5"/>
    <mergeCell ref="DV6:DW6"/>
    <mergeCell ref="DV7:DW7"/>
    <mergeCell ref="DV8:DW8"/>
    <mergeCell ref="DV9:DW9"/>
    <mergeCell ref="DV10:DW10"/>
    <mergeCell ref="BD256:BG256"/>
    <mergeCell ref="BH256:BL256"/>
    <mergeCell ref="BN256:BP256"/>
    <mergeCell ref="BN255:BP255"/>
    <mergeCell ref="A256:B256"/>
    <mergeCell ref="C256:G256"/>
    <mergeCell ref="H256:K256"/>
    <mergeCell ref="P256:T256"/>
    <mergeCell ref="AM256:AS256"/>
    <mergeCell ref="BD254:BG254"/>
    <mergeCell ref="BH254:BL254"/>
    <mergeCell ref="AT256:AW256"/>
    <mergeCell ref="AX256:BC256"/>
    <mergeCell ref="AX255:BC255"/>
    <mergeCell ref="BN254:BP254"/>
    <mergeCell ref="A255:B255"/>
    <mergeCell ref="C255:G255"/>
    <mergeCell ref="H255:K255"/>
    <mergeCell ref="P255:T255"/>
    <mergeCell ref="AM255:AS255"/>
    <mergeCell ref="AT255:AW255"/>
    <mergeCell ref="BD255:BG255"/>
    <mergeCell ref="BH255:BL255"/>
    <mergeCell ref="BN253:BP253"/>
    <mergeCell ref="A254:B254"/>
    <mergeCell ref="C254:G254"/>
    <mergeCell ref="H254:K254"/>
    <mergeCell ref="P254:T254"/>
    <mergeCell ref="AM254:AS254"/>
    <mergeCell ref="AT254:AW254"/>
    <mergeCell ref="AX254:BC254"/>
    <mergeCell ref="AX253:BC253"/>
    <mergeCell ref="BD253:BG253"/>
    <mergeCell ref="BH253:BL253"/>
    <mergeCell ref="DV81:DW81"/>
    <mergeCell ref="DV82:DW82"/>
    <mergeCell ref="DV83:DW83"/>
    <mergeCell ref="DV84:DW84"/>
    <mergeCell ref="A251:B251"/>
    <mergeCell ref="C251:G251"/>
    <mergeCell ref="A253:B253"/>
    <mergeCell ref="C253:G253"/>
    <mergeCell ref="H253:K253"/>
    <mergeCell ref="BD243:BG243"/>
    <mergeCell ref="BH243:BL243"/>
    <mergeCell ref="BD242:BG242"/>
    <mergeCell ref="BH242:BL242"/>
    <mergeCell ref="BN242:BP242"/>
    <mergeCell ref="AM249:AS249"/>
    <mergeCell ref="AT249:AW249"/>
    <mergeCell ref="BN247:BP247"/>
    <mergeCell ref="A248:B248"/>
    <mergeCell ref="C248:G248"/>
    <mergeCell ref="H248:K248"/>
    <mergeCell ref="P248:T248"/>
    <mergeCell ref="AM248:AS248"/>
    <mergeCell ref="AT248:AW248"/>
    <mergeCell ref="AX248:BC248"/>
    <mergeCell ref="AX247:BC247"/>
    <mergeCell ref="BD247:BG247"/>
    <mergeCell ref="BH247:BL247"/>
    <mergeCell ref="BH246:BL246"/>
    <mergeCell ref="BN246:BP246"/>
    <mergeCell ref="A247:B247"/>
    <mergeCell ref="C247:G247"/>
    <mergeCell ref="H247:K247"/>
    <mergeCell ref="P247:T247"/>
    <mergeCell ref="AM247:AS247"/>
    <mergeCell ref="AT247:AW247"/>
    <mergeCell ref="DV11:DW11"/>
    <mergeCell ref="DV12:DW12"/>
    <mergeCell ref="DV13:DW13"/>
    <mergeCell ref="DV14:DW14"/>
    <mergeCell ref="DV15:DW15"/>
    <mergeCell ref="DV16:DW16"/>
    <mergeCell ref="A246:B246"/>
    <mergeCell ref="C246:G246"/>
    <mergeCell ref="H246:K246"/>
    <mergeCell ref="P246:T246"/>
    <mergeCell ref="AM246:AS246"/>
    <mergeCell ref="AT246:AW246"/>
    <mergeCell ref="AX246:BC246"/>
    <mergeCell ref="AX245:BC245"/>
    <mergeCell ref="BD245:BG245"/>
    <mergeCell ref="BH245:BL245"/>
    <mergeCell ref="BD244:BG244"/>
    <mergeCell ref="BH244:BL244"/>
    <mergeCell ref="BN244:BP244"/>
    <mergeCell ref="A245:B245"/>
    <mergeCell ref="C245:G245"/>
    <mergeCell ref="H245:K245"/>
    <mergeCell ref="P245:T245"/>
    <mergeCell ref="AM245:AS245"/>
    <mergeCell ref="AT245:AW245"/>
    <mergeCell ref="A244:B244"/>
    <mergeCell ref="C244:G244"/>
    <mergeCell ref="H244:K244"/>
    <mergeCell ref="P244:T244"/>
    <mergeCell ref="AM244:AS244"/>
    <mergeCell ref="AT244:AW244"/>
    <mergeCell ref="AX244:BC244"/>
    <mergeCell ref="A243:B243"/>
    <mergeCell ref="C243:G243"/>
    <mergeCell ref="H243:K243"/>
    <mergeCell ref="P243:T243"/>
    <mergeCell ref="AM243:AS243"/>
    <mergeCell ref="AT243:AW243"/>
    <mergeCell ref="DV23:DW23"/>
    <mergeCell ref="DV24:DW24"/>
    <mergeCell ref="DV25:DW25"/>
    <mergeCell ref="DV26:DW26"/>
    <mergeCell ref="DV27:DW27"/>
    <mergeCell ref="AM242:AS242"/>
    <mergeCell ref="AT242:AW242"/>
    <mergeCell ref="AX242:BC242"/>
    <mergeCell ref="AX241:BC241"/>
    <mergeCell ref="BD241:BG241"/>
    <mergeCell ref="BH241:BL241"/>
    <mergeCell ref="A241:B241"/>
    <mergeCell ref="C241:G241"/>
    <mergeCell ref="H241:K241"/>
    <mergeCell ref="P241:T241"/>
    <mergeCell ref="AM241:AS241"/>
    <mergeCell ref="AT241:AW241"/>
    <mergeCell ref="A240:B240"/>
    <mergeCell ref="C240:G240"/>
    <mergeCell ref="H240:K240"/>
    <mergeCell ref="P240:T240"/>
    <mergeCell ref="AM240:AS240"/>
    <mergeCell ref="AT240:AW240"/>
    <mergeCell ref="AX240:BC240"/>
    <mergeCell ref="BH238:BL238"/>
    <mergeCell ref="BN238:BP238"/>
    <mergeCell ref="A239:B239"/>
    <mergeCell ref="C239:G239"/>
    <mergeCell ref="H239:K239"/>
    <mergeCell ref="P239:T239"/>
    <mergeCell ref="AM239:AS239"/>
    <mergeCell ref="AT239:AW239"/>
    <mergeCell ref="A238:B238"/>
    <mergeCell ref="C238:G238"/>
    <mergeCell ref="H238:K238"/>
    <mergeCell ref="P238:T238"/>
    <mergeCell ref="AM238:AS238"/>
    <mergeCell ref="AT238:AW238"/>
    <mergeCell ref="AX238:BC238"/>
    <mergeCell ref="AX239:BC239"/>
    <mergeCell ref="BD239:BG239"/>
    <mergeCell ref="BH239:BL239"/>
    <mergeCell ref="BD238:BG238"/>
    <mergeCell ref="AB148:AL148"/>
    <mergeCell ref="BH123:BL123"/>
    <mergeCell ref="A124:B124"/>
    <mergeCell ref="C124:G124"/>
    <mergeCell ref="AX237:BC237"/>
    <mergeCell ref="BD237:BG237"/>
    <mergeCell ref="BH237:BL237"/>
    <mergeCell ref="BD236:BG236"/>
    <mergeCell ref="BH236:BL236"/>
    <mergeCell ref="A237:B237"/>
    <mergeCell ref="C237:G237"/>
    <mergeCell ref="H237:K237"/>
    <mergeCell ref="P237:T237"/>
    <mergeCell ref="AM237:AS237"/>
    <mergeCell ref="AT237:AW237"/>
    <mergeCell ref="A236:B236"/>
    <mergeCell ref="C236:G236"/>
    <mergeCell ref="H236:K236"/>
    <mergeCell ref="P236:T236"/>
    <mergeCell ref="AM236:AS236"/>
    <mergeCell ref="AT236:AW236"/>
    <mergeCell ref="AX236:BC236"/>
    <mergeCell ref="AX235:BC235"/>
    <mergeCell ref="BD235:BG235"/>
    <mergeCell ref="BH235:BL235"/>
    <mergeCell ref="A235:B235"/>
    <mergeCell ref="C235:G235"/>
    <mergeCell ref="H235:K235"/>
    <mergeCell ref="P235:T235"/>
    <mergeCell ref="AM235:AS235"/>
    <mergeCell ref="AT235:AW235"/>
    <mergeCell ref="P125:T125"/>
    <mergeCell ref="AM125:AS125"/>
    <mergeCell ref="AT125:AW125"/>
    <mergeCell ref="L125:O125"/>
    <mergeCell ref="AX125:BC125"/>
    <mergeCell ref="BD125:BG125"/>
    <mergeCell ref="BH125:BL125"/>
    <mergeCell ref="A126:B126"/>
    <mergeCell ref="C126:G126"/>
    <mergeCell ref="H126:K126"/>
    <mergeCell ref="AB153:AL153"/>
    <mergeCell ref="AB154:AL154"/>
    <mergeCell ref="AB155:AL155"/>
    <mergeCell ref="AB156:AL156"/>
    <mergeCell ref="AB157:AL157"/>
    <mergeCell ref="AB158:AL158"/>
    <mergeCell ref="AB159:AL159"/>
    <mergeCell ref="AB160:AL160"/>
    <mergeCell ref="AB161:AL161"/>
    <mergeCell ref="AB162:AL162"/>
    <mergeCell ref="AB163:AL163"/>
    <mergeCell ref="AB164:AL164"/>
    <mergeCell ref="AB165:AL165"/>
    <mergeCell ref="AB166:AL166"/>
    <mergeCell ref="AB167:AL167"/>
    <mergeCell ref="AB168:AL168"/>
    <mergeCell ref="AB169:AL169"/>
    <mergeCell ref="AB170:AL170"/>
    <mergeCell ref="AB171:AL171"/>
    <mergeCell ref="AB172:AL172"/>
    <mergeCell ref="AB173:AL173"/>
    <mergeCell ref="AB174:AL174"/>
    <mergeCell ref="AB175:AL175"/>
    <mergeCell ref="A130:B130"/>
    <mergeCell ref="C130:G130"/>
    <mergeCell ref="H130:K130"/>
    <mergeCell ref="P130:T130"/>
    <mergeCell ref="AM130:AS130"/>
    <mergeCell ref="AT130:AW130"/>
    <mergeCell ref="L130:O130"/>
    <mergeCell ref="AX130:BC130"/>
    <mergeCell ref="BD130:BG130"/>
    <mergeCell ref="BH130:BL130"/>
    <mergeCell ref="H128:K128"/>
    <mergeCell ref="P128:T128"/>
    <mergeCell ref="AM128:AS128"/>
    <mergeCell ref="AT128:AW128"/>
    <mergeCell ref="L128:O128"/>
    <mergeCell ref="AX128:BC128"/>
    <mergeCell ref="BD128:BG128"/>
    <mergeCell ref="BH128:BL128"/>
    <mergeCell ref="A129:B129"/>
    <mergeCell ref="C129:G129"/>
    <mergeCell ref="H129:K129"/>
    <mergeCell ref="H122:K122"/>
    <mergeCell ref="P122:T122"/>
    <mergeCell ref="AM122:AS122"/>
    <mergeCell ref="AT122:AW122"/>
    <mergeCell ref="L122:O122"/>
    <mergeCell ref="AX122:BC122"/>
    <mergeCell ref="BD122:BG122"/>
    <mergeCell ref="BH122:BL122"/>
    <mergeCell ref="A123:B123"/>
    <mergeCell ref="C123:G123"/>
    <mergeCell ref="H123:K123"/>
    <mergeCell ref="P123:T123"/>
    <mergeCell ref="AM123:AS123"/>
    <mergeCell ref="AT123:AW123"/>
    <mergeCell ref="L123:O123"/>
    <mergeCell ref="AX123:BC123"/>
    <mergeCell ref="BD123:BG123"/>
    <mergeCell ref="A234:B234"/>
    <mergeCell ref="C234:G234"/>
    <mergeCell ref="H234:K234"/>
    <mergeCell ref="P234:T234"/>
    <mergeCell ref="AM234:AS234"/>
    <mergeCell ref="AT234:AW234"/>
    <mergeCell ref="AX234:BC234"/>
    <mergeCell ref="AX233:BC233"/>
    <mergeCell ref="BD233:BG233"/>
    <mergeCell ref="BH233:BL233"/>
    <mergeCell ref="A233:B233"/>
    <mergeCell ref="C233:G233"/>
    <mergeCell ref="H233:K233"/>
    <mergeCell ref="P233:T233"/>
    <mergeCell ref="AM233:AS233"/>
    <mergeCell ref="AT233:AW233"/>
    <mergeCell ref="L233:O233"/>
    <mergeCell ref="A134:B134"/>
    <mergeCell ref="C134:G134"/>
    <mergeCell ref="H134:K134"/>
    <mergeCell ref="P134:T134"/>
    <mergeCell ref="AM134:AS134"/>
    <mergeCell ref="AT134:AW134"/>
    <mergeCell ref="L134:O134"/>
    <mergeCell ref="AX134:BC134"/>
    <mergeCell ref="BD134:BG134"/>
    <mergeCell ref="BH134:BL134"/>
    <mergeCell ref="A135:B135"/>
    <mergeCell ref="C135:G135"/>
    <mergeCell ref="H135:K135"/>
    <mergeCell ref="P135:T135"/>
    <mergeCell ref="AM135:AS135"/>
    <mergeCell ref="AT135:AW135"/>
    <mergeCell ref="L135:O135"/>
    <mergeCell ref="AX135:BC135"/>
    <mergeCell ref="BD135:BG135"/>
    <mergeCell ref="A136:B136"/>
    <mergeCell ref="C136:G136"/>
    <mergeCell ref="H136:K136"/>
    <mergeCell ref="P136:T136"/>
    <mergeCell ref="AM136:AS136"/>
    <mergeCell ref="AT136:AW136"/>
    <mergeCell ref="L136:O136"/>
    <mergeCell ref="AX136:BC136"/>
    <mergeCell ref="BD136:BG136"/>
    <mergeCell ref="BH136:BL136"/>
    <mergeCell ref="A137:B137"/>
    <mergeCell ref="P129:T129"/>
    <mergeCell ref="AM129:AS129"/>
    <mergeCell ref="AT129:AW129"/>
    <mergeCell ref="L129:O129"/>
    <mergeCell ref="AX129:BC129"/>
    <mergeCell ref="BD129:BG129"/>
    <mergeCell ref="BH129:BL129"/>
    <mergeCell ref="H124:K124"/>
    <mergeCell ref="P124:T124"/>
    <mergeCell ref="AM124:AS124"/>
    <mergeCell ref="AT124:AW124"/>
    <mergeCell ref="L124:O124"/>
    <mergeCell ref="AX124:BC124"/>
    <mergeCell ref="BD124:BG124"/>
    <mergeCell ref="BH124:BL124"/>
    <mergeCell ref="A125:B125"/>
    <mergeCell ref="C125:G125"/>
    <mergeCell ref="H125:K125"/>
    <mergeCell ref="U125:AA125"/>
    <mergeCell ref="U126:AA126"/>
    <mergeCell ref="U127:AA127"/>
    <mergeCell ref="U128:AA128"/>
    <mergeCell ref="U129:AA129"/>
    <mergeCell ref="U130:AA130"/>
    <mergeCell ref="AX117:BC117"/>
    <mergeCell ref="BD117:BG117"/>
    <mergeCell ref="BD118:BG118"/>
    <mergeCell ref="AT117:AW117"/>
    <mergeCell ref="BH117:BL117"/>
    <mergeCell ref="BD116:BG116"/>
    <mergeCell ref="BH116:BL116"/>
    <mergeCell ref="AX116:BC116"/>
    <mergeCell ref="A115:B115"/>
    <mergeCell ref="A117:B117"/>
    <mergeCell ref="C117:G117"/>
    <mergeCell ref="H117:K117"/>
    <mergeCell ref="P117:T117"/>
    <mergeCell ref="AM117:AS117"/>
    <mergeCell ref="A116:B116"/>
    <mergeCell ref="C116:G116"/>
    <mergeCell ref="H116:K116"/>
    <mergeCell ref="P116:T116"/>
    <mergeCell ref="AM116:AS116"/>
    <mergeCell ref="AT116:AW116"/>
    <mergeCell ref="C115:G115"/>
    <mergeCell ref="H115:K115"/>
    <mergeCell ref="P115:T115"/>
    <mergeCell ref="AM115:AS115"/>
    <mergeCell ref="AT115:AW115"/>
    <mergeCell ref="A118:B118"/>
    <mergeCell ref="C118:G118"/>
    <mergeCell ref="H118:K118"/>
    <mergeCell ref="P118:T118"/>
    <mergeCell ref="AM118:AS118"/>
    <mergeCell ref="AT118:AW118"/>
    <mergeCell ref="AX118:BC118"/>
    <mergeCell ref="U116:AA116"/>
    <mergeCell ref="U117:AA117"/>
    <mergeCell ref="U118:AA118"/>
    <mergeCell ref="U119:AA119"/>
    <mergeCell ref="U120:AA120"/>
    <mergeCell ref="U121:AA121"/>
    <mergeCell ref="U122:AA122"/>
    <mergeCell ref="U123:AA123"/>
    <mergeCell ref="AB112:AL112"/>
    <mergeCell ref="AB115:AL115"/>
    <mergeCell ref="AB116:AL116"/>
    <mergeCell ref="AB117:AL117"/>
    <mergeCell ref="AB118:AL118"/>
    <mergeCell ref="P114:T114"/>
    <mergeCell ref="AM114:AS114"/>
    <mergeCell ref="AT114:AW114"/>
    <mergeCell ref="C113:G113"/>
    <mergeCell ref="H113:K113"/>
    <mergeCell ref="P113:T113"/>
    <mergeCell ref="AM113:AS113"/>
    <mergeCell ref="AT113:AW113"/>
    <mergeCell ref="C107:G107"/>
    <mergeCell ref="H107:K107"/>
    <mergeCell ref="P107:T107"/>
    <mergeCell ref="AM107:AS107"/>
    <mergeCell ref="AT107:AW107"/>
    <mergeCell ref="C106:G106"/>
    <mergeCell ref="H106:K106"/>
    <mergeCell ref="P106:T106"/>
    <mergeCell ref="AM106:AS106"/>
    <mergeCell ref="AT106:AW106"/>
    <mergeCell ref="U108:AA108"/>
    <mergeCell ref="U109:AA109"/>
    <mergeCell ref="U110:AA110"/>
    <mergeCell ref="U111:AA111"/>
    <mergeCell ref="U112:AA112"/>
    <mergeCell ref="C112:G112"/>
    <mergeCell ref="H112:K112"/>
    <mergeCell ref="P112:T112"/>
    <mergeCell ref="AM112:AS112"/>
    <mergeCell ref="AT112:AW112"/>
    <mergeCell ref="L110:O110"/>
    <mergeCell ref="L111:O111"/>
    <mergeCell ref="L112:O112"/>
    <mergeCell ref="U113:AA113"/>
    <mergeCell ref="U114:AA114"/>
    <mergeCell ref="C111:G111"/>
    <mergeCell ref="H111:K111"/>
    <mergeCell ref="P111:T111"/>
    <mergeCell ref="AM111:AS111"/>
    <mergeCell ref="AT111:AW111"/>
    <mergeCell ref="C110:G110"/>
    <mergeCell ref="H110:K110"/>
    <mergeCell ref="P110:T110"/>
    <mergeCell ref="AM110:AS110"/>
    <mergeCell ref="AT110:AW110"/>
    <mergeCell ref="C109:G109"/>
    <mergeCell ref="H109:K109"/>
    <mergeCell ref="P109:T109"/>
    <mergeCell ref="AM109:AS109"/>
    <mergeCell ref="AT109:AW109"/>
    <mergeCell ref="C114:G114"/>
    <mergeCell ref="H114:K114"/>
    <mergeCell ref="AB114:AL114"/>
    <mergeCell ref="AB113:AL113"/>
    <mergeCell ref="AB106:AL106"/>
    <mergeCell ref="AB107:AL107"/>
    <mergeCell ref="AB108:AL108"/>
    <mergeCell ref="AB109:AL109"/>
    <mergeCell ref="AB110:AL110"/>
    <mergeCell ref="AB111:AL111"/>
    <mergeCell ref="C108:G108"/>
    <mergeCell ref="H108:K108"/>
    <mergeCell ref="P108:T108"/>
    <mergeCell ref="AM108:AS108"/>
    <mergeCell ref="AT108:AW108"/>
    <mergeCell ref="L108:O108"/>
    <mergeCell ref="L106:O106"/>
    <mergeCell ref="L107:O107"/>
    <mergeCell ref="BN93:BP93"/>
    <mergeCell ref="BN94:BP94"/>
    <mergeCell ref="BN95:BP95"/>
    <mergeCell ref="AX115:BC115"/>
    <mergeCell ref="BD115:BG115"/>
    <mergeCell ref="BH115:BL115"/>
    <mergeCell ref="BD112:BG112"/>
    <mergeCell ref="BH112:BL112"/>
    <mergeCell ref="BN96:BP96"/>
    <mergeCell ref="BN97:BP97"/>
    <mergeCell ref="AX114:BC114"/>
    <mergeCell ref="BD114:BG114"/>
    <mergeCell ref="BH114:BL114"/>
    <mergeCell ref="AX110:BC110"/>
    <mergeCell ref="AX113:BC113"/>
    <mergeCell ref="BD113:BG113"/>
    <mergeCell ref="BH113:BL113"/>
    <mergeCell ref="AX112:BC112"/>
    <mergeCell ref="AX111:BC111"/>
    <mergeCell ref="BD111:BG111"/>
    <mergeCell ref="BH111:BL111"/>
    <mergeCell ref="AX109:BC109"/>
    <mergeCell ref="BD109:BG109"/>
    <mergeCell ref="BH109:BL109"/>
    <mergeCell ref="BD110:BG110"/>
    <mergeCell ref="BH110:BL110"/>
    <mergeCell ref="AX108:BC108"/>
    <mergeCell ref="BD108:BG108"/>
    <mergeCell ref="BH108:BL108"/>
    <mergeCell ref="AX105:BC105"/>
    <mergeCell ref="BD105:BG105"/>
    <mergeCell ref="BH105:BL105"/>
    <mergeCell ref="AX104:BC104"/>
    <mergeCell ref="BD104:BG104"/>
    <mergeCell ref="BH104:BL104"/>
    <mergeCell ref="BH97:BL97"/>
    <mergeCell ref="AX96:BC96"/>
    <mergeCell ref="BH95:BL95"/>
    <mergeCell ref="AX94:BC94"/>
    <mergeCell ref="BD94:BG94"/>
    <mergeCell ref="BH94:BL94"/>
    <mergeCell ref="AX101:BC101"/>
    <mergeCell ref="BD101:BG101"/>
    <mergeCell ref="BH101:BL101"/>
    <mergeCell ref="BH96:BL96"/>
    <mergeCell ref="AX107:BC107"/>
    <mergeCell ref="BD107:BG107"/>
    <mergeCell ref="BH107:BL107"/>
    <mergeCell ref="AX106:BC106"/>
    <mergeCell ref="BD106:BG106"/>
    <mergeCell ref="BH106:BL106"/>
    <mergeCell ref="BH102:BL102"/>
    <mergeCell ref="BH99:BL99"/>
    <mergeCell ref="BH98:BL98"/>
    <mergeCell ref="BH103:BL103"/>
    <mergeCell ref="BH100:BL100"/>
    <mergeCell ref="U115:AA115"/>
    <mergeCell ref="AX102:BC102"/>
    <mergeCell ref="BD102:BG102"/>
    <mergeCell ref="AX97:BC97"/>
    <mergeCell ref="BD97:BG97"/>
    <mergeCell ref="C103:G103"/>
    <mergeCell ref="H103:K103"/>
    <mergeCell ref="P103:T103"/>
    <mergeCell ref="AM103:AS103"/>
    <mergeCell ref="AT103:AW103"/>
    <mergeCell ref="C102:G102"/>
    <mergeCell ref="H102:K102"/>
    <mergeCell ref="P102:T102"/>
    <mergeCell ref="AM102:AS102"/>
    <mergeCell ref="AT102:AW102"/>
    <mergeCell ref="AB102:AL102"/>
    <mergeCell ref="AB103:AL103"/>
    <mergeCell ref="AB104:AL104"/>
    <mergeCell ref="AB105:AL105"/>
    <mergeCell ref="C97:G97"/>
    <mergeCell ref="H97:K97"/>
    <mergeCell ref="P97:T97"/>
    <mergeCell ref="AM97:AS97"/>
    <mergeCell ref="AT97:AW97"/>
    <mergeCell ref="AX99:BC99"/>
    <mergeCell ref="BD99:BG99"/>
    <mergeCell ref="AX98:BC98"/>
    <mergeCell ref="BD98:BG98"/>
    <mergeCell ref="AX103:BC103"/>
    <mergeCell ref="BD103:BG103"/>
    <mergeCell ref="U104:AA104"/>
    <mergeCell ref="U105:AA105"/>
    <mergeCell ref="AX100:BC100"/>
    <mergeCell ref="BD100:BG100"/>
    <mergeCell ref="C101:G101"/>
    <mergeCell ref="H101:K101"/>
    <mergeCell ref="P101:T101"/>
    <mergeCell ref="AM101:AS101"/>
    <mergeCell ref="AT101:AW101"/>
    <mergeCell ref="C100:G100"/>
    <mergeCell ref="H100:K100"/>
    <mergeCell ref="P100:T100"/>
    <mergeCell ref="AM100:AS100"/>
    <mergeCell ref="AT100:AW100"/>
    <mergeCell ref="L100:O100"/>
    <mergeCell ref="L101:O101"/>
    <mergeCell ref="L102:O102"/>
    <mergeCell ref="L103:O103"/>
    <mergeCell ref="U100:AA100"/>
    <mergeCell ref="U101:AA101"/>
    <mergeCell ref="U102:AA102"/>
    <mergeCell ref="U103:AA103"/>
    <mergeCell ref="C99:G99"/>
    <mergeCell ref="AB90:AL90"/>
    <mergeCell ref="AB91:AL91"/>
    <mergeCell ref="AB92:AL92"/>
    <mergeCell ref="AB93:AL93"/>
    <mergeCell ref="AB94:AL94"/>
    <mergeCell ref="AB95:AL95"/>
    <mergeCell ref="C96:G96"/>
    <mergeCell ref="H96:K96"/>
    <mergeCell ref="P96:T96"/>
    <mergeCell ref="AM96:AS96"/>
    <mergeCell ref="AT96:AW96"/>
    <mergeCell ref="L96:O96"/>
    <mergeCell ref="L97:O97"/>
    <mergeCell ref="L98:O98"/>
    <mergeCell ref="L99:O99"/>
    <mergeCell ref="U96:AA96"/>
    <mergeCell ref="U97:AA97"/>
    <mergeCell ref="U98:AA98"/>
    <mergeCell ref="U99:AA99"/>
    <mergeCell ref="AB96:AL96"/>
    <mergeCell ref="AB97:AL97"/>
    <mergeCell ref="AB98:AL98"/>
    <mergeCell ref="AB99:AL99"/>
    <mergeCell ref="C105:G105"/>
    <mergeCell ref="H105:K105"/>
    <mergeCell ref="P105:T105"/>
    <mergeCell ref="AM105:AS105"/>
    <mergeCell ref="AT105:AW105"/>
    <mergeCell ref="C104:G104"/>
    <mergeCell ref="H104:K104"/>
    <mergeCell ref="P104:T104"/>
    <mergeCell ref="AM104:AS104"/>
    <mergeCell ref="AT104:AW104"/>
    <mergeCell ref="L104:O104"/>
    <mergeCell ref="L105:O105"/>
    <mergeCell ref="AB100:AL100"/>
    <mergeCell ref="AB101:AL101"/>
    <mergeCell ref="H99:K99"/>
    <mergeCell ref="P99:T99"/>
    <mergeCell ref="AM99:AS99"/>
    <mergeCell ref="AT99:AW99"/>
    <mergeCell ref="C98:G98"/>
    <mergeCell ref="H98:K98"/>
    <mergeCell ref="P98:T98"/>
    <mergeCell ref="AM98:AS98"/>
    <mergeCell ref="AT98:AW98"/>
    <mergeCell ref="AX95:BC95"/>
    <mergeCell ref="BD95:BG95"/>
    <mergeCell ref="BD96:BG96"/>
    <mergeCell ref="C95:G95"/>
    <mergeCell ref="H95:K95"/>
    <mergeCell ref="P95:T95"/>
    <mergeCell ref="AM95:AS95"/>
    <mergeCell ref="AT95:AW95"/>
    <mergeCell ref="C94:G94"/>
    <mergeCell ref="H94:K94"/>
    <mergeCell ref="P94:T94"/>
    <mergeCell ref="AM94:AS94"/>
    <mergeCell ref="AT94:AW94"/>
    <mergeCell ref="AX93:BC93"/>
    <mergeCell ref="BD93:BG93"/>
    <mergeCell ref="BH93:BL93"/>
    <mergeCell ref="AX92:BC92"/>
    <mergeCell ref="BD92:BG92"/>
    <mergeCell ref="BH92:BL92"/>
    <mergeCell ref="C93:G93"/>
    <mergeCell ref="H93:K93"/>
    <mergeCell ref="P93:T93"/>
    <mergeCell ref="AM93:AS93"/>
    <mergeCell ref="AT93:AW93"/>
    <mergeCell ref="C92:G92"/>
    <mergeCell ref="H92:K92"/>
    <mergeCell ref="P92:T92"/>
    <mergeCell ref="AM92:AS92"/>
    <mergeCell ref="AT92:AW92"/>
    <mergeCell ref="L92:O92"/>
    <mergeCell ref="L93:O93"/>
    <mergeCell ref="L94:O94"/>
    <mergeCell ref="L95:O95"/>
    <mergeCell ref="U95:AA95"/>
    <mergeCell ref="U92:AA92"/>
    <mergeCell ref="U93:AA93"/>
    <mergeCell ref="U94:AA94"/>
    <mergeCell ref="AB87:AL87"/>
    <mergeCell ref="AB88:AL88"/>
    <mergeCell ref="AB89:AL89"/>
    <mergeCell ref="BH85:BL85"/>
    <mergeCell ref="AX84:BC84"/>
    <mergeCell ref="BD84:BG84"/>
    <mergeCell ref="BH84:BL84"/>
    <mergeCell ref="C85:G85"/>
    <mergeCell ref="H85:K85"/>
    <mergeCell ref="P85:T85"/>
    <mergeCell ref="AM85:AS85"/>
    <mergeCell ref="AT85:AW85"/>
    <mergeCell ref="C84:G84"/>
    <mergeCell ref="H84:K84"/>
    <mergeCell ref="P84:T84"/>
    <mergeCell ref="AM84:AS84"/>
    <mergeCell ref="AT84:AW84"/>
    <mergeCell ref="L84:O84"/>
    <mergeCell ref="L85:O85"/>
    <mergeCell ref="L86:O86"/>
    <mergeCell ref="L87:O87"/>
    <mergeCell ref="BD89:BG89"/>
    <mergeCell ref="AX90:BC90"/>
    <mergeCell ref="BD90:BG90"/>
    <mergeCell ref="BH90:BL90"/>
    <mergeCell ref="C91:G91"/>
    <mergeCell ref="H91:K91"/>
    <mergeCell ref="P91:T91"/>
    <mergeCell ref="AM91:AS91"/>
    <mergeCell ref="AT91:AW91"/>
    <mergeCell ref="C90:G90"/>
    <mergeCell ref="H90:K90"/>
    <mergeCell ref="P90:T90"/>
    <mergeCell ref="AM90:AS90"/>
    <mergeCell ref="AT90:AW90"/>
    <mergeCell ref="U84:AA84"/>
    <mergeCell ref="U85:AA85"/>
    <mergeCell ref="U86:AA86"/>
    <mergeCell ref="U87:AA87"/>
    <mergeCell ref="BH89:BL89"/>
    <mergeCell ref="AX88:BC88"/>
    <mergeCell ref="BD88:BG88"/>
    <mergeCell ref="BH88:BL88"/>
    <mergeCell ref="C89:G89"/>
    <mergeCell ref="H89:K89"/>
    <mergeCell ref="P89:T89"/>
    <mergeCell ref="AM89:AS89"/>
    <mergeCell ref="AT89:AW89"/>
    <mergeCell ref="C88:G88"/>
    <mergeCell ref="H88:K88"/>
    <mergeCell ref="P88:T88"/>
    <mergeCell ref="AM88:AS88"/>
    <mergeCell ref="AT88:AW88"/>
    <mergeCell ref="L88:O88"/>
    <mergeCell ref="L89:O89"/>
    <mergeCell ref="L90:O90"/>
    <mergeCell ref="L91:O91"/>
    <mergeCell ref="AX91:BC91"/>
    <mergeCell ref="BD91:BG91"/>
    <mergeCell ref="BH91:BL91"/>
    <mergeCell ref="U88:AA88"/>
    <mergeCell ref="U89:AA89"/>
    <mergeCell ref="U90:AA90"/>
    <mergeCell ref="U91:AA91"/>
    <mergeCell ref="P34:T34"/>
    <mergeCell ref="P31:T31"/>
    <mergeCell ref="AM31:AS31"/>
    <mergeCell ref="AT31:AW31"/>
    <mergeCell ref="C35:G35"/>
    <mergeCell ref="H35:K35"/>
    <mergeCell ref="P35:T35"/>
    <mergeCell ref="AM35:AS35"/>
    <mergeCell ref="AT35:AW35"/>
    <mergeCell ref="AB52:AL52"/>
    <mergeCell ref="AB53:AL53"/>
    <mergeCell ref="AB54:AL54"/>
    <mergeCell ref="AB55:AL55"/>
    <mergeCell ref="AB56:AL56"/>
    <mergeCell ref="AB57:AL57"/>
    <mergeCell ref="AB58:AL58"/>
    <mergeCell ref="AB59:AL59"/>
    <mergeCell ref="AX87:BC87"/>
    <mergeCell ref="BD87:BG87"/>
    <mergeCell ref="BH87:BL87"/>
    <mergeCell ref="AX86:BC86"/>
    <mergeCell ref="BD86:BG86"/>
    <mergeCell ref="BH86:BL86"/>
    <mergeCell ref="C87:G87"/>
    <mergeCell ref="H87:K87"/>
    <mergeCell ref="P87:T87"/>
    <mergeCell ref="AM87:AS87"/>
    <mergeCell ref="AT87:AW87"/>
    <mergeCell ref="C86:G86"/>
    <mergeCell ref="H86:K86"/>
    <mergeCell ref="P86:T86"/>
    <mergeCell ref="AM86:AS86"/>
    <mergeCell ref="AT86:AW86"/>
    <mergeCell ref="H34:K34"/>
    <mergeCell ref="C51:G51"/>
    <mergeCell ref="C49:G49"/>
    <mergeCell ref="C48:G48"/>
    <mergeCell ref="AT45:AW45"/>
    <mergeCell ref="AX45:BC45"/>
    <mergeCell ref="AX43:BC43"/>
    <mergeCell ref="C44:G44"/>
    <mergeCell ref="AB41:AL41"/>
    <mergeCell ref="AB42:AL42"/>
    <mergeCell ref="AB43:AL43"/>
    <mergeCell ref="AB44:AL44"/>
    <mergeCell ref="AB45:AL45"/>
    <mergeCell ref="AB46:AL46"/>
    <mergeCell ref="AB47:AL47"/>
    <mergeCell ref="AB48:AL48"/>
    <mergeCell ref="AB49:AL49"/>
    <mergeCell ref="AB50:AL50"/>
    <mergeCell ref="AB51:AL51"/>
    <mergeCell ref="P39:T39"/>
    <mergeCell ref="L39:O39"/>
    <mergeCell ref="H37:K37"/>
    <mergeCell ref="AM37:AS37"/>
    <mergeCell ref="AT37:AW37"/>
    <mergeCell ref="AB40:AL40"/>
    <mergeCell ref="U35:AA35"/>
    <mergeCell ref="U36:AA36"/>
    <mergeCell ref="AX31:BC31"/>
    <mergeCell ref="BD31:BG31"/>
    <mergeCell ref="BH31:BL31"/>
    <mergeCell ref="AB86:AL86"/>
    <mergeCell ref="BH69:BL69"/>
    <mergeCell ref="AX83:BC83"/>
    <mergeCell ref="BD83:BG83"/>
    <mergeCell ref="BH83:BL83"/>
    <mergeCell ref="AX82:BC82"/>
    <mergeCell ref="BD82:BG82"/>
    <mergeCell ref="BH82:BL82"/>
    <mergeCell ref="C83:G83"/>
    <mergeCell ref="H83:K83"/>
    <mergeCell ref="P83:T83"/>
    <mergeCell ref="AM83:AS83"/>
    <mergeCell ref="AT83:AW83"/>
    <mergeCell ref="C82:G82"/>
    <mergeCell ref="H82:K82"/>
    <mergeCell ref="P82:T82"/>
    <mergeCell ref="AM82:AS82"/>
    <mergeCell ref="AT82:AW82"/>
    <mergeCell ref="AX81:BC81"/>
    <mergeCell ref="BD81:BG81"/>
    <mergeCell ref="BH81:BL81"/>
    <mergeCell ref="AX80:BC80"/>
    <mergeCell ref="BD80:BG80"/>
    <mergeCell ref="BH80:BL80"/>
    <mergeCell ref="C81:G81"/>
    <mergeCell ref="H81:K81"/>
    <mergeCell ref="P81:T81"/>
    <mergeCell ref="AM81:AS81"/>
    <mergeCell ref="AT81:AW81"/>
    <mergeCell ref="C80:G80"/>
    <mergeCell ref="H80:K80"/>
    <mergeCell ref="P80:T80"/>
    <mergeCell ref="AM80:AS80"/>
    <mergeCell ref="AT80:AW80"/>
    <mergeCell ref="BH77:BL77"/>
    <mergeCell ref="AX76:BC76"/>
    <mergeCell ref="BD76:BG76"/>
    <mergeCell ref="BH76:BL76"/>
    <mergeCell ref="C77:G77"/>
    <mergeCell ref="H77:K77"/>
    <mergeCell ref="P77:T77"/>
    <mergeCell ref="AM77:AS77"/>
    <mergeCell ref="AT77:AW77"/>
    <mergeCell ref="C76:G76"/>
    <mergeCell ref="H76:K76"/>
    <mergeCell ref="P76:T76"/>
    <mergeCell ref="AM76:AS76"/>
    <mergeCell ref="AT76:AW76"/>
    <mergeCell ref="L76:O76"/>
    <mergeCell ref="P73:T73"/>
    <mergeCell ref="AB72:AL72"/>
    <mergeCell ref="U73:AA73"/>
    <mergeCell ref="U74:AA74"/>
    <mergeCell ref="U75:AA75"/>
    <mergeCell ref="U76:AA76"/>
    <mergeCell ref="U77:AA77"/>
    <mergeCell ref="U78:AA78"/>
    <mergeCell ref="U79:AA79"/>
    <mergeCell ref="U80:AA80"/>
    <mergeCell ref="U81:AA81"/>
    <mergeCell ref="U82:AA82"/>
    <mergeCell ref="U83:AA83"/>
    <mergeCell ref="BH78:BL78"/>
    <mergeCell ref="AX46:BC46"/>
    <mergeCell ref="C31:G31"/>
    <mergeCell ref="AX29:BC29"/>
    <mergeCell ref="C22:G22"/>
    <mergeCell ref="H22:K22"/>
    <mergeCell ref="P22:T22"/>
    <mergeCell ref="AX37:BC37"/>
    <mergeCell ref="H36:K36"/>
    <mergeCell ref="P36:T36"/>
    <mergeCell ref="AM36:AS36"/>
    <mergeCell ref="AT36:AW36"/>
    <mergeCell ref="AX33:BC33"/>
    <mergeCell ref="P33:T33"/>
    <mergeCell ref="AM34:AS34"/>
    <mergeCell ref="AT34:AW34"/>
    <mergeCell ref="AX34:BC34"/>
    <mergeCell ref="H33:K33"/>
    <mergeCell ref="AM33:AS33"/>
    <mergeCell ref="AT33:AW33"/>
    <mergeCell ref="AX39:BC39"/>
    <mergeCell ref="AB60:AL60"/>
    <mergeCell ref="AB61:AL61"/>
    <mergeCell ref="AB62:AL62"/>
    <mergeCell ref="AX59:BC59"/>
    <mergeCell ref="AX60:BC60"/>
    <mergeCell ref="AX61:BC61"/>
    <mergeCell ref="AB66:AL66"/>
    <mergeCell ref="AB67:AL67"/>
    <mergeCell ref="AB68:AL68"/>
    <mergeCell ref="AX64:BC64"/>
    <mergeCell ref="C61:G61"/>
    <mergeCell ref="AM60:AS60"/>
    <mergeCell ref="AX55:BC55"/>
    <mergeCell ref="U44:AA44"/>
    <mergeCell ref="U45:AA45"/>
    <mergeCell ref="U46:AA46"/>
    <mergeCell ref="U47:AA47"/>
    <mergeCell ref="U48:AA48"/>
    <mergeCell ref="U49:AA49"/>
    <mergeCell ref="U50:AA50"/>
    <mergeCell ref="U51:AA51"/>
    <mergeCell ref="U52:AA52"/>
    <mergeCell ref="U53:AA53"/>
    <mergeCell ref="U54:AA54"/>
    <mergeCell ref="U55:AA55"/>
    <mergeCell ref="U56:AA56"/>
    <mergeCell ref="U57:AA57"/>
    <mergeCell ref="U58:AA58"/>
    <mergeCell ref="U59:AA59"/>
    <mergeCell ref="AM61:AS61"/>
    <mergeCell ref="AM63:AS63"/>
    <mergeCell ref="AT59:AW59"/>
    <mergeCell ref="AT26:AW26"/>
    <mergeCell ref="C25:G25"/>
    <mergeCell ref="H25:K25"/>
    <mergeCell ref="AT23:AW23"/>
    <mergeCell ref="C24:G24"/>
    <mergeCell ref="C28:G28"/>
    <mergeCell ref="C29:G29"/>
    <mergeCell ref="AM29:AS29"/>
    <mergeCell ref="AT29:AW29"/>
    <mergeCell ref="C30:G30"/>
    <mergeCell ref="U63:AA63"/>
    <mergeCell ref="AT63:AW63"/>
    <mergeCell ref="BD63:BG63"/>
    <mergeCell ref="AX69:BC69"/>
    <mergeCell ref="AX70:BC70"/>
    <mergeCell ref="AX71:BC71"/>
    <mergeCell ref="AM72:AS72"/>
    <mergeCell ref="H20:K20"/>
    <mergeCell ref="P20:T20"/>
    <mergeCell ref="AM20:AS20"/>
    <mergeCell ref="AT20:AW20"/>
    <mergeCell ref="AX26:BC26"/>
    <mergeCell ref="AX25:BC25"/>
    <mergeCell ref="H43:K43"/>
    <mergeCell ref="AM43:AS43"/>
    <mergeCell ref="AT43:AW43"/>
    <mergeCell ref="H42:K42"/>
    <mergeCell ref="AM42:AS42"/>
    <mergeCell ref="AT42:AW42"/>
    <mergeCell ref="AX42:BC42"/>
    <mergeCell ref="AX40:BC40"/>
    <mergeCell ref="H41:K41"/>
    <mergeCell ref="AM41:AS41"/>
    <mergeCell ref="AT41:AW41"/>
    <mergeCell ref="AX41:BC41"/>
    <mergeCell ref="H40:K40"/>
    <mergeCell ref="AM40:AS40"/>
    <mergeCell ref="AT40:AW40"/>
    <mergeCell ref="P41:T41"/>
    <mergeCell ref="P40:T40"/>
    <mergeCell ref="L40:O40"/>
    <mergeCell ref="P28:T28"/>
    <mergeCell ref="P23:T23"/>
    <mergeCell ref="H24:K24"/>
    <mergeCell ref="AM24:AS24"/>
    <mergeCell ref="H28:K28"/>
    <mergeCell ref="AT27:AW27"/>
    <mergeCell ref="U60:AA60"/>
    <mergeCell ref="U61:AA61"/>
    <mergeCell ref="P45:T45"/>
    <mergeCell ref="P44:T44"/>
    <mergeCell ref="H49:K49"/>
    <mergeCell ref="P49:T49"/>
    <mergeCell ref="AM49:AS49"/>
    <mergeCell ref="AT49:AW49"/>
    <mergeCell ref="H48:K48"/>
    <mergeCell ref="H47:K47"/>
    <mergeCell ref="AM47:AS47"/>
    <mergeCell ref="AT47:AW47"/>
    <mergeCell ref="P47:T47"/>
    <mergeCell ref="H46:K46"/>
    <mergeCell ref="AM46:AS46"/>
    <mergeCell ref="AT46:AW46"/>
    <mergeCell ref="P46:T46"/>
    <mergeCell ref="L47:O47"/>
    <mergeCell ref="P48:T48"/>
    <mergeCell ref="H30:K30"/>
    <mergeCell ref="P30:T30"/>
    <mergeCell ref="AM30:AS30"/>
    <mergeCell ref="AT30:AW30"/>
    <mergeCell ref="H29:K29"/>
    <mergeCell ref="P29:T29"/>
    <mergeCell ref="AX28:BC28"/>
    <mergeCell ref="AX30:BC30"/>
    <mergeCell ref="H26:K26"/>
    <mergeCell ref="AM26:AS26"/>
    <mergeCell ref="C7:G7"/>
    <mergeCell ref="H7:K7"/>
    <mergeCell ref="P7:T7"/>
    <mergeCell ref="AM7:AS7"/>
    <mergeCell ref="AT7:AW7"/>
    <mergeCell ref="C5:G5"/>
    <mergeCell ref="P5:T5"/>
    <mergeCell ref="AM5:AS5"/>
    <mergeCell ref="AT5:AW5"/>
    <mergeCell ref="AX6:BC6"/>
    <mergeCell ref="BD6:BG6"/>
    <mergeCell ref="AX5:BC5"/>
    <mergeCell ref="BD5:BG5"/>
    <mergeCell ref="BH6:BL6"/>
    <mergeCell ref="AX14:BC14"/>
    <mergeCell ref="BD14:BG14"/>
    <mergeCell ref="BH14:BL14"/>
    <mergeCell ref="AX13:BC13"/>
    <mergeCell ref="BD13:BG13"/>
    <mergeCell ref="BH13:BL13"/>
    <mergeCell ref="BH11:BL11"/>
    <mergeCell ref="C14:G14"/>
    <mergeCell ref="H14:K14"/>
    <mergeCell ref="P14:T14"/>
    <mergeCell ref="AM14:AS14"/>
    <mergeCell ref="AT14:AW14"/>
    <mergeCell ref="C13:G13"/>
    <mergeCell ref="H13:K13"/>
    <mergeCell ref="P13:T13"/>
    <mergeCell ref="AX10:BC10"/>
    <mergeCell ref="AX12:BC12"/>
    <mergeCell ref="BD12:BG12"/>
    <mergeCell ref="AX11:BC11"/>
    <mergeCell ref="BD11:BG11"/>
    <mergeCell ref="C11:G11"/>
    <mergeCell ref="H11:K11"/>
    <mergeCell ref="P11:T11"/>
    <mergeCell ref="AM11:AS11"/>
    <mergeCell ref="AT11:AW11"/>
    <mergeCell ref="P12:T12"/>
    <mergeCell ref="AM12:AS12"/>
    <mergeCell ref="AT12:AW12"/>
    <mergeCell ref="A22:B22"/>
    <mergeCell ref="A23:B23"/>
    <mergeCell ref="BD9:BG9"/>
    <mergeCell ref="BH9:BL9"/>
    <mergeCell ref="C10:G10"/>
    <mergeCell ref="H10:K10"/>
    <mergeCell ref="P10:T10"/>
    <mergeCell ref="AM10:AS10"/>
    <mergeCell ref="AT10:AW10"/>
    <mergeCell ref="BD10:BG10"/>
    <mergeCell ref="P9:T9"/>
    <mergeCell ref="AM9:AS9"/>
    <mergeCell ref="AT9:AW9"/>
    <mergeCell ref="AX9:BC9"/>
    <mergeCell ref="AM8:AS8"/>
    <mergeCell ref="AT8:AW8"/>
    <mergeCell ref="AX8:BC8"/>
    <mergeCell ref="BD8:BG8"/>
    <mergeCell ref="AX18:BC18"/>
    <mergeCell ref="BD18:BG18"/>
    <mergeCell ref="BH18:BL18"/>
    <mergeCell ref="AX17:BC17"/>
    <mergeCell ref="BD17:BG17"/>
    <mergeCell ref="BH17:BL17"/>
    <mergeCell ref="AX19:BC19"/>
    <mergeCell ref="C18:G18"/>
    <mergeCell ref="H18:K18"/>
    <mergeCell ref="P18:T18"/>
    <mergeCell ref="AM18:AS18"/>
    <mergeCell ref="AT18:AW18"/>
    <mergeCell ref="C17:G17"/>
    <mergeCell ref="H17:K17"/>
    <mergeCell ref="P17:T17"/>
    <mergeCell ref="AM17:AS17"/>
    <mergeCell ref="AT17:AW17"/>
    <mergeCell ref="AX16:BC16"/>
    <mergeCell ref="AX15:BC15"/>
    <mergeCell ref="BD15:BG15"/>
    <mergeCell ref="BH15:BL15"/>
    <mergeCell ref="C16:G16"/>
    <mergeCell ref="H16:K16"/>
    <mergeCell ref="P16:T16"/>
    <mergeCell ref="AM16:AS16"/>
    <mergeCell ref="AT16:AW16"/>
    <mergeCell ref="C15:G15"/>
    <mergeCell ref="H15:K15"/>
    <mergeCell ref="P15:T15"/>
    <mergeCell ref="AM15:AS15"/>
    <mergeCell ref="AT15:AW15"/>
    <mergeCell ref="AX23:BC23"/>
    <mergeCell ref="AM22:AS22"/>
    <mergeCell ref="AT22:AW22"/>
    <mergeCell ref="AX22:BC22"/>
    <mergeCell ref="BD22:BG22"/>
    <mergeCell ref="C21:G21"/>
    <mergeCell ref="H21:K21"/>
    <mergeCell ref="P21:T21"/>
    <mergeCell ref="AM21:AS21"/>
    <mergeCell ref="AT21:AW21"/>
    <mergeCell ref="AX20:BC20"/>
    <mergeCell ref="AX21:BC21"/>
    <mergeCell ref="BD20:BG20"/>
    <mergeCell ref="BH20:BL20"/>
    <mergeCell ref="C20:G20"/>
    <mergeCell ref="CU269:DP269"/>
    <mergeCell ref="BN82:BP82"/>
    <mergeCell ref="BN74:BP74"/>
    <mergeCell ref="BN69:BP69"/>
    <mergeCell ref="CU20:CV20"/>
    <mergeCell ref="BN88:BP88"/>
    <mergeCell ref="BN89:BP89"/>
    <mergeCell ref="BN110:BP110"/>
    <mergeCell ref="BN90:BP90"/>
    <mergeCell ref="BD62:BG62"/>
    <mergeCell ref="CU24:CV24"/>
    <mergeCell ref="CU46:CV46"/>
    <mergeCell ref="BD65:BG65"/>
    <mergeCell ref="BH65:BL65"/>
    <mergeCell ref="BN55:BP55"/>
    <mergeCell ref="BN73:BP73"/>
    <mergeCell ref="BN84:BP84"/>
    <mergeCell ref="BH62:BL62"/>
    <mergeCell ref="BH55:BL55"/>
    <mergeCell ref="BH57:BL57"/>
    <mergeCell ref="BN87:BP87"/>
    <mergeCell ref="BD16:BG16"/>
    <mergeCell ref="BH16:BL16"/>
    <mergeCell ref="BD35:BG35"/>
    <mergeCell ref="BH35:BL35"/>
    <mergeCell ref="BD38:BG38"/>
    <mergeCell ref="BH38:BL38"/>
    <mergeCell ref="BD79:BG79"/>
    <mergeCell ref="BH79:BL79"/>
    <mergeCell ref="BH118:BL118"/>
    <mergeCell ref="BD234:BG234"/>
    <mergeCell ref="BH234:BL234"/>
    <mergeCell ref="BN234:BP234"/>
    <mergeCell ref="BN237:BP237"/>
    <mergeCell ref="BD240:BG240"/>
    <mergeCell ref="BH240:BL240"/>
    <mergeCell ref="BN240:BP240"/>
    <mergeCell ref="BN243:BP243"/>
    <mergeCell ref="BD246:BG246"/>
    <mergeCell ref="BD21:BG21"/>
    <mergeCell ref="BH21:BL21"/>
    <mergeCell ref="BD36:BG36"/>
    <mergeCell ref="BD75:BG75"/>
    <mergeCell ref="BH75:BL75"/>
    <mergeCell ref="BD74:BG74"/>
    <mergeCell ref="BH74:BL74"/>
    <mergeCell ref="BD73:BG73"/>
    <mergeCell ref="BH73:BL73"/>
    <mergeCell ref="BH71:BL71"/>
    <mergeCell ref="BH72:BL72"/>
    <mergeCell ref="BN236:BP236"/>
    <mergeCell ref="BN235:BP235"/>
    <mergeCell ref="BN239:BP239"/>
    <mergeCell ref="BN245:BP245"/>
    <mergeCell ref="BN83:BP83"/>
    <mergeCell ref="BN67:BP67"/>
    <mergeCell ref="BN68:BP68"/>
    <mergeCell ref="CU266:DP266"/>
    <mergeCell ref="BH58:BL58"/>
    <mergeCell ref="BH59:BL59"/>
    <mergeCell ref="BH60:BL60"/>
    <mergeCell ref="BH68:BL68"/>
    <mergeCell ref="BN91:BP91"/>
    <mergeCell ref="BN92:BP92"/>
    <mergeCell ref="A16:B16"/>
    <mergeCell ref="A17:B17"/>
    <mergeCell ref="A18:B18"/>
    <mergeCell ref="A19:B19"/>
    <mergeCell ref="A20:B20"/>
    <mergeCell ref="A21:B21"/>
    <mergeCell ref="A11:B11"/>
    <mergeCell ref="A12:B12"/>
    <mergeCell ref="H5:K5"/>
    <mergeCell ref="A13:B13"/>
    <mergeCell ref="A14:B14"/>
    <mergeCell ref="A15:B15"/>
    <mergeCell ref="C9:G9"/>
    <mergeCell ref="H9:K9"/>
    <mergeCell ref="C12:G12"/>
    <mergeCell ref="H12:K12"/>
    <mergeCell ref="A5:B5"/>
    <mergeCell ref="A6:B6"/>
    <mergeCell ref="A7:B7"/>
    <mergeCell ref="A8:B8"/>
    <mergeCell ref="A9:B9"/>
    <mergeCell ref="A10:B10"/>
    <mergeCell ref="A114:B114"/>
    <mergeCell ref="C6:G6"/>
    <mergeCell ref="H6:K6"/>
    <mergeCell ref="P6:T6"/>
    <mergeCell ref="AM6:AS6"/>
    <mergeCell ref="AT6:AW6"/>
    <mergeCell ref="AM19:AS19"/>
    <mergeCell ref="AT28:AW28"/>
    <mergeCell ref="AM28:AS28"/>
    <mergeCell ref="A108:B108"/>
    <mergeCell ref="A109:B109"/>
    <mergeCell ref="A110:B110"/>
    <mergeCell ref="A111:B111"/>
    <mergeCell ref="A112:B112"/>
    <mergeCell ref="A113:B113"/>
    <mergeCell ref="A102:B102"/>
    <mergeCell ref="A103:B103"/>
    <mergeCell ref="A104:B104"/>
    <mergeCell ref="C8:G8"/>
    <mergeCell ref="H8:K8"/>
    <mergeCell ref="P8:T8"/>
    <mergeCell ref="A41:B41"/>
    <mergeCell ref="A42:B42"/>
    <mergeCell ref="A43:B43"/>
    <mergeCell ref="A44:B44"/>
    <mergeCell ref="A45:B45"/>
    <mergeCell ref="A34:B34"/>
    <mergeCell ref="A46:B46"/>
    <mergeCell ref="A35:B35"/>
    <mergeCell ref="A36:B36"/>
    <mergeCell ref="A37:B37"/>
    <mergeCell ref="A38:B38"/>
    <mergeCell ref="A39:B39"/>
    <mergeCell ref="A40:B40"/>
    <mergeCell ref="A28:B28"/>
    <mergeCell ref="A29:B29"/>
    <mergeCell ref="P27:T27"/>
    <mergeCell ref="AM27:AS27"/>
    <mergeCell ref="A30:B30"/>
    <mergeCell ref="P19:T19"/>
    <mergeCell ref="AM13:AS13"/>
    <mergeCell ref="AT13:AW13"/>
    <mergeCell ref="BN85:BP85"/>
    <mergeCell ref="BN86:BP86"/>
    <mergeCell ref="BN75:BP75"/>
    <mergeCell ref="BN76:BP76"/>
    <mergeCell ref="BN77:BP77"/>
    <mergeCell ref="BN78:BP78"/>
    <mergeCell ref="BN63:BP63"/>
    <mergeCell ref="H64:K64"/>
    <mergeCell ref="AM64:AS64"/>
    <mergeCell ref="BH64:BL64"/>
    <mergeCell ref="A85:B85"/>
    <mergeCell ref="C63:G63"/>
    <mergeCell ref="H63:K63"/>
    <mergeCell ref="C64:G64"/>
    <mergeCell ref="AT64:AW64"/>
    <mergeCell ref="A84:B84"/>
    <mergeCell ref="A67:B67"/>
    <mergeCell ref="DQ35:DT35"/>
    <mergeCell ref="C62:G62"/>
    <mergeCell ref="H62:K62"/>
    <mergeCell ref="P62:T62"/>
    <mergeCell ref="AM62:AS62"/>
    <mergeCell ref="A105:B105"/>
    <mergeCell ref="A106:B106"/>
    <mergeCell ref="A107:B107"/>
    <mergeCell ref="A97:B97"/>
    <mergeCell ref="A98:B98"/>
    <mergeCell ref="A99:B99"/>
    <mergeCell ref="A100:B100"/>
    <mergeCell ref="A101:B101"/>
    <mergeCell ref="A93:B93"/>
    <mergeCell ref="A94:B94"/>
    <mergeCell ref="A95:B95"/>
    <mergeCell ref="A96:B96"/>
    <mergeCell ref="A47:B47"/>
    <mergeCell ref="A48:B48"/>
    <mergeCell ref="L55:O55"/>
    <mergeCell ref="AT53:AW53"/>
    <mergeCell ref="AX53:BC53"/>
    <mergeCell ref="C55:G55"/>
    <mergeCell ref="H55:K55"/>
    <mergeCell ref="P55:T55"/>
    <mergeCell ref="AM55:AS55"/>
    <mergeCell ref="AT55:AW55"/>
    <mergeCell ref="CU36:CV36"/>
    <mergeCell ref="DM36:DP36"/>
    <mergeCell ref="CU35:CV35"/>
    <mergeCell ref="BH49:BL49"/>
    <mergeCell ref="BN80:BP80"/>
    <mergeCell ref="BN79:BP79"/>
    <mergeCell ref="BN46:BP46"/>
    <mergeCell ref="BH46:BL46"/>
    <mergeCell ref="BH70:BL70"/>
    <mergeCell ref="BH47:BL47"/>
    <mergeCell ref="BH50:BL50"/>
    <mergeCell ref="BH66:BL66"/>
    <mergeCell ref="BN53:BP53"/>
    <mergeCell ref="BN54:BP54"/>
    <mergeCell ref="BN71:BP71"/>
    <mergeCell ref="AX47:BC47"/>
    <mergeCell ref="AX44:BC44"/>
    <mergeCell ref="C45:G45"/>
    <mergeCell ref="H45:K45"/>
    <mergeCell ref="H44:K44"/>
    <mergeCell ref="CU44:CV44"/>
    <mergeCell ref="CU49:CV49"/>
    <mergeCell ref="CU43:CV43"/>
    <mergeCell ref="DQ41:DT41"/>
    <mergeCell ref="DM43:DP43"/>
    <mergeCell ref="DQ43:DT43"/>
    <mergeCell ref="DM40:DP40"/>
    <mergeCell ref="DM35:DP35"/>
    <mergeCell ref="CU26:CV26"/>
    <mergeCell ref="CU13:CV13"/>
    <mergeCell ref="FS264:FV264"/>
    <mergeCell ref="CU12:CV12"/>
    <mergeCell ref="DQ42:DT42"/>
    <mergeCell ref="DQ38:DT38"/>
    <mergeCell ref="DQ39:DT39"/>
    <mergeCell ref="DQ36:DT36"/>
    <mergeCell ref="DQ37:DT37"/>
    <mergeCell ref="EW260:FR260"/>
    <mergeCell ref="FS260:FV260"/>
    <mergeCell ref="DQ44:DT44"/>
    <mergeCell ref="CU260:DP260"/>
    <mergeCell ref="DQ260:DT260"/>
    <mergeCell ref="DQ45:DT45"/>
    <mergeCell ref="DQ49:DT49"/>
    <mergeCell ref="EW264:FR264"/>
    <mergeCell ref="ER45:EU45"/>
    <mergeCell ref="ER203:EU203"/>
    <mergeCell ref="DQ55:DT55"/>
    <mergeCell ref="DM48:DP48"/>
    <mergeCell ref="DM47:DP47"/>
    <mergeCell ref="ER44:EU44"/>
    <mergeCell ref="DV263:EQ263"/>
    <mergeCell ref="DQ263:DT263"/>
    <mergeCell ref="DM50:DP50"/>
    <mergeCell ref="DQ50:DT50"/>
    <mergeCell ref="DM53:DP53"/>
    <mergeCell ref="DM200:DP200"/>
    <mergeCell ref="DV17:DW17"/>
    <mergeCell ref="DV18:DW18"/>
    <mergeCell ref="DV19:DW19"/>
    <mergeCell ref="DV20:DW20"/>
    <mergeCell ref="DV21:DW21"/>
    <mergeCell ref="DV22:DW22"/>
    <mergeCell ref="EW45:EX45"/>
    <mergeCell ref="EW46:EX46"/>
    <mergeCell ref="EW35:EX35"/>
    <mergeCell ref="DM44:DP44"/>
    <mergeCell ref="CU42:CV42"/>
    <mergeCell ref="EW36:EX36"/>
    <mergeCell ref="EW37:EX37"/>
    <mergeCell ref="EW38:EX38"/>
    <mergeCell ref="EW39:EX39"/>
    <mergeCell ref="EW40:EX40"/>
    <mergeCell ref="EW29:EX29"/>
    <mergeCell ref="EW30:EX30"/>
    <mergeCell ref="EW31:EX31"/>
    <mergeCell ref="EW32:EX32"/>
    <mergeCell ref="EW33:EX33"/>
    <mergeCell ref="EW34:EX34"/>
    <mergeCell ref="EW23:EX23"/>
    <mergeCell ref="EW24:EX24"/>
    <mergeCell ref="EW22:EX22"/>
    <mergeCell ref="CU34:CV34"/>
    <mergeCell ref="DM34:DP34"/>
    <mergeCell ref="DQ32:DT32"/>
    <mergeCell ref="DM32:DP32"/>
    <mergeCell ref="DQ33:DT33"/>
    <mergeCell ref="DM33:DP33"/>
    <mergeCell ref="DQ34:DT34"/>
    <mergeCell ref="CU33:CV33"/>
    <mergeCell ref="CU32:CV32"/>
    <mergeCell ref="CW32:CZ32"/>
    <mergeCell ref="DA32:DD32"/>
    <mergeCell ref="DE32:DH32"/>
    <mergeCell ref="DI32:DL32"/>
    <mergeCell ref="CW33:CZ33"/>
    <mergeCell ref="DA33:DD33"/>
    <mergeCell ref="DE33:DH33"/>
    <mergeCell ref="DI33:DL33"/>
    <mergeCell ref="CW34:CZ34"/>
    <mergeCell ref="DA34:DD34"/>
    <mergeCell ref="DE34:DH34"/>
    <mergeCell ref="DI34:DL34"/>
    <mergeCell ref="CW35:CZ35"/>
    <mergeCell ref="DA35:DD35"/>
    <mergeCell ref="DE35:DH35"/>
    <mergeCell ref="DI35:DL35"/>
    <mergeCell ref="CW36:CZ36"/>
    <mergeCell ref="DA36:DD36"/>
    <mergeCell ref="DE36:DH36"/>
    <mergeCell ref="DI36:DL36"/>
    <mergeCell ref="DM42:DP42"/>
    <mergeCell ref="DQ40:DT40"/>
    <mergeCell ref="DM41:DP41"/>
    <mergeCell ref="CU41:CV41"/>
    <mergeCell ref="CU40:CV40"/>
    <mergeCell ref="DM37:DP37"/>
    <mergeCell ref="DM38:DP38"/>
    <mergeCell ref="CU39:CV39"/>
    <mergeCell ref="DM39:DP39"/>
    <mergeCell ref="CU38:CV38"/>
    <mergeCell ref="CU37:CV37"/>
    <mergeCell ref="CW37:CZ37"/>
    <mergeCell ref="DA37:DD37"/>
    <mergeCell ref="DE37:DH37"/>
    <mergeCell ref="DI37:DL37"/>
    <mergeCell ref="CW38:CZ38"/>
    <mergeCell ref="DA38:DD38"/>
    <mergeCell ref="DE38:DH38"/>
    <mergeCell ref="DI38:DL38"/>
    <mergeCell ref="CW39:CZ39"/>
    <mergeCell ref="DA39:DD39"/>
    <mergeCell ref="DE39:DH39"/>
    <mergeCell ref="DI39:DL39"/>
    <mergeCell ref="CW40:CZ40"/>
    <mergeCell ref="DA40:DD40"/>
    <mergeCell ref="DE40:DH40"/>
    <mergeCell ref="DI40:DL40"/>
    <mergeCell ref="CW41:CZ41"/>
    <mergeCell ref="DA41:DD41"/>
    <mergeCell ref="DE41:DH41"/>
    <mergeCell ref="DI41:DL41"/>
    <mergeCell ref="CW42:CZ42"/>
    <mergeCell ref="DQ22:DT22"/>
    <mergeCell ref="CU23:CV23"/>
    <mergeCell ref="CU22:CV22"/>
    <mergeCell ref="DQ20:DT20"/>
    <mergeCell ref="DQ21:DT21"/>
    <mergeCell ref="DM21:DP21"/>
    <mergeCell ref="DM23:DP23"/>
    <mergeCell ref="DQ23:DT23"/>
    <mergeCell ref="DQ30:DT30"/>
    <mergeCell ref="CU29:CV29"/>
    <mergeCell ref="CU31:CV31"/>
    <mergeCell ref="DM31:DP31"/>
    <mergeCell ref="DQ31:DT31"/>
    <mergeCell ref="DQ29:DT29"/>
    <mergeCell ref="DM28:DP28"/>
    <mergeCell ref="DM29:DP29"/>
    <mergeCell ref="CU30:CV30"/>
    <mergeCell ref="DM30:DP30"/>
    <mergeCell ref="DQ27:DT27"/>
    <mergeCell ref="CU28:CV28"/>
    <mergeCell ref="CU25:CV25"/>
    <mergeCell ref="DQ28:DT28"/>
    <mergeCell ref="CU27:CV27"/>
    <mergeCell ref="DM27:DP27"/>
    <mergeCell ref="DM26:DP26"/>
    <mergeCell ref="CW28:CZ28"/>
    <mergeCell ref="DA28:DD28"/>
    <mergeCell ref="DE28:DH28"/>
    <mergeCell ref="DI28:DL28"/>
    <mergeCell ref="CW29:CZ29"/>
    <mergeCell ref="DA29:DD29"/>
    <mergeCell ref="DE29:DH29"/>
    <mergeCell ref="DI29:DL29"/>
    <mergeCell ref="CW30:CZ30"/>
    <mergeCell ref="DA30:DD30"/>
    <mergeCell ref="DE30:DH30"/>
    <mergeCell ref="DI30:DL30"/>
    <mergeCell ref="CW31:CZ31"/>
    <mergeCell ref="DA31:DD31"/>
    <mergeCell ref="DE31:DH31"/>
    <mergeCell ref="DI31:DL31"/>
    <mergeCell ref="CW20:CZ20"/>
    <mergeCell ref="DA20:DD20"/>
    <mergeCell ref="DE20:DH20"/>
    <mergeCell ref="DI20:DL20"/>
    <mergeCell ref="CW21:CZ21"/>
    <mergeCell ref="DA21:DD21"/>
    <mergeCell ref="DE21:DH21"/>
    <mergeCell ref="DI21:DL21"/>
    <mergeCell ref="CW22:CZ22"/>
    <mergeCell ref="DA22:DD22"/>
    <mergeCell ref="DE22:DH22"/>
    <mergeCell ref="DI22:DL22"/>
    <mergeCell ref="DQ6:DT6"/>
    <mergeCell ref="DQ5:DT5"/>
    <mergeCell ref="BN60:BP60"/>
    <mergeCell ref="BN50:BP50"/>
    <mergeCell ref="BN51:BP51"/>
    <mergeCell ref="BN52:BP52"/>
    <mergeCell ref="BN58:BP58"/>
    <mergeCell ref="BN40:BP40"/>
    <mergeCell ref="DQ46:DT46"/>
    <mergeCell ref="DQ48:DT48"/>
    <mergeCell ref="DQ47:DT47"/>
    <mergeCell ref="DQ51:DT51"/>
    <mergeCell ref="DQ54:DT54"/>
    <mergeCell ref="DM52:DP52"/>
    <mergeCell ref="CU55:CV55"/>
    <mergeCell ref="DQ52:DT52"/>
    <mergeCell ref="CU51:CV51"/>
    <mergeCell ref="DQ53:DT53"/>
    <mergeCell ref="CU54:CV54"/>
    <mergeCell ref="CU56:CV56"/>
    <mergeCell ref="CU53:CV53"/>
    <mergeCell ref="DQ13:DT13"/>
    <mergeCell ref="DM13:DP13"/>
    <mergeCell ref="DM12:DP12"/>
    <mergeCell ref="DQ12:DT12"/>
    <mergeCell ref="DM11:DP11"/>
    <mergeCell ref="DQ11:DT11"/>
    <mergeCell ref="DM10:DP10"/>
    <mergeCell ref="DQ10:DT10"/>
    <mergeCell ref="DQ7:DT7"/>
    <mergeCell ref="DQ8:DT8"/>
    <mergeCell ref="DQ9:DT9"/>
    <mergeCell ref="DM7:DP7"/>
    <mergeCell ref="DM8:DP8"/>
    <mergeCell ref="DM9:DP9"/>
    <mergeCell ref="DM18:DP18"/>
    <mergeCell ref="DM20:DP20"/>
    <mergeCell ref="DM19:DP19"/>
    <mergeCell ref="CU19:CV19"/>
    <mergeCell ref="DQ18:DT18"/>
    <mergeCell ref="DQ19:DT19"/>
    <mergeCell ref="CU18:CV18"/>
    <mergeCell ref="CU17:CV17"/>
    <mergeCell ref="DM17:DP17"/>
    <mergeCell ref="DQ15:DT15"/>
    <mergeCell ref="DM14:DP14"/>
    <mergeCell ref="DM15:DP15"/>
    <mergeCell ref="DQ16:DT16"/>
    <mergeCell ref="DQ17:DT17"/>
    <mergeCell ref="DQ14:DT14"/>
    <mergeCell ref="CU16:CV16"/>
    <mergeCell ref="DM16:DP16"/>
    <mergeCell ref="CU15:CV15"/>
    <mergeCell ref="CU14:CV14"/>
    <mergeCell ref="DA16:DD16"/>
    <mergeCell ref="DE16:DH16"/>
    <mergeCell ref="DI16:DL16"/>
    <mergeCell ref="CW17:CZ17"/>
    <mergeCell ref="DQ24:DT24"/>
    <mergeCell ref="DM25:DP25"/>
    <mergeCell ref="DQ25:DT25"/>
    <mergeCell ref="DQ26:DT26"/>
    <mergeCell ref="CU21:CV21"/>
    <mergeCell ref="DM22:DP22"/>
    <mergeCell ref="CU1:DT1"/>
    <mergeCell ref="CU3:CV4"/>
    <mergeCell ref="BN49:BP49"/>
    <mergeCell ref="DQ3:DT4"/>
    <mergeCell ref="BN22:BP22"/>
    <mergeCell ref="BN23:BP23"/>
    <mergeCell ref="BN72:BP72"/>
    <mergeCell ref="BN64:BP64"/>
    <mergeCell ref="BN65:BP65"/>
    <mergeCell ref="BN66:BP66"/>
    <mergeCell ref="BN70:BP70"/>
    <mergeCell ref="BN45:BP45"/>
    <mergeCell ref="BN56:BP56"/>
    <mergeCell ref="BN48:BP48"/>
    <mergeCell ref="BN57:BP57"/>
    <mergeCell ref="BH12:BL12"/>
    <mergeCell ref="BN10:BP10"/>
    <mergeCell ref="BN16:BP16"/>
    <mergeCell ref="BN17:BP17"/>
    <mergeCell ref="BN21:BP21"/>
    <mergeCell ref="BN18:BP18"/>
    <mergeCell ref="BN11:BP11"/>
    <mergeCell ref="BN12:BP12"/>
    <mergeCell ref="BN13:BP13"/>
    <mergeCell ref="BN6:BP6"/>
    <mergeCell ref="BN5:BP5"/>
    <mergeCell ref="BN9:BP9"/>
    <mergeCell ref="BN8:BP8"/>
    <mergeCell ref="BN7:BP7"/>
    <mergeCell ref="BH10:BL10"/>
    <mergeCell ref="BN44:BP44"/>
    <mergeCell ref="BH54:BL54"/>
    <mergeCell ref="BH56:BL56"/>
    <mergeCell ref="BN1:BP4"/>
    <mergeCell ref="BN15:BP15"/>
    <mergeCell ref="BN35:BP35"/>
    <mergeCell ref="BN36:BP36"/>
    <mergeCell ref="BN47:BP47"/>
    <mergeCell ref="BH19:BL19"/>
    <mergeCell ref="A1:BL1"/>
    <mergeCell ref="BH32:BL32"/>
    <mergeCell ref="BH33:BL33"/>
    <mergeCell ref="BN19:BP19"/>
    <mergeCell ref="BN20:BP20"/>
    <mergeCell ref="BN27:BP27"/>
    <mergeCell ref="BN28:BP28"/>
    <mergeCell ref="BH23:BL23"/>
    <mergeCell ref="BH22:BL22"/>
    <mergeCell ref="BN14:BP14"/>
    <mergeCell ref="AX54:BC54"/>
    <mergeCell ref="AX48:BC48"/>
    <mergeCell ref="C57:G57"/>
    <mergeCell ref="H57:K57"/>
    <mergeCell ref="H54:K54"/>
    <mergeCell ref="BD23:BG23"/>
    <mergeCell ref="AX56:BC56"/>
    <mergeCell ref="AX58:BC58"/>
    <mergeCell ref="AX57:BC57"/>
    <mergeCell ref="CU6:CV6"/>
    <mergeCell ref="DM5:DP5"/>
    <mergeCell ref="CU7:CV7"/>
    <mergeCell ref="DM6:DP6"/>
    <mergeCell ref="CU5:CV5"/>
    <mergeCell ref="BN24:BP24"/>
    <mergeCell ref="BN41:BP41"/>
    <mergeCell ref="BN42:BP42"/>
    <mergeCell ref="BN43:BP43"/>
    <mergeCell ref="BN29:BP29"/>
    <mergeCell ref="BN33:BP33"/>
    <mergeCell ref="BN31:BP31"/>
    <mergeCell ref="BN37:BP37"/>
    <mergeCell ref="BN38:BP38"/>
    <mergeCell ref="BN34:BP34"/>
    <mergeCell ref="BH44:BL44"/>
    <mergeCell ref="BH45:BL45"/>
    <mergeCell ref="BN30:BP30"/>
    <mergeCell ref="BN32:BP32"/>
    <mergeCell ref="BN39:BP39"/>
    <mergeCell ref="BH36:BL36"/>
    <mergeCell ref="BD56:BG56"/>
    <mergeCell ref="BD55:BG55"/>
    <mergeCell ref="BD49:BG49"/>
    <mergeCell ref="BD50:BG50"/>
    <mergeCell ref="BD41:BG41"/>
    <mergeCell ref="BD52:BG52"/>
    <mergeCell ref="BD51:BG51"/>
    <mergeCell ref="BD53:BG53"/>
    <mergeCell ref="BD58:BG58"/>
    <mergeCell ref="BD57:BG57"/>
    <mergeCell ref="BD54:BG54"/>
    <mergeCell ref="BD48:BG48"/>
    <mergeCell ref="BD26:BG26"/>
    <mergeCell ref="BD25:BG25"/>
    <mergeCell ref="BN61:BP61"/>
    <mergeCell ref="BH51:BL51"/>
    <mergeCell ref="BH52:BL52"/>
    <mergeCell ref="BH53:BL53"/>
    <mergeCell ref="BD46:BG46"/>
    <mergeCell ref="BD47:BG47"/>
    <mergeCell ref="BD44:BG44"/>
    <mergeCell ref="BD45:BG45"/>
    <mergeCell ref="BD43:BG43"/>
    <mergeCell ref="BD29:BG29"/>
    <mergeCell ref="BH29:BL29"/>
    <mergeCell ref="BD42:BG42"/>
    <mergeCell ref="BD40:BG40"/>
    <mergeCell ref="BD27:BG27"/>
    <mergeCell ref="BH27:BL27"/>
    <mergeCell ref="BH26:BL26"/>
    <mergeCell ref="BH34:BL34"/>
    <mergeCell ref="BH37:BL37"/>
    <mergeCell ref="BH39:BL39"/>
    <mergeCell ref="BH40:BL40"/>
    <mergeCell ref="BH48:BL48"/>
    <mergeCell ref="BH42:BL42"/>
    <mergeCell ref="BH43:BL43"/>
    <mergeCell ref="BD59:BG59"/>
    <mergeCell ref="BD60:BG60"/>
    <mergeCell ref="BD61:BG61"/>
    <mergeCell ref="BD28:BG28"/>
    <mergeCell ref="BD30:BG30"/>
    <mergeCell ref="BN59:BP59"/>
    <mergeCell ref="BD39:BG39"/>
    <mergeCell ref="BD33:BG33"/>
    <mergeCell ref="BD34:BG34"/>
    <mergeCell ref="BH67:BL67"/>
    <mergeCell ref="BH24:BL24"/>
    <mergeCell ref="BH25:BL25"/>
    <mergeCell ref="BH41:BL41"/>
    <mergeCell ref="BH61:BL61"/>
    <mergeCell ref="BH28:BL28"/>
    <mergeCell ref="BH30:BL30"/>
    <mergeCell ref="BD37:BG37"/>
    <mergeCell ref="BH63:BL63"/>
    <mergeCell ref="A25:B25"/>
    <mergeCell ref="A26:B26"/>
    <mergeCell ref="A27:B27"/>
    <mergeCell ref="A32:B32"/>
    <mergeCell ref="A33:B33"/>
    <mergeCell ref="AX27:BC27"/>
    <mergeCell ref="AT24:AW24"/>
    <mergeCell ref="AX24:BC24"/>
    <mergeCell ref="BD24:BG24"/>
    <mergeCell ref="C27:G27"/>
    <mergeCell ref="H27:K27"/>
    <mergeCell ref="A24:B24"/>
    <mergeCell ref="AM45:AS45"/>
    <mergeCell ref="AX52:BC52"/>
    <mergeCell ref="C58:G58"/>
    <mergeCell ref="H58:K58"/>
    <mergeCell ref="P58:T58"/>
    <mergeCell ref="AM58:AS58"/>
    <mergeCell ref="AT58:AW58"/>
    <mergeCell ref="H56:K56"/>
    <mergeCell ref="P56:T56"/>
    <mergeCell ref="AM56:AS56"/>
    <mergeCell ref="H53:K53"/>
    <mergeCell ref="P53:T53"/>
    <mergeCell ref="AM53:AS53"/>
    <mergeCell ref="P54:T54"/>
    <mergeCell ref="AM54:AS54"/>
    <mergeCell ref="L54:O54"/>
    <mergeCell ref="AX50:BC50"/>
    <mergeCell ref="BD64:BG64"/>
    <mergeCell ref="AB63:AL63"/>
    <mergeCell ref="AB64:AL64"/>
    <mergeCell ref="AB65:AL65"/>
    <mergeCell ref="A50:B50"/>
    <mergeCell ref="A51:B51"/>
    <mergeCell ref="A31:B31"/>
    <mergeCell ref="AM44:AS44"/>
    <mergeCell ref="AT44:AW44"/>
    <mergeCell ref="C43:G43"/>
    <mergeCell ref="AM48:AS48"/>
    <mergeCell ref="AT48:AW48"/>
    <mergeCell ref="P25:T25"/>
    <mergeCell ref="P24:T24"/>
    <mergeCell ref="C50:G50"/>
    <mergeCell ref="L59:O59"/>
    <mergeCell ref="L60:O60"/>
    <mergeCell ref="L61:O61"/>
    <mergeCell ref="U27:AA27"/>
    <mergeCell ref="U28:AA28"/>
    <mergeCell ref="U29:AA29"/>
    <mergeCell ref="U30:AA30"/>
    <mergeCell ref="U31:AA31"/>
    <mergeCell ref="U32:AA32"/>
    <mergeCell ref="U33:AA33"/>
    <mergeCell ref="U34:AA34"/>
    <mergeCell ref="P2:T4"/>
    <mergeCell ref="H2:K4"/>
    <mergeCell ref="C2:G4"/>
    <mergeCell ref="AT3:AW4"/>
    <mergeCell ref="C34:G34"/>
    <mergeCell ref="A2:B4"/>
    <mergeCell ref="P61:T61"/>
    <mergeCell ref="P63:T63"/>
    <mergeCell ref="P60:T60"/>
    <mergeCell ref="AT60:AW60"/>
    <mergeCell ref="AT19:AW19"/>
    <mergeCell ref="P64:T64"/>
    <mergeCell ref="A49:B49"/>
    <mergeCell ref="C19:G19"/>
    <mergeCell ref="H19:K19"/>
    <mergeCell ref="A52:B52"/>
    <mergeCell ref="A53:B53"/>
    <mergeCell ref="H59:K59"/>
    <mergeCell ref="H60:K60"/>
    <mergeCell ref="H61:K61"/>
    <mergeCell ref="P59:T59"/>
    <mergeCell ref="A58:B58"/>
    <mergeCell ref="A59:B59"/>
    <mergeCell ref="C32:G32"/>
    <mergeCell ref="H32:K32"/>
    <mergeCell ref="P32:T32"/>
    <mergeCell ref="AM32:AS32"/>
    <mergeCell ref="AT32:AW32"/>
    <mergeCell ref="C33:G33"/>
    <mergeCell ref="L32:O32"/>
    <mergeCell ref="H38:K38"/>
    <mergeCell ref="P38:T38"/>
    <mergeCell ref="AM38:AS38"/>
    <mergeCell ref="AT38:AW38"/>
    <mergeCell ref="H39:K39"/>
    <mergeCell ref="AM39:AS39"/>
    <mergeCell ref="AT39:AW39"/>
    <mergeCell ref="AB36:AL36"/>
    <mergeCell ref="AB37:AL37"/>
    <mergeCell ref="AB38:AL38"/>
    <mergeCell ref="AB39:AL39"/>
    <mergeCell ref="H31:K31"/>
    <mergeCell ref="C54:G54"/>
    <mergeCell ref="C56:G56"/>
    <mergeCell ref="C36:G36"/>
    <mergeCell ref="C40:G40"/>
    <mergeCell ref="C47:G47"/>
    <mergeCell ref="C52:G52"/>
    <mergeCell ref="C38:G38"/>
    <mergeCell ref="A62:B62"/>
    <mergeCell ref="A54:B54"/>
    <mergeCell ref="C37:G37"/>
    <mergeCell ref="C41:G41"/>
    <mergeCell ref="C46:G46"/>
    <mergeCell ref="A55:B55"/>
    <mergeCell ref="A56:B56"/>
    <mergeCell ref="AM25:AS25"/>
    <mergeCell ref="AT25:AW25"/>
    <mergeCell ref="P26:T26"/>
    <mergeCell ref="C26:G26"/>
    <mergeCell ref="L25:O25"/>
    <mergeCell ref="C23:G23"/>
    <mergeCell ref="H23:K23"/>
    <mergeCell ref="AM23:AS23"/>
    <mergeCell ref="AM59:AS59"/>
    <mergeCell ref="C59:G59"/>
    <mergeCell ref="C60:G60"/>
    <mergeCell ref="U64:AA64"/>
    <mergeCell ref="P37:T37"/>
    <mergeCell ref="L38:O38"/>
    <mergeCell ref="U37:AA37"/>
    <mergeCell ref="U38:AA38"/>
    <mergeCell ref="U39:AA39"/>
    <mergeCell ref="U40:AA40"/>
    <mergeCell ref="U41:AA41"/>
    <mergeCell ref="C39:G39"/>
    <mergeCell ref="C42:G42"/>
    <mergeCell ref="AT61:AW61"/>
    <mergeCell ref="AT62:AW62"/>
    <mergeCell ref="L41:O41"/>
    <mergeCell ref="L42:O42"/>
    <mergeCell ref="L43:O43"/>
    <mergeCell ref="L44:O44"/>
    <mergeCell ref="L45:O45"/>
    <mergeCell ref="L46:O46"/>
    <mergeCell ref="L48:O48"/>
    <mergeCell ref="L49:O49"/>
    <mergeCell ref="L50:O50"/>
    <mergeCell ref="L51:O51"/>
    <mergeCell ref="L52:O52"/>
    <mergeCell ref="L53:O53"/>
    <mergeCell ref="L56:O56"/>
    <mergeCell ref="L57:O57"/>
    <mergeCell ref="L58:O58"/>
    <mergeCell ref="AT56:AW56"/>
    <mergeCell ref="P51:T51"/>
    <mergeCell ref="AM51:AS51"/>
    <mergeCell ref="AT51:AW51"/>
    <mergeCell ref="AT54:AW54"/>
    <mergeCell ref="H52:K52"/>
    <mergeCell ref="C53:G53"/>
    <mergeCell ref="P57:T57"/>
    <mergeCell ref="AM57:AS57"/>
    <mergeCell ref="AT57:AW57"/>
    <mergeCell ref="P43:T43"/>
    <mergeCell ref="P42:T42"/>
    <mergeCell ref="U42:AA42"/>
    <mergeCell ref="U43:AA43"/>
    <mergeCell ref="P52:T52"/>
    <mergeCell ref="AM52:AS52"/>
    <mergeCell ref="P50:T50"/>
    <mergeCell ref="AM50:AS50"/>
    <mergeCell ref="AT50:AW50"/>
    <mergeCell ref="AX32:BC32"/>
    <mergeCell ref="BD32:BG32"/>
    <mergeCell ref="AX35:BC35"/>
    <mergeCell ref="AX38:BC38"/>
    <mergeCell ref="AX36:BC36"/>
    <mergeCell ref="AX51:BC51"/>
    <mergeCell ref="AX49:BC49"/>
    <mergeCell ref="AT52:AW52"/>
    <mergeCell ref="H51:K51"/>
    <mergeCell ref="H50:K50"/>
    <mergeCell ref="AX79:BC79"/>
    <mergeCell ref="A88:B88"/>
    <mergeCell ref="A89:B89"/>
    <mergeCell ref="A90:B90"/>
    <mergeCell ref="A91:B91"/>
    <mergeCell ref="A92:B92"/>
    <mergeCell ref="H72:K72"/>
    <mergeCell ref="A81:B81"/>
    <mergeCell ref="A82:B82"/>
    <mergeCell ref="A83:B83"/>
    <mergeCell ref="C69:G69"/>
    <mergeCell ref="C70:G70"/>
    <mergeCell ref="C71:G71"/>
    <mergeCell ref="C72:G72"/>
    <mergeCell ref="H66:K66"/>
    <mergeCell ref="H67:K67"/>
    <mergeCell ref="H68:K68"/>
    <mergeCell ref="H69:K69"/>
    <mergeCell ref="H70:K70"/>
    <mergeCell ref="H71:K71"/>
    <mergeCell ref="AT71:AW71"/>
    <mergeCell ref="AT72:AW72"/>
    <mergeCell ref="AM66:AS66"/>
    <mergeCell ref="AM67:AS67"/>
    <mergeCell ref="AM68:AS68"/>
    <mergeCell ref="AM69:AS69"/>
    <mergeCell ref="AM70:AS70"/>
    <mergeCell ref="AM71:AS71"/>
    <mergeCell ref="L62:O62"/>
    <mergeCell ref="L63:O63"/>
    <mergeCell ref="L64:O64"/>
    <mergeCell ref="L65:O65"/>
    <mergeCell ref="L66:O66"/>
    <mergeCell ref="L67:O67"/>
    <mergeCell ref="L68:O68"/>
    <mergeCell ref="L69:O69"/>
    <mergeCell ref="L70:O70"/>
    <mergeCell ref="L71:O71"/>
    <mergeCell ref="L72:O72"/>
    <mergeCell ref="L73:O73"/>
    <mergeCell ref="L77:O77"/>
    <mergeCell ref="L78:O78"/>
    <mergeCell ref="L79:O79"/>
    <mergeCell ref="A80:B80"/>
    <mergeCell ref="A70:B70"/>
    <mergeCell ref="A71:B71"/>
    <mergeCell ref="A72:B72"/>
    <mergeCell ref="A73:B73"/>
    <mergeCell ref="A75:B75"/>
    <mergeCell ref="A76:B76"/>
    <mergeCell ref="A74:B74"/>
    <mergeCell ref="A68:B68"/>
    <mergeCell ref="AT70:AW70"/>
    <mergeCell ref="U62:AA62"/>
    <mergeCell ref="BD66:BG66"/>
    <mergeCell ref="BD67:BG67"/>
    <mergeCell ref="BD68:BG68"/>
    <mergeCell ref="BD69:BG69"/>
    <mergeCell ref="BD70:BG70"/>
    <mergeCell ref="BD71:BG71"/>
    <mergeCell ref="BD72:BG72"/>
    <mergeCell ref="AX66:BC66"/>
    <mergeCell ref="AX67:BC67"/>
    <mergeCell ref="A86:B86"/>
    <mergeCell ref="A87:B87"/>
    <mergeCell ref="C66:G66"/>
    <mergeCell ref="C67:G67"/>
    <mergeCell ref="C68:G68"/>
    <mergeCell ref="A77:B77"/>
    <mergeCell ref="A78:B78"/>
    <mergeCell ref="A79:B79"/>
    <mergeCell ref="P66:T66"/>
    <mergeCell ref="P67:T67"/>
    <mergeCell ref="P68:T68"/>
    <mergeCell ref="P69:T69"/>
    <mergeCell ref="P70:T70"/>
    <mergeCell ref="P71:T71"/>
    <mergeCell ref="P72:T72"/>
    <mergeCell ref="C79:G79"/>
    <mergeCell ref="H79:K79"/>
    <mergeCell ref="P79:T79"/>
    <mergeCell ref="AM79:AS79"/>
    <mergeCell ref="AT79:AW79"/>
    <mergeCell ref="C78:G78"/>
    <mergeCell ref="H78:K78"/>
    <mergeCell ref="P78:T78"/>
    <mergeCell ref="AM78:AS78"/>
    <mergeCell ref="AT78:AW78"/>
    <mergeCell ref="AX77:BC77"/>
    <mergeCell ref="BD77:BG77"/>
    <mergeCell ref="BD78:BG78"/>
    <mergeCell ref="BD85:BG85"/>
    <mergeCell ref="A69:B69"/>
    <mergeCell ref="AX68:BC68"/>
    <mergeCell ref="AB82:AL82"/>
    <mergeCell ref="AB83:AL83"/>
    <mergeCell ref="AB84:AL84"/>
    <mergeCell ref="AB85:AL85"/>
    <mergeCell ref="AB69:AL69"/>
    <mergeCell ref="AB70:AL70"/>
    <mergeCell ref="AB71:AL71"/>
    <mergeCell ref="AX75:BC75"/>
    <mergeCell ref="C75:G75"/>
    <mergeCell ref="H75:K75"/>
    <mergeCell ref="P75:T75"/>
    <mergeCell ref="AM75:AS75"/>
    <mergeCell ref="AT75:AW75"/>
    <mergeCell ref="L74:O74"/>
    <mergeCell ref="L75:O75"/>
    <mergeCell ref="C74:G74"/>
    <mergeCell ref="H74:K74"/>
    <mergeCell ref="P74:T74"/>
    <mergeCell ref="AM74:AS74"/>
    <mergeCell ref="AT74:AW74"/>
    <mergeCell ref="C73:G73"/>
    <mergeCell ref="AX74:BC74"/>
    <mergeCell ref="H73:K73"/>
    <mergeCell ref="AB81:AL81"/>
    <mergeCell ref="AM65:AS65"/>
    <mergeCell ref="P65:T65"/>
    <mergeCell ref="AT65:AW65"/>
    <mergeCell ref="AX63:BC63"/>
    <mergeCell ref="AX62:BC62"/>
    <mergeCell ref="DQ269:DT269"/>
    <mergeCell ref="CU261:DP261"/>
    <mergeCell ref="BN109:BP109"/>
    <mergeCell ref="CU264:DP264"/>
    <mergeCell ref="DQ264:DT264"/>
    <mergeCell ref="DQ266:DT266"/>
    <mergeCell ref="DQ261:DT261"/>
    <mergeCell ref="DQ262:DT262"/>
    <mergeCell ref="DM203:DP203"/>
    <mergeCell ref="P126:T126"/>
    <mergeCell ref="AM126:AS126"/>
    <mergeCell ref="AT126:AW126"/>
    <mergeCell ref="L126:O126"/>
    <mergeCell ref="AX126:BC126"/>
    <mergeCell ref="BD126:BG126"/>
    <mergeCell ref="BH126:BL126"/>
    <mergeCell ref="C133:G133"/>
    <mergeCell ref="H133:K133"/>
    <mergeCell ref="P133:T133"/>
    <mergeCell ref="AM133:AS133"/>
    <mergeCell ref="AT133:AW133"/>
    <mergeCell ref="L133:O133"/>
    <mergeCell ref="AX133:BC133"/>
    <mergeCell ref="BD133:BG133"/>
    <mergeCell ref="BH133:BL133"/>
    <mergeCell ref="BH135:BL135"/>
    <mergeCell ref="C131:G131"/>
    <mergeCell ref="H131:K131"/>
    <mergeCell ref="P131:T131"/>
    <mergeCell ref="AM131:AS131"/>
    <mergeCell ref="AT131:AW131"/>
    <mergeCell ref="L131:O131"/>
    <mergeCell ref="AM73:AS73"/>
    <mergeCell ref="AT73:AW73"/>
    <mergeCell ref="AX73:BC73"/>
    <mergeCell ref="AX78:BC78"/>
    <mergeCell ref="AX85:BC85"/>
    <mergeCell ref="AX89:BC89"/>
    <mergeCell ref="AT66:AW66"/>
    <mergeCell ref="AT67:AW67"/>
    <mergeCell ref="AT68:AW68"/>
    <mergeCell ref="AT69:AW69"/>
    <mergeCell ref="DM198:DP198"/>
    <mergeCell ref="DM199:DP199"/>
    <mergeCell ref="DM197:DP197"/>
    <mergeCell ref="DQ197:DT197"/>
    <mergeCell ref="DQ198:DT198"/>
    <mergeCell ref="DQ199:DT199"/>
    <mergeCell ref="CU200:CV200"/>
    <mergeCell ref="DQ200:DT200"/>
    <mergeCell ref="CU199:CV199"/>
    <mergeCell ref="DM202:DP202"/>
    <mergeCell ref="DQ202:DT202"/>
    <mergeCell ref="CU201:CV201"/>
    <mergeCell ref="DM201:DP201"/>
    <mergeCell ref="DQ201:DT201"/>
    <mergeCell ref="CU202:CV202"/>
    <mergeCell ref="DQ203:DT203"/>
    <mergeCell ref="AX72:BC72"/>
    <mergeCell ref="DM56:DP56"/>
    <mergeCell ref="DM57:DP57"/>
    <mergeCell ref="DM59:DP59"/>
    <mergeCell ref="CU58:CV58"/>
    <mergeCell ref="DM60:DP60"/>
    <mergeCell ref="DQ56:DT56"/>
    <mergeCell ref="DQ57:DT57"/>
    <mergeCell ref="DM58:DP58"/>
    <mergeCell ref="DQ60:DT60"/>
    <mergeCell ref="DQ58:DT58"/>
    <mergeCell ref="CU57:CV57"/>
    <mergeCell ref="DQ59:DT59"/>
    <mergeCell ref="CU60:CV60"/>
    <mergeCell ref="CU59:CV59"/>
    <mergeCell ref="CW61:CZ61"/>
    <mergeCell ref="EN54:EQ54"/>
    <mergeCell ref="ER52:EU52"/>
    <mergeCell ref="EN53:EQ53"/>
    <mergeCell ref="ER54:EU54"/>
    <mergeCell ref="EN55:EQ55"/>
    <mergeCell ref="ER55:EU55"/>
    <mergeCell ref="EN57:EQ57"/>
    <mergeCell ref="ER57:EU57"/>
    <mergeCell ref="EN56:EQ56"/>
    <mergeCell ref="ER56:EU56"/>
    <mergeCell ref="A60:B60"/>
    <mergeCell ref="A61:B61"/>
    <mergeCell ref="A63:B63"/>
    <mergeCell ref="A64:B64"/>
    <mergeCell ref="A65:B65"/>
    <mergeCell ref="A66:B66"/>
    <mergeCell ref="C65:G65"/>
    <mergeCell ref="H65:K65"/>
    <mergeCell ref="A57:B57"/>
    <mergeCell ref="BN62:BP62"/>
    <mergeCell ref="DQ61:DT61"/>
    <mergeCell ref="CU62:CV62"/>
    <mergeCell ref="CU61:CV61"/>
    <mergeCell ref="DQ64:DT64"/>
    <mergeCell ref="DM61:DP61"/>
    <mergeCell ref="CU63:CV63"/>
    <mergeCell ref="DM64:DP64"/>
    <mergeCell ref="EN64:EQ64"/>
    <mergeCell ref="ER64:EU64"/>
    <mergeCell ref="BT54:BU54"/>
    <mergeCell ref="CL54:CO54"/>
    <mergeCell ref="CP54:CS54"/>
    <mergeCell ref="BT55:BU55"/>
    <mergeCell ref="CL55:CO55"/>
    <mergeCell ref="CP55:CS55"/>
    <mergeCell ref="BT56:BU56"/>
    <mergeCell ref="CL56:CO56"/>
    <mergeCell ref="CP56:CS56"/>
    <mergeCell ref="BT57:BU57"/>
    <mergeCell ref="CL57:CO57"/>
    <mergeCell ref="CP57:CS57"/>
    <mergeCell ref="BT58:BU58"/>
    <mergeCell ref="CL58:CO58"/>
    <mergeCell ref="CP58:CS58"/>
    <mergeCell ref="BV56:BY56"/>
    <mergeCell ref="BZ56:CC56"/>
    <mergeCell ref="CD56:CG56"/>
    <mergeCell ref="CH56:CK56"/>
    <mergeCell ref="AX65:BC65"/>
    <mergeCell ref="DQ195:DT195"/>
    <mergeCell ref="CU196:CV196"/>
    <mergeCell ref="DQ196:DT196"/>
    <mergeCell ref="CU64:CV64"/>
    <mergeCell ref="CU198:CV198"/>
    <mergeCell ref="CU195:CV195"/>
    <mergeCell ref="CU197:CV197"/>
    <mergeCell ref="DM108:DP108"/>
    <mergeCell ref="DM74:DP74"/>
    <mergeCell ref="DM90:DP90"/>
    <mergeCell ref="ER9:EU9"/>
    <mergeCell ref="EN10:EQ10"/>
    <mergeCell ref="ER11:EU11"/>
    <mergeCell ref="EN12:EQ12"/>
    <mergeCell ref="ER12:EU12"/>
    <mergeCell ref="EN14:EQ14"/>
    <mergeCell ref="ER14:EU14"/>
    <mergeCell ref="EN13:EQ13"/>
    <mergeCell ref="EN15:EQ15"/>
    <mergeCell ref="ER13:EU13"/>
    <mergeCell ref="ER15:EU15"/>
    <mergeCell ref="BN104:BP104"/>
    <mergeCell ref="BN105:BP105"/>
    <mergeCell ref="BN106:BP106"/>
    <mergeCell ref="BN107:BP107"/>
    <mergeCell ref="BN108:BP108"/>
    <mergeCell ref="DQ62:DT62"/>
    <mergeCell ref="DM63:DP63"/>
    <mergeCell ref="DQ63:DT63"/>
    <mergeCell ref="DM62:DP62"/>
    <mergeCell ref="EN45:EQ45"/>
    <mergeCell ref="DV1:EU1"/>
    <mergeCell ref="DV3:DW4"/>
    <mergeCell ref="BT8:BU8"/>
    <mergeCell ref="BN81:BP81"/>
    <mergeCell ref="EN16:EQ16"/>
    <mergeCell ref="ER16:EU16"/>
    <mergeCell ref="EN18:EQ18"/>
    <mergeCell ref="ER18:EU18"/>
    <mergeCell ref="EN17:EQ17"/>
    <mergeCell ref="EN19:EQ19"/>
    <mergeCell ref="ER17:EU17"/>
    <mergeCell ref="ER19:EU19"/>
    <mergeCell ref="EN20:EQ20"/>
    <mergeCell ref="ER20:EU20"/>
    <mergeCell ref="EF17:EI17"/>
    <mergeCell ref="EJ17:EM17"/>
    <mergeCell ref="DX18:EA18"/>
    <mergeCell ref="EB18:EE18"/>
    <mergeCell ref="EF18:EI18"/>
    <mergeCell ref="EJ18:EM18"/>
    <mergeCell ref="DX19:EA19"/>
    <mergeCell ref="EB19:EE19"/>
    <mergeCell ref="EF19:EI19"/>
    <mergeCell ref="EJ19:EM19"/>
    <mergeCell ref="DX20:EA20"/>
    <mergeCell ref="EB20:EE20"/>
    <mergeCell ref="EF20:EI20"/>
    <mergeCell ref="EJ20:EM20"/>
    <mergeCell ref="EN32:EQ32"/>
    <mergeCell ref="ER32:EU32"/>
    <mergeCell ref="EN34:EQ34"/>
    <mergeCell ref="ER34:EU34"/>
    <mergeCell ref="EN33:EQ33"/>
    <mergeCell ref="EN5:EQ5"/>
    <mergeCell ref="ER3:EU4"/>
    <mergeCell ref="ER5:EU5"/>
    <mergeCell ref="EN6:EQ6"/>
    <mergeCell ref="ER6:EU6"/>
    <mergeCell ref="EN7:EQ7"/>
    <mergeCell ref="ER7:EU7"/>
    <mergeCell ref="EN8:EQ8"/>
    <mergeCell ref="ER8:EU8"/>
    <mergeCell ref="ER10:EU10"/>
    <mergeCell ref="EN9:EQ9"/>
    <mergeCell ref="EN11:EQ11"/>
    <mergeCell ref="DA61:DD61"/>
    <mergeCell ref="DE61:DH61"/>
    <mergeCell ref="DI61:DL61"/>
    <mergeCell ref="DM98:DP98"/>
    <mergeCell ref="DM76:DP76"/>
    <mergeCell ref="DM65:DP65"/>
    <mergeCell ref="DQ65:DT65"/>
    <mergeCell ref="DQ67:DT67"/>
    <mergeCell ref="DQ68:DT68"/>
    <mergeCell ref="DM66:DP66"/>
    <mergeCell ref="DM68:DP68"/>
    <mergeCell ref="CU48:CV48"/>
    <mergeCell ref="CU8:CV8"/>
    <mergeCell ref="CU10:CV10"/>
    <mergeCell ref="CU47:CV47"/>
    <mergeCell ref="CU9:CV9"/>
    <mergeCell ref="CU11:CV11"/>
    <mergeCell ref="DM46:DP46"/>
    <mergeCell ref="DM45:DP45"/>
    <mergeCell ref="CU45:CV45"/>
    <mergeCell ref="CU50:CV50"/>
    <mergeCell ref="DM49:DP49"/>
    <mergeCell ref="DM51:DP51"/>
    <mergeCell ref="DM54:DP54"/>
    <mergeCell ref="CU52:CV52"/>
    <mergeCell ref="EN22:EQ22"/>
    <mergeCell ref="ER22:EU22"/>
    <mergeCell ref="EN21:EQ21"/>
    <mergeCell ref="EN23:EQ23"/>
    <mergeCell ref="ER21:EU21"/>
    <mergeCell ref="ER23:EU23"/>
    <mergeCell ref="EN24:EQ24"/>
    <mergeCell ref="ER24:EU24"/>
    <mergeCell ref="ER26:EU26"/>
    <mergeCell ref="EN25:EQ25"/>
    <mergeCell ref="DX21:EA21"/>
    <mergeCell ref="EB21:EE21"/>
    <mergeCell ref="EF21:EI21"/>
    <mergeCell ref="EJ21:EM21"/>
    <mergeCell ref="DX22:EA22"/>
    <mergeCell ref="EB22:EE22"/>
    <mergeCell ref="EF22:EI22"/>
    <mergeCell ref="EJ22:EM22"/>
    <mergeCell ref="DX23:EA23"/>
    <mergeCell ref="EB23:EE23"/>
    <mergeCell ref="EF23:EI23"/>
    <mergeCell ref="EJ23:EM23"/>
    <mergeCell ref="DX24:EA24"/>
    <mergeCell ref="EB24:EE24"/>
    <mergeCell ref="EF24:EI24"/>
    <mergeCell ref="EJ24:EM24"/>
    <mergeCell ref="DM55:DP55"/>
    <mergeCell ref="ER48:EU48"/>
    <mergeCell ref="DX41:EA41"/>
    <mergeCell ref="EB41:EE41"/>
    <mergeCell ref="EF41:EI41"/>
    <mergeCell ref="EN35:EQ35"/>
    <mergeCell ref="ER33:EU33"/>
    <mergeCell ref="ER35:EU35"/>
    <mergeCell ref="EN36:EQ36"/>
    <mergeCell ref="ER36:EU36"/>
    <mergeCell ref="DX32:EA32"/>
    <mergeCell ref="EB32:EE32"/>
    <mergeCell ref="EF32:EI32"/>
    <mergeCell ref="EJ32:EM32"/>
    <mergeCell ref="DX33:EA33"/>
    <mergeCell ref="EB33:EE33"/>
    <mergeCell ref="EF33:EI33"/>
    <mergeCell ref="EJ33:EM33"/>
    <mergeCell ref="DX34:EA34"/>
    <mergeCell ref="EB34:EE34"/>
    <mergeCell ref="EF34:EI34"/>
    <mergeCell ref="EJ34:EM34"/>
    <mergeCell ref="DX35:EA35"/>
    <mergeCell ref="EB35:EE35"/>
    <mergeCell ref="EF35:EI35"/>
    <mergeCell ref="EJ35:EM35"/>
    <mergeCell ref="DX36:EA36"/>
    <mergeCell ref="EB36:EE36"/>
    <mergeCell ref="EF36:EI36"/>
    <mergeCell ref="EJ36:EM36"/>
    <mergeCell ref="EN27:EQ27"/>
    <mergeCell ref="ER25:EU25"/>
    <mergeCell ref="EN26:EQ26"/>
    <mergeCell ref="ER27:EU27"/>
    <mergeCell ref="EN28:EQ28"/>
    <mergeCell ref="ER28:EU28"/>
    <mergeCell ref="EN30:EQ30"/>
    <mergeCell ref="ER30:EU30"/>
    <mergeCell ref="EN29:EQ29"/>
    <mergeCell ref="EN31:EQ31"/>
    <mergeCell ref="ER29:EU29"/>
    <mergeCell ref="ER31:EU31"/>
    <mergeCell ref="DX25:EA25"/>
    <mergeCell ref="EB25:EE25"/>
    <mergeCell ref="EF25:EI25"/>
    <mergeCell ref="EJ25:EM25"/>
    <mergeCell ref="DX26:EA26"/>
    <mergeCell ref="EB26:EE26"/>
    <mergeCell ref="EF26:EI26"/>
    <mergeCell ref="EJ26:EM26"/>
    <mergeCell ref="DX27:EA27"/>
    <mergeCell ref="EB27:EE27"/>
    <mergeCell ref="EF27:EI27"/>
    <mergeCell ref="EJ27:EM27"/>
    <mergeCell ref="DX28:EA28"/>
    <mergeCell ref="EB28:EE28"/>
    <mergeCell ref="EF28:EI28"/>
    <mergeCell ref="EJ28:EM28"/>
    <mergeCell ref="DX29:EA29"/>
    <mergeCell ref="EB29:EE29"/>
    <mergeCell ref="EF29:EI29"/>
    <mergeCell ref="EJ29:EM29"/>
    <mergeCell ref="DX30:EA30"/>
    <mergeCell ref="EB30:EE30"/>
    <mergeCell ref="DX54:EA54"/>
    <mergeCell ref="EB54:EE54"/>
    <mergeCell ref="EF54:EI54"/>
    <mergeCell ref="EJ54:EM54"/>
    <mergeCell ref="DX50:EA50"/>
    <mergeCell ref="EB50:EE50"/>
    <mergeCell ref="EF50:EI50"/>
    <mergeCell ref="EJ50:EM50"/>
    <mergeCell ref="DX51:EA51"/>
    <mergeCell ref="EB51:EE51"/>
    <mergeCell ref="EF51:EI51"/>
    <mergeCell ref="EJ51:EM51"/>
    <mergeCell ref="DX52:EA52"/>
    <mergeCell ref="EB52:EE52"/>
    <mergeCell ref="EF52:EI52"/>
    <mergeCell ref="EJ52:EM52"/>
    <mergeCell ref="DX53:EA53"/>
    <mergeCell ref="EB53:EE53"/>
    <mergeCell ref="EF53:EI53"/>
    <mergeCell ref="EN50:EQ50"/>
    <mergeCell ref="EJ53:EM53"/>
    <mergeCell ref="EN38:EQ38"/>
    <mergeCell ref="ER38:EU38"/>
    <mergeCell ref="EN37:EQ37"/>
    <mergeCell ref="EN39:EQ39"/>
    <mergeCell ref="ER37:EU37"/>
    <mergeCell ref="ER39:EU39"/>
    <mergeCell ref="EN40:EQ40"/>
    <mergeCell ref="ER40:EU40"/>
    <mergeCell ref="ER42:EU42"/>
    <mergeCell ref="EN41:EQ41"/>
    <mergeCell ref="DX37:EA37"/>
    <mergeCell ref="EB37:EE37"/>
    <mergeCell ref="EF37:EI37"/>
    <mergeCell ref="EJ37:EM37"/>
    <mergeCell ref="DX38:EA38"/>
    <mergeCell ref="EB38:EE38"/>
    <mergeCell ref="EF38:EI38"/>
    <mergeCell ref="EJ38:EM38"/>
    <mergeCell ref="DX39:EA39"/>
    <mergeCell ref="EB39:EE39"/>
    <mergeCell ref="EF39:EI39"/>
    <mergeCell ref="EJ39:EM39"/>
    <mergeCell ref="DX40:EA40"/>
    <mergeCell ref="EB40:EE40"/>
    <mergeCell ref="EF40:EI40"/>
    <mergeCell ref="EJ40:EM40"/>
    <mergeCell ref="ER50:EU50"/>
    <mergeCell ref="EN51:EQ51"/>
    <mergeCell ref="ER51:EU51"/>
    <mergeCell ref="ER53:EU53"/>
    <mergeCell ref="EN52:EQ52"/>
    <mergeCell ref="EN43:EQ43"/>
    <mergeCell ref="ER41:EU41"/>
    <mergeCell ref="EN42:EQ42"/>
    <mergeCell ref="EN46:EQ46"/>
    <mergeCell ref="ER43:EU43"/>
    <mergeCell ref="EN44:EQ44"/>
    <mergeCell ref="ER46:EU46"/>
    <mergeCell ref="EN47:EQ47"/>
    <mergeCell ref="ER47:EU47"/>
    <mergeCell ref="EN49:EQ49"/>
    <mergeCell ref="ER49:EU49"/>
    <mergeCell ref="EN48:EQ48"/>
    <mergeCell ref="EN59:EQ59"/>
    <mergeCell ref="ER59:EU59"/>
    <mergeCell ref="EN61:EQ61"/>
    <mergeCell ref="ER61:EU61"/>
    <mergeCell ref="EN60:EQ60"/>
    <mergeCell ref="EN62:EQ62"/>
    <mergeCell ref="ER60:EU60"/>
    <mergeCell ref="ER62:EU62"/>
    <mergeCell ref="EN63:EQ63"/>
    <mergeCell ref="ER63:EU63"/>
    <mergeCell ref="DX58:EA58"/>
    <mergeCell ref="EB58:EE58"/>
    <mergeCell ref="EF58:EI58"/>
    <mergeCell ref="EJ58:EM58"/>
    <mergeCell ref="DX59:EA59"/>
    <mergeCell ref="EB59:EE59"/>
    <mergeCell ref="EF59:EI59"/>
    <mergeCell ref="EJ59:EM59"/>
    <mergeCell ref="DX60:EA60"/>
    <mergeCell ref="EB60:EE60"/>
    <mergeCell ref="EF60:EI60"/>
    <mergeCell ref="EJ60:EM60"/>
    <mergeCell ref="DX61:EA61"/>
    <mergeCell ref="EB61:EE61"/>
    <mergeCell ref="EF61:EI61"/>
    <mergeCell ref="EJ61:EM61"/>
    <mergeCell ref="DX62:EA62"/>
    <mergeCell ref="EB62:EE62"/>
    <mergeCell ref="EF62:EI62"/>
    <mergeCell ref="EJ62:EM62"/>
    <mergeCell ref="DX63:EA63"/>
    <mergeCell ref="EB63:EE63"/>
    <mergeCell ref="EF63:EI63"/>
    <mergeCell ref="EJ63:EM63"/>
    <mergeCell ref="EN58:EQ58"/>
    <mergeCell ref="ER58:EU58"/>
    <mergeCell ref="DV195:DW195"/>
    <mergeCell ref="EN195:EQ195"/>
    <mergeCell ref="ER195:EU195"/>
    <mergeCell ref="ER103:EU103"/>
    <mergeCell ref="DV196:DW196"/>
    <mergeCell ref="EN196:EQ196"/>
    <mergeCell ref="ER196:EU196"/>
    <mergeCell ref="DV197:DW197"/>
    <mergeCell ref="EN197:EQ197"/>
    <mergeCell ref="ER197:EU197"/>
    <mergeCell ref="DV198:DW198"/>
    <mergeCell ref="EN198:EQ198"/>
    <mergeCell ref="ER198:EU198"/>
    <mergeCell ref="DV105:DW105"/>
    <mergeCell ref="EN99:EQ99"/>
    <mergeCell ref="DV98:DW98"/>
    <mergeCell ref="EN97:EQ97"/>
    <mergeCell ref="ER97:EU97"/>
    <mergeCell ref="ER96:EU96"/>
    <mergeCell ref="DV97:DW97"/>
    <mergeCell ref="DV96:DW96"/>
    <mergeCell ref="DV104:DW104"/>
    <mergeCell ref="EN104:EQ104"/>
    <mergeCell ref="ER104:EU104"/>
    <mergeCell ref="EN102:EQ102"/>
    <mergeCell ref="ER102:EU102"/>
    <mergeCell ref="DV103:DW103"/>
    <mergeCell ref="EN103:EQ103"/>
    <mergeCell ref="DV102:DW102"/>
    <mergeCell ref="ER100:EU100"/>
    <mergeCell ref="DV101:DW101"/>
    <mergeCell ref="EN101:EQ101"/>
    <mergeCell ref="ER101:EU101"/>
    <mergeCell ref="ER99:EU99"/>
    <mergeCell ref="DV100:DW100"/>
    <mergeCell ref="EN100:EQ100"/>
    <mergeCell ref="EN98:EQ98"/>
    <mergeCell ref="ER98:EU98"/>
    <mergeCell ref="DV99:DW99"/>
    <mergeCell ref="DV112:DW112"/>
    <mergeCell ref="EN118:EQ118"/>
    <mergeCell ref="ER118:EU118"/>
    <mergeCell ref="DV119:DW119"/>
    <mergeCell ref="EN119:EQ119"/>
    <mergeCell ref="ER119:EU119"/>
    <mergeCell ref="DV120:DW120"/>
    <mergeCell ref="EN120:EQ120"/>
    <mergeCell ref="ER120:EU120"/>
    <mergeCell ref="DV121:DW121"/>
    <mergeCell ref="EN121:EQ121"/>
    <mergeCell ref="ER121:EU121"/>
    <mergeCell ref="DX117:EA117"/>
    <mergeCell ref="EB117:EE117"/>
    <mergeCell ref="EF117:EI117"/>
    <mergeCell ref="EJ117:EM117"/>
    <mergeCell ref="DX118:EA118"/>
    <mergeCell ref="EB118:EE118"/>
    <mergeCell ref="EF118:EI118"/>
    <mergeCell ref="EJ118:EM118"/>
    <mergeCell ref="DX119:EA119"/>
    <mergeCell ref="EB119:EE119"/>
    <mergeCell ref="EF119:EI119"/>
    <mergeCell ref="EJ119:EM119"/>
    <mergeCell ref="DX120:EA120"/>
    <mergeCell ref="ER77:EU77"/>
    <mergeCell ref="EN75:EQ75"/>
    <mergeCell ref="ER69:EU69"/>
    <mergeCell ref="EN65:EQ65"/>
    <mergeCell ref="ER65:EU65"/>
    <mergeCell ref="EN66:EQ66"/>
    <mergeCell ref="ER66:EU66"/>
    <mergeCell ref="EN67:EQ67"/>
    <mergeCell ref="ER67:EU67"/>
    <mergeCell ref="ER68:EU68"/>
    <mergeCell ref="EN112:EQ112"/>
    <mergeCell ref="ER112:EU112"/>
    <mergeCell ref="DV113:DW113"/>
    <mergeCell ref="EN113:EQ113"/>
    <mergeCell ref="ER113:EU113"/>
    <mergeCell ref="DV114:DW114"/>
    <mergeCell ref="EN114:EQ114"/>
    <mergeCell ref="ER114:EU114"/>
    <mergeCell ref="DV115:DW115"/>
    <mergeCell ref="EN115:EQ115"/>
    <mergeCell ref="ER115:EU115"/>
    <mergeCell ref="DV116:DW116"/>
    <mergeCell ref="EN116:EQ116"/>
    <mergeCell ref="FS10:FV10"/>
    <mergeCell ref="FO9:FR9"/>
    <mergeCell ref="FO11:FR11"/>
    <mergeCell ref="FS9:FV9"/>
    <mergeCell ref="FO10:FR10"/>
    <mergeCell ref="FS11:FV11"/>
    <mergeCell ref="FO12:FR12"/>
    <mergeCell ref="FS12:FV12"/>
    <mergeCell ref="FS14:FV14"/>
    <mergeCell ref="FO13:FR13"/>
    <mergeCell ref="EY12:FB12"/>
    <mergeCell ref="FC12:FF12"/>
    <mergeCell ref="FG12:FJ12"/>
    <mergeCell ref="FK12:FN12"/>
    <mergeCell ref="EY13:FB13"/>
    <mergeCell ref="FC13:FF13"/>
    <mergeCell ref="FG13:FJ13"/>
    <mergeCell ref="FK13:FN13"/>
    <mergeCell ref="EY14:FB14"/>
    <mergeCell ref="FC14:FF14"/>
    <mergeCell ref="FG14:FJ14"/>
    <mergeCell ref="FK14:FN14"/>
    <mergeCell ref="EY15:FB15"/>
    <mergeCell ref="FC15:FF15"/>
    <mergeCell ref="FG15:FJ15"/>
    <mergeCell ref="FK15:FN15"/>
    <mergeCell ref="FS15:FV15"/>
    <mergeCell ref="FO16:FR16"/>
    <mergeCell ref="FS16:FV16"/>
    <mergeCell ref="FO18:FR18"/>
    <mergeCell ref="FS18:FV18"/>
    <mergeCell ref="FO17:FR17"/>
    <mergeCell ref="FO19:FR19"/>
    <mergeCell ref="FS17:FV17"/>
    <mergeCell ref="FS19:FV19"/>
    <mergeCell ref="FG17:FJ17"/>
    <mergeCell ref="FK17:FN17"/>
    <mergeCell ref="EY18:FB18"/>
    <mergeCell ref="FC18:FF18"/>
    <mergeCell ref="FG18:FJ18"/>
    <mergeCell ref="FK18:FN18"/>
    <mergeCell ref="DV269:EQ269"/>
    <mergeCell ref="ER269:EU269"/>
    <mergeCell ref="EW1:FV1"/>
    <mergeCell ref="EW3:EX4"/>
    <mergeCell ref="ER263:EU263"/>
    <mergeCell ref="FS3:FV4"/>
    <mergeCell ref="FO5:FR5"/>
    <mergeCell ref="FO6:FR6"/>
    <mergeCell ref="FO7:FR7"/>
    <mergeCell ref="FS5:FV5"/>
    <mergeCell ref="FS7:FV7"/>
    <mergeCell ref="FS6:FV6"/>
    <mergeCell ref="FO8:FR8"/>
    <mergeCell ref="FS8:FV8"/>
    <mergeCell ref="DV199:DW199"/>
    <mergeCell ref="EN199:EQ199"/>
    <mergeCell ref="ER199:EU199"/>
    <mergeCell ref="EN201:EQ201"/>
    <mergeCell ref="DV200:DW200"/>
    <mergeCell ref="EN202:EQ202"/>
    <mergeCell ref="EN200:EQ200"/>
    <mergeCell ref="ER200:EU200"/>
    <mergeCell ref="ER201:EU201"/>
    <mergeCell ref="DV203:DW203"/>
    <mergeCell ref="EN203:EQ203"/>
    <mergeCell ref="DV204:DW204"/>
    <mergeCell ref="DX201:EA201"/>
    <mergeCell ref="EB201:EE201"/>
    <mergeCell ref="EF201:EI201"/>
    <mergeCell ref="EJ201:EM201"/>
    <mergeCell ref="DX202:EA202"/>
    <mergeCell ref="EB202:EE202"/>
    <mergeCell ref="EF202:EI202"/>
    <mergeCell ref="EJ202:EM202"/>
    <mergeCell ref="DX203:EA203"/>
    <mergeCell ref="EB203:EE203"/>
    <mergeCell ref="EF203:EI203"/>
    <mergeCell ref="EY19:FB19"/>
    <mergeCell ref="FC19:FF19"/>
    <mergeCell ref="FG19:FJ19"/>
    <mergeCell ref="FK19:FN19"/>
    <mergeCell ref="EY20:FB20"/>
    <mergeCell ref="FC20:FF20"/>
    <mergeCell ref="FG20:FJ20"/>
    <mergeCell ref="FK20:FN20"/>
    <mergeCell ref="EY21:FB21"/>
    <mergeCell ref="FC21:FF21"/>
    <mergeCell ref="FG21:FJ21"/>
    <mergeCell ref="FK21:FN21"/>
    <mergeCell ref="EY22:FB22"/>
    <mergeCell ref="FC22:FF22"/>
    <mergeCell ref="FG22:FJ22"/>
    <mergeCell ref="FK22:FN22"/>
    <mergeCell ref="EY23:FB23"/>
    <mergeCell ref="FC23:FF23"/>
    <mergeCell ref="FG23:FJ23"/>
    <mergeCell ref="FK23:FN23"/>
    <mergeCell ref="EY24:FB24"/>
    <mergeCell ref="FC24:FF24"/>
    <mergeCell ref="FG24:FJ24"/>
    <mergeCell ref="FK24:FN24"/>
    <mergeCell ref="FO15:FR15"/>
    <mergeCell ref="FS13:FV13"/>
    <mergeCell ref="FO14:FR14"/>
    <mergeCell ref="EY16:FB16"/>
    <mergeCell ref="FC16:FF16"/>
    <mergeCell ref="FG16:FJ16"/>
    <mergeCell ref="FK16:FN16"/>
    <mergeCell ref="EY17:FB17"/>
    <mergeCell ref="FC17:FF17"/>
    <mergeCell ref="FO26:FR26"/>
    <mergeCell ref="FS26:FV26"/>
    <mergeCell ref="FO25:FR25"/>
    <mergeCell ref="FO27:FR27"/>
    <mergeCell ref="FS25:FV25"/>
    <mergeCell ref="FS27:FV27"/>
    <mergeCell ref="FO28:FR28"/>
    <mergeCell ref="FS28:FV28"/>
    <mergeCell ref="FS30:FV30"/>
    <mergeCell ref="FO29:FR29"/>
    <mergeCell ref="EY25:FB25"/>
    <mergeCell ref="FC25:FF25"/>
    <mergeCell ref="FG25:FJ25"/>
    <mergeCell ref="FK25:FN25"/>
    <mergeCell ref="EY26:FB26"/>
    <mergeCell ref="FC26:FF26"/>
    <mergeCell ref="FG26:FJ26"/>
    <mergeCell ref="FK26:FN26"/>
    <mergeCell ref="EY27:FB27"/>
    <mergeCell ref="FC27:FF27"/>
    <mergeCell ref="FG27:FJ27"/>
    <mergeCell ref="FK27:FN27"/>
    <mergeCell ref="EY28:FB28"/>
    <mergeCell ref="FC28:FF28"/>
    <mergeCell ref="FG28:FJ28"/>
    <mergeCell ref="FK28:FN28"/>
    <mergeCell ref="FO20:FR20"/>
    <mergeCell ref="FS20:FV20"/>
    <mergeCell ref="FO22:FR22"/>
    <mergeCell ref="FS22:FV22"/>
    <mergeCell ref="FO21:FR21"/>
    <mergeCell ref="FO23:FR23"/>
    <mergeCell ref="FS21:FV21"/>
    <mergeCell ref="FS23:FV23"/>
    <mergeCell ref="FO24:FR24"/>
    <mergeCell ref="FS24:FV24"/>
    <mergeCell ref="EY35:FB35"/>
    <mergeCell ref="FC35:FF35"/>
    <mergeCell ref="FG35:FJ35"/>
    <mergeCell ref="FK35:FN35"/>
    <mergeCell ref="EY36:FB36"/>
    <mergeCell ref="FC36:FF36"/>
    <mergeCell ref="FG36:FJ36"/>
    <mergeCell ref="FK36:FN36"/>
    <mergeCell ref="EY37:FB37"/>
    <mergeCell ref="FC37:FF37"/>
    <mergeCell ref="FG37:FJ37"/>
    <mergeCell ref="FK37:FN37"/>
    <mergeCell ref="EY38:FB38"/>
    <mergeCell ref="FC38:FF38"/>
    <mergeCell ref="FG38:FJ38"/>
    <mergeCell ref="FK38:FN38"/>
    <mergeCell ref="EY39:FB39"/>
    <mergeCell ref="FC39:FF39"/>
    <mergeCell ref="FG39:FJ39"/>
    <mergeCell ref="FK39:FN39"/>
    <mergeCell ref="EY40:FB40"/>
    <mergeCell ref="FC40:FF40"/>
    <mergeCell ref="FG40:FJ40"/>
    <mergeCell ref="FK40:FN40"/>
    <mergeCell ref="FO31:FR31"/>
    <mergeCell ref="FS29:FV29"/>
    <mergeCell ref="FO30:FR30"/>
    <mergeCell ref="FS31:FV31"/>
    <mergeCell ref="FO32:FR32"/>
    <mergeCell ref="FS32:FV32"/>
    <mergeCell ref="FO34:FR34"/>
    <mergeCell ref="FS34:FV34"/>
    <mergeCell ref="FO33:FR33"/>
    <mergeCell ref="FO35:FR35"/>
    <mergeCell ref="FS33:FV33"/>
    <mergeCell ref="FS35:FV35"/>
    <mergeCell ref="EY29:FB29"/>
    <mergeCell ref="FC29:FF29"/>
    <mergeCell ref="FG29:FJ29"/>
    <mergeCell ref="FK29:FN29"/>
    <mergeCell ref="EY30:FB30"/>
    <mergeCell ref="FC30:FF30"/>
    <mergeCell ref="FG30:FJ30"/>
    <mergeCell ref="FK30:FN30"/>
    <mergeCell ref="EY31:FB31"/>
    <mergeCell ref="FC31:FF31"/>
    <mergeCell ref="FG31:FJ31"/>
    <mergeCell ref="FK31:FN31"/>
    <mergeCell ref="EY32:FB32"/>
    <mergeCell ref="FC32:FF32"/>
    <mergeCell ref="FG32:FJ32"/>
    <mergeCell ref="FK32:FN32"/>
    <mergeCell ref="EY33:FB33"/>
    <mergeCell ref="FC33:FF33"/>
    <mergeCell ref="FG33:FJ33"/>
    <mergeCell ref="FK33:FN33"/>
    <mergeCell ref="EY34:FB34"/>
    <mergeCell ref="FC34:FF34"/>
    <mergeCell ref="FG34:FJ34"/>
    <mergeCell ref="FK34:FN34"/>
    <mergeCell ref="FO42:FR42"/>
    <mergeCell ref="FS42:FV42"/>
    <mergeCell ref="FO41:FR41"/>
    <mergeCell ref="FS43:FV43"/>
    <mergeCell ref="FO43:FR43"/>
    <mergeCell ref="FS41:FV41"/>
    <mergeCell ref="FO44:FR44"/>
    <mergeCell ref="FS44:FV44"/>
    <mergeCell ref="FO45:FR45"/>
    <mergeCell ref="EY41:FB41"/>
    <mergeCell ref="FC41:FF41"/>
    <mergeCell ref="FG41:FJ41"/>
    <mergeCell ref="FK41:FN41"/>
    <mergeCell ref="EY42:FB42"/>
    <mergeCell ref="FC42:FF42"/>
    <mergeCell ref="FG42:FJ42"/>
    <mergeCell ref="FK42:FN42"/>
    <mergeCell ref="EY43:FB43"/>
    <mergeCell ref="FC43:FF43"/>
    <mergeCell ref="FG43:FJ43"/>
    <mergeCell ref="FK43:FN43"/>
    <mergeCell ref="EY44:FB44"/>
    <mergeCell ref="FC44:FF44"/>
    <mergeCell ref="FG44:FJ44"/>
    <mergeCell ref="FK44:FN44"/>
    <mergeCell ref="EY45:FB45"/>
    <mergeCell ref="FC45:FF45"/>
    <mergeCell ref="FG45:FJ45"/>
    <mergeCell ref="FK45:FN45"/>
    <mergeCell ref="FS45:FV45"/>
    <mergeCell ref="FO36:FR36"/>
    <mergeCell ref="FS36:FV36"/>
    <mergeCell ref="FO38:FR38"/>
    <mergeCell ref="FS38:FV38"/>
    <mergeCell ref="FO37:FR37"/>
    <mergeCell ref="FO39:FR39"/>
    <mergeCell ref="FS37:FV37"/>
    <mergeCell ref="FS39:FV39"/>
    <mergeCell ref="FO40:FR40"/>
    <mergeCell ref="FS40:FV40"/>
    <mergeCell ref="FO53:FR53"/>
    <mergeCell ref="FS53:FV53"/>
    <mergeCell ref="FO52:FR52"/>
    <mergeCell ref="FO54:FR54"/>
    <mergeCell ref="FS52:FV52"/>
    <mergeCell ref="FS54:FV54"/>
    <mergeCell ref="FO55:FR55"/>
    <mergeCell ref="FS55:FV55"/>
    <mergeCell ref="FS57:FV57"/>
    <mergeCell ref="FO56:FR56"/>
    <mergeCell ref="EY52:FB52"/>
    <mergeCell ref="FC52:FF52"/>
    <mergeCell ref="FG52:FJ52"/>
    <mergeCell ref="FK52:FN52"/>
    <mergeCell ref="EY53:FB53"/>
    <mergeCell ref="FC53:FF53"/>
    <mergeCell ref="FG53:FJ53"/>
    <mergeCell ref="FK53:FN53"/>
    <mergeCell ref="EY54:FB54"/>
    <mergeCell ref="FC54:FF54"/>
    <mergeCell ref="FG54:FJ54"/>
    <mergeCell ref="FK54:FN54"/>
    <mergeCell ref="EY55:FB55"/>
    <mergeCell ref="FC55:FF55"/>
    <mergeCell ref="FG55:FJ55"/>
    <mergeCell ref="FK55:FN55"/>
    <mergeCell ref="FO46:FR46"/>
    <mergeCell ref="FO47:FR47"/>
    <mergeCell ref="FO48:FR48"/>
    <mergeCell ref="FO49:FR49"/>
    <mergeCell ref="FO50:FR50"/>
    <mergeCell ref="FS48:FV48"/>
    <mergeCell ref="FS49:FV49"/>
    <mergeCell ref="FS50:FV50"/>
    <mergeCell ref="FO51:FR51"/>
    <mergeCell ref="FS51:FV51"/>
    <mergeCell ref="EY46:FB46"/>
    <mergeCell ref="FC46:FF46"/>
    <mergeCell ref="FG46:FJ46"/>
    <mergeCell ref="FK46:FN46"/>
    <mergeCell ref="EY47:FB47"/>
    <mergeCell ref="FC47:FF47"/>
    <mergeCell ref="FG47:FJ47"/>
    <mergeCell ref="FK47:FN47"/>
    <mergeCell ref="EY48:FB48"/>
    <mergeCell ref="FC48:FF48"/>
    <mergeCell ref="FG48:FJ48"/>
    <mergeCell ref="FK48:FN48"/>
    <mergeCell ref="EY49:FB49"/>
    <mergeCell ref="FC49:FF49"/>
    <mergeCell ref="FG49:FJ49"/>
    <mergeCell ref="FK49:FN49"/>
    <mergeCell ref="EY50:FB50"/>
    <mergeCell ref="FC50:FF50"/>
    <mergeCell ref="FG50:FJ50"/>
    <mergeCell ref="FK50:FN50"/>
    <mergeCell ref="EY51:FB51"/>
    <mergeCell ref="FC51:FF51"/>
    <mergeCell ref="FG51:FJ51"/>
    <mergeCell ref="FK51:FN51"/>
    <mergeCell ref="FS47:FV47"/>
    <mergeCell ref="FS46:FV46"/>
    <mergeCell ref="FO76:FR76"/>
    <mergeCell ref="FS76:FV76"/>
    <mergeCell ref="FO78:FR78"/>
    <mergeCell ref="FS78:FV78"/>
    <mergeCell ref="FO77:FR77"/>
    <mergeCell ref="FO79:FR79"/>
    <mergeCell ref="FS77:FV77"/>
    <mergeCell ref="FS79:FV79"/>
    <mergeCell ref="FC85:FF85"/>
    <mergeCell ref="FG85:FJ85"/>
    <mergeCell ref="FK85:FN85"/>
    <mergeCell ref="EY86:FB86"/>
    <mergeCell ref="FO58:FR58"/>
    <mergeCell ref="FS56:FV56"/>
    <mergeCell ref="FO57:FR57"/>
    <mergeCell ref="FS58:FV58"/>
    <mergeCell ref="FO59:FR59"/>
    <mergeCell ref="FS59:FV59"/>
    <mergeCell ref="FO61:FR61"/>
    <mergeCell ref="FS61:FV61"/>
    <mergeCell ref="FO60:FR60"/>
    <mergeCell ref="FO62:FR62"/>
    <mergeCell ref="FS60:FV60"/>
    <mergeCell ref="FS62:FV62"/>
    <mergeCell ref="EY56:FB56"/>
    <mergeCell ref="FC56:FF56"/>
    <mergeCell ref="FG56:FJ56"/>
    <mergeCell ref="FK56:FN56"/>
    <mergeCell ref="EY57:FB57"/>
    <mergeCell ref="FC57:FF57"/>
    <mergeCell ref="FG57:FJ57"/>
    <mergeCell ref="FK57:FN57"/>
    <mergeCell ref="EY58:FB58"/>
    <mergeCell ref="FC58:FF58"/>
    <mergeCell ref="FG58:FJ58"/>
    <mergeCell ref="FK58:FN58"/>
    <mergeCell ref="EY59:FB59"/>
    <mergeCell ref="FC59:FF59"/>
    <mergeCell ref="FG59:FJ59"/>
    <mergeCell ref="FK59:FN59"/>
    <mergeCell ref="EY60:FB60"/>
    <mergeCell ref="FC60:FF60"/>
    <mergeCell ref="FG60:FJ60"/>
    <mergeCell ref="FK60:FN60"/>
    <mergeCell ref="EY61:FB61"/>
    <mergeCell ref="FC61:FF61"/>
    <mergeCell ref="FG61:FJ61"/>
    <mergeCell ref="FK61:FN61"/>
    <mergeCell ref="EY62:FB62"/>
    <mergeCell ref="FC62:FF62"/>
    <mergeCell ref="FG62:FJ62"/>
    <mergeCell ref="FK62:FN62"/>
    <mergeCell ref="EY63:FB63"/>
    <mergeCell ref="FC63:FF63"/>
    <mergeCell ref="FG63:FJ63"/>
    <mergeCell ref="FK63:FN63"/>
    <mergeCell ref="EY64:FB64"/>
    <mergeCell ref="FC64:FF64"/>
    <mergeCell ref="FG64:FJ64"/>
    <mergeCell ref="FK64:FN64"/>
    <mergeCell ref="EY65:FB65"/>
    <mergeCell ref="FC65:FF65"/>
    <mergeCell ref="FG65:FJ65"/>
    <mergeCell ref="FK65:FN65"/>
    <mergeCell ref="FC207:FF207"/>
    <mergeCell ref="FG207:FJ207"/>
    <mergeCell ref="FK207:FN207"/>
    <mergeCell ref="EY208:FB208"/>
    <mergeCell ref="FC208:FF208"/>
    <mergeCell ref="FG208:FJ208"/>
    <mergeCell ref="FK208:FN208"/>
    <mergeCell ref="EY209:FB209"/>
    <mergeCell ref="FC209:FF209"/>
    <mergeCell ref="FG209:FJ209"/>
    <mergeCell ref="FK209:FN209"/>
    <mergeCell ref="EY210:FB210"/>
    <mergeCell ref="EY213:FB213"/>
    <mergeCell ref="FC213:FF213"/>
    <mergeCell ref="FG213:FJ213"/>
    <mergeCell ref="FK213:FN213"/>
    <mergeCell ref="EW216:EX216"/>
    <mergeCell ref="FO63:FR63"/>
    <mergeCell ref="FS63:FV63"/>
    <mergeCell ref="FO64:FR64"/>
    <mergeCell ref="FS64:FV64"/>
    <mergeCell ref="EW195:EX195"/>
    <mergeCell ref="FO195:FR195"/>
    <mergeCell ref="FS195:FV195"/>
    <mergeCell ref="FO196:FR196"/>
    <mergeCell ref="FS196:FV196"/>
    <mergeCell ref="EW197:EX197"/>
    <mergeCell ref="FO197:FR197"/>
    <mergeCell ref="FS197:FV197"/>
    <mergeCell ref="FO65:FR65"/>
    <mergeCell ref="FS65:FV65"/>
    <mergeCell ref="FO66:FR66"/>
    <mergeCell ref="FS66:FV66"/>
    <mergeCell ref="FO67:FR67"/>
    <mergeCell ref="FS67:FV67"/>
    <mergeCell ref="FO68:FR68"/>
    <mergeCell ref="FS68:FV68"/>
    <mergeCell ref="FO70:FR70"/>
    <mergeCell ref="FS70:FV70"/>
    <mergeCell ref="FO69:FR69"/>
    <mergeCell ref="FO71:FR71"/>
    <mergeCell ref="FS69:FV69"/>
    <mergeCell ref="FS71:FV71"/>
    <mergeCell ref="FO72:FR72"/>
    <mergeCell ref="FS72:FV72"/>
    <mergeCell ref="FS74:FV74"/>
    <mergeCell ref="FO73:FR73"/>
    <mergeCell ref="EY81:FB81"/>
    <mergeCell ref="FC81:FF81"/>
    <mergeCell ref="FG81:FJ81"/>
    <mergeCell ref="FK81:FN81"/>
    <mergeCell ref="EY82:FB82"/>
    <mergeCell ref="EW207:EX207"/>
    <mergeCell ref="EW209:EX209"/>
    <mergeCell ref="FO206:FR206"/>
    <mergeCell ref="FS207:FV207"/>
    <mergeCell ref="EW208:EX208"/>
    <mergeCell ref="FO208:FR208"/>
    <mergeCell ref="FS208:FV208"/>
    <mergeCell ref="EW196:EX196"/>
    <mergeCell ref="FO75:FR75"/>
    <mergeCell ref="FS73:FV73"/>
    <mergeCell ref="FO74:FR74"/>
    <mergeCell ref="FS75:FV75"/>
    <mergeCell ref="EW267:FR267"/>
    <mergeCell ref="FS267:FV267"/>
    <mergeCell ref="FS206:FV206"/>
    <mergeCell ref="FO207:FR207"/>
    <mergeCell ref="EW261:FR261"/>
    <mergeCell ref="FS261:FV261"/>
    <mergeCell ref="EW262:FR262"/>
    <mergeCell ref="FS262:FV262"/>
    <mergeCell ref="EW206:EX206"/>
    <mergeCell ref="EW268:FR268"/>
    <mergeCell ref="FS268:FV268"/>
    <mergeCell ref="EW213:EX213"/>
    <mergeCell ref="EW263:FR263"/>
    <mergeCell ref="FS263:FV263"/>
    <mergeCell ref="EW266:FR266"/>
    <mergeCell ref="FS266:FV266"/>
    <mergeCell ref="DV202:DW202"/>
    <mergeCell ref="A119:B119"/>
    <mergeCell ref="C119:G119"/>
    <mergeCell ref="H119:K119"/>
    <mergeCell ref="P119:T119"/>
    <mergeCell ref="AM119:AS119"/>
    <mergeCell ref="AT119:AW119"/>
    <mergeCell ref="DV201:DW201"/>
    <mergeCell ref="L119:O119"/>
    <mergeCell ref="AX119:BC119"/>
    <mergeCell ref="BD119:BG119"/>
    <mergeCell ref="BH119:BL119"/>
    <mergeCell ref="A120:B120"/>
    <mergeCell ref="C120:G120"/>
    <mergeCell ref="H120:K120"/>
    <mergeCell ref="P120:T120"/>
    <mergeCell ref="AM120:AS120"/>
    <mergeCell ref="AT120:AW120"/>
    <mergeCell ref="L120:O120"/>
    <mergeCell ref="AX120:BC120"/>
    <mergeCell ref="BD120:BG120"/>
    <mergeCell ref="BH120:BL120"/>
    <mergeCell ref="A121:B121"/>
    <mergeCell ref="C121:G121"/>
    <mergeCell ref="H121:K121"/>
    <mergeCell ref="P121:T121"/>
    <mergeCell ref="AM121:AS121"/>
    <mergeCell ref="AT121:AW121"/>
    <mergeCell ref="L121:O121"/>
    <mergeCell ref="AX121:BC121"/>
    <mergeCell ref="BD121:BG121"/>
    <mergeCell ref="BH121:BL121"/>
    <mergeCell ref="A122:B122"/>
    <mergeCell ref="C122:G122"/>
    <mergeCell ref="FK206:FN206"/>
    <mergeCell ref="EY207:FB207"/>
    <mergeCell ref="A127:B127"/>
    <mergeCell ref="C127:G127"/>
    <mergeCell ref="H127:K127"/>
    <mergeCell ref="P127:T127"/>
    <mergeCell ref="AM127:AS127"/>
    <mergeCell ref="AT127:AW127"/>
    <mergeCell ref="L127:O127"/>
    <mergeCell ref="AX127:BC127"/>
    <mergeCell ref="BD127:BG127"/>
    <mergeCell ref="BH127:BL127"/>
    <mergeCell ref="A128:B128"/>
    <mergeCell ref="C128:G128"/>
    <mergeCell ref="AX131:BC131"/>
    <mergeCell ref="BD131:BG131"/>
    <mergeCell ref="BH131:BL131"/>
    <mergeCell ref="A132:B132"/>
    <mergeCell ref="C132:G132"/>
    <mergeCell ref="H132:K132"/>
    <mergeCell ref="P132:T132"/>
    <mergeCell ref="AM132:AS132"/>
    <mergeCell ref="AT132:AW132"/>
    <mergeCell ref="L132:O132"/>
    <mergeCell ref="AX132:BC132"/>
    <mergeCell ref="BD132:BG132"/>
    <mergeCell ref="BH132:BL132"/>
    <mergeCell ref="AX138:BC138"/>
    <mergeCell ref="BD138:BG138"/>
    <mergeCell ref="BH138:BL138"/>
    <mergeCell ref="A139:B139"/>
    <mergeCell ref="C139:G139"/>
    <mergeCell ref="H139:K139"/>
    <mergeCell ref="P139:T139"/>
    <mergeCell ref="AM139:AS139"/>
    <mergeCell ref="AT139:AW139"/>
    <mergeCell ref="L139:O139"/>
    <mergeCell ref="AX139:BC139"/>
    <mergeCell ref="BD139:BG139"/>
    <mergeCell ref="BH139:BL139"/>
    <mergeCell ref="A140:B140"/>
    <mergeCell ref="C140:G140"/>
    <mergeCell ref="H140:K140"/>
    <mergeCell ref="P140:T140"/>
    <mergeCell ref="AM140:AS140"/>
    <mergeCell ref="AT140:AW140"/>
    <mergeCell ref="L140:O140"/>
    <mergeCell ref="AX140:BC140"/>
    <mergeCell ref="BD140:BG140"/>
    <mergeCell ref="BH140:BL140"/>
    <mergeCell ref="U131:AA131"/>
    <mergeCell ref="U132:AA132"/>
    <mergeCell ref="U133:AA133"/>
    <mergeCell ref="U134:AA134"/>
    <mergeCell ref="U135:AA135"/>
    <mergeCell ref="U136:AA136"/>
    <mergeCell ref="U137:AA137"/>
    <mergeCell ref="U138:AA138"/>
    <mergeCell ref="U139:AA139"/>
    <mergeCell ref="U140:AA140"/>
    <mergeCell ref="A133:B133"/>
    <mergeCell ref="A131:B131"/>
    <mergeCell ref="C137:G137"/>
    <mergeCell ref="H137:K137"/>
    <mergeCell ref="P137:T137"/>
    <mergeCell ref="AM137:AS137"/>
    <mergeCell ref="AT137:AW137"/>
    <mergeCell ref="L137:O137"/>
    <mergeCell ref="AX137:BC137"/>
    <mergeCell ref="BD137:BG137"/>
    <mergeCell ref="BH137:BL137"/>
    <mergeCell ref="A138:B138"/>
    <mergeCell ref="C138:G138"/>
    <mergeCell ref="H138:K138"/>
    <mergeCell ref="P138:T138"/>
    <mergeCell ref="AM138:AS138"/>
    <mergeCell ref="AT138:AW138"/>
    <mergeCell ref="L138:O138"/>
    <mergeCell ref="A141:B141"/>
    <mergeCell ref="C141:G141"/>
    <mergeCell ref="H141:K141"/>
    <mergeCell ref="P141:T141"/>
    <mergeCell ref="AM141:AS141"/>
    <mergeCell ref="AT141:AW141"/>
    <mergeCell ref="L141:O141"/>
    <mergeCell ref="AX141:BC141"/>
    <mergeCell ref="BD141:BG141"/>
    <mergeCell ref="BH141:BL141"/>
    <mergeCell ref="A142:B142"/>
    <mergeCell ref="C142:G142"/>
    <mergeCell ref="H142:K142"/>
    <mergeCell ref="P142:T142"/>
    <mergeCell ref="AM142:AS142"/>
    <mergeCell ref="AT142:AW142"/>
    <mergeCell ref="L142:O142"/>
    <mergeCell ref="AX142:BC142"/>
    <mergeCell ref="BD142:BG142"/>
    <mergeCell ref="BH142:BL142"/>
    <mergeCell ref="H148:K148"/>
    <mergeCell ref="P148:T148"/>
    <mergeCell ref="AM148:AS148"/>
    <mergeCell ref="AT148:AW148"/>
    <mergeCell ref="L148:O148"/>
    <mergeCell ref="AX148:BC148"/>
    <mergeCell ref="BD148:BG148"/>
    <mergeCell ref="BH148:BL148"/>
    <mergeCell ref="U149:AA149"/>
    <mergeCell ref="U150:AA150"/>
    <mergeCell ref="U151:AA151"/>
    <mergeCell ref="A143:B143"/>
    <mergeCell ref="C143:G143"/>
    <mergeCell ref="H143:K143"/>
    <mergeCell ref="P143:T143"/>
    <mergeCell ref="AM143:AS143"/>
    <mergeCell ref="AT143:AW143"/>
    <mergeCell ref="L143:O143"/>
    <mergeCell ref="AX143:BC143"/>
    <mergeCell ref="BD143:BG143"/>
    <mergeCell ref="BH143:BL143"/>
    <mergeCell ref="A144:B144"/>
    <mergeCell ref="C144:G144"/>
    <mergeCell ref="H144:K144"/>
    <mergeCell ref="P144:T144"/>
    <mergeCell ref="AM144:AS144"/>
    <mergeCell ref="AT144:AW144"/>
    <mergeCell ref="L144:O144"/>
    <mergeCell ref="AX144:BC144"/>
    <mergeCell ref="BD144:BG144"/>
    <mergeCell ref="BH144:BL144"/>
    <mergeCell ref="A145:B145"/>
    <mergeCell ref="C145:G145"/>
    <mergeCell ref="H145:K145"/>
    <mergeCell ref="P145:T145"/>
    <mergeCell ref="AM145:AS145"/>
    <mergeCell ref="AT145:AW145"/>
    <mergeCell ref="L145:O145"/>
    <mergeCell ref="AX145:BC145"/>
    <mergeCell ref="BD145:BG145"/>
    <mergeCell ref="BH145:BL145"/>
    <mergeCell ref="A149:B149"/>
    <mergeCell ref="C149:G149"/>
    <mergeCell ref="H149:K149"/>
    <mergeCell ref="P149:T149"/>
    <mergeCell ref="AM149:AS149"/>
    <mergeCell ref="AT149:AW149"/>
    <mergeCell ref="L149:O149"/>
    <mergeCell ref="AX149:BC149"/>
    <mergeCell ref="BD149:BG149"/>
    <mergeCell ref="BH149:BL149"/>
    <mergeCell ref="A150:B150"/>
    <mergeCell ref="C150:G150"/>
    <mergeCell ref="H150:K150"/>
    <mergeCell ref="P150:T150"/>
    <mergeCell ref="AM150:AS150"/>
    <mergeCell ref="AT150:AW150"/>
    <mergeCell ref="L150:O150"/>
    <mergeCell ref="AX150:BC150"/>
    <mergeCell ref="BD150:BG150"/>
    <mergeCell ref="BH150:BL150"/>
    <mergeCell ref="U152:AA152"/>
    <mergeCell ref="U153:AA153"/>
    <mergeCell ref="U154:AA154"/>
    <mergeCell ref="U146:AA146"/>
    <mergeCell ref="U147:AA147"/>
    <mergeCell ref="U148:AA148"/>
    <mergeCell ref="A151:B151"/>
    <mergeCell ref="C151:G151"/>
    <mergeCell ref="H151:K151"/>
    <mergeCell ref="P151:T151"/>
    <mergeCell ref="AM151:AS151"/>
    <mergeCell ref="AT151:AW151"/>
    <mergeCell ref="L151:O151"/>
    <mergeCell ref="AX151:BC151"/>
    <mergeCell ref="BD151:BG151"/>
    <mergeCell ref="BH151:BL151"/>
    <mergeCell ref="A146:B146"/>
    <mergeCell ref="C146:G146"/>
    <mergeCell ref="H146:K146"/>
    <mergeCell ref="P146:T146"/>
    <mergeCell ref="AM146:AS146"/>
    <mergeCell ref="AT146:AW146"/>
    <mergeCell ref="L146:O146"/>
    <mergeCell ref="AX146:BC146"/>
    <mergeCell ref="BD146:BG146"/>
    <mergeCell ref="BH146:BL146"/>
    <mergeCell ref="A147:B147"/>
    <mergeCell ref="C147:G147"/>
    <mergeCell ref="H147:K147"/>
    <mergeCell ref="P147:T147"/>
    <mergeCell ref="AM147:AS147"/>
    <mergeCell ref="AT147:AW147"/>
    <mergeCell ref="L147:O147"/>
    <mergeCell ref="AX147:BC147"/>
    <mergeCell ref="BD147:BG147"/>
    <mergeCell ref="BH147:BL147"/>
    <mergeCell ref="A148:B148"/>
    <mergeCell ref="C148:G148"/>
    <mergeCell ref="A152:B152"/>
    <mergeCell ref="C152:G152"/>
    <mergeCell ref="H152:K152"/>
    <mergeCell ref="P152:T152"/>
    <mergeCell ref="AM152:AS152"/>
    <mergeCell ref="AT152:AW152"/>
    <mergeCell ref="L152:O152"/>
    <mergeCell ref="AX152:BC152"/>
    <mergeCell ref="BD152:BG152"/>
    <mergeCell ref="BH152:BL152"/>
    <mergeCell ref="A153:B153"/>
    <mergeCell ref="C153:G153"/>
    <mergeCell ref="H153:K153"/>
    <mergeCell ref="P153:T153"/>
    <mergeCell ref="AM153:AS153"/>
    <mergeCell ref="AT153:AW153"/>
    <mergeCell ref="L153:O153"/>
    <mergeCell ref="AX153:BC153"/>
    <mergeCell ref="BD153:BG153"/>
    <mergeCell ref="BH153:BL153"/>
    <mergeCell ref="U155:AA155"/>
    <mergeCell ref="U156:AA156"/>
    <mergeCell ref="U157:AA157"/>
    <mergeCell ref="A154:B154"/>
    <mergeCell ref="C154:G154"/>
    <mergeCell ref="H154:K154"/>
    <mergeCell ref="P154:T154"/>
    <mergeCell ref="AM154:AS154"/>
    <mergeCell ref="AT154:AW154"/>
    <mergeCell ref="L154:O154"/>
    <mergeCell ref="AX154:BC154"/>
    <mergeCell ref="BD154:BG154"/>
    <mergeCell ref="BH154:BL154"/>
    <mergeCell ref="A155:B155"/>
    <mergeCell ref="C155:G155"/>
    <mergeCell ref="H155:K155"/>
    <mergeCell ref="P155:T155"/>
    <mergeCell ref="AM155:AS155"/>
    <mergeCell ref="AT155:AW155"/>
    <mergeCell ref="L155:O155"/>
    <mergeCell ref="AX155:BC155"/>
    <mergeCell ref="BD155:BG155"/>
    <mergeCell ref="BH155:BL155"/>
    <mergeCell ref="A156:B156"/>
    <mergeCell ref="C156:G156"/>
    <mergeCell ref="H156:K156"/>
    <mergeCell ref="P156:T156"/>
    <mergeCell ref="AM156:AS156"/>
    <mergeCell ref="AT156:AW156"/>
    <mergeCell ref="L156:O156"/>
    <mergeCell ref="AX156:BC156"/>
    <mergeCell ref="BD156:BG156"/>
    <mergeCell ref="BH156:BL156"/>
    <mergeCell ref="A157:B157"/>
    <mergeCell ref="C157:G157"/>
    <mergeCell ref="H157:K157"/>
    <mergeCell ref="P157:T157"/>
    <mergeCell ref="AM157:AS157"/>
    <mergeCell ref="AT157:AW157"/>
    <mergeCell ref="L157:O157"/>
    <mergeCell ref="AX157:BC157"/>
    <mergeCell ref="BD157:BG157"/>
    <mergeCell ref="BH157:BL157"/>
    <mergeCell ref="U158:AA158"/>
    <mergeCell ref="U159:AA159"/>
    <mergeCell ref="U160:AA160"/>
    <mergeCell ref="A163:B163"/>
    <mergeCell ref="C163:G163"/>
    <mergeCell ref="H163:K163"/>
    <mergeCell ref="P163:T163"/>
    <mergeCell ref="AM163:AS163"/>
    <mergeCell ref="AT163:AW163"/>
    <mergeCell ref="L163:O163"/>
    <mergeCell ref="AX163:BC163"/>
    <mergeCell ref="BD163:BG163"/>
    <mergeCell ref="BH163:BL163"/>
    <mergeCell ref="A164:B164"/>
    <mergeCell ref="C164:G164"/>
    <mergeCell ref="H164:K164"/>
    <mergeCell ref="P164:T164"/>
    <mergeCell ref="AM164:AS164"/>
    <mergeCell ref="AT164:AW164"/>
    <mergeCell ref="L164:O164"/>
    <mergeCell ref="AX164:BC164"/>
    <mergeCell ref="BD164:BG164"/>
    <mergeCell ref="BH164:BL164"/>
    <mergeCell ref="A158:B158"/>
    <mergeCell ref="C158:G158"/>
    <mergeCell ref="H158:K158"/>
    <mergeCell ref="P158:T158"/>
    <mergeCell ref="AM158:AS158"/>
    <mergeCell ref="AT158:AW158"/>
    <mergeCell ref="L158:O158"/>
    <mergeCell ref="AX158:BC158"/>
    <mergeCell ref="BD158:BG158"/>
    <mergeCell ref="BH158:BL158"/>
    <mergeCell ref="A159:B159"/>
    <mergeCell ref="C159:G159"/>
    <mergeCell ref="H159:K159"/>
    <mergeCell ref="P159:T159"/>
    <mergeCell ref="AM159:AS159"/>
    <mergeCell ref="AT159:AW159"/>
    <mergeCell ref="L159:O159"/>
    <mergeCell ref="AX159:BC159"/>
    <mergeCell ref="BD159:BG159"/>
    <mergeCell ref="BH159:BL159"/>
    <mergeCell ref="A160:B160"/>
    <mergeCell ref="C160:G160"/>
    <mergeCell ref="H160:K160"/>
    <mergeCell ref="P160:T160"/>
    <mergeCell ref="AM160:AS160"/>
    <mergeCell ref="AT160:AW160"/>
    <mergeCell ref="L160:O160"/>
    <mergeCell ref="AX160:BC160"/>
    <mergeCell ref="BD160:BG160"/>
    <mergeCell ref="BH160:BL160"/>
    <mergeCell ref="A161:B161"/>
    <mergeCell ref="C161:G161"/>
    <mergeCell ref="H161:K161"/>
    <mergeCell ref="P161:T161"/>
    <mergeCell ref="AM161:AS161"/>
    <mergeCell ref="AT161:AW161"/>
    <mergeCell ref="L161:O161"/>
    <mergeCell ref="AX161:BC161"/>
    <mergeCell ref="BD161:BG161"/>
    <mergeCell ref="BH161:BL161"/>
    <mergeCell ref="U161:AA161"/>
    <mergeCell ref="A165:B165"/>
    <mergeCell ref="C165:G165"/>
    <mergeCell ref="H165:K165"/>
    <mergeCell ref="P165:T165"/>
    <mergeCell ref="AM165:AS165"/>
    <mergeCell ref="AT165:AW165"/>
    <mergeCell ref="L165:O165"/>
    <mergeCell ref="AX165:BC165"/>
    <mergeCell ref="BD165:BG165"/>
    <mergeCell ref="BH165:BL165"/>
    <mergeCell ref="U167:AA167"/>
    <mergeCell ref="U168:AA168"/>
    <mergeCell ref="U169:AA169"/>
    <mergeCell ref="U162:AA162"/>
    <mergeCell ref="U163:AA163"/>
    <mergeCell ref="A166:B166"/>
    <mergeCell ref="C166:G166"/>
    <mergeCell ref="H166:K166"/>
    <mergeCell ref="P166:T166"/>
    <mergeCell ref="AM166:AS166"/>
    <mergeCell ref="AT166:AW166"/>
    <mergeCell ref="L166:O166"/>
    <mergeCell ref="AX166:BC166"/>
    <mergeCell ref="BD166:BG166"/>
    <mergeCell ref="BH166:BL166"/>
    <mergeCell ref="A167:B167"/>
    <mergeCell ref="C167:G167"/>
    <mergeCell ref="H167:K167"/>
    <mergeCell ref="P167:T167"/>
    <mergeCell ref="AM167:AS167"/>
    <mergeCell ref="AT167:AW167"/>
    <mergeCell ref="L167:O167"/>
    <mergeCell ref="AX167:BC167"/>
    <mergeCell ref="BD167:BG167"/>
    <mergeCell ref="BH167:BL167"/>
    <mergeCell ref="A162:B162"/>
    <mergeCell ref="C162:G162"/>
    <mergeCell ref="H162:K162"/>
    <mergeCell ref="P162:T162"/>
    <mergeCell ref="AM162:AS162"/>
    <mergeCell ref="AT162:AW162"/>
    <mergeCell ref="L162:O162"/>
    <mergeCell ref="AX162:BC162"/>
    <mergeCell ref="BD162:BG162"/>
    <mergeCell ref="BH162:BL162"/>
    <mergeCell ref="U164:AA164"/>
    <mergeCell ref="U165:AA165"/>
    <mergeCell ref="U166:AA166"/>
    <mergeCell ref="A168:B168"/>
    <mergeCell ref="C168:G168"/>
    <mergeCell ref="H168:K168"/>
    <mergeCell ref="P168:T168"/>
    <mergeCell ref="AM168:AS168"/>
    <mergeCell ref="AT168:AW168"/>
    <mergeCell ref="L168:O168"/>
    <mergeCell ref="AX168:BC168"/>
    <mergeCell ref="BD168:BG168"/>
    <mergeCell ref="BH168:BL168"/>
    <mergeCell ref="P169:T169"/>
    <mergeCell ref="AM169:AS169"/>
    <mergeCell ref="AT169:AW169"/>
    <mergeCell ref="L169:O169"/>
    <mergeCell ref="AX169:BC169"/>
    <mergeCell ref="BD169:BG169"/>
    <mergeCell ref="BH169:BL169"/>
    <mergeCell ref="A170:B170"/>
    <mergeCell ref="C170:G170"/>
    <mergeCell ref="H170:K170"/>
    <mergeCell ref="P170:T170"/>
    <mergeCell ref="AM170:AS170"/>
    <mergeCell ref="AT170:AW170"/>
    <mergeCell ref="L170:O170"/>
    <mergeCell ref="AX170:BC170"/>
    <mergeCell ref="BD170:BG170"/>
    <mergeCell ref="BH170:BL170"/>
    <mergeCell ref="BD176:BG176"/>
    <mergeCell ref="BH176:BL176"/>
    <mergeCell ref="A171:B171"/>
    <mergeCell ref="C171:G171"/>
    <mergeCell ref="H171:K171"/>
    <mergeCell ref="P171:T171"/>
    <mergeCell ref="AM171:AS171"/>
    <mergeCell ref="AT171:AW171"/>
    <mergeCell ref="L171:O171"/>
    <mergeCell ref="AX171:BC171"/>
    <mergeCell ref="BD171:BG171"/>
    <mergeCell ref="BH171:BL171"/>
    <mergeCell ref="U173:AA173"/>
    <mergeCell ref="U174:AA174"/>
    <mergeCell ref="U175:AA175"/>
    <mergeCell ref="A172:B172"/>
    <mergeCell ref="C172:G172"/>
    <mergeCell ref="H172:K172"/>
    <mergeCell ref="P172:T172"/>
    <mergeCell ref="AM172:AS172"/>
    <mergeCell ref="AT172:AW172"/>
    <mergeCell ref="L172:O172"/>
    <mergeCell ref="AX172:BC172"/>
    <mergeCell ref="BD172:BG172"/>
    <mergeCell ref="BH172:BL172"/>
    <mergeCell ref="A173:B173"/>
    <mergeCell ref="C173:G173"/>
    <mergeCell ref="H173:K173"/>
    <mergeCell ref="P173:T173"/>
    <mergeCell ref="AM173:AS173"/>
    <mergeCell ref="AT173:AW173"/>
    <mergeCell ref="L173:O173"/>
    <mergeCell ref="AX173:BC173"/>
    <mergeCell ref="BD173:BG173"/>
    <mergeCell ref="BH173:BL173"/>
    <mergeCell ref="AB176:AL176"/>
    <mergeCell ref="A169:B169"/>
    <mergeCell ref="C169:G169"/>
    <mergeCell ref="H169:K169"/>
    <mergeCell ref="AB184:AL184"/>
    <mergeCell ref="AM179:AS179"/>
    <mergeCell ref="AT179:AW179"/>
    <mergeCell ref="L179:O179"/>
    <mergeCell ref="AX179:BC179"/>
    <mergeCell ref="BD179:BG179"/>
    <mergeCell ref="BH179:BL179"/>
    <mergeCell ref="A174:B174"/>
    <mergeCell ref="C174:G174"/>
    <mergeCell ref="H174:K174"/>
    <mergeCell ref="P174:T174"/>
    <mergeCell ref="AM174:AS174"/>
    <mergeCell ref="AT174:AW174"/>
    <mergeCell ref="L174:O174"/>
    <mergeCell ref="AX174:BC174"/>
    <mergeCell ref="BD174:BG174"/>
    <mergeCell ref="BH174:BL174"/>
    <mergeCell ref="A180:B180"/>
    <mergeCell ref="C180:G180"/>
    <mergeCell ref="H180:K180"/>
    <mergeCell ref="P180:T180"/>
    <mergeCell ref="AM180:AS180"/>
    <mergeCell ref="AT180:AW180"/>
    <mergeCell ref="L180:O180"/>
    <mergeCell ref="AX180:BC180"/>
    <mergeCell ref="BD180:BG180"/>
    <mergeCell ref="BH180:BL180"/>
    <mergeCell ref="U176:AA176"/>
    <mergeCell ref="U177:AA177"/>
    <mergeCell ref="U178:AA178"/>
    <mergeCell ref="U179:AA179"/>
    <mergeCell ref="U180:AA180"/>
    <mergeCell ref="A177:B177"/>
    <mergeCell ref="A175:B175"/>
    <mergeCell ref="C175:G175"/>
    <mergeCell ref="H175:K175"/>
    <mergeCell ref="P175:T175"/>
    <mergeCell ref="AM175:AS175"/>
    <mergeCell ref="AT175:AW175"/>
    <mergeCell ref="L175:O175"/>
    <mergeCell ref="AX175:BC175"/>
    <mergeCell ref="BD175:BG175"/>
    <mergeCell ref="BH175:BL175"/>
    <mergeCell ref="A176:B176"/>
    <mergeCell ref="C176:G176"/>
    <mergeCell ref="H176:K176"/>
    <mergeCell ref="P176:T176"/>
    <mergeCell ref="AM176:AS176"/>
    <mergeCell ref="AT176:AW176"/>
    <mergeCell ref="L176:O176"/>
    <mergeCell ref="AX176:BC176"/>
    <mergeCell ref="C177:G177"/>
    <mergeCell ref="H177:K177"/>
    <mergeCell ref="P177:T177"/>
    <mergeCell ref="AM177:AS177"/>
    <mergeCell ref="AT177:AW177"/>
    <mergeCell ref="L177:O177"/>
    <mergeCell ref="AX177:BC177"/>
    <mergeCell ref="AB177:AL177"/>
    <mergeCell ref="AB178:AL178"/>
    <mergeCell ref="AB179:AL179"/>
    <mergeCell ref="AB180:AL180"/>
    <mergeCell ref="BD177:BG177"/>
    <mergeCell ref="BH177:BL177"/>
    <mergeCell ref="AM185:AS185"/>
    <mergeCell ref="AT185:AW185"/>
    <mergeCell ref="L185:O185"/>
    <mergeCell ref="AX185:BC185"/>
    <mergeCell ref="BD185:BG185"/>
    <mergeCell ref="BH185:BL185"/>
    <mergeCell ref="A186:B186"/>
    <mergeCell ref="C186:G186"/>
    <mergeCell ref="H186:K186"/>
    <mergeCell ref="P186:T186"/>
    <mergeCell ref="AM186:AS186"/>
    <mergeCell ref="AT186:AW186"/>
    <mergeCell ref="L186:O186"/>
    <mergeCell ref="AX186:BC186"/>
    <mergeCell ref="BD186:BG186"/>
    <mergeCell ref="BH186:BL186"/>
    <mergeCell ref="A187:B187"/>
    <mergeCell ref="U184:AA184"/>
    <mergeCell ref="A181:B181"/>
    <mergeCell ref="C181:G181"/>
    <mergeCell ref="H181:K181"/>
    <mergeCell ref="P181:T181"/>
    <mergeCell ref="AM181:AS181"/>
    <mergeCell ref="AT181:AW181"/>
    <mergeCell ref="L181:O181"/>
    <mergeCell ref="AX181:BC181"/>
    <mergeCell ref="BD181:BG181"/>
    <mergeCell ref="BH181:BL181"/>
    <mergeCell ref="A182:B182"/>
    <mergeCell ref="C182:G182"/>
    <mergeCell ref="H182:K182"/>
    <mergeCell ref="P182:T182"/>
    <mergeCell ref="AM182:AS182"/>
    <mergeCell ref="AT182:AW182"/>
    <mergeCell ref="L182:O182"/>
    <mergeCell ref="AX182:BC182"/>
    <mergeCell ref="BD182:BG182"/>
    <mergeCell ref="BH182:BL182"/>
    <mergeCell ref="A183:B183"/>
    <mergeCell ref="C183:G183"/>
    <mergeCell ref="H183:K183"/>
    <mergeCell ref="P183:T183"/>
    <mergeCell ref="AM183:AS183"/>
    <mergeCell ref="AT183:AW183"/>
    <mergeCell ref="L183:O183"/>
    <mergeCell ref="AX183:BC183"/>
    <mergeCell ref="BD183:BG183"/>
    <mergeCell ref="BH183:BL183"/>
    <mergeCell ref="U182:AA182"/>
    <mergeCell ref="U183:AA183"/>
    <mergeCell ref="A184:B184"/>
    <mergeCell ref="C184:G184"/>
    <mergeCell ref="H184:K184"/>
    <mergeCell ref="P184:T184"/>
    <mergeCell ref="AM184:AS184"/>
    <mergeCell ref="AT184:AW184"/>
    <mergeCell ref="L184:O184"/>
    <mergeCell ref="AX184:BC184"/>
    <mergeCell ref="BD184:BG184"/>
    <mergeCell ref="BH184:BL184"/>
    <mergeCell ref="U181:AA181"/>
    <mergeCell ref="AB181:AL181"/>
    <mergeCell ref="AB182:AL182"/>
    <mergeCell ref="AB183:AL183"/>
    <mergeCell ref="AM187:AS187"/>
    <mergeCell ref="AT187:AW187"/>
    <mergeCell ref="L187:O187"/>
    <mergeCell ref="AX187:BC187"/>
    <mergeCell ref="BD187:BG187"/>
    <mergeCell ref="BH187:BL187"/>
    <mergeCell ref="AB185:AL185"/>
    <mergeCell ref="AB186:AL186"/>
    <mergeCell ref="AX197:BC197"/>
    <mergeCell ref="BD197:BG197"/>
    <mergeCell ref="BH197:BL197"/>
    <mergeCell ref="A198:B198"/>
    <mergeCell ref="C198:G198"/>
    <mergeCell ref="H198:K198"/>
    <mergeCell ref="P198:T198"/>
    <mergeCell ref="AM198:AS198"/>
    <mergeCell ref="AT198:AW198"/>
    <mergeCell ref="L198:O198"/>
    <mergeCell ref="AX198:BC198"/>
    <mergeCell ref="P192:T192"/>
    <mergeCell ref="AM192:AS192"/>
    <mergeCell ref="AT192:AW192"/>
    <mergeCell ref="L192:O192"/>
    <mergeCell ref="AX192:BC192"/>
    <mergeCell ref="BD192:BG192"/>
    <mergeCell ref="BH192:BL192"/>
    <mergeCell ref="U188:AA188"/>
    <mergeCell ref="U189:AA189"/>
    <mergeCell ref="U190:AA190"/>
    <mergeCell ref="U194:AA194"/>
    <mergeCell ref="U195:AA195"/>
    <mergeCell ref="U196:AA196"/>
    <mergeCell ref="C178:G178"/>
    <mergeCell ref="H178:K178"/>
    <mergeCell ref="P178:T178"/>
    <mergeCell ref="AM178:AS178"/>
    <mergeCell ref="AT178:AW178"/>
    <mergeCell ref="L178:O178"/>
    <mergeCell ref="AX178:BC178"/>
    <mergeCell ref="BD178:BG178"/>
    <mergeCell ref="BH178:BL178"/>
    <mergeCell ref="A179:B179"/>
    <mergeCell ref="C179:G179"/>
    <mergeCell ref="H179:K179"/>
    <mergeCell ref="P179:T179"/>
    <mergeCell ref="BD194:BG194"/>
    <mergeCell ref="BH194:BL194"/>
    <mergeCell ref="A195:B195"/>
    <mergeCell ref="C195:G195"/>
    <mergeCell ref="H195:K195"/>
    <mergeCell ref="P195:T195"/>
    <mergeCell ref="AM195:AS195"/>
    <mergeCell ref="AT195:AW195"/>
    <mergeCell ref="L195:O195"/>
    <mergeCell ref="AX195:BC195"/>
    <mergeCell ref="P189:T189"/>
    <mergeCell ref="AM189:AS189"/>
    <mergeCell ref="AT189:AW189"/>
    <mergeCell ref="L189:O189"/>
    <mergeCell ref="AX189:BC189"/>
    <mergeCell ref="BD189:BG189"/>
    <mergeCell ref="BH189:BL189"/>
    <mergeCell ref="U185:AA185"/>
    <mergeCell ref="U186:AA186"/>
    <mergeCell ref="AM200:AS200"/>
    <mergeCell ref="AT200:AW200"/>
    <mergeCell ref="L200:O200"/>
    <mergeCell ref="AX200:BC200"/>
    <mergeCell ref="BD200:BG200"/>
    <mergeCell ref="BH200:BL200"/>
    <mergeCell ref="A193:B193"/>
    <mergeCell ref="C193:G193"/>
    <mergeCell ref="H193:K193"/>
    <mergeCell ref="P193:T193"/>
    <mergeCell ref="AM193:AS193"/>
    <mergeCell ref="AT193:AW193"/>
    <mergeCell ref="L193:O193"/>
    <mergeCell ref="AX193:BC193"/>
    <mergeCell ref="BD193:BG193"/>
    <mergeCell ref="BH193:BL193"/>
    <mergeCell ref="A194:B194"/>
    <mergeCell ref="C194:G194"/>
    <mergeCell ref="H194:K194"/>
    <mergeCell ref="P194:T194"/>
    <mergeCell ref="AM194:AS194"/>
    <mergeCell ref="AT194:AW194"/>
    <mergeCell ref="L194:O194"/>
    <mergeCell ref="AX194:BC194"/>
    <mergeCell ref="A188:B188"/>
    <mergeCell ref="C188:G188"/>
    <mergeCell ref="H188:K188"/>
    <mergeCell ref="P188:T188"/>
    <mergeCell ref="AM188:AS188"/>
    <mergeCell ref="AT188:AW188"/>
    <mergeCell ref="L188:O188"/>
    <mergeCell ref="AX188:BC188"/>
    <mergeCell ref="BD188:BG188"/>
    <mergeCell ref="BH188:BL188"/>
    <mergeCell ref="A189:B189"/>
    <mergeCell ref="C189:G189"/>
    <mergeCell ref="AM199:AS199"/>
    <mergeCell ref="AT199:AW199"/>
    <mergeCell ref="L199:O199"/>
    <mergeCell ref="AX199:BC199"/>
    <mergeCell ref="BD199:BG199"/>
    <mergeCell ref="BH199:BL199"/>
    <mergeCell ref="A190:B190"/>
    <mergeCell ref="C190:G190"/>
    <mergeCell ref="H190:K190"/>
    <mergeCell ref="P190:T190"/>
    <mergeCell ref="AM190:AS190"/>
    <mergeCell ref="AT190:AW190"/>
    <mergeCell ref="L190:O190"/>
    <mergeCell ref="AX190:BC190"/>
    <mergeCell ref="BD190:BG190"/>
    <mergeCell ref="BH190:BL190"/>
    <mergeCell ref="A200:B200"/>
    <mergeCell ref="C200:G200"/>
    <mergeCell ref="H200:K200"/>
    <mergeCell ref="P200:T200"/>
    <mergeCell ref="AM206:AS206"/>
    <mergeCell ref="AT206:AW206"/>
    <mergeCell ref="AX206:BC206"/>
    <mergeCell ref="BD206:BG206"/>
    <mergeCell ref="BH206:BL206"/>
    <mergeCell ref="BN206:BP206"/>
    <mergeCell ref="A207:B207"/>
    <mergeCell ref="C207:G207"/>
    <mergeCell ref="H207:K207"/>
    <mergeCell ref="P207:T207"/>
    <mergeCell ref="AM207:AS207"/>
    <mergeCell ref="AT207:AW207"/>
    <mergeCell ref="BD195:BG195"/>
    <mergeCell ref="BH195:BL195"/>
    <mergeCell ref="U191:AA191"/>
    <mergeCell ref="U192:AA192"/>
    <mergeCell ref="U193:AA193"/>
    <mergeCell ref="A201:B201"/>
    <mergeCell ref="C201:G201"/>
    <mergeCell ref="H201:K201"/>
    <mergeCell ref="P201:T201"/>
    <mergeCell ref="AM201:AS201"/>
    <mergeCell ref="AT201:AW201"/>
    <mergeCell ref="L201:O201"/>
    <mergeCell ref="AX201:BC201"/>
    <mergeCell ref="BD201:BG201"/>
    <mergeCell ref="BH201:BL201"/>
    <mergeCell ref="U197:AA197"/>
    <mergeCell ref="U198:AA198"/>
    <mergeCell ref="U199:AA199"/>
    <mergeCell ref="U200:AA200"/>
    <mergeCell ref="U201:AA201"/>
    <mergeCell ref="A196:B196"/>
    <mergeCell ref="C196:G196"/>
    <mergeCell ref="H196:K196"/>
    <mergeCell ref="P196:T196"/>
    <mergeCell ref="AM196:AS196"/>
    <mergeCell ref="AT196:AW196"/>
    <mergeCell ref="L196:O196"/>
    <mergeCell ref="AX196:BC196"/>
    <mergeCell ref="BD196:BG196"/>
    <mergeCell ref="BH196:BL196"/>
    <mergeCell ref="A199:B199"/>
    <mergeCell ref="C199:G199"/>
    <mergeCell ref="H199:K199"/>
    <mergeCell ref="A191:B191"/>
    <mergeCell ref="C191:G191"/>
    <mergeCell ref="H191:K191"/>
    <mergeCell ref="P191:T191"/>
    <mergeCell ref="AM191:AS191"/>
    <mergeCell ref="AT191:AW191"/>
    <mergeCell ref="L191:O191"/>
    <mergeCell ref="AX191:BC191"/>
    <mergeCell ref="BD191:BG191"/>
    <mergeCell ref="BH191:BL191"/>
    <mergeCell ref="A192:B192"/>
    <mergeCell ref="C192:G192"/>
    <mergeCell ref="H192:K192"/>
    <mergeCell ref="A197:B197"/>
    <mergeCell ref="C197:G197"/>
    <mergeCell ref="H197:K197"/>
    <mergeCell ref="P197:T197"/>
    <mergeCell ref="AM197:AS197"/>
    <mergeCell ref="AT197:AW197"/>
    <mergeCell ref="BN212:BP212"/>
    <mergeCell ref="U209:AA209"/>
    <mergeCell ref="U210:AA210"/>
    <mergeCell ref="U211:AA211"/>
    <mergeCell ref="A209:B209"/>
    <mergeCell ref="C209:G209"/>
    <mergeCell ref="H209:K209"/>
    <mergeCell ref="P209:T209"/>
    <mergeCell ref="AM209:AS209"/>
    <mergeCell ref="AT209:AW209"/>
    <mergeCell ref="AX209:BC209"/>
    <mergeCell ref="BD209:BG209"/>
    <mergeCell ref="BH209:BL209"/>
    <mergeCell ref="BN209:BP209"/>
    <mergeCell ref="BD198:BG198"/>
    <mergeCell ref="BH198:BL198"/>
    <mergeCell ref="BN203:BP203"/>
    <mergeCell ref="A204:B204"/>
    <mergeCell ref="C204:G204"/>
    <mergeCell ref="H204:K204"/>
    <mergeCell ref="P204:T204"/>
    <mergeCell ref="AM204:AS204"/>
    <mergeCell ref="AT204:AW204"/>
    <mergeCell ref="AX204:BC204"/>
    <mergeCell ref="BD204:BG204"/>
    <mergeCell ref="BH204:BL204"/>
    <mergeCell ref="BN204:BP204"/>
    <mergeCell ref="A202:B202"/>
    <mergeCell ref="C202:G202"/>
    <mergeCell ref="H202:K202"/>
    <mergeCell ref="P202:T202"/>
    <mergeCell ref="AM202:AS202"/>
    <mergeCell ref="AT202:AW202"/>
    <mergeCell ref="L202:O202"/>
    <mergeCell ref="AX202:BC202"/>
    <mergeCell ref="BD202:BG202"/>
    <mergeCell ref="BH202:BL202"/>
    <mergeCell ref="U202:AA202"/>
    <mergeCell ref="U203:AA203"/>
    <mergeCell ref="U204:AA204"/>
    <mergeCell ref="U205:AA205"/>
    <mergeCell ref="C208:G208"/>
    <mergeCell ref="H208:K208"/>
    <mergeCell ref="P208:T208"/>
    <mergeCell ref="AM208:AS208"/>
    <mergeCell ref="AT208:AW208"/>
    <mergeCell ref="AX208:BC208"/>
    <mergeCell ref="BD208:BG208"/>
    <mergeCell ref="BH208:BL208"/>
    <mergeCell ref="BN208:BP208"/>
    <mergeCell ref="A203:B203"/>
    <mergeCell ref="C203:G203"/>
    <mergeCell ref="H203:K203"/>
    <mergeCell ref="P203:T203"/>
    <mergeCell ref="AM203:AS203"/>
    <mergeCell ref="AT203:AW203"/>
    <mergeCell ref="AX203:BC203"/>
    <mergeCell ref="BD203:BG203"/>
    <mergeCell ref="BH203:BL203"/>
    <mergeCell ref="U206:AA206"/>
    <mergeCell ref="U207:AA207"/>
    <mergeCell ref="U208:AA208"/>
    <mergeCell ref="A206:B206"/>
    <mergeCell ref="C206:G206"/>
    <mergeCell ref="AM214:AS214"/>
    <mergeCell ref="AT214:AW214"/>
    <mergeCell ref="AX214:BC214"/>
    <mergeCell ref="BD214:BG214"/>
    <mergeCell ref="BH214:BL214"/>
    <mergeCell ref="BN214:BP214"/>
    <mergeCell ref="A215:B215"/>
    <mergeCell ref="C215:G215"/>
    <mergeCell ref="H215:K215"/>
    <mergeCell ref="P215:T215"/>
    <mergeCell ref="AM215:AS215"/>
    <mergeCell ref="AT215:AW215"/>
    <mergeCell ref="AX215:BC215"/>
    <mergeCell ref="BD215:BG215"/>
    <mergeCell ref="BH215:BL215"/>
    <mergeCell ref="BN215:BP215"/>
    <mergeCell ref="U212:AA212"/>
    <mergeCell ref="U213:AA213"/>
    <mergeCell ref="U214:AA214"/>
    <mergeCell ref="AM216:AS216"/>
    <mergeCell ref="AT216:AW216"/>
    <mergeCell ref="AX216:BC216"/>
    <mergeCell ref="BD216:BG216"/>
    <mergeCell ref="BH216:BL216"/>
    <mergeCell ref="BN216:BP216"/>
    <mergeCell ref="AX207:BC207"/>
    <mergeCell ref="BD207:BG207"/>
    <mergeCell ref="BH207:BL207"/>
    <mergeCell ref="BN207:BP207"/>
    <mergeCell ref="A205:B205"/>
    <mergeCell ref="C205:G205"/>
    <mergeCell ref="H205:K205"/>
    <mergeCell ref="P205:T205"/>
    <mergeCell ref="AM205:AS205"/>
    <mergeCell ref="AT205:AW205"/>
    <mergeCell ref="AX205:BC205"/>
    <mergeCell ref="BD205:BG205"/>
    <mergeCell ref="BH205:BL205"/>
    <mergeCell ref="BN205:BP205"/>
    <mergeCell ref="AM210:AS210"/>
    <mergeCell ref="AT210:AW210"/>
    <mergeCell ref="AX210:BC210"/>
    <mergeCell ref="BD210:BG210"/>
    <mergeCell ref="BH210:BL210"/>
    <mergeCell ref="BN210:BP210"/>
    <mergeCell ref="A211:B211"/>
    <mergeCell ref="C211:G211"/>
    <mergeCell ref="H211:K211"/>
    <mergeCell ref="P211:T211"/>
    <mergeCell ref="AM211:AS211"/>
    <mergeCell ref="AT211:AW211"/>
    <mergeCell ref="AX211:BC211"/>
    <mergeCell ref="BD211:BG211"/>
    <mergeCell ref="BH211:BL211"/>
    <mergeCell ref="BN211:BP211"/>
    <mergeCell ref="A212:B212"/>
    <mergeCell ref="C212:G212"/>
    <mergeCell ref="H212:K212"/>
    <mergeCell ref="P212:T212"/>
    <mergeCell ref="AM212:AS212"/>
    <mergeCell ref="AT212:AW212"/>
    <mergeCell ref="AX212:BC212"/>
    <mergeCell ref="BD212:BG212"/>
    <mergeCell ref="BH212:BL212"/>
    <mergeCell ref="AM217:AS217"/>
    <mergeCell ref="AT217:AW217"/>
    <mergeCell ref="AX217:BC217"/>
    <mergeCell ref="BD217:BG217"/>
    <mergeCell ref="BH217:BL217"/>
    <mergeCell ref="BN217:BP217"/>
    <mergeCell ref="A218:B218"/>
    <mergeCell ref="C218:G218"/>
    <mergeCell ref="H218:K218"/>
    <mergeCell ref="P218:T218"/>
    <mergeCell ref="AM218:AS218"/>
    <mergeCell ref="AT218:AW218"/>
    <mergeCell ref="AX218:BC218"/>
    <mergeCell ref="BD218:BG218"/>
    <mergeCell ref="BH218:BL218"/>
    <mergeCell ref="BN218:BP218"/>
    <mergeCell ref="U215:AA215"/>
    <mergeCell ref="U216:AA216"/>
    <mergeCell ref="U217:AA217"/>
    <mergeCell ref="AM219:AS219"/>
    <mergeCell ref="AT219:AW219"/>
    <mergeCell ref="AX219:BC219"/>
    <mergeCell ref="BD219:BG219"/>
    <mergeCell ref="BH219:BL219"/>
    <mergeCell ref="BN219:BP219"/>
    <mergeCell ref="A220:B220"/>
    <mergeCell ref="C220:G220"/>
    <mergeCell ref="H220:K220"/>
    <mergeCell ref="P220:T220"/>
    <mergeCell ref="AM220:AS220"/>
    <mergeCell ref="AT220:AW220"/>
    <mergeCell ref="AX220:BC220"/>
    <mergeCell ref="BD220:BG220"/>
    <mergeCell ref="BH220:BL220"/>
    <mergeCell ref="BN220:BP220"/>
    <mergeCell ref="AM221:AS221"/>
    <mergeCell ref="AT221:AW221"/>
    <mergeCell ref="AX221:BC221"/>
    <mergeCell ref="BD221:BG221"/>
    <mergeCell ref="BH221:BL221"/>
    <mergeCell ref="BN221:BP221"/>
    <mergeCell ref="U218:AA218"/>
    <mergeCell ref="U219:AA219"/>
    <mergeCell ref="U220:AA220"/>
    <mergeCell ref="AB220:AL220"/>
    <mergeCell ref="AB221:AL221"/>
    <mergeCell ref="AM222:AS222"/>
    <mergeCell ref="AT222:AW222"/>
    <mergeCell ref="AX222:BC222"/>
    <mergeCell ref="BD222:BG222"/>
    <mergeCell ref="BH222:BL222"/>
    <mergeCell ref="BN222:BP222"/>
    <mergeCell ref="A223:B223"/>
    <mergeCell ref="C223:G223"/>
    <mergeCell ref="H223:K223"/>
    <mergeCell ref="P223:T223"/>
    <mergeCell ref="AM223:AS223"/>
    <mergeCell ref="AT223:AW223"/>
    <mergeCell ref="AX223:BC223"/>
    <mergeCell ref="BD223:BG223"/>
    <mergeCell ref="BH223:BL223"/>
    <mergeCell ref="BN223:BP223"/>
    <mergeCell ref="A224:B224"/>
    <mergeCell ref="C224:G224"/>
    <mergeCell ref="H224:K224"/>
    <mergeCell ref="P224:T224"/>
    <mergeCell ref="AM224:AS224"/>
    <mergeCell ref="AT224:AW224"/>
    <mergeCell ref="AX224:BC224"/>
    <mergeCell ref="BD224:BG224"/>
    <mergeCell ref="BH224:BL224"/>
    <mergeCell ref="BN224:BP224"/>
    <mergeCell ref="U221:AA221"/>
    <mergeCell ref="U222:AA222"/>
    <mergeCell ref="U223:AA223"/>
    <mergeCell ref="L222:O222"/>
    <mergeCell ref="L223:O223"/>
    <mergeCell ref="L224:O224"/>
    <mergeCell ref="AB222:AL222"/>
    <mergeCell ref="AB223:AL223"/>
    <mergeCell ref="AB224:AL224"/>
    <mergeCell ref="AM225:AS225"/>
    <mergeCell ref="AT225:AW225"/>
    <mergeCell ref="AX225:BC225"/>
    <mergeCell ref="BD225:BG225"/>
    <mergeCell ref="BH225:BL225"/>
    <mergeCell ref="BN225:BP225"/>
    <mergeCell ref="A226:B226"/>
    <mergeCell ref="C226:G226"/>
    <mergeCell ref="H226:K226"/>
    <mergeCell ref="P226:T226"/>
    <mergeCell ref="AM226:AS226"/>
    <mergeCell ref="AT226:AW226"/>
    <mergeCell ref="AX226:BC226"/>
    <mergeCell ref="BD226:BG226"/>
    <mergeCell ref="BH226:BL226"/>
    <mergeCell ref="BN226:BP226"/>
    <mergeCell ref="A227:B227"/>
    <mergeCell ref="C227:G227"/>
    <mergeCell ref="H227:K227"/>
    <mergeCell ref="P227:T227"/>
    <mergeCell ref="AM227:AS227"/>
    <mergeCell ref="AT227:AW227"/>
    <mergeCell ref="AX227:BC227"/>
    <mergeCell ref="BD227:BG227"/>
    <mergeCell ref="BH227:BL227"/>
    <mergeCell ref="BN227:BP227"/>
    <mergeCell ref="U225:AA225"/>
    <mergeCell ref="U226:AA226"/>
    <mergeCell ref="L225:O225"/>
    <mergeCell ref="L226:O226"/>
    <mergeCell ref="L227:O227"/>
    <mergeCell ref="AB225:AL225"/>
    <mergeCell ref="AB226:AL226"/>
    <mergeCell ref="AB227:AL227"/>
    <mergeCell ref="DM78:DP78"/>
    <mergeCell ref="EN94:EQ94"/>
    <mergeCell ref="ER94:EU94"/>
    <mergeCell ref="DV95:DW95"/>
    <mergeCell ref="DV94:DW94"/>
    <mergeCell ref="EN93:EQ93"/>
    <mergeCell ref="ER93:EU93"/>
    <mergeCell ref="DM82:DP82"/>
    <mergeCell ref="A231:B231"/>
    <mergeCell ref="C231:G231"/>
    <mergeCell ref="H231:K231"/>
    <mergeCell ref="P231:T231"/>
    <mergeCell ref="AM231:AS231"/>
    <mergeCell ref="AT231:AW231"/>
    <mergeCell ref="AX231:BC231"/>
    <mergeCell ref="BD231:BG231"/>
    <mergeCell ref="BH231:BL231"/>
    <mergeCell ref="BN231:BP231"/>
    <mergeCell ref="A232:B232"/>
    <mergeCell ref="C232:G232"/>
    <mergeCell ref="H232:K232"/>
    <mergeCell ref="P232:T232"/>
    <mergeCell ref="AM232:AS232"/>
    <mergeCell ref="AT232:AW232"/>
    <mergeCell ref="BN232:BP232"/>
    <mergeCell ref="DV268:EQ268"/>
    <mergeCell ref="DV264:EQ264"/>
    <mergeCell ref="DV106:DW106"/>
    <mergeCell ref="DV107:DW107"/>
    <mergeCell ref="DM117:DP117"/>
    <mergeCell ref="DQ117:DT117"/>
    <mergeCell ref="DQ109:DT109"/>
    <mergeCell ref="DQ110:DT110"/>
    <mergeCell ref="DM111:DP111"/>
    <mergeCell ref="DQ111:DT111"/>
    <mergeCell ref="CW105:CZ105"/>
    <mergeCell ref="DA105:DD105"/>
    <mergeCell ref="DE105:DH105"/>
    <mergeCell ref="DI105:DL105"/>
    <mergeCell ref="CW106:CZ106"/>
    <mergeCell ref="DA106:DD106"/>
    <mergeCell ref="DE106:DH106"/>
    <mergeCell ref="DI106:DL106"/>
    <mergeCell ref="CW107:CZ107"/>
    <mergeCell ref="DA107:DD107"/>
    <mergeCell ref="A228:B228"/>
    <mergeCell ref="C228:G228"/>
    <mergeCell ref="H228:K228"/>
    <mergeCell ref="P228:T228"/>
    <mergeCell ref="AM228:AS228"/>
    <mergeCell ref="AT228:AW228"/>
    <mergeCell ref="AX228:BC228"/>
    <mergeCell ref="BD228:BG228"/>
    <mergeCell ref="BH228:BL228"/>
    <mergeCell ref="BN228:BP228"/>
    <mergeCell ref="A229:B229"/>
    <mergeCell ref="C229:G229"/>
    <mergeCell ref="H229:K229"/>
    <mergeCell ref="DV266:EQ266"/>
    <mergeCell ref="ER266:EU266"/>
    <mergeCell ref="DV267:EQ267"/>
    <mergeCell ref="ER267:EU267"/>
    <mergeCell ref="DV260:EQ260"/>
    <mergeCell ref="ER260:EU260"/>
    <mergeCell ref="ER268:EU268"/>
    <mergeCell ref="DM204:DP204"/>
    <mergeCell ref="DQ204:DT204"/>
    <mergeCell ref="DM195:DP195"/>
    <mergeCell ref="DM196:DP196"/>
    <mergeCell ref="CU268:DP268"/>
    <mergeCell ref="DV90:DW90"/>
    <mergeCell ref="EN88:EQ88"/>
    <mergeCell ref="ER88:EU88"/>
    <mergeCell ref="DV89:DW89"/>
    <mergeCell ref="ER89:EU89"/>
    <mergeCell ref="DM94:DP94"/>
    <mergeCell ref="EB94:EE94"/>
    <mergeCell ref="EF94:EI94"/>
    <mergeCell ref="EJ94:EM94"/>
    <mergeCell ref="EN96:EQ96"/>
    <mergeCell ref="EN95:EQ95"/>
    <mergeCell ref="ER95:EU95"/>
    <mergeCell ref="EJ203:EM203"/>
    <mergeCell ref="DX204:EA204"/>
    <mergeCell ref="EB204:EE204"/>
    <mergeCell ref="EF204:EI204"/>
    <mergeCell ref="EJ204:EM204"/>
    <mergeCell ref="CU203:CV203"/>
    <mergeCell ref="DQ267:DT267"/>
    <mergeCell ref="CU267:DP267"/>
    <mergeCell ref="DQ268:DT268"/>
    <mergeCell ref="EN92:EQ92"/>
    <mergeCell ref="ER92:EU92"/>
    <mergeCell ref="DV93:DW93"/>
    <mergeCell ref="DQ122:DT122"/>
    <mergeCell ref="DA112:DD112"/>
    <mergeCell ref="DE112:DH112"/>
    <mergeCell ref="DI112:DL112"/>
    <mergeCell ref="CW113:CZ113"/>
    <mergeCell ref="DA113:DD113"/>
    <mergeCell ref="DE113:DH113"/>
    <mergeCell ref="DI113:DL113"/>
    <mergeCell ref="DA114:DD114"/>
    <mergeCell ref="DE114:DH114"/>
    <mergeCell ref="DI114:DL114"/>
    <mergeCell ref="CW115:CZ115"/>
    <mergeCell ref="DA115:DD115"/>
    <mergeCell ref="DE115:DH115"/>
    <mergeCell ref="DI115:DL115"/>
    <mergeCell ref="CW116:CZ116"/>
    <mergeCell ref="DM126:DP126"/>
    <mergeCell ref="DQ126:DT126"/>
    <mergeCell ref="DM137:DP137"/>
    <mergeCell ref="DM258:DP259"/>
    <mergeCell ref="DQ258:DT259"/>
    <mergeCell ref="CU263:DP263"/>
    <mergeCell ref="DM128:DP128"/>
    <mergeCell ref="DQ128:DT128"/>
    <mergeCell ref="DM127:DP127"/>
    <mergeCell ref="DM129:DP129"/>
    <mergeCell ref="DQ127:DT127"/>
    <mergeCell ref="DQ129:DT129"/>
    <mergeCell ref="DM130:DP130"/>
    <mergeCell ref="DQ130:DT130"/>
    <mergeCell ref="DE126:DH126"/>
    <mergeCell ref="DI126:DL126"/>
    <mergeCell ref="DE127:DH127"/>
    <mergeCell ref="DI127:DL127"/>
    <mergeCell ref="DM86:DP86"/>
    <mergeCell ref="DM88:DP88"/>
    <mergeCell ref="DV92:DW92"/>
    <mergeCell ref="DX87:EA87"/>
    <mergeCell ref="EB87:EE87"/>
    <mergeCell ref="EF87:EI87"/>
    <mergeCell ref="EJ87:EM87"/>
    <mergeCell ref="DX88:EA88"/>
    <mergeCell ref="EB88:EE88"/>
    <mergeCell ref="EF88:EI88"/>
    <mergeCell ref="EN86:EQ86"/>
    <mergeCell ref="ER86:EU86"/>
    <mergeCell ref="EN87:EQ87"/>
    <mergeCell ref="ER87:EU87"/>
    <mergeCell ref="DM96:DP96"/>
    <mergeCell ref="DV86:DW86"/>
    <mergeCell ref="DV87:DW87"/>
    <mergeCell ref="DV88:DW88"/>
    <mergeCell ref="EN84:EQ84"/>
    <mergeCell ref="ER84:EU84"/>
    <mergeCell ref="EN85:EQ85"/>
    <mergeCell ref="ER85:EU85"/>
    <mergeCell ref="DV85:DW85"/>
    <mergeCell ref="EJ88:EM88"/>
    <mergeCell ref="DX89:EA89"/>
    <mergeCell ref="EB89:EE89"/>
    <mergeCell ref="EF89:EI89"/>
    <mergeCell ref="EJ89:EM89"/>
    <mergeCell ref="DX90:EA90"/>
    <mergeCell ref="EB90:EE90"/>
    <mergeCell ref="EF90:EI90"/>
    <mergeCell ref="EJ90:EM90"/>
    <mergeCell ref="DX91:EA91"/>
    <mergeCell ref="EB91:EE91"/>
    <mergeCell ref="EF91:EI91"/>
    <mergeCell ref="EJ91:EM91"/>
    <mergeCell ref="DX92:EA92"/>
    <mergeCell ref="EB92:EE92"/>
    <mergeCell ref="EF92:EI92"/>
    <mergeCell ref="EJ92:EM92"/>
    <mergeCell ref="DX93:EA93"/>
    <mergeCell ref="EB93:EE93"/>
    <mergeCell ref="EF93:EI93"/>
    <mergeCell ref="EJ93:EM93"/>
    <mergeCell ref="DX94:EA94"/>
    <mergeCell ref="DV91:DW91"/>
    <mergeCell ref="EN90:EQ90"/>
    <mergeCell ref="DQ77:DT77"/>
    <mergeCell ref="DQ108:DT108"/>
    <mergeCell ref="DM109:DP109"/>
    <mergeCell ref="EN74:EQ74"/>
    <mergeCell ref="ER74:EU74"/>
    <mergeCell ref="ER75:EU75"/>
    <mergeCell ref="DM110:DP110"/>
    <mergeCell ref="DQ103:DT103"/>
    <mergeCell ref="DQ104:DT104"/>
    <mergeCell ref="EN105:EQ105"/>
    <mergeCell ref="ER105:EU105"/>
    <mergeCell ref="EN106:EQ106"/>
    <mergeCell ref="ER106:EU106"/>
    <mergeCell ref="EN79:EQ79"/>
    <mergeCell ref="EN80:EQ80"/>
    <mergeCell ref="DV79:DW79"/>
    <mergeCell ref="DV80:DW80"/>
    <mergeCell ref="DM80:DP80"/>
    <mergeCell ref="DM102:DP102"/>
    <mergeCell ref="EN78:EQ78"/>
    <mergeCell ref="ER78:EU78"/>
    <mergeCell ref="DM104:DP104"/>
    <mergeCell ref="DQ78:DT78"/>
    <mergeCell ref="DQ79:DT79"/>
    <mergeCell ref="DI85:DL85"/>
    <mergeCell ref="CW86:CZ86"/>
    <mergeCell ref="EN82:EQ82"/>
    <mergeCell ref="ER82:EU82"/>
    <mergeCell ref="EN83:EQ83"/>
    <mergeCell ref="ER83:EU83"/>
    <mergeCell ref="ER90:EU90"/>
    <mergeCell ref="EN91:EQ91"/>
    <mergeCell ref="ER91:EU91"/>
    <mergeCell ref="DM92:DP92"/>
    <mergeCell ref="EN89:EQ89"/>
    <mergeCell ref="DQ84:DT84"/>
    <mergeCell ref="DQ85:DT85"/>
    <mergeCell ref="DM84:DP84"/>
    <mergeCell ref="DQ86:DT86"/>
    <mergeCell ref="ER79:EU79"/>
    <mergeCell ref="ER80:EU80"/>
    <mergeCell ref="EN81:EQ81"/>
    <mergeCell ref="ER81:EU81"/>
    <mergeCell ref="DA86:DD86"/>
    <mergeCell ref="DE86:DH86"/>
    <mergeCell ref="DI86:DL86"/>
    <mergeCell ref="DX82:EA82"/>
    <mergeCell ref="EB82:EE82"/>
    <mergeCell ref="EF82:EI82"/>
    <mergeCell ref="EJ82:EM82"/>
    <mergeCell ref="DX83:EA83"/>
    <mergeCell ref="EB83:EE83"/>
    <mergeCell ref="EF83:EI83"/>
    <mergeCell ref="EJ83:EM83"/>
    <mergeCell ref="DX84:EA84"/>
    <mergeCell ref="EB84:EE84"/>
    <mergeCell ref="EF84:EI84"/>
    <mergeCell ref="EJ84:EM84"/>
    <mergeCell ref="DX85:EA85"/>
    <mergeCell ref="EB85:EE85"/>
    <mergeCell ref="EF85:EI85"/>
    <mergeCell ref="EJ85:EM85"/>
    <mergeCell ref="CW87:CZ87"/>
    <mergeCell ref="DA87:DD87"/>
    <mergeCell ref="DQ69:DT69"/>
    <mergeCell ref="DM116:DP116"/>
    <mergeCell ref="DQ70:DT70"/>
    <mergeCell ref="DM114:DP114"/>
    <mergeCell ref="DM69:DP69"/>
    <mergeCell ref="DI84:DL84"/>
    <mergeCell ref="CW85:CZ85"/>
    <mergeCell ref="DA85:DD85"/>
    <mergeCell ref="DE85:DH85"/>
    <mergeCell ref="DM100:DP100"/>
    <mergeCell ref="DQ112:DT112"/>
    <mergeCell ref="DM113:DP113"/>
    <mergeCell ref="DQ113:DT113"/>
    <mergeCell ref="DQ114:DT114"/>
    <mergeCell ref="DM115:DP115"/>
    <mergeCell ref="DQ115:DT115"/>
    <mergeCell ref="DQ116:DT116"/>
    <mergeCell ref="DM105:DP105"/>
    <mergeCell ref="DQ105:DT105"/>
    <mergeCell ref="DQ106:DT106"/>
    <mergeCell ref="DM107:DP107"/>
    <mergeCell ref="DQ107:DT107"/>
    <mergeCell ref="CW114:CZ114"/>
    <mergeCell ref="EN72:EQ72"/>
    <mergeCell ref="ER72:EU72"/>
    <mergeCell ref="EN73:EQ73"/>
    <mergeCell ref="ER73:EU73"/>
    <mergeCell ref="ER70:EU70"/>
    <mergeCell ref="EN71:EQ71"/>
    <mergeCell ref="ER71:EU71"/>
    <mergeCell ref="EN70:EQ70"/>
    <mergeCell ref="DM112:DP112"/>
    <mergeCell ref="DQ74:DT74"/>
    <mergeCell ref="DQ75:DT75"/>
    <mergeCell ref="DQ76:DT76"/>
    <mergeCell ref="DM106:DP106"/>
    <mergeCell ref="DQ80:DT80"/>
    <mergeCell ref="DM79:DP79"/>
    <mergeCell ref="DQ90:DT90"/>
    <mergeCell ref="DM91:DP91"/>
    <mergeCell ref="DQ91:DT91"/>
    <mergeCell ref="DQ92:DT92"/>
    <mergeCell ref="DM93:DP93"/>
    <mergeCell ref="DQ93:DT93"/>
    <mergeCell ref="DQ94:DT94"/>
    <mergeCell ref="DM95:DP95"/>
    <mergeCell ref="DQ95:DT95"/>
    <mergeCell ref="DQ96:DT96"/>
    <mergeCell ref="DM97:DP97"/>
    <mergeCell ref="DQ97:DT97"/>
    <mergeCell ref="DQ98:DT98"/>
    <mergeCell ref="DM99:DP99"/>
    <mergeCell ref="DQ99:DT99"/>
    <mergeCell ref="DQ100:DT100"/>
    <mergeCell ref="DM101:DP101"/>
    <mergeCell ref="DQ101:DT101"/>
    <mergeCell ref="DQ102:DT102"/>
    <mergeCell ref="DM103:DP103"/>
    <mergeCell ref="DV77:DW77"/>
    <mergeCell ref="DV78:DW78"/>
    <mergeCell ref="EN76:EQ76"/>
    <mergeCell ref="ER76:EU76"/>
    <mergeCell ref="EN77:EQ77"/>
    <mergeCell ref="CW112:CZ112"/>
    <mergeCell ref="DI124:DL124"/>
    <mergeCell ref="DM122:DP122"/>
    <mergeCell ref="DQ66:DT66"/>
    <mergeCell ref="DM77:DP77"/>
    <mergeCell ref="DM75:DP75"/>
    <mergeCell ref="CW110:CZ110"/>
    <mergeCell ref="DA110:DD110"/>
    <mergeCell ref="DE110:DH110"/>
    <mergeCell ref="DI110:DL110"/>
    <mergeCell ref="CW111:CZ111"/>
    <mergeCell ref="DM81:DP81"/>
    <mergeCell ref="DQ81:DT81"/>
    <mergeCell ref="DQ82:DT82"/>
    <mergeCell ref="DM83:DP83"/>
    <mergeCell ref="DQ83:DT83"/>
    <mergeCell ref="DM85:DP85"/>
    <mergeCell ref="DM87:DP87"/>
    <mergeCell ref="DQ87:DT87"/>
    <mergeCell ref="DQ88:DT88"/>
    <mergeCell ref="DM89:DP89"/>
    <mergeCell ref="DQ89:DT89"/>
    <mergeCell ref="CW80:CZ80"/>
    <mergeCell ref="DA80:DD80"/>
    <mergeCell ref="DE80:DH80"/>
    <mergeCell ref="DI80:DL80"/>
    <mergeCell ref="CW81:CZ81"/>
    <mergeCell ref="DA81:DD81"/>
    <mergeCell ref="DE81:DH81"/>
    <mergeCell ref="DI81:DL81"/>
    <mergeCell ref="CW82:CZ82"/>
    <mergeCell ref="DA82:DD82"/>
    <mergeCell ref="EN107:EQ107"/>
    <mergeCell ref="DM67:DP67"/>
    <mergeCell ref="DM71:DP71"/>
    <mergeCell ref="DM70:DP70"/>
    <mergeCell ref="DQ71:DT71"/>
    <mergeCell ref="DM72:DP72"/>
    <mergeCell ref="DQ72:DT72"/>
    <mergeCell ref="DM73:DP73"/>
    <mergeCell ref="DQ73:DT73"/>
    <mergeCell ref="EN68:EQ68"/>
    <mergeCell ref="EN69:EQ69"/>
    <mergeCell ref="CW74:CZ74"/>
    <mergeCell ref="DA74:DD74"/>
    <mergeCell ref="DE74:DH74"/>
    <mergeCell ref="DI74:DL74"/>
    <mergeCell ref="CW75:CZ75"/>
    <mergeCell ref="DA75:DD75"/>
    <mergeCell ref="DE75:DH75"/>
    <mergeCell ref="DI75:DL75"/>
    <mergeCell ref="CW76:CZ76"/>
    <mergeCell ref="DA76:DD76"/>
    <mergeCell ref="DE76:DH76"/>
    <mergeCell ref="DI76:DL76"/>
    <mergeCell ref="CW77:CZ77"/>
    <mergeCell ref="DA77:DD77"/>
    <mergeCell ref="DE77:DH77"/>
    <mergeCell ref="DI77:DL77"/>
    <mergeCell ref="CW78:CZ78"/>
    <mergeCell ref="DA78:DD78"/>
    <mergeCell ref="DE78:DH78"/>
    <mergeCell ref="DI78:DL78"/>
    <mergeCell ref="CW79:CZ79"/>
    <mergeCell ref="DA79:DD79"/>
    <mergeCell ref="DM133:DP133"/>
    <mergeCell ref="DQ131:DT131"/>
    <mergeCell ref="DM132:DP132"/>
    <mergeCell ref="DQ133:DT133"/>
    <mergeCell ref="DM134:DP134"/>
    <mergeCell ref="DQ134:DT134"/>
    <mergeCell ref="DM136:DP136"/>
    <mergeCell ref="DQ136:DT136"/>
    <mergeCell ref="DM135:DP135"/>
    <mergeCell ref="DE131:DH131"/>
    <mergeCell ref="DI131:DL131"/>
    <mergeCell ref="DE132:DH132"/>
    <mergeCell ref="DI132:DL132"/>
    <mergeCell ref="DE133:DH133"/>
    <mergeCell ref="DI133:DL133"/>
    <mergeCell ref="DE134:DH134"/>
    <mergeCell ref="DI134:DL134"/>
    <mergeCell ref="DQ135:DT135"/>
    <mergeCell ref="DQ137:DT137"/>
    <mergeCell ref="DE128:DH128"/>
    <mergeCell ref="DI128:DL128"/>
    <mergeCell ref="DE129:DH129"/>
    <mergeCell ref="DI129:DL129"/>
    <mergeCell ref="DE130:DH130"/>
    <mergeCell ref="DI130:DL130"/>
    <mergeCell ref="DM121:DP121"/>
    <mergeCell ref="DM120:DP120"/>
    <mergeCell ref="DQ132:DT132"/>
    <mergeCell ref="DM131:DP131"/>
    <mergeCell ref="DE107:DH107"/>
    <mergeCell ref="DI107:DL107"/>
    <mergeCell ref="CW108:CZ108"/>
    <mergeCell ref="DA108:DD108"/>
    <mergeCell ref="DE108:DH108"/>
    <mergeCell ref="DI108:DL108"/>
    <mergeCell ref="CW109:CZ109"/>
    <mergeCell ref="DA109:DD109"/>
    <mergeCell ref="DE109:DH109"/>
    <mergeCell ref="DI109:DL109"/>
    <mergeCell ref="DQ118:DT118"/>
    <mergeCell ref="DQ119:DT119"/>
    <mergeCell ref="DM118:DP118"/>
    <mergeCell ref="DQ121:DT121"/>
    <mergeCell ref="DM119:DP119"/>
    <mergeCell ref="DQ120:DT120"/>
    <mergeCell ref="DM124:DP124"/>
    <mergeCell ref="DQ124:DT124"/>
    <mergeCell ref="DM123:DP123"/>
    <mergeCell ref="DM125:DP125"/>
    <mergeCell ref="DQ123:DT123"/>
    <mergeCell ref="DQ125:DT125"/>
    <mergeCell ref="CW120:CZ120"/>
    <mergeCell ref="DA120:DD120"/>
    <mergeCell ref="DE120:DH120"/>
    <mergeCell ref="DI120:DL120"/>
    <mergeCell ref="CW121:CZ121"/>
    <mergeCell ref="DA121:DD121"/>
    <mergeCell ref="DE121:DH121"/>
    <mergeCell ref="DI121:DL121"/>
    <mergeCell ref="DE122:DH122"/>
    <mergeCell ref="DI122:DL122"/>
    <mergeCell ref="DE123:DH123"/>
    <mergeCell ref="DI123:DL123"/>
    <mergeCell ref="DE124:DH124"/>
    <mergeCell ref="DM138:DP138"/>
    <mergeCell ref="DQ138:DT138"/>
    <mergeCell ref="DM140:DP140"/>
    <mergeCell ref="DQ140:DT140"/>
    <mergeCell ref="DM139:DP139"/>
    <mergeCell ref="DM141:DP141"/>
    <mergeCell ref="DQ139:DT139"/>
    <mergeCell ref="DQ141:DT141"/>
    <mergeCell ref="DQ148:DT148"/>
    <mergeCell ref="DM147:DP147"/>
    <mergeCell ref="DM149:DP149"/>
    <mergeCell ref="DQ147:DT147"/>
    <mergeCell ref="DQ149:DT149"/>
    <mergeCell ref="DM150:DP150"/>
    <mergeCell ref="DQ150:DT150"/>
    <mergeCell ref="DQ152:DT152"/>
    <mergeCell ref="DM151:DP151"/>
    <mergeCell ref="CW147:CZ147"/>
    <mergeCell ref="DA147:DD147"/>
    <mergeCell ref="DE147:DH147"/>
    <mergeCell ref="DI147:DL147"/>
    <mergeCell ref="CW148:CZ148"/>
    <mergeCell ref="DA148:DD148"/>
    <mergeCell ref="DE148:DH148"/>
    <mergeCell ref="DM148:DP148"/>
    <mergeCell ref="CW151:CZ151"/>
    <mergeCell ref="DA151:DD151"/>
    <mergeCell ref="DE151:DH151"/>
    <mergeCell ref="DI151:DL151"/>
    <mergeCell ref="CW152:CZ152"/>
    <mergeCell ref="DA152:DD152"/>
    <mergeCell ref="DE135:DH135"/>
    <mergeCell ref="DI135:DL135"/>
    <mergeCell ref="DE136:DH136"/>
    <mergeCell ref="DI136:DL136"/>
    <mergeCell ref="DA137:DD137"/>
    <mergeCell ref="DE137:DH137"/>
    <mergeCell ref="DI137:DL137"/>
    <mergeCell ref="CW138:CZ138"/>
    <mergeCell ref="DA138:DD138"/>
    <mergeCell ref="DE138:DH138"/>
    <mergeCell ref="DI138:DL138"/>
    <mergeCell ref="CW139:CZ139"/>
    <mergeCell ref="DA139:DD139"/>
    <mergeCell ref="DE139:DH139"/>
    <mergeCell ref="DI139:DL139"/>
    <mergeCell ref="CW140:CZ140"/>
    <mergeCell ref="DA140:DD140"/>
    <mergeCell ref="DE140:DH140"/>
    <mergeCell ref="DI140:DL140"/>
    <mergeCell ref="DI148:DL148"/>
    <mergeCell ref="CW149:CZ149"/>
    <mergeCell ref="DA149:DD149"/>
    <mergeCell ref="DE149:DH149"/>
    <mergeCell ref="DI149:DL149"/>
    <mergeCell ref="CW150:CZ150"/>
    <mergeCell ref="DA150:DD150"/>
    <mergeCell ref="DE150:DH150"/>
    <mergeCell ref="DI150:DL150"/>
    <mergeCell ref="DM142:DP142"/>
    <mergeCell ref="DQ142:DT142"/>
    <mergeCell ref="DM144:DP144"/>
    <mergeCell ref="DQ144:DT144"/>
    <mergeCell ref="DM143:DP143"/>
    <mergeCell ref="DM145:DP145"/>
    <mergeCell ref="DQ143:DT143"/>
    <mergeCell ref="DQ145:DT145"/>
    <mergeCell ref="DM146:DP146"/>
    <mergeCell ref="DQ146:DT146"/>
    <mergeCell ref="CW142:CZ142"/>
    <mergeCell ref="DA142:DD142"/>
    <mergeCell ref="DE142:DH142"/>
    <mergeCell ref="DI142:DL142"/>
    <mergeCell ref="CW143:CZ143"/>
    <mergeCell ref="DA143:DD143"/>
    <mergeCell ref="DE143:DH143"/>
    <mergeCell ref="DI143:DL143"/>
    <mergeCell ref="CW144:CZ144"/>
    <mergeCell ref="DA144:DD144"/>
    <mergeCell ref="DE144:DH144"/>
    <mergeCell ref="DI144:DL144"/>
    <mergeCell ref="CW145:CZ145"/>
    <mergeCell ref="DA145:DD145"/>
    <mergeCell ref="DE145:DH145"/>
    <mergeCell ref="DI145:DL145"/>
    <mergeCell ref="CW146:CZ146"/>
    <mergeCell ref="DA146:DD146"/>
    <mergeCell ref="DE146:DH146"/>
    <mergeCell ref="DI146:DL146"/>
    <mergeCell ref="DM168:DP168"/>
    <mergeCell ref="DQ153:DT153"/>
    <mergeCell ref="DM154:DP154"/>
    <mergeCell ref="DQ154:DT154"/>
    <mergeCell ref="DM156:DP156"/>
    <mergeCell ref="DQ156:DT156"/>
    <mergeCell ref="DM155:DP155"/>
    <mergeCell ref="DM157:DP157"/>
    <mergeCell ref="DQ155:DT155"/>
    <mergeCell ref="DQ157:DT157"/>
    <mergeCell ref="CW153:CZ153"/>
    <mergeCell ref="DA153:DD153"/>
    <mergeCell ref="DE153:DH153"/>
    <mergeCell ref="DI153:DL153"/>
    <mergeCell ref="CW154:CZ154"/>
    <mergeCell ref="DA154:DD154"/>
    <mergeCell ref="DE154:DH154"/>
    <mergeCell ref="DI154:DL154"/>
    <mergeCell ref="CW155:CZ155"/>
    <mergeCell ref="DA155:DD155"/>
    <mergeCell ref="DE155:DH155"/>
    <mergeCell ref="DI155:DL155"/>
    <mergeCell ref="CW156:CZ156"/>
    <mergeCell ref="DA156:DD156"/>
    <mergeCell ref="DE156:DH156"/>
    <mergeCell ref="DI156:DL156"/>
    <mergeCell ref="CW157:CZ157"/>
    <mergeCell ref="DA157:DD157"/>
    <mergeCell ref="DE157:DH157"/>
    <mergeCell ref="DI157:DL157"/>
    <mergeCell ref="DM153:DP153"/>
    <mergeCell ref="DQ151:DT151"/>
    <mergeCell ref="DM152:DP152"/>
    <mergeCell ref="DM158:DP158"/>
    <mergeCell ref="DQ158:DT158"/>
    <mergeCell ref="DM160:DP160"/>
    <mergeCell ref="DQ160:DT160"/>
    <mergeCell ref="DM159:DP159"/>
    <mergeCell ref="DM161:DP161"/>
    <mergeCell ref="DQ159:DT159"/>
    <mergeCell ref="DQ161:DT161"/>
    <mergeCell ref="DM162:DP162"/>
    <mergeCell ref="DQ162:DT162"/>
    <mergeCell ref="CW158:CZ158"/>
    <mergeCell ref="DA158:DD158"/>
    <mergeCell ref="DE158:DH158"/>
    <mergeCell ref="DI158:DL158"/>
    <mergeCell ref="CW159:CZ159"/>
    <mergeCell ref="DA159:DD159"/>
    <mergeCell ref="DE159:DH159"/>
    <mergeCell ref="DI159:DL159"/>
    <mergeCell ref="CW160:CZ160"/>
    <mergeCell ref="DA160:DD160"/>
    <mergeCell ref="DE160:DH160"/>
    <mergeCell ref="DI160:DL160"/>
    <mergeCell ref="DA161:DD161"/>
    <mergeCell ref="DE161:DH161"/>
    <mergeCell ref="DI161:DL161"/>
    <mergeCell ref="DA162:DD162"/>
    <mergeCell ref="DE162:DH162"/>
    <mergeCell ref="DI162:DL162"/>
    <mergeCell ref="DE152:DH152"/>
    <mergeCell ref="DI152:DL152"/>
    <mergeCell ref="DI173:DL173"/>
    <mergeCell ref="CW174:CZ174"/>
    <mergeCell ref="DA174:DD174"/>
    <mergeCell ref="DE174:DH174"/>
    <mergeCell ref="DI174:DL174"/>
    <mergeCell ref="DQ174:DT174"/>
    <mergeCell ref="DM169:DP169"/>
    <mergeCell ref="DQ164:DT164"/>
    <mergeCell ref="DM163:DP163"/>
    <mergeCell ref="DM165:DP165"/>
    <mergeCell ref="DQ163:DT163"/>
    <mergeCell ref="DQ165:DT165"/>
    <mergeCell ref="DM166:DP166"/>
    <mergeCell ref="DQ166:DT166"/>
    <mergeCell ref="DQ168:DT168"/>
    <mergeCell ref="DM167:DP167"/>
    <mergeCell ref="DA163:DD163"/>
    <mergeCell ref="DE163:DH163"/>
    <mergeCell ref="DI163:DL163"/>
    <mergeCell ref="CW164:CZ164"/>
    <mergeCell ref="DA164:DD164"/>
    <mergeCell ref="DE164:DH164"/>
    <mergeCell ref="DI164:DL164"/>
    <mergeCell ref="CW165:CZ165"/>
    <mergeCell ref="DA165:DD165"/>
    <mergeCell ref="DE165:DH165"/>
    <mergeCell ref="DI165:DL165"/>
    <mergeCell ref="CW166:CZ166"/>
    <mergeCell ref="DA166:DD166"/>
    <mergeCell ref="DE166:DH166"/>
    <mergeCell ref="DI166:DL166"/>
    <mergeCell ref="DQ169:DT169"/>
    <mergeCell ref="DM170:DP170"/>
    <mergeCell ref="DQ170:DT170"/>
    <mergeCell ref="DM172:DP172"/>
    <mergeCell ref="DQ172:DT172"/>
    <mergeCell ref="DM171:DP171"/>
    <mergeCell ref="DM173:DP173"/>
    <mergeCell ref="DQ171:DT171"/>
    <mergeCell ref="DQ173:DT173"/>
    <mergeCell ref="CW167:CZ167"/>
    <mergeCell ref="DA167:DD167"/>
    <mergeCell ref="DE167:DH167"/>
    <mergeCell ref="DI167:DL167"/>
    <mergeCell ref="CW168:CZ168"/>
    <mergeCell ref="DA168:DD168"/>
    <mergeCell ref="DE168:DH168"/>
    <mergeCell ref="DI168:DL168"/>
    <mergeCell ref="CW169:CZ169"/>
    <mergeCell ref="DA169:DD169"/>
    <mergeCell ref="DE169:DH169"/>
    <mergeCell ref="DI169:DL169"/>
    <mergeCell ref="CW170:CZ170"/>
    <mergeCell ref="DA170:DD170"/>
    <mergeCell ref="DE170:DH170"/>
    <mergeCell ref="DI170:DL170"/>
    <mergeCell ref="CW171:CZ171"/>
    <mergeCell ref="DA171:DD171"/>
    <mergeCell ref="DE171:DH171"/>
    <mergeCell ref="DI171:DL171"/>
    <mergeCell ref="CW172:CZ172"/>
    <mergeCell ref="DA172:DD172"/>
    <mergeCell ref="DM164:DP164"/>
    <mergeCell ref="DQ167:DT167"/>
    <mergeCell ref="DE172:DH172"/>
    <mergeCell ref="DI172:DL172"/>
    <mergeCell ref="DM192:DP192"/>
    <mergeCell ref="DQ192:DT192"/>
    <mergeCell ref="DM191:DP191"/>
    <mergeCell ref="DM193:DP193"/>
    <mergeCell ref="DQ191:DT191"/>
    <mergeCell ref="DQ193:DT193"/>
    <mergeCell ref="DM194:DP194"/>
    <mergeCell ref="DQ194:DT194"/>
    <mergeCell ref="CW189:CZ189"/>
    <mergeCell ref="DA189:DD189"/>
    <mergeCell ref="DE189:DH189"/>
    <mergeCell ref="DI189:DL189"/>
    <mergeCell ref="CW190:CZ190"/>
    <mergeCell ref="DA190:DD190"/>
    <mergeCell ref="DE190:DH190"/>
    <mergeCell ref="DI190:DL190"/>
    <mergeCell ref="CW191:CZ191"/>
    <mergeCell ref="DA191:DD191"/>
    <mergeCell ref="DE191:DH191"/>
    <mergeCell ref="DI191:DL191"/>
    <mergeCell ref="CW192:CZ192"/>
    <mergeCell ref="DA192:DD192"/>
    <mergeCell ref="DE192:DH192"/>
    <mergeCell ref="DI192:DL192"/>
    <mergeCell ref="CW193:CZ193"/>
    <mergeCell ref="DA193:DD193"/>
    <mergeCell ref="DE193:DH193"/>
    <mergeCell ref="DI193:DL193"/>
    <mergeCell ref="CW194:CZ194"/>
    <mergeCell ref="DA194:DD194"/>
    <mergeCell ref="DE194:DH194"/>
    <mergeCell ref="DI194:DL194"/>
    <mergeCell ref="DM185:DP185"/>
    <mergeCell ref="DQ185:DT185"/>
    <mergeCell ref="DM186:DP186"/>
    <mergeCell ref="DQ186:DT186"/>
    <mergeCell ref="DM188:DP188"/>
    <mergeCell ref="DQ188:DT188"/>
    <mergeCell ref="DM187:DP187"/>
    <mergeCell ref="DM189:DP189"/>
    <mergeCell ref="DQ187:DT187"/>
    <mergeCell ref="DQ189:DT189"/>
    <mergeCell ref="CW185:CZ185"/>
    <mergeCell ref="DA185:DD185"/>
    <mergeCell ref="DE185:DH185"/>
    <mergeCell ref="DI185:DL185"/>
    <mergeCell ref="CW186:CZ186"/>
    <mergeCell ref="DA186:DD186"/>
    <mergeCell ref="DE186:DH186"/>
    <mergeCell ref="DI186:DL186"/>
    <mergeCell ref="CW187:CZ187"/>
    <mergeCell ref="DA187:DD187"/>
    <mergeCell ref="DE187:DH187"/>
    <mergeCell ref="DI187:DL187"/>
    <mergeCell ref="CW188:CZ188"/>
    <mergeCell ref="DA188:DD188"/>
    <mergeCell ref="DE188:DH188"/>
    <mergeCell ref="DI188:DL188"/>
    <mergeCell ref="DM174:DP174"/>
    <mergeCell ref="CW173:CZ173"/>
    <mergeCell ref="DA173:DD173"/>
    <mergeCell ref="DE173:DH173"/>
    <mergeCell ref="CU65:CV65"/>
    <mergeCell ref="CU66:CV66"/>
    <mergeCell ref="CU67:CV67"/>
    <mergeCell ref="CU68:CV68"/>
    <mergeCell ref="CU69:CV69"/>
    <mergeCell ref="CU70:CV70"/>
    <mergeCell ref="CU71:CV71"/>
    <mergeCell ref="CU72:CV72"/>
    <mergeCell ref="CU73:CV73"/>
    <mergeCell ref="CU74:CV74"/>
    <mergeCell ref="CU75:CV75"/>
    <mergeCell ref="CU76:CV76"/>
    <mergeCell ref="CU77:CV77"/>
    <mergeCell ref="CU78:CV78"/>
    <mergeCell ref="CU79:CV79"/>
    <mergeCell ref="CU80:CV80"/>
    <mergeCell ref="CU81:CV81"/>
    <mergeCell ref="CU82:CV82"/>
    <mergeCell ref="CU83:CV83"/>
    <mergeCell ref="CU84:CV84"/>
    <mergeCell ref="CU85:CV85"/>
    <mergeCell ref="CU86:CV86"/>
    <mergeCell ref="CU87:CV87"/>
    <mergeCell ref="CU88:CV88"/>
    <mergeCell ref="CU89:CV89"/>
    <mergeCell ref="CU90:CV90"/>
    <mergeCell ref="CU91:CV91"/>
    <mergeCell ref="CU92:CV92"/>
    <mergeCell ref="CU93:CV93"/>
    <mergeCell ref="CU94:CV94"/>
    <mergeCell ref="CU95:CV95"/>
    <mergeCell ref="CU96:CV96"/>
    <mergeCell ref="CU97:CV97"/>
    <mergeCell ref="CU98:CV98"/>
    <mergeCell ref="CU99:CV99"/>
    <mergeCell ref="CU100:CV100"/>
    <mergeCell ref="CU101:CV101"/>
    <mergeCell ref="CU102:CV102"/>
    <mergeCell ref="CU103:CV103"/>
    <mergeCell ref="CU104:CV104"/>
    <mergeCell ref="CU105:CV105"/>
    <mergeCell ref="CU106:CV106"/>
    <mergeCell ref="CU107:CV107"/>
    <mergeCell ref="CU108:CV108"/>
    <mergeCell ref="CU109:CV109"/>
    <mergeCell ref="CU110:CV110"/>
    <mergeCell ref="CU111:CV111"/>
    <mergeCell ref="CU112:CV112"/>
    <mergeCell ref="CU113:CV113"/>
    <mergeCell ref="CU114:CV114"/>
    <mergeCell ref="CU115:CV115"/>
    <mergeCell ref="CU116:CV116"/>
    <mergeCell ref="CU117:CV117"/>
    <mergeCell ref="CU118:CV118"/>
    <mergeCell ref="CU119:CV119"/>
    <mergeCell ref="CU120:CV120"/>
    <mergeCell ref="CU121:CV121"/>
    <mergeCell ref="CU122:CV122"/>
    <mergeCell ref="CU123:CV123"/>
    <mergeCell ref="CU124:CV124"/>
    <mergeCell ref="CU125:CV125"/>
    <mergeCell ref="CU126:CV126"/>
    <mergeCell ref="CU127:CV127"/>
    <mergeCell ref="CU128:CV128"/>
    <mergeCell ref="CU129:CV129"/>
    <mergeCell ref="CU130:CV130"/>
    <mergeCell ref="CU191:CV191"/>
    <mergeCell ref="CU192:CV192"/>
    <mergeCell ref="CU193:CV193"/>
    <mergeCell ref="CU194:CV194"/>
    <mergeCell ref="CU185:CV185"/>
    <mergeCell ref="CU186:CV186"/>
    <mergeCell ref="CU187:CV187"/>
    <mergeCell ref="CU188:CV188"/>
    <mergeCell ref="CU138:CV138"/>
    <mergeCell ref="CU139:CV139"/>
    <mergeCell ref="CU140:CV140"/>
    <mergeCell ref="CU141:CV141"/>
    <mergeCell ref="CU142:CV142"/>
    <mergeCell ref="CW122:CZ122"/>
    <mergeCell ref="DA122:DD122"/>
    <mergeCell ref="CW123:CZ123"/>
    <mergeCell ref="DA123:DD123"/>
    <mergeCell ref="CW124:CZ124"/>
    <mergeCell ref="DA124:DD124"/>
    <mergeCell ref="CW125:CZ125"/>
    <mergeCell ref="DA125:DD125"/>
    <mergeCell ref="CW126:CZ126"/>
    <mergeCell ref="DA126:DD126"/>
    <mergeCell ref="CW127:CZ127"/>
    <mergeCell ref="DA127:DD127"/>
    <mergeCell ref="CW128:CZ128"/>
    <mergeCell ref="DA128:DD128"/>
    <mergeCell ref="CW129:CZ129"/>
    <mergeCell ref="DA129:DD129"/>
    <mergeCell ref="CW130:CZ130"/>
    <mergeCell ref="DA130:DD130"/>
    <mergeCell ref="CW131:CZ131"/>
    <mergeCell ref="DA131:DD131"/>
    <mergeCell ref="CW132:CZ132"/>
    <mergeCell ref="DA132:DD132"/>
    <mergeCell ref="CW133:CZ133"/>
    <mergeCell ref="DA133:DD133"/>
    <mergeCell ref="CW134:CZ134"/>
    <mergeCell ref="DA134:DD134"/>
    <mergeCell ref="CW135:CZ135"/>
    <mergeCell ref="DA135:DD135"/>
    <mergeCell ref="CW136:CZ136"/>
    <mergeCell ref="DA136:DD136"/>
    <mergeCell ref="CW137:CZ137"/>
    <mergeCell ref="CU131:CV131"/>
    <mergeCell ref="CU132:CV132"/>
    <mergeCell ref="CU133:CV133"/>
    <mergeCell ref="CU134:CV134"/>
    <mergeCell ref="CU135:CV135"/>
    <mergeCell ref="CU136:CV136"/>
    <mergeCell ref="CU137:CV137"/>
    <mergeCell ref="CW183:CZ183"/>
    <mergeCell ref="DA183:DD183"/>
    <mergeCell ref="CW184:CZ184"/>
    <mergeCell ref="DA184:DD184"/>
    <mergeCell ref="CW179:CZ179"/>
    <mergeCell ref="DA179:DD179"/>
    <mergeCell ref="CW180:CZ180"/>
    <mergeCell ref="DA180:DD180"/>
    <mergeCell ref="CW181:CZ181"/>
    <mergeCell ref="DA181:DD181"/>
    <mergeCell ref="CW182:CZ182"/>
    <mergeCell ref="DA182:DD182"/>
    <mergeCell ref="CU163:CV163"/>
    <mergeCell ref="CU175:CV175"/>
    <mergeCell ref="CU176:CV176"/>
    <mergeCell ref="CU177:CV177"/>
    <mergeCell ref="CU178:CV178"/>
    <mergeCell ref="CU189:CV189"/>
    <mergeCell ref="CU190:CV190"/>
    <mergeCell ref="CU179:CV179"/>
    <mergeCell ref="CU180:CV180"/>
    <mergeCell ref="CU181:CV181"/>
    <mergeCell ref="CU182:CV182"/>
    <mergeCell ref="CU183:CV183"/>
    <mergeCell ref="CU184:CV184"/>
    <mergeCell ref="DM190:DP190"/>
    <mergeCell ref="DQ190:DT190"/>
    <mergeCell ref="DQ183:DT183"/>
    <mergeCell ref="DM184:DP184"/>
    <mergeCell ref="DE183:DH183"/>
    <mergeCell ref="DI183:DL183"/>
    <mergeCell ref="DE184:DH184"/>
    <mergeCell ref="DI184:DL184"/>
    <mergeCell ref="DM180:DP180"/>
    <mergeCell ref="DQ180:DT180"/>
    <mergeCell ref="DM179:DP179"/>
    <mergeCell ref="DM181:DP181"/>
    <mergeCell ref="DQ179:DT179"/>
    <mergeCell ref="DQ181:DT181"/>
    <mergeCell ref="DM182:DP182"/>
    <mergeCell ref="DQ182:DT182"/>
    <mergeCell ref="DQ184:DT184"/>
    <mergeCell ref="DM183:DP183"/>
    <mergeCell ref="DE179:DH179"/>
    <mergeCell ref="DI179:DL179"/>
    <mergeCell ref="DE180:DH180"/>
    <mergeCell ref="DI180:DL180"/>
    <mergeCell ref="DE181:DH181"/>
    <mergeCell ref="DI181:DL181"/>
    <mergeCell ref="DE182:DH182"/>
    <mergeCell ref="DI182:DL182"/>
    <mergeCell ref="DM176:DP176"/>
    <mergeCell ref="DQ176:DT176"/>
    <mergeCell ref="DM175:DP175"/>
    <mergeCell ref="DM177:DP177"/>
    <mergeCell ref="DQ175:DT175"/>
    <mergeCell ref="DQ177:DT177"/>
    <mergeCell ref="DM178:DP178"/>
    <mergeCell ref="DQ178:DT178"/>
    <mergeCell ref="CW175:CZ175"/>
    <mergeCell ref="DA175:DD175"/>
    <mergeCell ref="DE175:DH175"/>
    <mergeCell ref="DI175:DL175"/>
    <mergeCell ref="CW176:CZ176"/>
    <mergeCell ref="DA176:DD176"/>
    <mergeCell ref="DE176:DH176"/>
    <mergeCell ref="DI176:DL176"/>
    <mergeCell ref="CW177:CZ177"/>
    <mergeCell ref="DA177:DD177"/>
    <mergeCell ref="DE177:DH177"/>
    <mergeCell ref="DI177:DL177"/>
    <mergeCell ref="CW178:CZ178"/>
    <mergeCell ref="DA178:DD178"/>
    <mergeCell ref="DE178:DH178"/>
    <mergeCell ref="DI178:DL178"/>
    <mergeCell ref="ER116:EU116"/>
    <mergeCell ref="DX113:EA113"/>
    <mergeCell ref="EB113:EE113"/>
    <mergeCell ref="EF113:EI113"/>
    <mergeCell ref="EJ113:EM113"/>
    <mergeCell ref="DX114:EA114"/>
    <mergeCell ref="EB114:EE114"/>
    <mergeCell ref="EF114:EI114"/>
    <mergeCell ref="EJ114:EM114"/>
    <mergeCell ref="DX115:EA115"/>
    <mergeCell ref="EB115:EE115"/>
    <mergeCell ref="EF115:EI115"/>
    <mergeCell ref="EJ115:EM115"/>
    <mergeCell ref="DX116:EA116"/>
    <mergeCell ref="EB116:EE116"/>
    <mergeCell ref="EF116:EI116"/>
    <mergeCell ref="EJ116:EM116"/>
    <mergeCell ref="ER107:EU107"/>
    <mergeCell ref="DV108:DW108"/>
    <mergeCell ref="EN108:EQ108"/>
    <mergeCell ref="ER108:EU108"/>
    <mergeCell ref="DV109:DW109"/>
    <mergeCell ref="EN109:EQ109"/>
    <mergeCell ref="ER109:EU109"/>
    <mergeCell ref="DV110:DW110"/>
    <mergeCell ref="EN110:EQ110"/>
    <mergeCell ref="ER110:EU110"/>
    <mergeCell ref="DV111:DW111"/>
    <mergeCell ref="EN111:EQ111"/>
    <mergeCell ref="ER111:EU111"/>
    <mergeCell ref="DV117:DW117"/>
    <mergeCell ref="EN117:EQ117"/>
    <mergeCell ref="ER117:EU117"/>
    <mergeCell ref="DX108:EA108"/>
    <mergeCell ref="EB108:EE108"/>
    <mergeCell ref="EF108:EI108"/>
    <mergeCell ref="EJ108:EM108"/>
    <mergeCell ref="DX109:EA109"/>
    <mergeCell ref="EB109:EE109"/>
    <mergeCell ref="EF109:EI109"/>
    <mergeCell ref="EJ109:EM109"/>
    <mergeCell ref="DX110:EA110"/>
    <mergeCell ref="EB110:EE110"/>
    <mergeCell ref="EF110:EI110"/>
    <mergeCell ref="EJ110:EM110"/>
    <mergeCell ref="DX111:EA111"/>
    <mergeCell ref="EB111:EE111"/>
    <mergeCell ref="EF111:EI111"/>
    <mergeCell ref="EJ111:EM111"/>
    <mergeCell ref="DX112:EA112"/>
    <mergeCell ref="EB112:EE112"/>
    <mergeCell ref="EF112:EI112"/>
    <mergeCell ref="EJ112:EM112"/>
    <mergeCell ref="DX121:EA121"/>
    <mergeCell ref="EB121:EE121"/>
    <mergeCell ref="EF121:EI121"/>
    <mergeCell ref="EJ121:EM121"/>
    <mergeCell ref="DV122:DW122"/>
    <mergeCell ref="EN122:EQ122"/>
    <mergeCell ref="ER122:EU122"/>
    <mergeCell ref="DV118:DW118"/>
    <mergeCell ref="EN123:EQ123"/>
    <mergeCell ref="ER123:EU123"/>
    <mergeCell ref="DV124:DW124"/>
    <mergeCell ref="EN124:EQ124"/>
    <mergeCell ref="ER124:EU124"/>
    <mergeCell ref="DV125:DW125"/>
    <mergeCell ref="EN125:EQ125"/>
    <mergeCell ref="ER125:EU125"/>
    <mergeCell ref="DV126:DW126"/>
    <mergeCell ref="EN126:EQ126"/>
    <mergeCell ref="ER126:EU126"/>
    <mergeCell ref="DX122:EA122"/>
    <mergeCell ref="EB122:EE122"/>
    <mergeCell ref="EF122:EI122"/>
    <mergeCell ref="EJ122:EM122"/>
    <mergeCell ref="DX123:EA123"/>
    <mergeCell ref="EB123:EE123"/>
    <mergeCell ref="EF123:EI123"/>
    <mergeCell ref="EJ123:EM123"/>
    <mergeCell ref="DX124:EA124"/>
    <mergeCell ref="EB124:EE124"/>
    <mergeCell ref="EF124:EI124"/>
    <mergeCell ref="EJ124:EM124"/>
    <mergeCell ref="DX125:EA125"/>
    <mergeCell ref="EB125:EE125"/>
    <mergeCell ref="EF125:EI125"/>
    <mergeCell ref="EJ125:EM125"/>
    <mergeCell ref="DX126:EA126"/>
    <mergeCell ref="EB126:EE126"/>
    <mergeCell ref="EF126:EI126"/>
    <mergeCell ref="EJ126:EM126"/>
    <mergeCell ref="DV127:DW127"/>
    <mergeCell ref="EN127:EQ127"/>
    <mergeCell ref="ER127:EU127"/>
    <mergeCell ref="DV123:DW123"/>
    <mergeCell ref="EN128:EQ128"/>
    <mergeCell ref="ER128:EU128"/>
    <mergeCell ref="DV129:DW129"/>
    <mergeCell ref="EN129:EQ129"/>
    <mergeCell ref="ER129:EU129"/>
    <mergeCell ref="DV130:DW130"/>
    <mergeCell ref="EN130:EQ130"/>
    <mergeCell ref="ER130:EU130"/>
    <mergeCell ref="DV131:DW131"/>
    <mergeCell ref="EN131:EQ131"/>
    <mergeCell ref="ER131:EU131"/>
    <mergeCell ref="DX127:EA127"/>
    <mergeCell ref="EB127:EE127"/>
    <mergeCell ref="EF127:EI127"/>
    <mergeCell ref="EJ127:EM127"/>
    <mergeCell ref="DX128:EA128"/>
    <mergeCell ref="EB128:EE128"/>
    <mergeCell ref="EF128:EI128"/>
    <mergeCell ref="EJ128:EM128"/>
    <mergeCell ref="DX129:EA129"/>
    <mergeCell ref="EB129:EE129"/>
    <mergeCell ref="EF129:EI129"/>
    <mergeCell ref="EJ129:EM129"/>
    <mergeCell ref="DX130:EA130"/>
    <mergeCell ref="EB130:EE130"/>
    <mergeCell ref="EF130:EI130"/>
    <mergeCell ref="EJ130:EM130"/>
    <mergeCell ref="DX131:EA131"/>
    <mergeCell ref="EB131:EE131"/>
    <mergeCell ref="EF131:EI131"/>
    <mergeCell ref="EJ131:EM131"/>
    <mergeCell ref="DV132:DW132"/>
    <mergeCell ref="EN132:EQ132"/>
    <mergeCell ref="ER132:EU132"/>
    <mergeCell ref="DV128:DW128"/>
    <mergeCell ref="EN133:EQ133"/>
    <mergeCell ref="ER133:EU133"/>
    <mergeCell ref="DV134:DW134"/>
    <mergeCell ref="EN134:EQ134"/>
    <mergeCell ref="ER134:EU134"/>
    <mergeCell ref="DV135:DW135"/>
    <mergeCell ref="EN135:EQ135"/>
    <mergeCell ref="ER135:EU135"/>
    <mergeCell ref="DV136:DW136"/>
    <mergeCell ref="EN136:EQ136"/>
    <mergeCell ref="ER136:EU136"/>
    <mergeCell ref="DX132:EA132"/>
    <mergeCell ref="EB132:EE132"/>
    <mergeCell ref="EF132:EI132"/>
    <mergeCell ref="EJ132:EM132"/>
    <mergeCell ref="DX133:EA133"/>
    <mergeCell ref="EB133:EE133"/>
    <mergeCell ref="EF133:EI133"/>
    <mergeCell ref="EJ133:EM133"/>
    <mergeCell ref="DX134:EA134"/>
    <mergeCell ref="EB134:EE134"/>
    <mergeCell ref="EF134:EI134"/>
    <mergeCell ref="EJ134:EM134"/>
    <mergeCell ref="DX135:EA135"/>
    <mergeCell ref="EB135:EE135"/>
    <mergeCell ref="EF135:EI135"/>
    <mergeCell ref="EJ135:EM135"/>
    <mergeCell ref="DX136:EA136"/>
    <mergeCell ref="EB136:EE136"/>
    <mergeCell ref="EF136:EI136"/>
    <mergeCell ref="EJ136:EM136"/>
    <mergeCell ref="DV137:DW137"/>
    <mergeCell ref="EN137:EQ137"/>
    <mergeCell ref="ER137:EU137"/>
    <mergeCell ref="DV133:DW133"/>
    <mergeCell ref="EN138:EQ138"/>
    <mergeCell ref="ER138:EU138"/>
    <mergeCell ref="DV139:DW139"/>
    <mergeCell ref="EN139:EQ139"/>
    <mergeCell ref="ER139:EU139"/>
    <mergeCell ref="DV140:DW140"/>
    <mergeCell ref="EN140:EQ140"/>
    <mergeCell ref="ER140:EU140"/>
    <mergeCell ref="DV141:DW141"/>
    <mergeCell ref="EN141:EQ141"/>
    <mergeCell ref="ER141:EU141"/>
    <mergeCell ref="DX137:EA137"/>
    <mergeCell ref="EB137:EE137"/>
    <mergeCell ref="EF137:EI137"/>
    <mergeCell ref="EJ137:EM137"/>
    <mergeCell ref="DX138:EA138"/>
    <mergeCell ref="EB138:EE138"/>
    <mergeCell ref="EF138:EI138"/>
    <mergeCell ref="EJ138:EM138"/>
    <mergeCell ref="DX139:EA139"/>
    <mergeCell ref="EB139:EE139"/>
    <mergeCell ref="EF139:EI139"/>
    <mergeCell ref="EJ139:EM139"/>
    <mergeCell ref="DX140:EA140"/>
    <mergeCell ref="EB140:EE140"/>
    <mergeCell ref="EF140:EI140"/>
    <mergeCell ref="EJ140:EM140"/>
    <mergeCell ref="DX141:EA141"/>
    <mergeCell ref="EB141:EE141"/>
    <mergeCell ref="EF141:EI141"/>
    <mergeCell ref="EJ141:EM141"/>
    <mergeCell ref="DV142:DW142"/>
    <mergeCell ref="EN142:EQ142"/>
    <mergeCell ref="ER142:EU142"/>
    <mergeCell ref="DV138:DW138"/>
    <mergeCell ref="EN143:EQ143"/>
    <mergeCell ref="ER143:EU143"/>
    <mergeCell ref="DV144:DW144"/>
    <mergeCell ref="EN144:EQ144"/>
    <mergeCell ref="ER144:EU144"/>
    <mergeCell ref="DV145:DW145"/>
    <mergeCell ref="EN145:EQ145"/>
    <mergeCell ref="ER145:EU145"/>
    <mergeCell ref="DV146:DW146"/>
    <mergeCell ref="EN146:EQ146"/>
    <mergeCell ref="ER146:EU146"/>
    <mergeCell ref="DX142:EA142"/>
    <mergeCell ref="EB142:EE142"/>
    <mergeCell ref="EF142:EI142"/>
    <mergeCell ref="EJ142:EM142"/>
    <mergeCell ref="DX143:EA143"/>
    <mergeCell ref="EB143:EE143"/>
    <mergeCell ref="EF143:EI143"/>
    <mergeCell ref="EJ143:EM143"/>
    <mergeCell ref="DX144:EA144"/>
    <mergeCell ref="EB144:EE144"/>
    <mergeCell ref="EF144:EI144"/>
    <mergeCell ref="EJ144:EM144"/>
    <mergeCell ref="DX145:EA145"/>
    <mergeCell ref="EB145:EE145"/>
    <mergeCell ref="EF145:EI145"/>
    <mergeCell ref="EJ145:EM145"/>
    <mergeCell ref="DX146:EA146"/>
    <mergeCell ref="EB146:EE146"/>
    <mergeCell ref="EF146:EI146"/>
    <mergeCell ref="EJ146:EM146"/>
    <mergeCell ref="DV147:DW147"/>
    <mergeCell ref="EN147:EQ147"/>
    <mergeCell ref="ER147:EU147"/>
    <mergeCell ref="DV143:DW143"/>
    <mergeCell ref="EN148:EQ148"/>
    <mergeCell ref="ER148:EU148"/>
    <mergeCell ref="DV149:DW149"/>
    <mergeCell ref="EN149:EQ149"/>
    <mergeCell ref="ER149:EU149"/>
    <mergeCell ref="DV150:DW150"/>
    <mergeCell ref="EN150:EQ150"/>
    <mergeCell ref="ER150:EU150"/>
    <mergeCell ref="DV151:DW151"/>
    <mergeCell ref="EN151:EQ151"/>
    <mergeCell ref="ER151:EU151"/>
    <mergeCell ref="DX147:EA147"/>
    <mergeCell ref="EB147:EE147"/>
    <mergeCell ref="EF147:EI147"/>
    <mergeCell ref="EJ147:EM147"/>
    <mergeCell ref="DX148:EA148"/>
    <mergeCell ref="EB148:EE148"/>
    <mergeCell ref="EF148:EI148"/>
    <mergeCell ref="EJ148:EM148"/>
    <mergeCell ref="DX149:EA149"/>
    <mergeCell ref="EB149:EE149"/>
    <mergeCell ref="EF149:EI149"/>
    <mergeCell ref="EJ149:EM149"/>
    <mergeCell ref="DX150:EA150"/>
    <mergeCell ref="EB150:EE150"/>
    <mergeCell ref="EF150:EI150"/>
    <mergeCell ref="EJ150:EM150"/>
    <mergeCell ref="DX151:EA151"/>
    <mergeCell ref="EB151:EE151"/>
    <mergeCell ref="EF151:EI151"/>
    <mergeCell ref="EJ151:EM151"/>
    <mergeCell ref="DV152:DW152"/>
    <mergeCell ref="EN152:EQ152"/>
    <mergeCell ref="ER152:EU152"/>
    <mergeCell ref="DV148:DW148"/>
    <mergeCell ref="EN153:EQ153"/>
    <mergeCell ref="ER153:EU153"/>
    <mergeCell ref="DV154:DW154"/>
    <mergeCell ref="EN154:EQ154"/>
    <mergeCell ref="ER154:EU154"/>
    <mergeCell ref="DV155:DW155"/>
    <mergeCell ref="EN155:EQ155"/>
    <mergeCell ref="ER155:EU155"/>
    <mergeCell ref="DV156:DW156"/>
    <mergeCell ref="EN156:EQ156"/>
    <mergeCell ref="ER156:EU156"/>
    <mergeCell ref="DX152:EA152"/>
    <mergeCell ref="EB152:EE152"/>
    <mergeCell ref="EF152:EI152"/>
    <mergeCell ref="EJ152:EM152"/>
    <mergeCell ref="DX153:EA153"/>
    <mergeCell ref="EB153:EE153"/>
    <mergeCell ref="EF153:EI153"/>
    <mergeCell ref="EJ153:EM153"/>
    <mergeCell ref="DX154:EA154"/>
    <mergeCell ref="EB154:EE154"/>
    <mergeCell ref="EF154:EI154"/>
    <mergeCell ref="EJ154:EM154"/>
    <mergeCell ref="DX155:EA155"/>
    <mergeCell ref="EB155:EE155"/>
    <mergeCell ref="EF155:EI155"/>
    <mergeCell ref="EJ155:EM155"/>
    <mergeCell ref="DX156:EA156"/>
    <mergeCell ref="EB156:EE156"/>
    <mergeCell ref="EF156:EI156"/>
    <mergeCell ref="EJ156:EM156"/>
    <mergeCell ref="DV157:DW157"/>
    <mergeCell ref="EN157:EQ157"/>
    <mergeCell ref="ER157:EU157"/>
    <mergeCell ref="DV153:DW153"/>
    <mergeCell ref="EN158:EQ158"/>
    <mergeCell ref="ER158:EU158"/>
    <mergeCell ref="DV159:DW159"/>
    <mergeCell ref="EN159:EQ159"/>
    <mergeCell ref="ER159:EU159"/>
    <mergeCell ref="DV160:DW160"/>
    <mergeCell ref="EN160:EQ160"/>
    <mergeCell ref="ER160:EU160"/>
    <mergeCell ref="DV161:DW161"/>
    <mergeCell ref="EN161:EQ161"/>
    <mergeCell ref="ER161:EU161"/>
    <mergeCell ref="DX157:EA157"/>
    <mergeCell ref="EB157:EE157"/>
    <mergeCell ref="EF157:EI157"/>
    <mergeCell ref="EJ157:EM157"/>
    <mergeCell ref="DX158:EA158"/>
    <mergeCell ref="EB158:EE158"/>
    <mergeCell ref="EF158:EI158"/>
    <mergeCell ref="EJ158:EM158"/>
    <mergeCell ref="DX159:EA159"/>
    <mergeCell ref="EB159:EE159"/>
    <mergeCell ref="EF159:EI159"/>
    <mergeCell ref="EJ159:EM159"/>
    <mergeCell ref="DX160:EA160"/>
    <mergeCell ref="EB160:EE160"/>
    <mergeCell ref="EF160:EI160"/>
    <mergeCell ref="EJ160:EM160"/>
    <mergeCell ref="DX161:EA161"/>
    <mergeCell ref="EB161:EE161"/>
    <mergeCell ref="EF161:EI161"/>
    <mergeCell ref="EJ161:EM161"/>
    <mergeCell ref="ER164:EU164"/>
    <mergeCell ref="DV165:DW165"/>
    <mergeCell ref="EN165:EQ165"/>
    <mergeCell ref="ER165:EU165"/>
    <mergeCell ref="DV166:DW166"/>
    <mergeCell ref="EN166:EQ166"/>
    <mergeCell ref="ER166:EU166"/>
    <mergeCell ref="DX162:EA162"/>
    <mergeCell ref="EB162:EE162"/>
    <mergeCell ref="EF162:EI162"/>
    <mergeCell ref="EJ162:EM162"/>
    <mergeCell ref="DX163:EA163"/>
    <mergeCell ref="EB163:EE163"/>
    <mergeCell ref="EF163:EI163"/>
    <mergeCell ref="EJ163:EM163"/>
    <mergeCell ref="DX164:EA164"/>
    <mergeCell ref="EB164:EE164"/>
    <mergeCell ref="EF164:EI164"/>
    <mergeCell ref="EJ164:EM164"/>
    <mergeCell ref="DX165:EA165"/>
    <mergeCell ref="EB165:EE165"/>
    <mergeCell ref="EF165:EI165"/>
    <mergeCell ref="EJ165:EM165"/>
    <mergeCell ref="DX166:EA166"/>
    <mergeCell ref="EB166:EE166"/>
    <mergeCell ref="EF166:EI166"/>
    <mergeCell ref="EJ166:EM166"/>
    <mergeCell ref="DX174:EA174"/>
    <mergeCell ref="EB174:EE174"/>
    <mergeCell ref="EF174:EI174"/>
    <mergeCell ref="EJ174:EM174"/>
    <mergeCell ref="EN167:EQ167"/>
    <mergeCell ref="ER167:EU167"/>
    <mergeCell ref="DV168:DW168"/>
    <mergeCell ref="EN168:EQ168"/>
    <mergeCell ref="ER168:EU168"/>
    <mergeCell ref="DV169:DW169"/>
    <mergeCell ref="EN169:EQ169"/>
    <mergeCell ref="ER169:EU169"/>
    <mergeCell ref="DV170:DW170"/>
    <mergeCell ref="EN170:EQ170"/>
    <mergeCell ref="ER170:EU170"/>
    <mergeCell ref="DV171:DW171"/>
    <mergeCell ref="EN171:EQ171"/>
    <mergeCell ref="ER171:EU171"/>
    <mergeCell ref="DX167:EA167"/>
    <mergeCell ref="EB167:EE167"/>
    <mergeCell ref="EF167:EI167"/>
    <mergeCell ref="EJ167:EM167"/>
    <mergeCell ref="DX168:EA168"/>
    <mergeCell ref="EB168:EE168"/>
    <mergeCell ref="EF168:EI168"/>
    <mergeCell ref="EJ168:EM168"/>
    <mergeCell ref="DX169:EA169"/>
    <mergeCell ref="EB169:EE169"/>
    <mergeCell ref="EF169:EI169"/>
    <mergeCell ref="EJ169:EM169"/>
    <mergeCell ref="DX170:EA170"/>
    <mergeCell ref="EB170:EE170"/>
    <mergeCell ref="EJ171:EM171"/>
    <mergeCell ref="ER163:EU163"/>
    <mergeCell ref="DV164:DW164"/>
    <mergeCell ref="EN164:EQ164"/>
    <mergeCell ref="DV167:DW167"/>
    <mergeCell ref="FO80:FR80"/>
    <mergeCell ref="FS80:FV80"/>
    <mergeCell ref="FO82:FR82"/>
    <mergeCell ref="FS82:FV82"/>
    <mergeCell ref="FO81:FR81"/>
    <mergeCell ref="FO83:FR83"/>
    <mergeCell ref="FS81:FV81"/>
    <mergeCell ref="FS83:FV83"/>
    <mergeCell ref="FO84:FR84"/>
    <mergeCell ref="FS84:FV84"/>
    <mergeCell ref="EY80:FB80"/>
    <mergeCell ref="FC80:FF80"/>
    <mergeCell ref="FG80:FJ80"/>
    <mergeCell ref="FK80:FN80"/>
    <mergeCell ref="EW85:EX85"/>
    <mergeCell ref="FO85:FR85"/>
    <mergeCell ref="FS85:FV85"/>
    <mergeCell ref="EW86:EX86"/>
    <mergeCell ref="EN180:EQ180"/>
    <mergeCell ref="ER180:EU180"/>
    <mergeCell ref="DV181:DW181"/>
    <mergeCell ref="EN181:EQ181"/>
    <mergeCell ref="ER181:EU181"/>
    <mergeCell ref="DX177:EA177"/>
    <mergeCell ref="EB177:EE177"/>
    <mergeCell ref="EF177:EI177"/>
    <mergeCell ref="EJ177:EM177"/>
    <mergeCell ref="DX178:EA178"/>
    <mergeCell ref="EB178:EE178"/>
    <mergeCell ref="EF178:EI178"/>
    <mergeCell ref="EJ178:EM178"/>
    <mergeCell ref="DX179:EA179"/>
    <mergeCell ref="EB179:EE179"/>
    <mergeCell ref="EF179:EI179"/>
    <mergeCell ref="EJ179:EM179"/>
    <mergeCell ref="DX180:EA180"/>
    <mergeCell ref="EB180:EE180"/>
    <mergeCell ref="EF180:EI180"/>
    <mergeCell ref="EJ180:EM180"/>
    <mergeCell ref="DX181:EA181"/>
    <mergeCell ref="EB181:EE181"/>
    <mergeCell ref="EF181:EI181"/>
    <mergeCell ref="EJ181:EM181"/>
    <mergeCell ref="FO86:FR86"/>
    <mergeCell ref="FS86:FV86"/>
    <mergeCell ref="EW87:EX87"/>
    <mergeCell ref="FO87:FR87"/>
    <mergeCell ref="FS87:FV87"/>
    <mergeCell ref="EW88:EX88"/>
    <mergeCell ref="FO88:FR88"/>
    <mergeCell ref="FS88:FV88"/>
    <mergeCell ref="EW89:EX89"/>
    <mergeCell ref="FO89:FR89"/>
    <mergeCell ref="FS89:FV89"/>
    <mergeCell ref="EY85:FB85"/>
    <mergeCell ref="DX175:EA175"/>
    <mergeCell ref="EB175:EE175"/>
    <mergeCell ref="EF175:EI175"/>
    <mergeCell ref="DV163:DW163"/>
    <mergeCell ref="EN163:EQ163"/>
    <mergeCell ref="DV162:DW162"/>
    <mergeCell ref="EN162:EQ162"/>
    <mergeCell ref="ER162:EU162"/>
    <mergeCell ref="DV158:DW158"/>
    <mergeCell ref="DV194:DW194"/>
    <mergeCell ref="EN194:EQ194"/>
    <mergeCell ref="ER194:EU194"/>
    <mergeCell ref="DV191:DW191"/>
    <mergeCell ref="EN191:EQ191"/>
    <mergeCell ref="ER191:EU191"/>
    <mergeCell ref="DX191:EA191"/>
    <mergeCell ref="EB191:EE191"/>
    <mergeCell ref="EF191:EI191"/>
    <mergeCell ref="EJ191:EM191"/>
    <mergeCell ref="EN184:EQ184"/>
    <mergeCell ref="ER184:EU184"/>
    <mergeCell ref="DV185:DW185"/>
    <mergeCell ref="EN185:EQ185"/>
    <mergeCell ref="ER185:EU185"/>
    <mergeCell ref="DV186:DW186"/>
    <mergeCell ref="EN186:EQ186"/>
    <mergeCell ref="ER186:EU186"/>
    <mergeCell ref="DV187:DW187"/>
    <mergeCell ref="EN187:EQ187"/>
    <mergeCell ref="ER187:EU187"/>
    <mergeCell ref="DV188:DW188"/>
    <mergeCell ref="EN188:EQ188"/>
    <mergeCell ref="ER188:EU188"/>
    <mergeCell ref="DV189:DW189"/>
    <mergeCell ref="EN189:EQ189"/>
    <mergeCell ref="ER189:EU189"/>
    <mergeCell ref="DV190:DW190"/>
    <mergeCell ref="EN190:EQ190"/>
    <mergeCell ref="ER190:EU190"/>
    <mergeCell ref="DX187:EA187"/>
    <mergeCell ref="EB187:EE187"/>
    <mergeCell ref="EF187:EI187"/>
    <mergeCell ref="EJ187:EM187"/>
    <mergeCell ref="DX188:EA188"/>
    <mergeCell ref="EB188:EE188"/>
    <mergeCell ref="EF188:EI188"/>
    <mergeCell ref="EJ188:EM188"/>
    <mergeCell ref="DX189:EA189"/>
    <mergeCell ref="EB189:EE189"/>
    <mergeCell ref="EF189:EI189"/>
    <mergeCell ref="DV184:DW184"/>
    <mergeCell ref="DX192:EA192"/>
    <mergeCell ref="EB192:EE192"/>
    <mergeCell ref="EF192:EI192"/>
    <mergeCell ref="EJ192:EM192"/>
    <mergeCell ref="DX193:EA193"/>
    <mergeCell ref="EB193:EE193"/>
    <mergeCell ref="EF193:EI193"/>
    <mergeCell ref="EJ193:EM193"/>
    <mergeCell ref="DX194:EA194"/>
    <mergeCell ref="EB194:EE194"/>
    <mergeCell ref="EF194:EI194"/>
    <mergeCell ref="EJ194:EM194"/>
    <mergeCell ref="DV192:DW192"/>
    <mergeCell ref="EN192:EQ192"/>
    <mergeCell ref="ER192:EU192"/>
    <mergeCell ref="DV193:DW193"/>
    <mergeCell ref="EN193:EQ193"/>
    <mergeCell ref="ER193:EU193"/>
    <mergeCell ref="DV183:DW183"/>
    <mergeCell ref="EN183:EQ183"/>
    <mergeCell ref="ER183:EU183"/>
    <mergeCell ref="DV182:DW182"/>
    <mergeCell ref="DV177:DW177"/>
    <mergeCell ref="EN177:EQ177"/>
    <mergeCell ref="ER177:EU177"/>
    <mergeCell ref="DV178:DW178"/>
    <mergeCell ref="EN178:EQ178"/>
    <mergeCell ref="ER178:EU178"/>
    <mergeCell ref="DV179:DW179"/>
    <mergeCell ref="EN179:EQ179"/>
    <mergeCell ref="ER179:EU179"/>
    <mergeCell ref="DV180:DW180"/>
    <mergeCell ref="DV172:DW172"/>
    <mergeCell ref="EN172:EQ172"/>
    <mergeCell ref="ER172:EU172"/>
    <mergeCell ref="DV173:DW173"/>
    <mergeCell ref="EN173:EQ173"/>
    <mergeCell ref="ER173:EU173"/>
    <mergeCell ref="DV174:DW174"/>
    <mergeCell ref="EN174:EQ174"/>
    <mergeCell ref="ER174:EU174"/>
    <mergeCell ref="DV175:DW175"/>
    <mergeCell ref="EN175:EQ175"/>
    <mergeCell ref="ER175:EU175"/>
    <mergeCell ref="DV176:DW176"/>
    <mergeCell ref="EN176:EQ176"/>
    <mergeCell ref="ER176:EU176"/>
    <mergeCell ref="DX172:EA172"/>
    <mergeCell ref="DX182:EA182"/>
    <mergeCell ref="EB182:EE182"/>
    <mergeCell ref="EF182:EI182"/>
    <mergeCell ref="EJ182:EM182"/>
    <mergeCell ref="EN182:EQ182"/>
    <mergeCell ref="ER182:EU182"/>
    <mergeCell ref="EJ175:EM175"/>
    <mergeCell ref="DX176:EA176"/>
    <mergeCell ref="EB176:EE176"/>
    <mergeCell ref="EF176:EI176"/>
    <mergeCell ref="EJ176:EM176"/>
    <mergeCell ref="FO90:FR90"/>
    <mergeCell ref="FS90:FV90"/>
    <mergeCell ref="EW91:EX91"/>
    <mergeCell ref="FO91:FR91"/>
    <mergeCell ref="FS91:FV91"/>
    <mergeCell ref="EW92:EX92"/>
    <mergeCell ref="FO92:FR92"/>
    <mergeCell ref="FS92:FV92"/>
    <mergeCell ref="EW93:EX93"/>
    <mergeCell ref="FO93:FR93"/>
    <mergeCell ref="FS93:FV93"/>
    <mergeCell ref="EW94:EX94"/>
    <mergeCell ref="FO94:FR94"/>
    <mergeCell ref="FS94:FV94"/>
    <mergeCell ref="EY90:FB90"/>
    <mergeCell ref="FC90:FF90"/>
    <mergeCell ref="FG90:FJ90"/>
    <mergeCell ref="FK90:FN90"/>
    <mergeCell ref="EY91:FB91"/>
    <mergeCell ref="FC91:FF91"/>
    <mergeCell ref="FG91:FJ91"/>
    <mergeCell ref="FK91:FN91"/>
    <mergeCell ref="EY92:FB92"/>
    <mergeCell ref="FC92:FF92"/>
    <mergeCell ref="FG92:FJ92"/>
    <mergeCell ref="FK92:FN92"/>
    <mergeCell ref="EY93:FB93"/>
    <mergeCell ref="FC93:FF93"/>
    <mergeCell ref="FG93:FJ93"/>
    <mergeCell ref="FK93:FN93"/>
    <mergeCell ref="EY94:FB94"/>
    <mergeCell ref="FC94:FF94"/>
    <mergeCell ref="FG94:FJ94"/>
    <mergeCell ref="FK94:FN94"/>
    <mergeCell ref="EW90:EX90"/>
    <mergeCell ref="FO95:FR95"/>
    <mergeCell ref="FS95:FV95"/>
    <mergeCell ref="EW96:EX96"/>
    <mergeCell ref="FO96:FR96"/>
    <mergeCell ref="FS96:FV96"/>
    <mergeCell ref="EW97:EX97"/>
    <mergeCell ref="FO97:FR97"/>
    <mergeCell ref="FS97:FV97"/>
    <mergeCell ref="EW98:EX98"/>
    <mergeCell ref="FO98:FR98"/>
    <mergeCell ref="FS98:FV98"/>
    <mergeCell ref="EW99:EX99"/>
    <mergeCell ref="FO99:FR99"/>
    <mergeCell ref="FS99:FV99"/>
    <mergeCell ref="EY95:FB95"/>
    <mergeCell ref="FC95:FF95"/>
    <mergeCell ref="FG95:FJ95"/>
    <mergeCell ref="FK95:FN95"/>
    <mergeCell ref="EY96:FB96"/>
    <mergeCell ref="FC96:FF96"/>
    <mergeCell ref="FG96:FJ96"/>
    <mergeCell ref="FK96:FN96"/>
    <mergeCell ref="EY97:FB97"/>
    <mergeCell ref="FC97:FF97"/>
    <mergeCell ref="FG97:FJ97"/>
    <mergeCell ref="FK97:FN97"/>
    <mergeCell ref="EY98:FB98"/>
    <mergeCell ref="FC98:FF98"/>
    <mergeCell ref="FG98:FJ98"/>
    <mergeCell ref="FK98:FN98"/>
    <mergeCell ref="EY99:FB99"/>
    <mergeCell ref="FC99:FF99"/>
    <mergeCell ref="FG99:FJ99"/>
    <mergeCell ref="FK99:FN99"/>
    <mergeCell ref="EW95:EX95"/>
    <mergeCell ref="FO100:FR100"/>
    <mergeCell ref="FS100:FV100"/>
    <mergeCell ref="EW101:EX101"/>
    <mergeCell ref="FO101:FR101"/>
    <mergeCell ref="FS101:FV101"/>
    <mergeCell ref="EW102:EX102"/>
    <mergeCell ref="FO102:FR102"/>
    <mergeCell ref="FS102:FV102"/>
    <mergeCell ref="EW103:EX103"/>
    <mergeCell ref="FO103:FR103"/>
    <mergeCell ref="FS103:FV103"/>
    <mergeCell ref="EW104:EX104"/>
    <mergeCell ref="FO104:FR104"/>
    <mergeCell ref="FS104:FV104"/>
    <mergeCell ref="EY100:FB100"/>
    <mergeCell ref="FC100:FF100"/>
    <mergeCell ref="FG100:FJ100"/>
    <mergeCell ref="FK100:FN100"/>
    <mergeCell ref="EY101:FB101"/>
    <mergeCell ref="FC101:FF101"/>
    <mergeCell ref="FG101:FJ101"/>
    <mergeCell ref="FK101:FN101"/>
    <mergeCell ref="EY102:FB102"/>
    <mergeCell ref="FC102:FF102"/>
    <mergeCell ref="FG102:FJ102"/>
    <mergeCell ref="FK102:FN102"/>
    <mergeCell ref="EY103:FB103"/>
    <mergeCell ref="FC103:FF103"/>
    <mergeCell ref="FG103:FJ103"/>
    <mergeCell ref="FK103:FN103"/>
    <mergeCell ref="EY104:FB104"/>
    <mergeCell ref="FC104:FF104"/>
    <mergeCell ref="FG104:FJ104"/>
    <mergeCell ref="FK104:FN104"/>
    <mergeCell ref="EW100:EX100"/>
    <mergeCell ref="FO105:FR105"/>
    <mergeCell ref="FS105:FV105"/>
    <mergeCell ref="EW106:EX106"/>
    <mergeCell ref="FO106:FR106"/>
    <mergeCell ref="FS106:FV106"/>
    <mergeCell ref="EW107:EX107"/>
    <mergeCell ref="FO107:FR107"/>
    <mergeCell ref="FS107:FV107"/>
    <mergeCell ref="EW108:EX108"/>
    <mergeCell ref="FO108:FR108"/>
    <mergeCell ref="FS108:FV108"/>
    <mergeCell ref="EW109:EX109"/>
    <mergeCell ref="FO109:FR109"/>
    <mergeCell ref="FS109:FV109"/>
    <mergeCell ref="EY105:FB105"/>
    <mergeCell ref="FC105:FF105"/>
    <mergeCell ref="FG105:FJ105"/>
    <mergeCell ref="FK105:FN105"/>
    <mergeCell ref="EY106:FB106"/>
    <mergeCell ref="FC106:FF106"/>
    <mergeCell ref="FG106:FJ106"/>
    <mergeCell ref="FK106:FN106"/>
    <mergeCell ref="EY107:FB107"/>
    <mergeCell ref="FC107:FF107"/>
    <mergeCell ref="FG107:FJ107"/>
    <mergeCell ref="FK107:FN107"/>
    <mergeCell ref="EY108:FB108"/>
    <mergeCell ref="FC108:FF108"/>
    <mergeCell ref="FG108:FJ108"/>
    <mergeCell ref="FK108:FN108"/>
    <mergeCell ref="EY109:FB109"/>
    <mergeCell ref="FC109:FF109"/>
    <mergeCell ref="FG109:FJ109"/>
    <mergeCell ref="FK109:FN109"/>
    <mergeCell ref="EW105:EX105"/>
    <mergeCell ref="FO110:FR110"/>
    <mergeCell ref="FS110:FV110"/>
    <mergeCell ref="EW111:EX111"/>
    <mergeCell ref="FO111:FR111"/>
    <mergeCell ref="FS111:FV111"/>
    <mergeCell ref="EW112:EX112"/>
    <mergeCell ref="FO112:FR112"/>
    <mergeCell ref="FS112:FV112"/>
    <mergeCell ref="EW113:EX113"/>
    <mergeCell ref="FO113:FR113"/>
    <mergeCell ref="FS113:FV113"/>
    <mergeCell ref="EW114:EX114"/>
    <mergeCell ref="FO114:FR114"/>
    <mergeCell ref="FS114:FV114"/>
    <mergeCell ref="EY110:FB110"/>
    <mergeCell ref="FC110:FF110"/>
    <mergeCell ref="FG110:FJ110"/>
    <mergeCell ref="FK110:FN110"/>
    <mergeCell ref="EY111:FB111"/>
    <mergeCell ref="FC111:FF111"/>
    <mergeCell ref="FG111:FJ111"/>
    <mergeCell ref="FK111:FN111"/>
    <mergeCell ref="EY112:FB112"/>
    <mergeCell ref="FC112:FF112"/>
    <mergeCell ref="FG112:FJ112"/>
    <mergeCell ref="FK112:FN112"/>
    <mergeCell ref="EY113:FB113"/>
    <mergeCell ref="FC113:FF113"/>
    <mergeCell ref="FG113:FJ113"/>
    <mergeCell ref="FK113:FN113"/>
    <mergeCell ref="EY114:FB114"/>
    <mergeCell ref="FC114:FF114"/>
    <mergeCell ref="FG114:FJ114"/>
    <mergeCell ref="FK114:FN114"/>
    <mergeCell ref="EW110:EX110"/>
    <mergeCell ref="FO115:FR115"/>
    <mergeCell ref="FS115:FV115"/>
    <mergeCell ref="EW116:EX116"/>
    <mergeCell ref="FO116:FR116"/>
    <mergeCell ref="FS116:FV116"/>
    <mergeCell ref="EW117:EX117"/>
    <mergeCell ref="FO117:FR117"/>
    <mergeCell ref="FS117:FV117"/>
    <mergeCell ref="EW118:EX118"/>
    <mergeCell ref="FO118:FR118"/>
    <mergeCell ref="FS118:FV118"/>
    <mergeCell ref="EW119:EX119"/>
    <mergeCell ref="FO119:FR119"/>
    <mergeCell ref="FS119:FV119"/>
    <mergeCell ref="EY115:FB115"/>
    <mergeCell ref="FC115:FF115"/>
    <mergeCell ref="FG115:FJ115"/>
    <mergeCell ref="FK115:FN115"/>
    <mergeCell ref="EY116:FB116"/>
    <mergeCell ref="FC116:FF116"/>
    <mergeCell ref="FG116:FJ116"/>
    <mergeCell ref="FK116:FN116"/>
    <mergeCell ref="EY117:FB117"/>
    <mergeCell ref="FC117:FF117"/>
    <mergeCell ref="FG117:FJ117"/>
    <mergeCell ref="FK117:FN117"/>
    <mergeCell ref="EY118:FB118"/>
    <mergeCell ref="FC118:FF118"/>
    <mergeCell ref="FG118:FJ118"/>
    <mergeCell ref="FK118:FN118"/>
    <mergeCell ref="EY119:FB119"/>
    <mergeCell ref="FC119:FF119"/>
    <mergeCell ref="FG119:FJ119"/>
    <mergeCell ref="FK119:FN119"/>
    <mergeCell ref="EW115:EX115"/>
    <mergeCell ref="FO120:FR120"/>
    <mergeCell ref="FS120:FV120"/>
    <mergeCell ref="EW121:EX121"/>
    <mergeCell ref="FO121:FR121"/>
    <mergeCell ref="FS121:FV121"/>
    <mergeCell ref="EW122:EX122"/>
    <mergeCell ref="FO122:FR122"/>
    <mergeCell ref="FS122:FV122"/>
    <mergeCell ref="EW123:EX123"/>
    <mergeCell ref="FO123:FR123"/>
    <mergeCell ref="FS123:FV123"/>
    <mergeCell ref="EW124:EX124"/>
    <mergeCell ref="FO124:FR124"/>
    <mergeCell ref="FS124:FV124"/>
    <mergeCell ref="EY120:FB120"/>
    <mergeCell ref="FC120:FF120"/>
    <mergeCell ref="FG120:FJ120"/>
    <mergeCell ref="FK120:FN120"/>
    <mergeCell ref="EY121:FB121"/>
    <mergeCell ref="FC121:FF121"/>
    <mergeCell ref="FG121:FJ121"/>
    <mergeCell ref="FK121:FN121"/>
    <mergeCell ref="EY122:FB122"/>
    <mergeCell ref="FC122:FF122"/>
    <mergeCell ref="FG122:FJ122"/>
    <mergeCell ref="FK122:FN122"/>
    <mergeCell ref="EY123:FB123"/>
    <mergeCell ref="FC123:FF123"/>
    <mergeCell ref="FG123:FJ123"/>
    <mergeCell ref="FK123:FN123"/>
    <mergeCell ref="EY124:FB124"/>
    <mergeCell ref="FC124:FF124"/>
    <mergeCell ref="FG124:FJ124"/>
    <mergeCell ref="FK124:FN124"/>
    <mergeCell ref="EW120:EX120"/>
    <mergeCell ref="FO125:FR125"/>
    <mergeCell ref="FS125:FV125"/>
    <mergeCell ref="EW126:EX126"/>
    <mergeCell ref="FO126:FR126"/>
    <mergeCell ref="FS126:FV126"/>
    <mergeCell ref="EW127:EX127"/>
    <mergeCell ref="FO127:FR127"/>
    <mergeCell ref="FS127:FV127"/>
    <mergeCell ref="EW128:EX128"/>
    <mergeCell ref="FO128:FR128"/>
    <mergeCell ref="FS128:FV128"/>
    <mergeCell ref="EW129:EX129"/>
    <mergeCell ref="FO129:FR129"/>
    <mergeCell ref="FS129:FV129"/>
    <mergeCell ref="EY125:FB125"/>
    <mergeCell ref="FC125:FF125"/>
    <mergeCell ref="FG125:FJ125"/>
    <mergeCell ref="FK125:FN125"/>
    <mergeCell ref="EY126:FB126"/>
    <mergeCell ref="FC126:FF126"/>
    <mergeCell ref="FG126:FJ126"/>
    <mergeCell ref="FK126:FN126"/>
    <mergeCell ref="EY127:FB127"/>
    <mergeCell ref="FC127:FF127"/>
    <mergeCell ref="FG127:FJ127"/>
    <mergeCell ref="FK127:FN127"/>
    <mergeCell ref="EY128:FB128"/>
    <mergeCell ref="FC128:FF128"/>
    <mergeCell ref="FG128:FJ128"/>
    <mergeCell ref="FK128:FN128"/>
    <mergeCell ref="EY129:FB129"/>
    <mergeCell ref="FC129:FF129"/>
    <mergeCell ref="FG129:FJ129"/>
    <mergeCell ref="FK129:FN129"/>
    <mergeCell ref="EW125:EX125"/>
    <mergeCell ref="FO130:FR130"/>
    <mergeCell ref="FS130:FV130"/>
    <mergeCell ref="EW131:EX131"/>
    <mergeCell ref="FO131:FR131"/>
    <mergeCell ref="FS131:FV131"/>
    <mergeCell ref="EW132:EX132"/>
    <mergeCell ref="FO132:FR132"/>
    <mergeCell ref="FS132:FV132"/>
    <mergeCell ref="EW133:EX133"/>
    <mergeCell ref="FO133:FR133"/>
    <mergeCell ref="FS133:FV133"/>
    <mergeCell ref="EW134:EX134"/>
    <mergeCell ref="FO134:FR134"/>
    <mergeCell ref="FS134:FV134"/>
    <mergeCell ref="EY130:FB130"/>
    <mergeCell ref="FC130:FF130"/>
    <mergeCell ref="FG130:FJ130"/>
    <mergeCell ref="FK130:FN130"/>
    <mergeCell ref="EY131:FB131"/>
    <mergeCell ref="FC131:FF131"/>
    <mergeCell ref="FG131:FJ131"/>
    <mergeCell ref="FK131:FN131"/>
    <mergeCell ref="EY132:FB132"/>
    <mergeCell ref="FC132:FF132"/>
    <mergeCell ref="FG132:FJ132"/>
    <mergeCell ref="FK132:FN132"/>
    <mergeCell ref="EY133:FB133"/>
    <mergeCell ref="FC133:FF133"/>
    <mergeCell ref="FG133:FJ133"/>
    <mergeCell ref="FK133:FN133"/>
    <mergeCell ref="EY134:FB134"/>
    <mergeCell ref="FC134:FF134"/>
    <mergeCell ref="FG134:FJ134"/>
    <mergeCell ref="FK134:FN134"/>
    <mergeCell ref="EW130:EX130"/>
    <mergeCell ref="FO135:FR135"/>
    <mergeCell ref="FS135:FV135"/>
    <mergeCell ref="EW136:EX136"/>
    <mergeCell ref="FO136:FR136"/>
    <mergeCell ref="FS136:FV136"/>
    <mergeCell ref="EW137:EX137"/>
    <mergeCell ref="FO137:FR137"/>
    <mergeCell ref="FS137:FV137"/>
    <mergeCell ref="EW138:EX138"/>
    <mergeCell ref="FO138:FR138"/>
    <mergeCell ref="FS138:FV138"/>
    <mergeCell ref="EW139:EX139"/>
    <mergeCell ref="FO139:FR139"/>
    <mergeCell ref="FS139:FV139"/>
    <mergeCell ref="EY135:FB135"/>
    <mergeCell ref="FC135:FF135"/>
    <mergeCell ref="FG135:FJ135"/>
    <mergeCell ref="FK135:FN135"/>
    <mergeCell ref="EY136:FB136"/>
    <mergeCell ref="FC136:FF136"/>
    <mergeCell ref="FG136:FJ136"/>
    <mergeCell ref="FK136:FN136"/>
    <mergeCell ref="EY137:FB137"/>
    <mergeCell ref="FC137:FF137"/>
    <mergeCell ref="FG137:FJ137"/>
    <mergeCell ref="FK137:FN137"/>
    <mergeCell ref="EY138:FB138"/>
    <mergeCell ref="FC138:FF138"/>
    <mergeCell ref="FG138:FJ138"/>
    <mergeCell ref="FK138:FN138"/>
    <mergeCell ref="EY139:FB139"/>
    <mergeCell ref="FC139:FF139"/>
    <mergeCell ref="FG139:FJ139"/>
    <mergeCell ref="FK139:FN139"/>
    <mergeCell ref="EW135:EX135"/>
    <mergeCell ref="FO140:FR140"/>
    <mergeCell ref="FS140:FV140"/>
    <mergeCell ref="EW141:EX141"/>
    <mergeCell ref="FO141:FR141"/>
    <mergeCell ref="FS141:FV141"/>
    <mergeCell ref="EW142:EX142"/>
    <mergeCell ref="FO142:FR142"/>
    <mergeCell ref="FS142:FV142"/>
    <mergeCell ref="EW143:EX143"/>
    <mergeCell ref="FO143:FR143"/>
    <mergeCell ref="FS143:FV143"/>
    <mergeCell ref="EW144:EX144"/>
    <mergeCell ref="FO144:FR144"/>
    <mergeCell ref="FS144:FV144"/>
    <mergeCell ref="EY140:FB140"/>
    <mergeCell ref="FC140:FF140"/>
    <mergeCell ref="FG140:FJ140"/>
    <mergeCell ref="FK140:FN140"/>
    <mergeCell ref="EY141:FB141"/>
    <mergeCell ref="FC141:FF141"/>
    <mergeCell ref="FG141:FJ141"/>
    <mergeCell ref="FK141:FN141"/>
    <mergeCell ref="EY142:FB142"/>
    <mergeCell ref="FC142:FF142"/>
    <mergeCell ref="FG142:FJ142"/>
    <mergeCell ref="FK142:FN142"/>
    <mergeCell ref="EY143:FB143"/>
    <mergeCell ref="FC143:FF143"/>
    <mergeCell ref="FG143:FJ143"/>
    <mergeCell ref="FK143:FN143"/>
    <mergeCell ref="EY144:FB144"/>
    <mergeCell ref="FC144:FF144"/>
    <mergeCell ref="FG144:FJ144"/>
    <mergeCell ref="FK144:FN144"/>
    <mergeCell ref="EW140:EX140"/>
    <mergeCell ref="FO145:FR145"/>
    <mergeCell ref="FS145:FV145"/>
    <mergeCell ref="EW146:EX146"/>
    <mergeCell ref="FO146:FR146"/>
    <mergeCell ref="FS146:FV146"/>
    <mergeCell ref="EW147:EX147"/>
    <mergeCell ref="FO147:FR147"/>
    <mergeCell ref="FS147:FV147"/>
    <mergeCell ref="EW148:EX148"/>
    <mergeCell ref="FO148:FR148"/>
    <mergeCell ref="FS148:FV148"/>
    <mergeCell ref="EW149:EX149"/>
    <mergeCell ref="FO149:FR149"/>
    <mergeCell ref="FS149:FV149"/>
    <mergeCell ref="EY145:FB145"/>
    <mergeCell ref="FC145:FF145"/>
    <mergeCell ref="FG145:FJ145"/>
    <mergeCell ref="FK145:FN145"/>
    <mergeCell ref="EY146:FB146"/>
    <mergeCell ref="FC146:FF146"/>
    <mergeCell ref="FG146:FJ146"/>
    <mergeCell ref="FK146:FN146"/>
    <mergeCell ref="EY147:FB147"/>
    <mergeCell ref="FC147:FF147"/>
    <mergeCell ref="FG147:FJ147"/>
    <mergeCell ref="FK147:FN147"/>
    <mergeCell ref="EY148:FB148"/>
    <mergeCell ref="FC148:FF148"/>
    <mergeCell ref="FG148:FJ148"/>
    <mergeCell ref="FK148:FN148"/>
    <mergeCell ref="EY149:FB149"/>
    <mergeCell ref="FC149:FF149"/>
    <mergeCell ref="FG149:FJ149"/>
    <mergeCell ref="FK149:FN149"/>
    <mergeCell ref="EW145:EX145"/>
    <mergeCell ref="FO150:FR150"/>
    <mergeCell ref="FS150:FV150"/>
    <mergeCell ref="EW151:EX151"/>
    <mergeCell ref="FO151:FR151"/>
    <mergeCell ref="FS151:FV151"/>
    <mergeCell ref="EW152:EX152"/>
    <mergeCell ref="FO152:FR152"/>
    <mergeCell ref="FS152:FV152"/>
    <mergeCell ref="EW153:EX153"/>
    <mergeCell ref="FO153:FR153"/>
    <mergeCell ref="FS153:FV153"/>
    <mergeCell ref="EW154:EX154"/>
    <mergeCell ref="FO154:FR154"/>
    <mergeCell ref="FS154:FV154"/>
    <mergeCell ref="EY150:FB150"/>
    <mergeCell ref="FC150:FF150"/>
    <mergeCell ref="FG150:FJ150"/>
    <mergeCell ref="FK150:FN150"/>
    <mergeCell ref="EY151:FB151"/>
    <mergeCell ref="FC151:FF151"/>
    <mergeCell ref="FG151:FJ151"/>
    <mergeCell ref="FK151:FN151"/>
    <mergeCell ref="EY152:FB152"/>
    <mergeCell ref="FC152:FF152"/>
    <mergeCell ref="FG152:FJ152"/>
    <mergeCell ref="FK152:FN152"/>
    <mergeCell ref="EY153:FB153"/>
    <mergeCell ref="FC153:FF153"/>
    <mergeCell ref="FG153:FJ153"/>
    <mergeCell ref="FK153:FN153"/>
    <mergeCell ref="EY154:FB154"/>
    <mergeCell ref="FC154:FF154"/>
    <mergeCell ref="FG154:FJ154"/>
    <mergeCell ref="FK154:FN154"/>
    <mergeCell ref="EW150:EX150"/>
    <mergeCell ref="FO155:FR155"/>
    <mergeCell ref="FS155:FV155"/>
    <mergeCell ref="EW156:EX156"/>
    <mergeCell ref="FO156:FR156"/>
    <mergeCell ref="FS156:FV156"/>
    <mergeCell ref="EW157:EX157"/>
    <mergeCell ref="FO157:FR157"/>
    <mergeCell ref="FS157:FV157"/>
    <mergeCell ref="EW158:EX158"/>
    <mergeCell ref="FO158:FR158"/>
    <mergeCell ref="FS158:FV158"/>
    <mergeCell ref="EW159:EX159"/>
    <mergeCell ref="FO159:FR159"/>
    <mergeCell ref="FS159:FV159"/>
    <mergeCell ref="EY155:FB155"/>
    <mergeCell ref="FC155:FF155"/>
    <mergeCell ref="FG155:FJ155"/>
    <mergeCell ref="FK155:FN155"/>
    <mergeCell ref="EY156:FB156"/>
    <mergeCell ref="FC156:FF156"/>
    <mergeCell ref="FG156:FJ156"/>
    <mergeCell ref="FK156:FN156"/>
    <mergeCell ref="EY157:FB157"/>
    <mergeCell ref="FC157:FF157"/>
    <mergeCell ref="FG157:FJ157"/>
    <mergeCell ref="FK157:FN157"/>
    <mergeCell ref="EY158:FB158"/>
    <mergeCell ref="FC158:FF158"/>
    <mergeCell ref="FG158:FJ158"/>
    <mergeCell ref="FK158:FN158"/>
    <mergeCell ref="EY159:FB159"/>
    <mergeCell ref="FC159:FF159"/>
    <mergeCell ref="FG159:FJ159"/>
    <mergeCell ref="FK159:FN159"/>
    <mergeCell ref="EW155:EX155"/>
    <mergeCell ref="FO160:FR160"/>
    <mergeCell ref="FS160:FV160"/>
    <mergeCell ref="EW161:EX161"/>
    <mergeCell ref="FO161:FR161"/>
    <mergeCell ref="FS161:FV161"/>
    <mergeCell ref="EW162:EX162"/>
    <mergeCell ref="FO162:FR162"/>
    <mergeCell ref="FS162:FV162"/>
    <mergeCell ref="EW163:EX163"/>
    <mergeCell ref="FO163:FR163"/>
    <mergeCell ref="FS163:FV163"/>
    <mergeCell ref="EW164:EX164"/>
    <mergeCell ref="FO164:FR164"/>
    <mergeCell ref="FS164:FV164"/>
    <mergeCell ref="EY160:FB160"/>
    <mergeCell ref="FC160:FF160"/>
    <mergeCell ref="FG160:FJ160"/>
    <mergeCell ref="FK160:FN160"/>
    <mergeCell ref="EY161:FB161"/>
    <mergeCell ref="FC161:FF161"/>
    <mergeCell ref="FG161:FJ161"/>
    <mergeCell ref="FK161:FN161"/>
    <mergeCell ref="EY162:FB162"/>
    <mergeCell ref="FC162:FF162"/>
    <mergeCell ref="FG162:FJ162"/>
    <mergeCell ref="FK162:FN162"/>
    <mergeCell ref="EY163:FB163"/>
    <mergeCell ref="FC163:FF163"/>
    <mergeCell ref="FG163:FJ163"/>
    <mergeCell ref="FK163:FN163"/>
    <mergeCell ref="EY164:FB164"/>
    <mergeCell ref="FC164:FF164"/>
    <mergeCell ref="FG164:FJ164"/>
    <mergeCell ref="FK164:FN164"/>
    <mergeCell ref="EW160:EX160"/>
    <mergeCell ref="FO165:FR165"/>
    <mergeCell ref="FS165:FV165"/>
    <mergeCell ref="EW166:EX166"/>
    <mergeCell ref="FO166:FR166"/>
    <mergeCell ref="FS166:FV166"/>
    <mergeCell ref="EW167:EX167"/>
    <mergeCell ref="FO167:FR167"/>
    <mergeCell ref="FS167:FV167"/>
    <mergeCell ref="EW168:EX168"/>
    <mergeCell ref="FO168:FR168"/>
    <mergeCell ref="FS168:FV168"/>
    <mergeCell ref="EW169:EX169"/>
    <mergeCell ref="FO169:FR169"/>
    <mergeCell ref="FS169:FV169"/>
    <mergeCell ref="EY165:FB165"/>
    <mergeCell ref="FC165:FF165"/>
    <mergeCell ref="FG165:FJ165"/>
    <mergeCell ref="FK165:FN165"/>
    <mergeCell ref="EY166:FB166"/>
    <mergeCell ref="FC166:FF166"/>
    <mergeCell ref="FG166:FJ166"/>
    <mergeCell ref="FK166:FN166"/>
    <mergeCell ref="EY167:FB167"/>
    <mergeCell ref="FC167:FF167"/>
    <mergeCell ref="FG167:FJ167"/>
    <mergeCell ref="FK167:FN167"/>
    <mergeCell ref="EY168:FB168"/>
    <mergeCell ref="FC168:FF168"/>
    <mergeCell ref="FG168:FJ168"/>
    <mergeCell ref="FK168:FN168"/>
    <mergeCell ref="EY169:FB169"/>
    <mergeCell ref="FC169:FF169"/>
    <mergeCell ref="FG169:FJ169"/>
    <mergeCell ref="FK169:FN169"/>
    <mergeCell ref="EW165:EX165"/>
    <mergeCell ref="EW170:EX170"/>
    <mergeCell ref="FO170:FR170"/>
    <mergeCell ref="FS170:FV170"/>
    <mergeCell ref="EW171:EX171"/>
    <mergeCell ref="FO171:FR171"/>
    <mergeCell ref="FS171:FV171"/>
    <mergeCell ref="EW172:EX172"/>
    <mergeCell ref="FO172:FR172"/>
    <mergeCell ref="FS172:FV172"/>
    <mergeCell ref="EW173:EX173"/>
    <mergeCell ref="FO173:FR173"/>
    <mergeCell ref="FS173:FV173"/>
    <mergeCell ref="EW174:EX174"/>
    <mergeCell ref="FO174:FR174"/>
    <mergeCell ref="FS174:FV174"/>
    <mergeCell ref="EY170:FB170"/>
    <mergeCell ref="FC170:FF170"/>
    <mergeCell ref="FG170:FJ170"/>
    <mergeCell ref="FK170:FN170"/>
    <mergeCell ref="EY171:FB171"/>
    <mergeCell ref="FC171:FF171"/>
    <mergeCell ref="FG171:FJ171"/>
    <mergeCell ref="FK171:FN171"/>
    <mergeCell ref="EY172:FB172"/>
    <mergeCell ref="FC172:FF172"/>
    <mergeCell ref="FG172:FJ172"/>
    <mergeCell ref="FK172:FN172"/>
    <mergeCell ref="EY173:FB173"/>
    <mergeCell ref="FC173:FF173"/>
    <mergeCell ref="FG173:FJ173"/>
    <mergeCell ref="FK173:FN173"/>
    <mergeCell ref="EY174:FB174"/>
    <mergeCell ref="FC174:FF174"/>
    <mergeCell ref="FG174:FJ174"/>
    <mergeCell ref="FK174:FN174"/>
    <mergeCell ref="EW175:EX175"/>
    <mergeCell ref="FO175:FR175"/>
    <mergeCell ref="FS175:FV175"/>
    <mergeCell ref="EW176:EX176"/>
    <mergeCell ref="FO176:FR176"/>
    <mergeCell ref="FS176:FV176"/>
    <mergeCell ref="EW177:EX177"/>
    <mergeCell ref="FO177:FR177"/>
    <mergeCell ref="FS177:FV177"/>
    <mergeCell ref="EW178:EX178"/>
    <mergeCell ref="FO178:FR178"/>
    <mergeCell ref="FS178:FV178"/>
    <mergeCell ref="EW179:EX179"/>
    <mergeCell ref="FO179:FR179"/>
    <mergeCell ref="FS179:FV179"/>
    <mergeCell ref="EY175:FB175"/>
    <mergeCell ref="FC175:FF175"/>
    <mergeCell ref="FG175:FJ175"/>
    <mergeCell ref="FK175:FN175"/>
    <mergeCell ref="EY176:FB176"/>
    <mergeCell ref="FC176:FF176"/>
    <mergeCell ref="FG176:FJ176"/>
    <mergeCell ref="FK176:FN176"/>
    <mergeCell ref="EY177:FB177"/>
    <mergeCell ref="FC177:FF177"/>
    <mergeCell ref="FG177:FJ177"/>
    <mergeCell ref="FK177:FN177"/>
    <mergeCell ref="EY178:FB178"/>
    <mergeCell ref="FC178:FF178"/>
    <mergeCell ref="FG178:FJ178"/>
    <mergeCell ref="FK178:FN178"/>
    <mergeCell ref="EY179:FB179"/>
    <mergeCell ref="FC179:FF179"/>
    <mergeCell ref="FG179:FJ179"/>
    <mergeCell ref="FK179:FN179"/>
    <mergeCell ref="CL15:CO15"/>
    <mergeCell ref="CP15:CS15"/>
    <mergeCell ref="BT16:BU16"/>
    <mergeCell ref="CL16:CO16"/>
    <mergeCell ref="CP16:CS16"/>
    <mergeCell ref="BT17:BU17"/>
    <mergeCell ref="CL17:CO17"/>
    <mergeCell ref="CP17:CS17"/>
    <mergeCell ref="BT18:BU18"/>
    <mergeCell ref="CL18:CO18"/>
    <mergeCell ref="CP18:CS18"/>
    <mergeCell ref="BV14:BY14"/>
    <mergeCell ref="BZ14:CC14"/>
    <mergeCell ref="EW193:EX193"/>
    <mergeCell ref="FO193:FR193"/>
    <mergeCell ref="FS193:FV193"/>
    <mergeCell ref="EW194:EX194"/>
    <mergeCell ref="FO194:FR194"/>
    <mergeCell ref="FS194:FV194"/>
    <mergeCell ref="EY190:FB190"/>
    <mergeCell ref="FC190:FF190"/>
    <mergeCell ref="FG190:FJ190"/>
    <mergeCell ref="FK190:FN190"/>
    <mergeCell ref="EY191:FB191"/>
    <mergeCell ref="FC191:FF191"/>
    <mergeCell ref="FG191:FJ191"/>
    <mergeCell ref="FK191:FN191"/>
    <mergeCell ref="EY192:FB192"/>
    <mergeCell ref="FC192:FF192"/>
    <mergeCell ref="FG192:FJ192"/>
    <mergeCell ref="FK192:FN192"/>
    <mergeCell ref="EY193:FB193"/>
    <mergeCell ref="FC193:FF193"/>
    <mergeCell ref="FG193:FJ193"/>
    <mergeCell ref="FK193:FN193"/>
    <mergeCell ref="EY194:FB194"/>
    <mergeCell ref="FC194:FF194"/>
    <mergeCell ref="FG194:FJ194"/>
    <mergeCell ref="FK194:FN194"/>
    <mergeCell ref="EW185:EX185"/>
    <mergeCell ref="FO185:FR185"/>
    <mergeCell ref="FS185:FV185"/>
    <mergeCell ref="EW186:EX186"/>
    <mergeCell ref="FO186:FR186"/>
    <mergeCell ref="FS186:FV186"/>
    <mergeCell ref="EW187:EX187"/>
    <mergeCell ref="FO187:FR187"/>
    <mergeCell ref="FS187:FV187"/>
    <mergeCell ref="EW188:EX188"/>
    <mergeCell ref="FO188:FR188"/>
    <mergeCell ref="FS188:FV188"/>
    <mergeCell ref="EW189:EX189"/>
    <mergeCell ref="FO189:FR189"/>
    <mergeCell ref="FS189:FV189"/>
    <mergeCell ref="EY185:FB185"/>
    <mergeCell ref="FC185:FF185"/>
    <mergeCell ref="FG185:FJ185"/>
    <mergeCell ref="FK185:FN185"/>
    <mergeCell ref="EY186:FB186"/>
    <mergeCell ref="FC186:FF186"/>
    <mergeCell ref="FG186:FJ186"/>
    <mergeCell ref="FK186:FN186"/>
    <mergeCell ref="EY187:FB187"/>
    <mergeCell ref="FC187:FF187"/>
    <mergeCell ref="EW190:EX190"/>
    <mergeCell ref="FO190:FR190"/>
    <mergeCell ref="FS190:FV190"/>
    <mergeCell ref="EW191:EX191"/>
    <mergeCell ref="FO191:FR191"/>
    <mergeCell ref="FS191:FV191"/>
    <mergeCell ref="EW192:EX192"/>
    <mergeCell ref="FO192:FR192"/>
    <mergeCell ref="FS192:FV192"/>
    <mergeCell ref="EW180:EX180"/>
    <mergeCell ref="FO180:FR180"/>
    <mergeCell ref="FS180:FV180"/>
    <mergeCell ref="EW181:EX181"/>
    <mergeCell ref="FO181:FR181"/>
    <mergeCell ref="FS181:FV181"/>
    <mergeCell ref="EW182:EX182"/>
    <mergeCell ref="FO182:FR182"/>
    <mergeCell ref="FS182:FV182"/>
    <mergeCell ref="EW183:EX183"/>
    <mergeCell ref="FO183:FR183"/>
    <mergeCell ref="FS183:FV183"/>
    <mergeCell ref="EW184:EX184"/>
    <mergeCell ref="FO184:FR184"/>
    <mergeCell ref="FS184:FV184"/>
    <mergeCell ref="EY180:FB180"/>
    <mergeCell ref="FC180:FF180"/>
    <mergeCell ref="FG180:FJ180"/>
    <mergeCell ref="FK180:FN180"/>
    <mergeCell ref="EY181:FB181"/>
    <mergeCell ref="FC181:FF181"/>
    <mergeCell ref="FG181:FJ181"/>
    <mergeCell ref="FK181:FN181"/>
    <mergeCell ref="EY182:FB182"/>
    <mergeCell ref="FC182:FF182"/>
    <mergeCell ref="FG182:FJ182"/>
    <mergeCell ref="FK182:FN182"/>
    <mergeCell ref="EY183:FB183"/>
    <mergeCell ref="FC183:FF183"/>
    <mergeCell ref="FG183:FJ183"/>
    <mergeCell ref="FG187:FJ187"/>
    <mergeCell ref="FK187:FN187"/>
    <mergeCell ref="EY188:FB188"/>
    <mergeCell ref="FC188:FF188"/>
    <mergeCell ref="FG188:FJ188"/>
    <mergeCell ref="FK188:FN188"/>
    <mergeCell ref="EY189:FB189"/>
    <mergeCell ref="FC189:FF189"/>
    <mergeCell ref="FG189:FJ189"/>
    <mergeCell ref="FK189:FN189"/>
    <mergeCell ref="CD14:CG14"/>
    <mergeCell ref="CH14:CK14"/>
    <mergeCell ref="BV15:BY15"/>
    <mergeCell ref="BZ15:CC15"/>
    <mergeCell ref="CD15:CG15"/>
    <mergeCell ref="CH15:CK15"/>
    <mergeCell ref="BV16:BY16"/>
    <mergeCell ref="BZ16:CC16"/>
    <mergeCell ref="CD16:CG16"/>
    <mergeCell ref="CH16:CK16"/>
    <mergeCell ref="BV17:BY17"/>
    <mergeCell ref="BZ17:CC17"/>
    <mergeCell ref="CD17:CG17"/>
    <mergeCell ref="CH17:CK17"/>
    <mergeCell ref="BV18:BY18"/>
    <mergeCell ref="BZ18:CC18"/>
    <mergeCell ref="CD18:CG18"/>
    <mergeCell ref="CH18:CK18"/>
    <mergeCell ref="BT24:BU24"/>
    <mergeCell ref="CL24:CO24"/>
    <mergeCell ref="CP24:CS24"/>
    <mergeCell ref="BT25:BU25"/>
    <mergeCell ref="CL25:CO25"/>
    <mergeCell ref="CP25:CS25"/>
    <mergeCell ref="BT26:BU26"/>
    <mergeCell ref="CL26:CO26"/>
    <mergeCell ref="CP26:CS26"/>
    <mergeCell ref="BT27:BU27"/>
    <mergeCell ref="CL27:CO27"/>
    <mergeCell ref="CP27:CS27"/>
    <mergeCell ref="BT28:BU28"/>
    <mergeCell ref="CL28:CO28"/>
    <mergeCell ref="CP28:CS28"/>
    <mergeCell ref="BV26:BY26"/>
    <mergeCell ref="BZ26:CC26"/>
    <mergeCell ref="CD26:CG26"/>
    <mergeCell ref="CH26:CK26"/>
    <mergeCell ref="BV27:BY27"/>
    <mergeCell ref="BZ27:CC27"/>
    <mergeCell ref="CD27:CG27"/>
    <mergeCell ref="CH27:CK27"/>
    <mergeCell ref="BV28:BY28"/>
    <mergeCell ref="BZ28:CC28"/>
    <mergeCell ref="CD28:CG28"/>
    <mergeCell ref="CH28:CK28"/>
    <mergeCell ref="BT19:BU19"/>
    <mergeCell ref="CL19:CO19"/>
    <mergeCell ref="CP19:CS19"/>
    <mergeCell ref="BT20:BU20"/>
    <mergeCell ref="CL20:CO20"/>
    <mergeCell ref="CP20:CS20"/>
    <mergeCell ref="BT21:BU21"/>
    <mergeCell ref="CL21:CO21"/>
    <mergeCell ref="CP21:CS21"/>
    <mergeCell ref="BT22:BU22"/>
    <mergeCell ref="CL22:CO22"/>
    <mergeCell ref="CP22:CS22"/>
    <mergeCell ref="BT23:BU23"/>
    <mergeCell ref="CL23:CO23"/>
    <mergeCell ref="CP23:CS23"/>
    <mergeCell ref="BT14:BU14"/>
    <mergeCell ref="CL14:CO14"/>
    <mergeCell ref="CP14:CS14"/>
    <mergeCell ref="BT15:BU15"/>
    <mergeCell ref="BT29:BU29"/>
    <mergeCell ref="CL29:CO29"/>
    <mergeCell ref="CP29:CS29"/>
    <mergeCell ref="BT30:BU30"/>
    <mergeCell ref="CL30:CO30"/>
    <mergeCell ref="CP30:CS30"/>
    <mergeCell ref="BT31:BU31"/>
    <mergeCell ref="CL31:CO31"/>
    <mergeCell ref="CP31:CS31"/>
    <mergeCell ref="BT32:BU32"/>
    <mergeCell ref="CL32:CO32"/>
    <mergeCell ref="CP32:CS32"/>
    <mergeCell ref="BT33:BU33"/>
    <mergeCell ref="CL33:CO33"/>
    <mergeCell ref="CP33:CS33"/>
    <mergeCell ref="BV29:BY29"/>
    <mergeCell ref="BZ29:CC29"/>
    <mergeCell ref="CD29:CG29"/>
    <mergeCell ref="CH29:CK29"/>
    <mergeCell ref="BV30:BY30"/>
    <mergeCell ref="BZ30:CC30"/>
    <mergeCell ref="CD30:CG30"/>
    <mergeCell ref="CH30:CK30"/>
    <mergeCell ref="BV31:BY31"/>
    <mergeCell ref="BZ31:CC31"/>
    <mergeCell ref="CD31:CG31"/>
    <mergeCell ref="CH31:CK31"/>
    <mergeCell ref="BV32:BY32"/>
    <mergeCell ref="BZ32:CC32"/>
    <mergeCell ref="CD32:CG32"/>
    <mergeCell ref="CH32:CK32"/>
    <mergeCell ref="BV33:BY33"/>
    <mergeCell ref="BZ33:CC33"/>
    <mergeCell ref="CD33:CG33"/>
    <mergeCell ref="CH33:CK33"/>
    <mergeCell ref="BT39:BU39"/>
    <mergeCell ref="CL39:CO39"/>
    <mergeCell ref="CP39:CS39"/>
    <mergeCell ref="BT40:BU40"/>
    <mergeCell ref="CL40:CO40"/>
    <mergeCell ref="CP40:CS40"/>
    <mergeCell ref="BT41:BU41"/>
    <mergeCell ref="CL41:CO41"/>
    <mergeCell ref="CP41:CS41"/>
    <mergeCell ref="BT42:BU42"/>
    <mergeCell ref="CL42:CO42"/>
    <mergeCell ref="CP42:CS42"/>
    <mergeCell ref="BT43:BU43"/>
    <mergeCell ref="CL43:CO43"/>
    <mergeCell ref="CP43:CS43"/>
    <mergeCell ref="BV41:BY41"/>
    <mergeCell ref="BZ41:CC41"/>
    <mergeCell ref="CD41:CG41"/>
    <mergeCell ref="CH41:CK41"/>
    <mergeCell ref="BV42:BY42"/>
    <mergeCell ref="BZ42:CC42"/>
    <mergeCell ref="CD42:CG42"/>
    <mergeCell ref="CH42:CK42"/>
    <mergeCell ref="BV43:BY43"/>
    <mergeCell ref="BZ43:CC43"/>
    <mergeCell ref="CD43:CG43"/>
    <mergeCell ref="CH43:CK43"/>
    <mergeCell ref="BT34:BU34"/>
    <mergeCell ref="CL34:CO34"/>
    <mergeCell ref="CP34:CS34"/>
    <mergeCell ref="BT35:BU35"/>
    <mergeCell ref="CL35:CO35"/>
    <mergeCell ref="CP35:CS35"/>
    <mergeCell ref="BT36:BU36"/>
    <mergeCell ref="CL36:CO36"/>
    <mergeCell ref="CP36:CS36"/>
    <mergeCell ref="BT37:BU37"/>
    <mergeCell ref="CL37:CO37"/>
    <mergeCell ref="CP37:CS37"/>
    <mergeCell ref="BT38:BU38"/>
    <mergeCell ref="CL38:CO38"/>
    <mergeCell ref="CP38:CS38"/>
    <mergeCell ref="BV35:BY35"/>
    <mergeCell ref="BZ35:CC35"/>
    <mergeCell ref="CD35:CG35"/>
    <mergeCell ref="CH35:CK35"/>
    <mergeCell ref="BV36:BY36"/>
    <mergeCell ref="BZ36:CC36"/>
    <mergeCell ref="CD36:CG36"/>
    <mergeCell ref="CH36:CK36"/>
    <mergeCell ref="BV37:BY37"/>
    <mergeCell ref="BZ37:CC37"/>
    <mergeCell ref="CD37:CG37"/>
    <mergeCell ref="CH37:CK37"/>
    <mergeCell ref="BV38:BY38"/>
    <mergeCell ref="BZ38:CC38"/>
    <mergeCell ref="CD38:CG38"/>
    <mergeCell ref="CH38:CK38"/>
    <mergeCell ref="BV39:BY39"/>
    <mergeCell ref="BZ39:CC39"/>
    <mergeCell ref="CD39:CG39"/>
    <mergeCell ref="CH39:CK39"/>
    <mergeCell ref="BV40:BY40"/>
    <mergeCell ref="BZ40:CC40"/>
    <mergeCell ref="BT49:BU49"/>
    <mergeCell ref="CL49:CO49"/>
    <mergeCell ref="CP49:CS49"/>
    <mergeCell ref="BT50:BU50"/>
    <mergeCell ref="CL50:CO50"/>
    <mergeCell ref="CP50:CS50"/>
    <mergeCell ref="BT51:BU51"/>
    <mergeCell ref="CL51:CO51"/>
    <mergeCell ref="CP51:CS51"/>
    <mergeCell ref="BT52:BU52"/>
    <mergeCell ref="CL52:CO52"/>
    <mergeCell ref="CP52:CS52"/>
    <mergeCell ref="BT53:BU53"/>
    <mergeCell ref="CL53:CO53"/>
    <mergeCell ref="CP53:CS53"/>
    <mergeCell ref="BT59:BU59"/>
    <mergeCell ref="CL59:CO59"/>
    <mergeCell ref="CP59:CS59"/>
    <mergeCell ref="BT60:BU60"/>
    <mergeCell ref="CL60:CO60"/>
    <mergeCell ref="CP60:CS60"/>
    <mergeCell ref="BT61:BU61"/>
    <mergeCell ref="CL61:CO61"/>
    <mergeCell ref="CP61:CS61"/>
    <mergeCell ref="BT62:BU62"/>
    <mergeCell ref="CL62:CO62"/>
    <mergeCell ref="CP62:CS62"/>
    <mergeCell ref="BT44:BU44"/>
    <mergeCell ref="CL44:CO44"/>
    <mergeCell ref="CP44:CS44"/>
    <mergeCell ref="BT45:BU45"/>
    <mergeCell ref="CL45:CO45"/>
    <mergeCell ref="CP45:CS45"/>
    <mergeCell ref="BT46:BU46"/>
    <mergeCell ref="CL46:CO46"/>
    <mergeCell ref="CP46:CS46"/>
    <mergeCell ref="BT47:BU47"/>
    <mergeCell ref="CL47:CO47"/>
    <mergeCell ref="CP47:CS47"/>
    <mergeCell ref="BT48:BU48"/>
    <mergeCell ref="CL48:CO48"/>
    <mergeCell ref="CP48:CS48"/>
    <mergeCell ref="BV44:BY44"/>
    <mergeCell ref="BZ44:CC44"/>
    <mergeCell ref="CD44:CG44"/>
    <mergeCell ref="CH44:CK44"/>
    <mergeCell ref="BV45:BY45"/>
    <mergeCell ref="BZ45:CC45"/>
    <mergeCell ref="CD45:CG45"/>
    <mergeCell ref="CH45:CK45"/>
    <mergeCell ref="BV46:BY46"/>
    <mergeCell ref="BZ46:CC46"/>
    <mergeCell ref="CD46:CG46"/>
    <mergeCell ref="CH46:CK46"/>
    <mergeCell ref="BV47:BY47"/>
    <mergeCell ref="BZ47:CC47"/>
    <mergeCell ref="CD47:CG47"/>
    <mergeCell ref="CH47:CK47"/>
    <mergeCell ref="BV48:BY48"/>
    <mergeCell ref="BZ48:CC48"/>
    <mergeCell ref="CD48:CG48"/>
    <mergeCell ref="CH48:CK48"/>
    <mergeCell ref="BT63:BU63"/>
    <mergeCell ref="CL63:CO63"/>
    <mergeCell ref="CP63:CS63"/>
    <mergeCell ref="BV59:BY59"/>
    <mergeCell ref="BZ59:CC59"/>
    <mergeCell ref="CD59:CG59"/>
    <mergeCell ref="CH59:CK59"/>
    <mergeCell ref="BV60:BY60"/>
    <mergeCell ref="BZ60:CC60"/>
    <mergeCell ref="CD60:CG60"/>
    <mergeCell ref="CH60:CK60"/>
    <mergeCell ref="BV61:BY61"/>
    <mergeCell ref="BZ61:CC61"/>
    <mergeCell ref="CD61:CG61"/>
    <mergeCell ref="CH61:CK61"/>
    <mergeCell ref="BV62:BY62"/>
    <mergeCell ref="BZ62:CC62"/>
    <mergeCell ref="CD62:CG62"/>
    <mergeCell ref="CH62:CK62"/>
    <mergeCell ref="BV63:BY63"/>
    <mergeCell ref="BZ63:CC63"/>
    <mergeCell ref="CD63:CG63"/>
    <mergeCell ref="CH63:CK63"/>
    <mergeCell ref="BT69:BU69"/>
    <mergeCell ref="CL69:CO69"/>
    <mergeCell ref="CP69:CS69"/>
    <mergeCell ref="BT70:BU70"/>
    <mergeCell ref="CL70:CO70"/>
    <mergeCell ref="CP70:CS70"/>
    <mergeCell ref="BT71:BU71"/>
    <mergeCell ref="CL71:CO71"/>
    <mergeCell ref="CP71:CS71"/>
    <mergeCell ref="BT72:BU72"/>
    <mergeCell ref="CL72:CO72"/>
    <mergeCell ref="CP72:CS72"/>
    <mergeCell ref="BT73:BU73"/>
    <mergeCell ref="CL73:CO73"/>
    <mergeCell ref="CP73:CS73"/>
    <mergeCell ref="BV71:BY71"/>
    <mergeCell ref="BZ71:CC71"/>
    <mergeCell ref="CD71:CG71"/>
    <mergeCell ref="CH71:CK71"/>
    <mergeCell ref="BV72:BY72"/>
    <mergeCell ref="BZ72:CC72"/>
    <mergeCell ref="CD72:CG72"/>
    <mergeCell ref="CH72:CK72"/>
    <mergeCell ref="BV73:BY73"/>
    <mergeCell ref="BZ73:CC73"/>
    <mergeCell ref="CD73:CG73"/>
    <mergeCell ref="CH73:CK73"/>
    <mergeCell ref="BT64:BU64"/>
    <mergeCell ref="CL64:CO64"/>
    <mergeCell ref="CP64:CS64"/>
    <mergeCell ref="BT65:BU65"/>
    <mergeCell ref="CL65:CO65"/>
    <mergeCell ref="CP65:CS65"/>
    <mergeCell ref="BT66:BU66"/>
    <mergeCell ref="CL66:CO66"/>
    <mergeCell ref="CP66:CS66"/>
    <mergeCell ref="BT67:BU67"/>
    <mergeCell ref="CL67:CO67"/>
    <mergeCell ref="CP67:CS67"/>
    <mergeCell ref="BT68:BU68"/>
    <mergeCell ref="CL68:CO68"/>
    <mergeCell ref="CP68:CS68"/>
    <mergeCell ref="BV65:BY65"/>
    <mergeCell ref="BZ65:CC65"/>
    <mergeCell ref="CD65:CG65"/>
    <mergeCell ref="CH65:CK65"/>
    <mergeCell ref="BV66:BY66"/>
    <mergeCell ref="BZ66:CC66"/>
    <mergeCell ref="CD66:CG66"/>
    <mergeCell ref="CH66:CK66"/>
    <mergeCell ref="BV67:BY67"/>
    <mergeCell ref="BZ67:CC67"/>
    <mergeCell ref="CD67:CG67"/>
    <mergeCell ref="CH67:CK67"/>
    <mergeCell ref="BV68:BY68"/>
    <mergeCell ref="BZ68:CC68"/>
    <mergeCell ref="CD68:CG68"/>
    <mergeCell ref="CH68:CK68"/>
    <mergeCell ref="BV69:BY69"/>
    <mergeCell ref="BZ69:CC69"/>
    <mergeCell ref="CD69:CG69"/>
    <mergeCell ref="CH69:CK69"/>
    <mergeCell ref="BV70:BY70"/>
    <mergeCell ref="BZ70:CC70"/>
    <mergeCell ref="BT74:BU74"/>
    <mergeCell ref="CL74:CO74"/>
    <mergeCell ref="CP74:CS74"/>
    <mergeCell ref="BT75:BU75"/>
    <mergeCell ref="CL75:CO75"/>
    <mergeCell ref="CP75:CS75"/>
    <mergeCell ref="BT76:BU76"/>
    <mergeCell ref="CL76:CO76"/>
    <mergeCell ref="CP76:CS76"/>
    <mergeCell ref="BT77:BU77"/>
    <mergeCell ref="CL77:CO77"/>
    <mergeCell ref="CP77:CS77"/>
    <mergeCell ref="BT78:BU78"/>
    <mergeCell ref="CL78:CO78"/>
    <mergeCell ref="CP78:CS78"/>
    <mergeCell ref="BV74:BY74"/>
    <mergeCell ref="BZ74:CC74"/>
    <mergeCell ref="CD74:CG74"/>
    <mergeCell ref="CH74:CK74"/>
    <mergeCell ref="BV75:BY75"/>
    <mergeCell ref="BZ75:CC75"/>
    <mergeCell ref="CD75:CG75"/>
    <mergeCell ref="CH75:CK75"/>
    <mergeCell ref="BV76:BY76"/>
    <mergeCell ref="BZ76:CC76"/>
    <mergeCell ref="CD76:CG76"/>
    <mergeCell ref="CH76:CK76"/>
    <mergeCell ref="BV77:BY77"/>
    <mergeCell ref="BZ77:CC77"/>
    <mergeCell ref="CD77:CG77"/>
    <mergeCell ref="CH77:CK77"/>
    <mergeCell ref="BV78:BY78"/>
    <mergeCell ref="BZ78:CC78"/>
    <mergeCell ref="CD78:CG78"/>
    <mergeCell ref="CH78:CK78"/>
    <mergeCell ref="BT84:BU84"/>
    <mergeCell ref="CL84:CO84"/>
    <mergeCell ref="CP84:CS84"/>
    <mergeCell ref="BT85:BU85"/>
    <mergeCell ref="CL85:CO85"/>
    <mergeCell ref="CP85:CS85"/>
    <mergeCell ref="BT86:BU86"/>
    <mergeCell ref="CL86:CO86"/>
    <mergeCell ref="CP86:CS86"/>
    <mergeCell ref="BT87:BU87"/>
    <mergeCell ref="CL87:CO87"/>
    <mergeCell ref="CP87:CS87"/>
    <mergeCell ref="BT88:BU88"/>
    <mergeCell ref="CL88:CO88"/>
    <mergeCell ref="CP88:CS88"/>
    <mergeCell ref="BV86:BY86"/>
    <mergeCell ref="BZ86:CC86"/>
    <mergeCell ref="CD86:CG86"/>
    <mergeCell ref="CH86:CK86"/>
    <mergeCell ref="BV87:BY87"/>
    <mergeCell ref="BZ87:CC87"/>
    <mergeCell ref="CD87:CG87"/>
    <mergeCell ref="CH87:CK87"/>
    <mergeCell ref="BV88:BY88"/>
    <mergeCell ref="BZ88:CC88"/>
    <mergeCell ref="CD88:CG88"/>
    <mergeCell ref="CH88:CK88"/>
    <mergeCell ref="BT79:BU79"/>
    <mergeCell ref="CL79:CO79"/>
    <mergeCell ref="CP79:CS79"/>
    <mergeCell ref="BT80:BU80"/>
    <mergeCell ref="CL80:CO80"/>
    <mergeCell ref="CP80:CS80"/>
    <mergeCell ref="BT81:BU81"/>
    <mergeCell ref="CL81:CO81"/>
    <mergeCell ref="CP81:CS81"/>
    <mergeCell ref="BT82:BU82"/>
    <mergeCell ref="CL82:CO82"/>
    <mergeCell ref="CP82:CS82"/>
    <mergeCell ref="BT83:BU83"/>
    <mergeCell ref="CL83:CO83"/>
    <mergeCell ref="CP83:CS83"/>
    <mergeCell ref="BT89:BU89"/>
    <mergeCell ref="CL89:CO89"/>
    <mergeCell ref="CP89:CS89"/>
    <mergeCell ref="BT90:BU90"/>
    <mergeCell ref="CL90:CO90"/>
    <mergeCell ref="CP90:CS90"/>
    <mergeCell ref="BT91:BU91"/>
    <mergeCell ref="CL91:CO91"/>
    <mergeCell ref="CP91:CS91"/>
    <mergeCell ref="BT92:BU92"/>
    <mergeCell ref="CL92:CO92"/>
    <mergeCell ref="CP92:CS92"/>
    <mergeCell ref="BT93:BU93"/>
    <mergeCell ref="CL93:CO93"/>
    <mergeCell ref="CP93:CS93"/>
    <mergeCell ref="BV89:BY89"/>
    <mergeCell ref="BZ89:CC89"/>
    <mergeCell ref="CD89:CG89"/>
    <mergeCell ref="CH89:CK89"/>
    <mergeCell ref="BV90:BY90"/>
    <mergeCell ref="BZ90:CC90"/>
    <mergeCell ref="CD90:CG90"/>
    <mergeCell ref="CH90:CK90"/>
    <mergeCell ref="BV91:BY91"/>
    <mergeCell ref="BZ91:CC91"/>
    <mergeCell ref="CD91:CG91"/>
    <mergeCell ref="CH91:CK91"/>
    <mergeCell ref="BV92:BY92"/>
    <mergeCell ref="BZ92:CC92"/>
    <mergeCell ref="CD92:CG92"/>
    <mergeCell ref="CH92:CK92"/>
    <mergeCell ref="BV93:BY93"/>
    <mergeCell ref="BZ93:CC93"/>
    <mergeCell ref="CD93:CG93"/>
    <mergeCell ref="CH93:CK93"/>
    <mergeCell ref="BT99:BU99"/>
    <mergeCell ref="CL99:CO99"/>
    <mergeCell ref="CP99:CS99"/>
    <mergeCell ref="BT100:BU100"/>
    <mergeCell ref="CL100:CO100"/>
    <mergeCell ref="CP100:CS100"/>
    <mergeCell ref="BT101:BU101"/>
    <mergeCell ref="CL101:CO101"/>
    <mergeCell ref="CP101:CS101"/>
    <mergeCell ref="BT102:BU102"/>
    <mergeCell ref="CL102:CO102"/>
    <mergeCell ref="CP102:CS102"/>
    <mergeCell ref="BT103:BU103"/>
    <mergeCell ref="CL103:CO103"/>
    <mergeCell ref="CP103:CS103"/>
    <mergeCell ref="BV101:BY101"/>
    <mergeCell ref="BZ101:CC101"/>
    <mergeCell ref="CD101:CG101"/>
    <mergeCell ref="CH101:CK101"/>
    <mergeCell ref="BV102:BY102"/>
    <mergeCell ref="BZ102:CC102"/>
    <mergeCell ref="CD102:CG102"/>
    <mergeCell ref="CH102:CK102"/>
    <mergeCell ref="BV103:BY103"/>
    <mergeCell ref="BZ103:CC103"/>
    <mergeCell ref="CD103:CG103"/>
    <mergeCell ref="CH103:CK103"/>
    <mergeCell ref="BT94:BU94"/>
    <mergeCell ref="CL94:CO94"/>
    <mergeCell ref="CP94:CS94"/>
    <mergeCell ref="BT95:BU95"/>
    <mergeCell ref="CL95:CO95"/>
    <mergeCell ref="CP95:CS95"/>
    <mergeCell ref="BT96:BU96"/>
    <mergeCell ref="CL96:CO96"/>
    <mergeCell ref="CP96:CS96"/>
    <mergeCell ref="BT97:BU97"/>
    <mergeCell ref="CL97:CO97"/>
    <mergeCell ref="CP97:CS97"/>
    <mergeCell ref="BT98:BU98"/>
    <mergeCell ref="CL98:CO98"/>
    <mergeCell ref="CP98:CS98"/>
    <mergeCell ref="BV95:BY95"/>
    <mergeCell ref="BZ95:CC95"/>
    <mergeCell ref="CD95:CG95"/>
    <mergeCell ref="CH95:CK95"/>
    <mergeCell ref="BV96:BY96"/>
    <mergeCell ref="BZ96:CC96"/>
    <mergeCell ref="CD96:CG96"/>
    <mergeCell ref="CH96:CK96"/>
    <mergeCell ref="BV97:BY97"/>
    <mergeCell ref="BZ97:CC97"/>
    <mergeCell ref="CD97:CG97"/>
    <mergeCell ref="CH97:CK97"/>
    <mergeCell ref="BV98:BY98"/>
    <mergeCell ref="BZ98:CC98"/>
    <mergeCell ref="CD98:CG98"/>
    <mergeCell ref="CH98:CK98"/>
    <mergeCell ref="BV99:BY99"/>
    <mergeCell ref="BZ99:CC99"/>
    <mergeCell ref="CD99:CG99"/>
    <mergeCell ref="CH99:CK99"/>
    <mergeCell ref="BV100:BY100"/>
    <mergeCell ref="BZ100:CC100"/>
    <mergeCell ref="BT104:BU104"/>
    <mergeCell ref="CL104:CO104"/>
    <mergeCell ref="CP104:CS104"/>
    <mergeCell ref="BT105:BU105"/>
    <mergeCell ref="CL105:CO105"/>
    <mergeCell ref="CP105:CS105"/>
    <mergeCell ref="BT106:BU106"/>
    <mergeCell ref="CL106:CO106"/>
    <mergeCell ref="CP106:CS106"/>
    <mergeCell ref="BT107:BU107"/>
    <mergeCell ref="CL107:CO107"/>
    <mergeCell ref="CP107:CS107"/>
    <mergeCell ref="BT108:BU108"/>
    <mergeCell ref="CL108:CO108"/>
    <mergeCell ref="CP108:CS108"/>
    <mergeCell ref="BV104:BY104"/>
    <mergeCell ref="BZ104:CC104"/>
    <mergeCell ref="CD104:CG104"/>
    <mergeCell ref="CH104:CK104"/>
    <mergeCell ref="BV105:BY105"/>
    <mergeCell ref="BZ105:CC105"/>
    <mergeCell ref="CD105:CG105"/>
    <mergeCell ref="CH105:CK105"/>
    <mergeCell ref="BV106:BY106"/>
    <mergeCell ref="BZ106:CC106"/>
    <mergeCell ref="CD106:CG106"/>
    <mergeCell ref="CH106:CK106"/>
    <mergeCell ref="BV107:BY107"/>
    <mergeCell ref="BZ107:CC107"/>
    <mergeCell ref="CD107:CG107"/>
    <mergeCell ref="CH107:CK107"/>
    <mergeCell ref="BV108:BY108"/>
    <mergeCell ref="BZ108:CC108"/>
    <mergeCell ref="CD108:CG108"/>
    <mergeCell ref="CH108:CK108"/>
    <mergeCell ref="BT114:BU114"/>
    <mergeCell ref="CL114:CO114"/>
    <mergeCell ref="CP114:CS114"/>
    <mergeCell ref="BT115:BU115"/>
    <mergeCell ref="CL115:CO115"/>
    <mergeCell ref="CP115:CS115"/>
    <mergeCell ref="BT116:BU116"/>
    <mergeCell ref="CL116:CO116"/>
    <mergeCell ref="CP116:CS116"/>
    <mergeCell ref="BT117:BU117"/>
    <mergeCell ref="CL117:CO117"/>
    <mergeCell ref="CP117:CS117"/>
    <mergeCell ref="BT118:BU118"/>
    <mergeCell ref="CL118:CO118"/>
    <mergeCell ref="CP118:CS118"/>
    <mergeCell ref="BV116:BY116"/>
    <mergeCell ref="BZ116:CC116"/>
    <mergeCell ref="CD116:CG116"/>
    <mergeCell ref="CH116:CK116"/>
    <mergeCell ref="BV117:BY117"/>
    <mergeCell ref="BZ117:CC117"/>
    <mergeCell ref="CD117:CG117"/>
    <mergeCell ref="CH117:CK117"/>
    <mergeCell ref="BV118:BY118"/>
    <mergeCell ref="BZ118:CC118"/>
    <mergeCell ref="CD118:CG118"/>
    <mergeCell ref="CH118:CK118"/>
    <mergeCell ref="BT109:BU109"/>
    <mergeCell ref="CL109:CO109"/>
    <mergeCell ref="CP109:CS109"/>
    <mergeCell ref="BT110:BU110"/>
    <mergeCell ref="CL110:CO110"/>
    <mergeCell ref="CP110:CS110"/>
    <mergeCell ref="BT111:BU111"/>
    <mergeCell ref="CL111:CO111"/>
    <mergeCell ref="CP111:CS111"/>
    <mergeCell ref="BT112:BU112"/>
    <mergeCell ref="CL112:CO112"/>
    <mergeCell ref="CP112:CS112"/>
    <mergeCell ref="BT113:BU113"/>
    <mergeCell ref="CL113:CO113"/>
    <mergeCell ref="CP113:CS113"/>
    <mergeCell ref="BT119:BU119"/>
    <mergeCell ref="CL119:CO119"/>
    <mergeCell ref="CP119:CS119"/>
    <mergeCell ref="BT120:BU120"/>
    <mergeCell ref="CL120:CO120"/>
    <mergeCell ref="CP120:CS120"/>
    <mergeCell ref="BT121:BU121"/>
    <mergeCell ref="CL121:CO121"/>
    <mergeCell ref="CP121:CS121"/>
    <mergeCell ref="BT122:BU122"/>
    <mergeCell ref="CL122:CO122"/>
    <mergeCell ref="CP122:CS122"/>
    <mergeCell ref="BT123:BU123"/>
    <mergeCell ref="CL123:CO123"/>
    <mergeCell ref="CP123:CS123"/>
    <mergeCell ref="BV119:BY119"/>
    <mergeCell ref="BZ119:CC119"/>
    <mergeCell ref="CD119:CG119"/>
    <mergeCell ref="CH119:CK119"/>
    <mergeCell ref="BV120:BY120"/>
    <mergeCell ref="BZ120:CC120"/>
    <mergeCell ref="CD120:CG120"/>
    <mergeCell ref="CH120:CK120"/>
    <mergeCell ref="BV121:BY121"/>
    <mergeCell ref="BZ121:CC121"/>
    <mergeCell ref="CD121:CG121"/>
    <mergeCell ref="CH121:CK121"/>
    <mergeCell ref="BV122:BY122"/>
    <mergeCell ref="BZ122:CC122"/>
    <mergeCell ref="CD122:CG122"/>
    <mergeCell ref="CH122:CK122"/>
    <mergeCell ref="BV123:BY123"/>
    <mergeCell ref="BZ123:CC123"/>
    <mergeCell ref="CD123:CG123"/>
    <mergeCell ref="CH123:CK123"/>
    <mergeCell ref="BT129:BU129"/>
    <mergeCell ref="CL129:CO129"/>
    <mergeCell ref="CP129:CS129"/>
    <mergeCell ref="BT130:BU130"/>
    <mergeCell ref="CL130:CO130"/>
    <mergeCell ref="CP130:CS130"/>
    <mergeCell ref="BT131:BU131"/>
    <mergeCell ref="CL131:CO131"/>
    <mergeCell ref="CP131:CS131"/>
    <mergeCell ref="BT132:BU132"/>
    <mergeCell ref="CL132:CO132"/>
    <mergeCell ref="CP132:CS132"/>
    <mergeCell ref="BT133:BU133"/>
    <mergeCell ref="CL133:CO133"/>
    <mergeCell ref="CP133:CS133"/>
    <mergeCell ref="BV131:BY131"/>
    <mergeCell ref="BZ131:CC131"/>
    <mergeCell ref="CD131:CG131"/>
    <mergeCell ref="CH131:CK131"/>
    <mergeCell ref="BV132:BY132"/>
    <mergeCell ref="BZ132:CC132"/>
    <mergeCell ref="CD132:CG132"/>
    <mergeCell ref="CH132:CK132"/>
    <mergeCell ref="BV133:BY133"/>
    <mergeCell ref="BZ133:CC133"/>
    <mergeCell ref="CD133:CG133"/>
    <mergeCell ref="CH133:CK133"/>
    <mergeCell ref="BT124:BU124"/>
    <mergeCell ref="CL124:CO124"/>
    <mergeCell ref="CP124:CS124"/>
    <mergeCell ref="BT125:BU125"/>
    <mergeCell ref="CL125:CO125"/>
    <mergeCell ref="CP125:CS125"/>
    <mergeCell ref="BT126:BU126"/>
    <mergeCell ref="CL126:CO126"/>
    <mergeCell ref="CP126:CS126"/>
    <mergeCell ref="BT127:BU127"/>
    <mergeCell ref="CL127:CO127"/>
    <mergeCell ref="CP127:CS127"/>
    <mergeCell ref="BT128:BU128"/>
    <mergeCell ref="CL128:CO128"/>
    <mergeCell ref="CP128:CS128"/>
    <mergeCell ref="BV125:BY125"/>
    <mergeCell ref="BZ125:CC125"/>
    <mergeCell ref="CD125:CG125"/>
    <mergeCell ref="CH125:CK125"/>
    <mergeCell ref="BV126:BY126"/>
    <mergeCell ref="BZ126:CC126"/>
    <mergeCell ref="CD126:CG126"/>
    <mergeCell ref="CH126:CK126"/>
    <mergeCell ref="BV127:BY127"/>
    <mergeCell ref="BZ127:CC127"/>
    <mergeCell ref="CD127:CG127"/>
    <mergeCell ref="CH127:CK127"/>
    <mergeCell ref="BV128:BY128"/>
    <mergeCell ref="BZ128:CC128"/>
    <mergeCell ref="CD128:CG128"/>
    <mergeCell ref="CH128:CK128"/>
    <mergeCell ref="BV129:BY129"/>
    <mergeCell ref="BZ129:CC129"/>
    <mergeCell ref="CD129:CG129"/>
    <mergeCell ref="CH129:CK129"/>
    <mergeCell ref="BV130:BY130"/>
    <mergeCell ref="BZ130:CC130"/>
    <mergeCell ref="BT134:BU134"/>
    <mergeCell ref="CL134:CO134"/>
    <mergeCell ref="CP134:CS134"/>
    <mergeCell ref="BT135:BU135"/>
    <mergeCell ref="CL135:CO135"/>
    <mergeCell ref="CP135:CS135"/>
    <mergeCell ref="BT136:BU136"/>
    <mergeCell ref="CL136:CO136"/>
    <mergeCell ref="CP136:CS136"/>
    <mergeCell ref="BT137:BU137"/>
    <mergeCell ref="CL137:CO137"/>
    <mergeCell ref="CP137:CS137"/>
    <mergeCell ref="BT138:BU138"/>
    <mergeCell ref="CL138:CO138"/>
    <mergeCell ref="CP138:CS138"/>
    <mergeCell ref="BV134:BY134"/>
    <mergeCell ref="BZ134:CC134"/>
    <mergeCell ref="CD134:CG134"/>
    <mergeCell ref="CH134:CK134"/>
    <mergeCell ref="BV135:BY135"/>
    <mergeCell ref="BZ135:CC135"/>
    <mergeCell ref="CD135:CG135"/>
    <mergeCell ref="CH135:CK135"/>
    <mergeCell ref="BV136:BY136"/>
    <mergeCell ref="BZ136:CC136"/>
    <mergeCell ref="CD136:CG136"/>
    <mergeCell ref="CH136:CK136"/>
    <mergeCell ref="BV137:BY137"/>
    <mergeCell ref="BZ137:CC137"/>
    <mergeCell ref="CD137:CG137"/>
    <mergeCell ref="CH137:CK137"/>
    <mergeCell ref="BV138:BY138"/>
    <mergeCell ref="BZ138:CC138"/>
    <mergeCell ref="CD138:CG138"/>
    <mergeCell ref="CH138:CK138"/>
    <mergeCell ref="BT144:BU144"/>
    <mergeCell ref="CL144:CO144"/>
    <mergeCell ref="CP144:CS144"/>
    <mergeCell ref="BT145:BU145"/>
    <mergeCell ref="CL145:CO145"/>
    <mergeCell ref="CP145:CS145"/>
    <mergeCell ref="BT146:BU146"/>
    <mergeCell ref="CL146:CO146"/>
    <mergeCell ref="CP146:CS146"/>
    <mergeCell ref="BT147:BU147"/>
    <mergeCell ref="CL147:CO147"/>
    <mergeCell ref="CP147:CS147"/>
    <mergeCell ref="BT148:BU148"/>
    <mergeCell ref="CL148:CO148"/>
    <mergeCell ref="CP148:CS148"/>
    <mergeCell ref="BV146:BY146"/>
    <mergeCell ref="BZ146:CC146"/>
    <mergeCell ref="CD146:CG146"/>
    <mergeCell ref="CH146:CK146"/>
    <mergeCell ref="BV147:BY147"/>
    <mergeCell ref="BZ147:CC147"/>
    <mergeCell ref="CD147:CG147"/>
    <mergeCell ref="CH147:CK147"/>
    <mergeCell ref="BV148:BY148"/>
    <mergeCell ref="BZ148:CC148"/>
    <mergeCell ref="CD148:CG148"/>
    <mergeCell ref="CH148:CK148"/>
    <mergeCell ref="BT139:BU139"/>
    <mergeCell ref="CL139:CO139"/>
    <mergeCell ref="CP139:CS139"/>
    <mergeCell ref="BT140:BU140"/>
    <mergeCell ref="CL140:CO140"/>
    <mergeCell ref="CP140:CS140"/>
    <mergeCell ref="BT141:BU141"/>
    <mergeCell ref="CL141:CO141"/>
    <mergeCell ref="CP141:CS141"/>
    <mergeCell ref="BT142:BU142"/>
    <mergeCell ref="CL142:CO142"/>
    <mergeCell ref="CP142:CS142"/>
    <mergeCell ref="BT143:BU143"/>
    <mergeCell ref="CL143:CO143"/>
    <mergeCell ref="CP143:CS143"/>
    <mergeCell ref="BT149:BU149"/>
    <mergeCell ref="CL149:CO149"/>
    <mergeCell ref="CP149:CS149"/>
    <mergeCell ref="BT150:BU150"/>
    <mergeCell ref="CL150:CO150"/>
    <mergeCell ref="CP150:CS150"/>
    <mergeCell ref="BT151:BU151"/>
    <mergeCell ref="CL151:CO151"/>
    <mergeCell ref="CP151:CS151"/>
    <mergeCell ref="BT152:BU152"/>
    <mergeCell ref="CL152:CO152"/>
    <mergeCell ref="CP152:CS152"/>
    <mergeCell ref="BT153:BU153"/>
    <mergeCell ref="CL153:CO153"/>
    <mergeCell ref="CP153:CS153"/>
    <mergeCell ref="BV149:BY149"/>
    <mergeCell ref="BZ149:CC149"/>
    <mergeCell ref="CD149:CG149"/>
    <mergeCell ref="CH149:CK149"/>
    <mergeCell ref="BV150:BY150"/>
    <mergeCell ref="BZ150:CC150"/>
    <mergeCell ref="CD150:CG150"/>
    <mergeCell ref="CH150:CK150"/>
    <mergeCell ref="BV151:BY151"/>
    <mergeCell ref="BZ151:CC151"/>
    <mergeCell ref="CD151:CG151"/>
    <mergeCell ref="CH151:CK151"/>
    <mergeCell ref="BV152:BY152"/>
    <mergeCell ref="BZ152:CC152"/>
    <mergeCell ref="CD152:CG152"/>
    <mergeCell ref="CH152:CK152"/>
    <mergeCell ref="BV153:BY153"/>
    <mergeCell ref="BZ153:CC153"/>
    <mergeCell ref="CD153:CG153"/>
    <mergeCell ref="CH153:CK153"/>
    <mergeCell ref="CL159:CO159"/>
    <mergeCell ref="CP159:CS159"/>
    <mergeCell ref="BT160:BU160"/>
    <mergeCell ref="CL160:CO160"/>
    <mergeCell ref="CP160:CS160"/>
    <mergeCell ref="BT161:BU161"/>
    <mergeCell ref="CL161:CO161"/>
    <mergeCell ref="CP161:CS161"/>
    <mergeCell ref="BT162:BU162"/>
    <mergeCell ref="CL162:CO162"/>
    <mergeCell ref="CP162:CS162"/>
    <mergeCell ref="BT163:BU163"/>
    <mergeCell ref="CL163:CO163"/>
    <mergeCell ref="CP163:CS163"/>
    <mergeCell ref="BV161:BY161"/>
    <mergeCell ref="BZ161:CC161"/>
    <mergeCell ref="CD161:CG161"/>
    <mergeCell ref="CH161:CK161"/>
    <mergeCell ref="CW161:CZ161"/>
    <mergeCell ref="BV162:BY162"/>
    <mergeCell ref="BZ162:CC162"/>
    <mergeCell ref="CD162:CG162"/>
    <mergeCell ref="CH162:CK162"/>
    <mergeCell ref="CW162:CZ162"/>
    <mergeCell ref="BV163:BY163"/>
    <mergeCell ref="BZ163:CC163"/>
    <mergeCell ref="CD163:CG163"/>
    <mergeCell ref="CH163:CK163"/>
    <mergeCell ref="CW163:CZ163"/>
    <mergeCell ref="BT154:BU154"/>
    <mergeCell ref="CL154:CO154"/>
    <mergeCell ref="CP154:CS154"/>
    <mergeCell ref="BT155:BU155"/>
    <mergeCell ref="CL155:CO155"/>
    <mergeCell ref="CP155:CS155"/>
    <mergeCell ref="BT156:BU156"/>
    <mergeCell ref="CL156:CO156"/>
    <mergeCell ref="CP156:CS156"/>
    <mergeCell ref="BT157:BU157"/>
    <mergeCell ref="CL157:CO157"/>
    <mergeCell ref="CP157:CS157"/>
    <mergeCell ref="BT158:BU158"/>
    <mergeCell ref="CL158:CO158"/>
    <mergeCell ref="CP158:CS158"/>
    <mergeCell ref="BV155:BY155"/>
    <mergeCell ref="BZ155:CC155"/>
    <mergeCell ref="CD155:CG155"/>
    <mergeCell ref="CH155:CK155"/>
    <mergeCell ref="BV156:BY156"/>
    <mergeCell ref="BZ156:CC156"/>
    <mergeCell ref="CD156:CG156"/>
    <mergeCell ref="CH156:CK156"/>
    <mergeCell ref="BV157:BY157"/>
    <mergeCell ref="BZ157:CC157"/>
    <mergeCell ref="CD157:CG157"/>
    <mergeCell ref="CH157:CK157"/>
    <mergeCell ref="BV158:BY158"/>
    <mergeCell ref="BZ158:CC158"/>
    <mergeCell ref="CD158:CG158"/>
    <mergeCell ref="CH158:CK158"/>
    <mergeCell ref="BV159:BY159"/>
    <mergeCell ref="BZ159:CC159"/>
    <mergeCell ref="CD159:CG159"/>
    <mergeCell ref="CH159:CK159"/>
    <mergeCell ref="BT169:BU169"/>
    <mergeCell ref="CL169:CO169"/>
    <mergeCell ref="CP169:CS169"/>
    <mergeCell ref="BT170:BU170"/>
    <mergeCell ref="CL170:CO170"/>
    <mergeCell ref="CP170:CS170"/>
    <mergeCell ref="BT171:BU171"/>
    <mergeCell ref="CL171:CO171"/>
    <mergeCell ref="CP171:CS171"/>
    <mergeCell ref="BT172:BU172"/>
    <mergeCell ref="CL172:CO172"/>
    <mergeCell ref="CP172:CS172"/>
    <mergeCell ref="BT173:BU173"/>
    <mergeCell ref="CL173:CO173"/>
    <mergeCell ref="CP173:CS173"/>
    <mergeCell ref="BV169:BY169"/>
    <mergeCell ref="BZ169:CC169"/>
    <mergeCell ref="CD169:CG169"/>
    <mergeCell ref="CH169:CK169"/>
    <mergeCell ref="BV170:BY170"/>
    <mergeCell ref="BZ170:CC170"/>
    <mergeCell ref="CD170:CG170"/>
    <mergeCell ref="CH170:CK170"/>
    <mergeCell ref="BV171:BY171"/>
    <mergeCell ref="BZ171:CC171"/>
    <mergeCell ref="CP164:CS164"/>
    <mergeCell ref="BT165:BU165"/>
    <mergeCell ref="CL165:CO165"/>
    <mergeCell ref="CP165:CS165"/>
    <mergeCell ref="BT166:BU166"/>
    <mergeCell ref="CL166:CO166"/>
    <mergeCell ref="CP166:CS166"/>
    <mergeCell ref="BT167:BU167"/>
    <mergeCell ref="CL167:CO167"/>
    <mergeCell ref="CP167:CS167"/>
    <mergeCell ref="BT168:BU168"/>
    <mergeCell ref="CL168:CO168"/>
    <mergeCell ref="CP168:CS168"/>
    <mergeCell ref="BV164:BY164"/>
    <mergeCell ref="BZ164:CC164"/>
    <mergeCell ref="CD164:CG164"/>
    <mergeCell ref="CH164:CK164"/>
    <mergeCell ref="BV165:BY165"/>
    <mergeCell ref="BZ165:CC165"/>
    <mergeCell ref="CD165:CG165"/>
    <mergeCell ref="CH165:CK165"/>
    <mergeCell ref="BV166:BY166"/>
    <mergeCell ref="BZ166:CC166"/>
    <mergeCell ref="CD166:CG166"/>
    <mergeCell ref="CH166:CK166"/>
    <mergeCell ref="BV167:BY167"/>
    <mergeCell ref="BZ167:CC167"/>
    <mergeCell ref="CD167:CG167"/>
    <mergeCell ref="CH167:CK167"/>
    <mergeCell ref="BV168:BY168"/>
    <mergeCell ref="BZ168:CC168"/>
    <mergeCell ref="CD168:CG168"/>
    <mergeCell ref="CH168:CK168"/>
    <mergeCell ref="CP179:CS179"/>
    <mergeCell ref="BT180:BU180"/>
    <mergeCell ref="CL180:CO180"/>
    <mergeCell ref="CP180:CS180"/>
    <mergeCell ref="BT181:BU181"/>
    <mergeCell ref="CL181:CO181"/>
    <mergeCell ref="CP181:CS181"/>
    <mergeCell ref="BT182:BU182"/>
    <mergeCell ref="CL182:CO182"/>
    <mergeCell ref="CP182:CS182"/>
    <mergeCell ref="BT183:BU183"/>
    <mergeCell ref="CL183:CO183"/>
    <mergeCell ref="CP183:CS183"/>
    <mergeCell ref="BV179:BY179"/>
    <mergeCell ref="BZ179:CC179"/>
    <mergeCell ref="CD179:CG179"/>
    <mergeCell ref="CH179:CK179"/>
    <mergeCell ref="BV180:BY180"/>
    <mergeCell ref="BZ180:CC180"/>
    <mergeCell ref="CD180:CG180"/>
    <mergeCell ref="CH180:CK180"/>
    <mergeCell ref="BV181:BY181"/>
    <mergeCell ref="BZ181:CC181"/>
    <mergeCell ref="CD181:CG181"/>
    <mergeCell ref="CH181:CK181"/>
    <mergeCell ref="CP174:CS174"/>
    <mergeCell ref="BT175:BU175"/>
    <mergeCell ref="CL175:CO175"/>
    <mergeCell ref="CP175:CS175"/>
    <mergeCell ref="BT176:BU176"/>
    <mergeCell ref="CL176:CO176"/>
    <mergeCell ref="CP176:CS176"/>
    <mergeCell ref="BT177:BU177"/>
    <mergeCell ref="CL177:CO177"/>
    <mergeCell ref="CP177:CS177"/>
    <mergeCell ref="BT178:BU178"/>
    <mergeCell ref="CL178:CO178"/>
    <mergeCell ref="CP178:CS178"/>
    <mergeCell ref="BV176:BY176"/>
    <mergeCell ref="BZ176:CC176"/>
    <mergeCell ref="CD176:CG176"/>
    <mergeCell ref="CH176:CK176"/>
    <mergeCell ref="BV177:BY177"/>
    <mergeCell ref="BZ177:CC177"/>
    <mergeCell ref="CD177:CG177"/>
    <mergeCell ref="CH177:CK177"/>
    <mergeCell ref="BV178:BY178"/>
    <mergeCell ref="BZ178:CC178"/>
    <mergeCell ref="CD178:CG178"/>
    <mergeCell ref="CH178:CK178"/>
    <mergeCell ref="BT202:BU202"/>
    <mergeCell ref="CL202:CO202"/>
    <mergeCell ref="CP202:CS202"/>
    <mergeCell ref="CP204:CS204"/>
    <mergeCell ref="BT203:BU203"/>
    <mergeCell ref="CL203:CO203"/>
    <mergeCell ref="CP203:CS203"/>
    <mergeCell ref="BT204:BU204"/>
    <mergeCell ref="CL204:CO204"/>
    <mergeCell ref="BT194:BU194"/>
    <mergeCell ref="CL194:CO194"/>
    <mergeCell ref="CP194:CS194"/>
    <mergeCell ref="BT195:BU195"/>
    <mergeCell ref="CL195:CO195"/>
    <mergeCell ref="CP195:CS195"/>
    <mergeCell ref="BT196:BU196"/>
    <mergeCell ref="CL196:CO196"/>
    <mergeCell ref="CP196:CS196"/>
    <mergeCell ref="BT197:BU197"/>
    <mergeCell ref="CL197:CO197"/>
    <mergeCell ref="CP197:CS197"/>
    <mergeCell ref="BT198:BU198"/>
    <mergeCell ref="CL198:CO198"/>
    <mergeCell ref="CP198:CS198"/>
    <mergeCell ref="BV194:BY194"/>
    <mergeCell ref="BZ194:CC194"/>
    <mergeCell ref="CD194:CG194"/>
    <mergeCell ref="CH194:CK194"/>
    <mergeCell ref="BV195:BY195"/>
    <mergeCell ref="BZ195:CC195"/>
    <mergeCell ref="CD195:CG195"/>
    <mergeCell ref="CH195:CK195"/>
    <mergeCell ref="BV196:BY196"/>
    <mergeCell ref="BZ196:CC196"/>
    <mergeCell ref="CD196:CG196"/>
    <mergeCell ref="CH196:CK196"/>
    <mergeCell ref="BV197:BY197"/>
    <mergeCell ref="BZ197:CC197"/>
    <mergeCell ref="CD197:CG197"/>
    <mergeCell ref="CH197:CK197"/>
    <mergeCell ref="BV198:BY198"/>
    <mergeCell ref="BZ198:CC198"/>
    <mergeCell ref="CD198:CG198"/>
    <mergeCell ref="BV203:BY203"/>
    <mergeCell ref="BZ203:CC203"/>
    <mergeCell ref="CD203:CG203"/>
    <mergeCell ref="CH203:CK203"/>
    <mergeCell ref="BV204:BY204"/>
    <mergeCell ref="BZ204:CC204"/>
    <mergeCell ref="CD204:CG204"/>
    <mergeCell ref="CH204:CK204"/>
    <mergeCell ref="BN147:BP147"/>
    <mergeCell ref="BT199:BU199"/>
    <mergeCell ref="CL199:CO199"/>
    <mergeCell ref="CH198:CK198"/>
    <mergeCell ref="BT189:BU189"/>
    <mergeCell ref="CL189:CO189"/>
    <mergeCell ref="BT179:BU179"/>
    <mergeCell ref="CL179:CO179"/>
    <mergeCell ref="BT174:BU174"/>
    <mergeCell ref="CL174:CO174"/>
    <mergeCell ref="BT164:BU164"/>
    <mergeCell ref="CL164:CO164"/>
    <mergeCell ref="BT159:BU159"/>
    <mergeCell ref="CP199:CS199"/>
    <mergeCell ref="BT200:BU200"/>
    <mergeCell ref="CL200:CO200"/>
    <mergeCell ref="CP200:CS200"/>
    <mergeCell ref="BT201:BU201"/>
    <mergeCell ref="CL201:CO201"/>
    <mergeCell ref="CP201:CS201"/>
    <mergeCell ref="CP189:CS189"/>
    <mergeCell ref="BT190:BU190"/>
    <mergeCell ref="CL190:CO190"/>
    <mergeCell ref="CP190:CS190"/>
    <mergeCell ref="BT191:BU191"/>
    <mergeCell ref="CL191:CO191"/>
    <mergeCell ref="CP191:CS191"/>
    <mergeCell ref="BT192:BU192"/>
    <mergeCell ref="CL192:CO192"/>
    <mergeCell ref="CP192:CS192"/>
    <mergeCell ref="BT193:BU193"/>
    <mergeCell ref="CL193:CO193"/>
    <mergeCell ref="CP193:CS193"/>
    <mergeCell ref="BV191:BY191"/>
    <mergeCell ref="BZ191:CC191"/>
    <mergeCell ref="CD191:CG191"/>
    <mergeCell ref="CH191:CK191"/>
    <mergeCell ref="BV192:BY192"/>
    <mergeCell ref="BZ192:CC192"/>
    <mergeCell ref="CD192:CG192"/>
    <mergeCell ref="CH192:CK192"/>
    <mergeCell ref="BV193:BY193"/>
    <mergeCell ref="BT184:BU184"/>
    <mergeCell ref="CL184:CO184"/>
    <mergeCell ref="CP184:CS184"/>
    <mergeCell ref="BT185:BU185"/>
    <mergeCell ref="CL185:CO185"/>
    <mergeCell ref="CP185:CS185"/>
    <mergeCell ref="BT186:BU186"/>
    <mergeCell ref="CL186:CO186"/>
    <mergeCell ref="CP186:CS186"/>
    <mergeCell ref="BT187:BU187"/>
    <mergeCell ref="CL187:CO187"/>
    <mergeCell ref="CP187:CS187"/>
    <mergeCell ref="BT188:BU188"/>
    <mergeCell ref="CL188:CO188"/>
    <mergeCell ref="CP188:CS188"/>
    <mergeCell ref="BV186:BY186"/>
    <mergeCell ref="BZ186:CC186"/>
    <mergeCell ref="CD186:CG186"/>
    <mergeCell ref="CH186:CK186"/>
    <mergeCell ref="BV187:BY187"/>
    <mergeCell ref="BZ187:CC187"/>
    <mergeCell ref="CD187:CG187"/>
    <mergeCell ref="BN159:BP159"/>
    <mergeCell ref="BN160:BP160"/>
    <mergeCell ref="BN161:BP161"/>
    <mergeCell ref="BN162:BP162"/>
    <mergeCell ref="BN163:BP163"/>
    <mergeCell ref="BN164:BP164"/>
    <mergeCell ref="BN165:BP165"/>
    <mergeCell ref="BN166:BP166"/>
    <mergeCell ref="BN167:BP167"/>
    <mergeCell ref="BN168:BP168"/>
    <mergeCell ref="BN169:BP169"/>
    <mergeCell ref="BN170:BP170"/>
    <mergeCell ref="BN171:BP171"/>
    <mergeCell ref="BN172:BP172"/>
    <mergeCell ref="BN173:BP173"/>
    <mergeCell ref="BN174:BP174"/>
    <mergeCell ref="BN175:BP175"/>
    <mergeCell ref="BN176:BP176"/>
    <mergeCell ref="BN177:BP177"/>
    <mergeCell ref="BN178:BP178"/>
    <mergeCell ref="BN179:BP179"/>
    <mergeCell ref="BN180:BP180"/>
    <mergeCell ref="BN98:BP98"/>
    <mergeCell ref="BN99:BP99"/>
    <mergeCell ref="BN100:BP100"/>
    <mergeCell ref="BN101:BP101"/>
    <mergeCell ref="BN102:BP102"/>
    <mergeCell ref="BN103:BP103"/>
    <mergeCell ref="BN111:BP111"/>
    <mergeCell ref="BN112:BP112"/>
    <mergeCell ref="BN113:BP113"/>
    <mergeCell ref="BN114:BP114"/>
    <mergeCell ref="BN115:BP115"/>
    <mergeCell ref="BN116:BP116"/>
    <mergeCell ref="BN117:BP117"/>
    <mergeCell ref="BN118:BP118"/>
    <mergeCell ref="BN119:BP119"/>
    <mergeCell ref="BN120:BP120"/>
    <mergeCell ref="BN121:BP121"/>
    <mergeCell ref="BN122:BP122"/>
    <mergeCell ref="BN123:BP123"/>
    <mergeCell ref="BN124:BP124"/>
    <mergeCell ref="BN125:BP125"/>
    <mergeCell ref="BN126:BP126"/>
    <mergeCell ref="BN127:BP127"/>
    <mergeCell ref="BN128:BP128"/>
    <mergeCell ref="BN129:BP129"/>
    <mergeCell ref="BN130:BP130"/>
    <mergeCell ref="BN131:BP131"/>
    <mergeCell ref="BN132:BP132"/>
    <mergeCell ref="BN133:BP133"/>
    <mergeCell ref="BN134:BP134"/>
    <mergeCell ref="BN135:BP135"/>
    <mergeCell ref="BN136:BP136"/>
    <mergeCell ref="BN137:BP137"/>
    <mergeCell ref="BN138:BP138"/>
    <mergeCell ref="BN139:BP139"/>
    <mergeCell ref="BN140:BP140"/>
    <mergeCell ref="BN141:BP141"/>
    <mergeCell ref="BN142:BP142"/>
    <mergeCell ref="BN143:BP143"/>
    <mergeCell ref="BN144:BP144"/>
    <mergeCell ref="BN145:BP145"/>
    <mergeCell ref="BN146:BP146"/>
    <mergeCell ref="BN201:BP201"/>
    <mergeCell ref="AX232:BC232"/>
    <mergeCell ref="BD232:BG232"/>
    <mergeCell ref="BH232:BL232"/>
    <mergeCell ref="AX257:BC257"/>
    <mergeCell ref="BD257:BG257"/>
    <mergeCell ref="BH257:BL257"/>
    <mergeCell ref="BN257:BP257"/>
    <mergeCell ref="L230:O230"/>
    <mergeCell ref="L231:O231"/>
    <mergeCell ref="L232:O232"/>
    <mergeCell ref="L234:O234"/>
    <mergeCell ref="L235:O235"/>
    <mergeCell ref="L236:O236"/>
    <mergeCell ref="L237:O237"/>
    <mergeCell ref="L238:O238"/>
    <mergeCell ref="L239:O239"/>
    <mergeCell ref="L240:O240"/>
    <mergeCell ref="L241:O241"/>
    <mergeCell ref="L242:O242"/>
    <mergeCell ref="L243:O243"/>
    <mergeCell ref="L244:O244"/>
    <mergeCell ref="L245:O245"/>
    <mergeCell ref="L246:O246"/>
    <mergeCell ref="L247:O247"/>
    <mergeCell ref="L248:O248"/>
    <mergeCell ref="L249:O249"/>
    <mergeCell ref="L250:O250"/>
    <mergeCell ref="L251:O251"/>
    <mergeCell ref="P229:T229"/>
    <mergeCell ref="AM229:AS229"/>
    <mergeCell ref="AT229:AW229"/>
    <mergeCell ref="AX229:BC229"/>
    <mergeCell ref="BD229:BG229"/>
    <mergeCell ref="BH229:BL229"/>
    <mergeCell ref="BN229:BP229"/>
    <mergeCell ref="U224:AA224"/>
    <mergeCell ref="BN202:BP202"/>
    <mergeCell ref="AM230:AS230"/>
    <mergeCell ref="AT230:AW230"/>
    <mergeCell ref="AX230:BC230"/>
    <mergeCell ref="BD230:BG230"/>
    <mergeCell ref="BH230:BL230"/>
    <mergeCell ref="BN230:BP230"/>
    <mergeCell ref="U227:AA227"/>
    <mergeCell ref="U228:AA228"/>
    <mergeCell ref="U229:AA229"/>
    <mergeCell ref="U230:AA230"/>
    <mergeCell ref="L228:O228"/>
    <mergeCell ref="L229:O229"/>
    <mergeCell ref="AB228:AL228"/>
    <mergeCell ref="AB229:AL229"/>
    <mergeCell ref="AB230:AL230"/>
    <mergeCell ref="AM213:AS213"/>
    <mergeCell ref="AT213:AW213"/>
    <mergeCell ref="AX213:BC213"/>
    <mergeCell ref="BD213:BG213"/>
    <mergeCell ref="BH213:BL213"/>
    <mergeCell ref="BN213:BP213"/>
    <mergeCell ref="BN233:BP233"/>
    <mergeCell ref="BN241:BP241"/>
    <mergeCell ref="AX243:BC243"/>
    <mergeCell ref="P230:T230"/>
    <mergeCell ref="L255:O255"/>
    <mergeCell ref="L2:O4"/>
    <mergeCell ref="L5:O5"/>
    <mergeCell ref="L6:O6"/>
    <mergeCell ref="L7:O7"/>
    <mergeCell ref="L8:O8"/>
    <mergeCell ref="L9:O9"/>
    <mergeCell ref="L10:O10"/>
    <mergeCell ref="L11:O11"/>
    <mergeCell ref="L12:O12"/>
    <mergeCell ref="L13:O13"/>
    <mergeCell ref="L14:O14"/>
    <mergeCell ref="L15:O15"/>
    <mergeCell ref="L16:O16"/>
    <mergeCell ref="L17:O17"/>
    <mergeCell ref="L18:O18"/>
    <mergeCell ref="L19:O19"/>
    <mergeCell ref="L20:O20"/>
    <mergeCell ref="L21:O21"/>
    <mergeCell ref="L22:O22"/>
    <mergeCell ref="L23:O23"/>
    <mergeCell ref="L24:O24"/>
    <mergeCell ref="L26:O26"/>
    <mergeCell ref="L27:O27"/>
    <mergeCell ref="L28:O28"/>
    <mergeCell ref="L29:O29"/>
    <mergeCell ref="L30:O30"/>
    <mergeCell ref="L31:O31"/>
    <mergeCell ref="L33:O33"/>
    <mergeCell ref="L34:O34"/>
    <mergeCell ref="L35:O35"/>
    <mergeCell ref="L36:O36"/>
    <mergeCell ref="L37:O37"/>
    <mergeCell ref="L109:O109"/>
    <mergeCell ref="L80:O80"/>
    <mergeCell ref="L81:O81"/>
    <mergeCell ref="L82:O82"/>
    <mergeCell ref="L83:O83"/>
    <mergeCell ref="U2:AA4"/>
    <mergeCell ref="U5:AA5"/>
    <mergeCell ref="U6:AA6"/>
    <mergeCell ref="U7:AA7"/>
    <mergeCell ref="U8:AA8"/>
    <mergeCell ref="U9:AA9"/>
    <mergeCell ref="U10:AA10"/>
    <mergeCell ref="U11:AA11"/>
    <mergeCell ref="U12:AA12"/>
    <mergeCell ref="U13:AA13"/>
    <mergeCell ref="U14:AA14"/>
    <mergeCell ref="U15:AA15"/>
    <mergeCell ref="U16:AA16"/>
    <mergeCell ref="U17:AA17"/>
    <mergeCell ref="U18:AA18"/>
    <mergeCell ref="U19:AA19"/>
    <mergeCell ref="U20:AA20"/>
    <mergeCell ref="U21:AA21"/>
    <mergeCell ref="U22:AA22"/>
    <mergeCell ref="U23:AA23"/>
    <mergeCell ref="U24:AA24"/>
    <mergeCell ref="U25:AA25"/>
    <mergeCell ref="U26:AA26"/>
    <mergeCell ref="P225:T225"/>
    <mergeCell ref="BV12:BY12"/>
    <mergeCell ref="BZ12:CC12"/>
    <mergeCell ref="CD12:CG12"/>
    <mergeCell ref="L113:O113"/>
    <mergeCell ref="L114:O114"/>
    <mergeCell ref="L115:O115"/>
    <mergeCell ref="L116:O116"/>
    <mergeCell ref="BV19:BY19"/>
    <mergeCell ref="BZ19:CC19"/>
    <mergeCell ref="CD19:CG19"/>
    <mergeCell ref="BZ21:CC21"/>
    <mergeCell ref="CD21:CG21"/>
    <mergeCell ref="CD100:CG100"/>
    <mergeCell ref="CD130:CG130"/>
    <mergeCell ref="BV160:BY160"/>
    <mergeCell ref="BZ160:CC160"/>
    <mergeCell ref="CD160:CG160"/>
    <mergeCell ref="BV189:BY189"/>
    <mergeCell ref="BZ189:CC189"/>
    <mergeCell ref="CD189:CG189"/>
    <mergeCell ref="BT209:BU209"/>
    <mergeCell ref="BV209:BY209"/>
    <mergeCell ref="BZ209:CC209"/>
    <mergeCell ref="CD209:CG209"/>
    <mergeCell ref="BT217:BU217"/>
    <mergeCell ref="BV217:BY217"/>
    <mergeCell ref="BZ217:CC217"/>
    <mergeCell ref="CD217:CG217"/>
    <mergeCell ref="BT225:BU225"/>
    <mergeCell ref="BV225:BY225"/>
    <mergeCell ref="BZ225:CC225"/>
    <mergeCell ref="CD225:CG225"/>
    <mergeCell ref="U65:AA65"/>
    <mergeCell ref="U66:AA66"/>
    <mergeCell ref="U67:AA67"/>
    <mergeCell ref="U68:AA68"/>
    <mergeCell ref="U69:AA69"/>
    <mergeCell ref="U70:AA70"/>
    <mergeCell ref="U71:AA71"/>
    <mergeCell ref="U72:AA72"/>
    <mergeCell ref="CH19:CK19"/>
    <mergeCell ref="BV20:BY20"/>
    <mergeCell ref="L117:O117"/>
    <mergeCell ref="L118:O118"/>
    <mergeCell ref="L203:O203"/>
    <mergeCell ref="L204:O204"/>
    <mergeCell ref="L205:O205"/>
    <mergeCell ref="L206:O206"/>
    <mergeCell ref="L207:O207"/>
    <mergeCell ref="L208:O208"/>
    <mergeCell ref="L209:O209"/>
    <mergeCell ref="L210:O210"/>
    <mergeCell ref="L211:O211"/>
    <mergeCell ref="L212:O212"/>
    <mergeCell ref="L213:O213"/>
    <mergeCell ref="L214:O214"/>
    <mergeCell ref="L215:O215"/>
    <mergeCell ref="L216:O216"/>
    <mergeCell ref="L217:O217"/>
    <mergeCell ref="L218:O218"/>
    <mergeCell ref="L219:O219"/>
    <mergeCell ref="L220:O220"/>
    <mergeCell ref="L221:O221"/>
    <mergeCell ref="BN181:BP181"/>
    <mergeCell ref="BN182:BP182"/>
    <mergeCell ref="BN183:BP183"/>
    <mergeCell ref="BN184:BP184"/>
    <mergeCell ref="BN185:BP185"/>
    <mergeCell ref="BN186:BP186"/>
    <mergeCell ref="BN187:BP187"/>
    <mergeCell ref="BN188:BP188"/>
    <mergeCell ref="BN189:BP189"/>
    <mergeCell ref="BN190:BP190"/>
    <mergeCell ref="BN191:BP191"/>
    <mergeCell ref="BN192:BP192"/>
    <mergeCell ref="BN193:BP193"/>
    <mergeCell ref="BN194:BP194"/>
    <mergeCell ref="BN195:BP195"/>
    <mergeCell ref="BN196:BP196"/>
    <mergeCell ref="BN197:BP197"/>
    <mergeCell ref="BN198:BP198"/>
    <mergeCell ref="BN199:BP199"/>
    <mergeCell ref="BN200:BP200"/>
    <mergeCell ref="BN148:BP148"/>
    <mergeCell ref="BN149:BP149"/>
    <mergeCell ref="BN150:BP150"/>
    <mergeCell ref="BN151:BP151"/>
    <mergeCell ref="BN152:BP152"/>
    <mergeCell ref="BN153:BP153"/>
    <mergeCell ref="BN154:BP154"/>
    <mergeCell ref="BN155:BP155"/>
    <mergeCell ref="BN156:BP156"/>
    <mergeCell ref="BN157:BP157"/>
    <mergeCell ref="BN158:BP158"/>
    <mergeCell ref="CD40:CG40"/>
    <mergeCell ref="CH40:CK40"/>
    <mergeCell ref="BV49:BY49"/>
    <mergeCell ref="BZ49:CC49"/>
    <mergeCell ref="CD49:CG49"/>
    <mergeCell ref="CH49:CK49"/>
    <mergeCell ref="BZ20:CC20"/>
    <mergeCell ref="CD20:CG20"/>
    <mergeCell ref="CH20:CK20"/>
    <mergeCell ref="BV21:BY21"/>
    <mergeCell ref="BT1:CS1"/>
    <mergeCell ref="BV3:BY4"/>
    <mergeCell ref="BZ3:CC4"/>
    <mergeCell ref="CD3:CG4"/>
    <mergeCell ref="CH3:CK4"/>
    <mergeCell ref="CP3:CS4"/>
    <mergeCell ref="BV5:BY5"/>
    <mergeCell ref="BZ5:CC5"/>
    <mergeCell ref="CD5:CG5"/>
    <mergeCell ref="CH5:CK5"/>
    <mergeCell ref="BV6:BY6"/>
    <mergeCell ref="BZ6:CC6"/>
    <mergeCell ref="CD6:CG6"/>
    <mergeCell ref="CH6:CK6"/>
    <mergeCell ref="BV7:BY7"/>
    <mergeCell ref="BZ7:CC7"/>
    <mergeCell ref="CD7:CG7"/>
    <mergeCell ref="CH7:CK7"/>
    <mergeCell ref="BV8:BY8"/>
    <mergeCell ref="BZ8:CC8"/>
    <mergeCell ref="CD8:CG8"/>
    <mergeCell ref="CH8:CK8"/>
    <mergeCell ref="BV9:BY9"/>
    <mergeCell ref="BZ9:CC9"/>
    <mergeCell ref="CD9:CG9"/>
    <mergeCell ref="CH9:CK9"/>
    <mergeCell ref="BV10:BY10"/>
    <mergeCell ref="BZ10:CC10"/>
    <mergeCell ref="CD10:CG10"/>
    <mergeCell ref="CH10:CK10"/>
    <mergeCell ref="BV11:BY11"/>
    <mergeCell ref="BZ11:CC11"/>
    <mergeCell ref="CD11:CG11"/>
    <mergeCell ref="CH11:CK11"/>
    <mergeCell ref="CL9:CO9"/>
    <mergeCell ref="CL8:CO8"/>
    <mergeCell ref="CP9:CS9"/>
    <mergeCell ref="BT10:BU10"/>
    <mergeCell ref="CL10:CO10"/>
    <mergeCell ref="CP10:CS10"/>
    <mergeCell ref="BT9:BU9"/>
    <mergeCell ref="CL11:CO11"/>
    <mergeCell ref="CP11:CS11"/>
    <mergeCell ref="BT2:CO2"/>
    <mergeCell ref="CP2:CS2"/>
    <mergeCell ref="CP5:CS5"/>
    <mergeCell ref="CP8:CS8"/>
    <mergeCell ref="CP6:CS6"/>
    <mergeCell ref="BT7:BU7"/>
    <mergeCell ref="CL7:CO7"/>
    <mergeCell ref="CP7:CS7"/>
    <mergeCell ref="BT6:BU6"/>
    <mergeCell ref="BT11:BU11"/>
    <mergeCell ref="CH21:CK21"/>
    <mergeCell ref="BV22:BY22"/>
    <mergeCell ref="BZ22:CC22"/>
    <mergeCell ref="CD22:CG22"/>
    <mergeCell ref="CH22:CK22"/>
    <mergeCell ref="BV23:BY23"/>
    <mergeCell ref="BZ23:CC23"/>
    <mergeCell ref="CD23:CG23"/>
    <mergeCell ref="CH23:CK23"/>
    <mergeCell ref="BV24:BY24"/>
    <mergeCell ref="BZ24:CC24"/>
    <mergeCell ref="CD24:CG24"/>
    <mergeCell ref="CH24:CK24"/>
    <mergeCell ref="BV25:BY25"/>
    <mergeCell ref="BZ25:CC25"/>
    <mergeCell ref="CD25:CG25"/>
    <mergeCell ref="CH25:CK25"/>
    <mergeCell ref="BV34:BY34"/>
    <mergeCell ref="BZ34:CC34"/>
    <mergeCell ref="CD34:CG34"/>
    <mergeCell ref="CH34:CK34"/>
    <mergeCell ref="CD70:CG70"/>
    <mergeCell ref="CH70:CK70"/>
    <mergeCell ref="BV79:BY79"/>
    <mergeCell ref="BZ79:CC79"/>
    <mergeCell ref="CD79:CG79"/>
    <mergeCell ref="CH79:CK79"/>
    <mergeCell ref="BV50:BY50"/>
    <mergeCell ref="BZ50:CC50"/>
    <mergeCell ref="CD50:CG50"/>
    <mergeCell ref="CH50:CK50"/>
    <mergeCell ref="BV51:BY51"/>
    <mergeCell ref="BZ51:CC51"/>
    <mergeCell ref="CD51:CG51"/>
    <mergeCell ref="CH51:CK51"/>
    <mergeCell ref="BV52:BY52"/>
    <mergeCell ref="BZ52:CC52"/>
    <mergeCell ref="CD52:CG52"/>
    <mergeCell ref="CH52:CK52"/>
    <mergeCell ref="BV53:BY53"/>
    <mergeCell ref="BZ53:CC53"/>
    <mergeCell ref="CD53:CG53"/>
    <mergeCell ref="CH53:CK53"/>
    <mergeCell ref="BV54:BY54"/>
    <mergeCell ref="BZ54:CC54"/>
    <mergeCell ref="CD54:CG54"/>
    <mergeCell ref="CH54:CK54"/>
    <mergeCell ref="BV55:BY55"/>
    <mergeCell ref="BZ55:CC55"/>
    <mergeCell ref="CD55:CG55"/>
    <mergeCell ref="CH55:CK55"/>
    <mergeCell ref="BV64:BY64"/>
    <mergeCell ref="BZ64:CC64"/>
    <mergeCell ref="CD64:CG64"/>
    <mergeCell ref="CH64:CK64"/>
    <mergeCell ref="BV57:BY57"/>
    <mergeCell ref="BZ57:CC57"/>
    <mergeCell ref="CD57:CG57"/>
    <mergeCell ref="CH57:CK57"/>
    <mergeCell ref="BV58:BY58"/>
    <mergeCell ref="BZ58:CC58"/>
    <mergeCell ref="CD58:CG58"/>
    <mergeCell ref="CH58:CK58"/>
    <mergeCell ref="CH100:CK100"/>
    <mergeCell ref="BV109:BY109"/>
    <mergeCell ref="BZ109:CC109"/>
    <mergeCell ref="CD109:CG109"/>
    <mergeCell ref="CH109:CK109"/>
    <mergeCell ref="BV80:BY80"/>
    <mergeCell ref="BZ80:CC80"/>
    <mergeCell ref="CD80:CG80"/>
    <mergeCell ref="CH80:CK80"/>
    <mergeCell ref="BV81:BY81"/>
    <mergeCell ref="BZ81:CC81"/>
    <mergeCell ref="CD81:CG81"/>
    <mergeCell ref="CH81:CK81"/>
    <mergeCell ref="BV82:BY82"/>
    <mergeCell ref="BZ82:CC82"/>
    <mergeCell ref="CD82:CG82"/>
    <mergeCell ref="CH82:CK82"/>
    <mergeCell ref="BV83:BY83"/>
    <mergeCell ref="BZ83:CC83"/>
    <mergeCell ref="CD83:CG83"/>
    <mergeCell ref="CH83:CK83"/>
    <mergeCell ref="BV84:BY84"/>
    <mergeCell ref="BZ84:CC84"/>
    <mergeCell ref="CD84:CG84"/>
    <mergeCell ref="CH84:CK84"/>
    <mergeCell ref="BV85:BY85"/>
    <mergeCell ref="BZ85:CC85"/>
    <mergeCell ref="CD85:CG85"/>
    <mergeCell ref="CH85:CK85"/>
    <mergeCell ref="BV94:BY94"/>
    <mergeCell ref="BZ94:CC94"/>
    <mergeCell ref="CD94:CG94"/>
    <mergeCell ref="CH94:CK94"/>
    <mergeCell ref="CH130:CK130"/>
    <mergeCell ref="BV139:BY139"/>
    <mergeCell ref="BZ139:CC139"/>
    <mergeCell ref="CD139:CG139"/>
    <mergeCell ref="CH139:CK139"/>
    <mergeCell ref="BV110:BY110"/>
    <mergeCell ref="BZ110:CC110"/>
    <mergeCell ref="CD110:CG110"/>
    <mergeCell ref="CH110:CK110"/>
    <mergeCell ref="BV111:BY111"/>
    <mergeCell ref="BZ111:CC111"/>
    <mergeCell ref="CD111:CG111"/>
    <mergeCell ref="CH111:CK111"/>
    <mergeCell ref="BV112:BY112"/>
    <mergeCell ref="BZ112:CC112"/>
    <mergeCell ref="CD112:CG112"/>
    <mergeCell ref="CH112:CK112"/>
    <mergeCell ref="BV113:BY113"/>
    <mergeCell ref="BZ113:CC113"/>
    <mergeCell ref="CD113:CG113"/>
    <mergeCell ref="CH113:CK113"/>
    <mergeCell ref="BV114:BY114"/>
    <mergeCell ref="BZ114:CC114"/>
    <mergeCell ref="CD114:CG114"/>
    <mergeCell ref="CH114:CK114"/>
    <mergeCell ref="BV115:BY115"/>
    <mergeCell ref="BZ115:CC115"/>
    <mergeCell ref="CD115:CG115"/>
    <mergeCell ref="CH115:CK115"/>
    <mergeCell ref="BV124:BY124"/>
    <mergeCell ref="BZ124:CC124"/>
    <mergeCell ref="CD124:CG124"/>
    <mergeCell ref="CH124:CK124"/>
    <mergeCell ref="CH160:CK160"/>
    <mergeCell ref="CD171:CG171"/>
    <mergeCell ref="CH171:CK171"/>
    <mergeCell ref="BV140:BY140"/>
    <mergeCell ref="BZ140:CC140"/>
    <mergeCell ref="CD140:CG140"/>
    <mergeCell ref="CH140:CK140"/>
    <mergeCell ref="BV141:BY141"/>
    <mergeCell ref="BZ141:CC141"/>
    <mergeCell ref="CD141:CG141"/>
    <mergeCell ref="CH141:CK141"/>
    <mergeCell ref="BV142:BY142"/>
    <mergeCell ref="BZ142:CC142"/>
    <mergeCell ref="CD142:CG142"/>
    <mergeCell ref="CH142:CK142"/>
    <mergeCell ref="BV143:BY143"/>
    <mergeCell ref="BZ143:CC143"/>
    <mergeCell ref="CD143:CG143"/>
    <mergeCell ref="CH143:CK143"/>
    <mergeCell ref="BV144:BY144"/>
    <mergeCell ref="BZ144:CC144"/>
    <mergeCell ref="CD144:CG144"/>
    <mergeCell ref="CH144:CK144"/>
    <mergeCell ref="BV145:BY145"/>
    <mergeCell ref="BZ145:CC145"/>
    <mergeCell ref="CD145:CG145"/>
    <mergeCell ref="CH145:CK145"/>
    <mergeCell ref="BV154:BY154"/>
    <mergeCell ref="BZ154:CC154"/>
    <mergeCell ref="CD154:CG154"/>
    <mergeCell ref="CH154:CK154"/>
    <mergeCell ref="CD188:CG188"/>
    <mergeCell ref="CH188:CK188"/>
    <mergeCell ref="CH189:CK189"/>
    <mergeCell ref="BV190:BY190"/>
    <mergeCell ref="BZ190:CC190"/>
    <mergeCell ref="CD190:CG190"/>
    <mergeCell ref="CH190:CK190"/>
    <mergeCell ref="BV199:BY199"/>
    <mergeCell ref="BZ199:CC199"/>
    <mergeCell ref="CD199:CG199"/>
    <mergeCell ref="CH199:CK199"/>
    <mergeCell ref="BV200:BY200"/>
    <mergeCell ref="BZ200:CC200"/>
    <mergeCell ref="CD200:CG200"/>
    <mergeCell ref="CH200:CK200"/>
    <mergeCell ref="BV201:BY201"/>
    <mergeCell ref="BZ201:CC201"/>
    <mergeCell ref="CD201:CG201"/>
    <mergeCell ref="CH201:CK201"/>
    <mergeCell ref="BV202:BY202"/>
    <mergeCell ref="BZ202:CC202"/>
    <mergeCell ref="CD202:CG202"/>
    <mergeCell ref="CH202:CK202"/>
    <mergeCell ref="BZ193:CC193"/>
    <mergeCell ref="CD193:CG193"/>
    <mergeCell ref="CH193:CK193"/>
    <mergeCell ref="BV172:BY172"/>
    <mergeCell ref="BZ172:CC172"/>
    <mergeCell ref="CD172:CG172"/>
    <mergeCell ref="CH172:CK172"/>
    <mergeCell ref="BV173:BY173"/>
    <mergeCell ref="BZ173:CC173"/>
    <mergeCell ref="CD173:CG173"/>
    <mergeCell ref="CH173:CK173"/>
    <mergeCell ref="BV174:BY174"/>
    <mergeCell ref="BZ174:CC174"/>
    <mergeCell ref="CD174:CG174"/>
    <mergeCell ref="CH174:CK174"/>
    <mergeCell ref="BV175:BY175"/>
    <mergeCell ref="BZ175:CC175"/>
    <mergeCell ref="CD175:CG175"/>
    <mergeCell ref="CH175:CK175"/>
    <mergeCell ref="BV184:BY184"/>
    <mergeCell ref="BZ184:CC184"/>
    <mergeCell ref="CD184:CG184"/>
    <mergeCell ref="CH184:CK184"/>
    <mergeCell ref="BV185:BY185"/>
    <mergeCell ref="BZ185:CC185"/>
    <mergeCell ref="CD185:CG185"/>
    <mergeCell ref="CH185:CK185"/>
    <mergeCell ref="BV182:BY182"/>
    <mergeCell ref="BZ182:CC182"/>
    <mergeCell ref="CD182:CG182"/>
    <mergeCell ref="CH182:CK182"/>
    <mergeCell ref="BV183:BY183"/>
    <mergeCell ref="BZ183:CC183"/>
    <mergeCell ref="CD183:CG183"/>
    <mergeCell ref="CH183:CK183"/>
    <mergeCell ref="CH187:CK187"/>
    <mergeCell ref="BV188:BY188"/>
    <mergeCell ref="BZ188:CC188"/>
    <mergeCell ref="CH209:CK209"/>
    <mergeCell ref="CL209:CO209"/>
    <mergeCell ref="CP209:CS209"/>
    <mergeCell ref="BT210:BU210"/>
    <mergeCell ref="BV210:BY210"/>
    <mergeCell ref="BZ210:CC210"/>
    <mergeCell ref="CD210:CG210"/>
    <mergeCell ref="CH210:CK210"/>
    <mergeCell ref="CL210:CO210"/>
    <mergeCell ref="CP210:CS210"/>
    <mergeCell ref="BT211:BU211"/>
    <mergeCell ref="BV211:BY211"/>
    <mergeCell ref="BZ211:CC211"/>
    <mergeCell ref="CD211:CG211"/>
    <mergeCell ref="CH211:CK211"/>
    <mergeCell ref="CL211:CO211"/>
    <mergeCell ref="CP211:CS211"/>
    <mergeCell ref="BT212:BU212"/>
    <mergeCell ref="BV212:BY212"/>
    <mergeCell ref="BZ212:CC212"/>
    <mergeCell ref="CD212:CG212"/>
    <mergeCell ref="CH212:CK212"/>
    <mergeCell ref="CL212:CO212"/>
    <mergeCell ref="CP212:CS212"/>
    <mergeCell ref="BT205:BU205"/>
    <mergeCell ref="BV205:BY205"/>
    <mergeCell ref="BZ205:CC205"/>
    <mergeCell ref="CD205:CG205"/>
    <mergeCell ref="CH205:CK205"/>
    <mergeCell ref="CL205:CO205"/>
    <mergeCell ref="CP205:CS205"/>
    <mergeCell ref="BT206:BU206"/>
    <mergeCell ref="BV206:BY206"/>
    <mergeCell ref="BZ206:CC206"/>
    <mergeCell ref="CD206:CG206"/>
    <mergeCell ref="CH206:CK206"/>
    <mergeCell ref="CL206:CO206"/>
    <mergeCell ref="CP206:CS206"/>
    <mergeCell ref="BT207:BU207"/>
    <mergeCell ref="BV207:BY207"/>
    <mergeCell ref="BZ207:CC207"/>
    <mergeCell ref="CD207:CG207"/>
    <mergeCell ref="CH207:CK207"/>
    <mergeCell ref="CL207:CO207"/>
    <mergeCell ref="CP207:CS207"/>
    <mergeCell ref="BT208:BU208"/>
    <mergeCell ref="BV208:BY208"/>
    <mergeCell ref="BZ208:CC208"/>
    <mergeCell ref="CD208:CG208"/>
    <mergeCell ref="CH208:CK208"/>
    <mergeCell ref="CL208:CO208"/>
    <mergeCell ref="CP208:CS208"/>
    <mergeCell ref="CH217:CK217"/>
    <mergeCell ref="CL217:CO217"/>
    <mergeCell ref="CP217:CS217"/>
    <mergeCell ref="BT218:BU218"/>
    <mergeCell ref="BV218:BY218"/>
    <mergeCell ref="BZ218:CC218"/>
    <mergeCell ref="CD218:CG218"/>
    <mergeCell ref="CH218:CK218"/>
    <mergeCell ref="CL218:CO218"/>
    <mergeCell ref="CP218:CS218"/>
    <mergeCell ref="BT219:BU219"/>
    <mergeCell ref="BV219:BY219"/>
    <mergeCell ref="BZ219:CC219"/>
    <mergeCell ref="CD219:CG219"/>
    <mergeCell ref="CH219:CK219"/>
    <mergeCell ref="CL219:CO219"/>
    <mergeCell ref="CP219:CS219"/>
    <mergeCell ref="BT220:BU220"/>
    <mergeCell ref="BV220:BY220"/>
    <mergeCell ref="BZ220:CC220"/>
    <mergeCell ref="CD220:CG220"/>
    <mergeCell ref="CH220:CK220"/>
    <mergeCell ref="CL220:CO220"/>
    <mergeCell ref="CP220:CS220"/>
    <mergeCell ref="BT213:BU213"/>
    <mergeCell ref="BV213:BY213"/>
    <mergeCell ref="BZ213:CC213"/>
    <mergeCell ref="CD213:CG213"/>
    <mergeCell ref="CH213:CK213"/>
    <mergeCell ref="CL213:CO213"/>
    <mergeCell ref="CP213:CS213"/>
    <mergeCell ref="BT214:BU214"/>
    <mergeCell ref="BV214:BY214"/>
    <mergeCell ref="BZ214:CC214"/>
    <mergeCell ref="CD214:CG214"/>
    <mergeCell ref="CH214:CK214"/>
    <mergeCell ref="CL214:CO214"/>
    <mergeCell ref="CP214:CS214"/>
    <mergeCell ref="BT215:BU215"/>
    <mergeCell ref="BV215:BY215"/>
    <mergeCell ref="BZ215:CC215"/>
    <mergeCell ref="CD215:CG215"/>
    <mergeCell ref="CH215:CK215"/>
    <mergeCell ref="CL215:CO215"/>
    <mergeCell ref="CP215:CS215"/>
    <mergeCell ref="BT216:BU216"/>
    <mergeCell ref="BV216:BY216"/>
    <mergeCell ref="BZ216:CC216"/>
    <mergeCell ref="CD216:CG216"/>
    <mergeCell ref="CH216:CK216"/>
    <mergeCell ref="CL216:CO216"/>
    <mergeCell ref="CP216:CS216"/>
    <mergeCell ref="CH225:CK225"/>
    <mergeCell ref="CL225:CO225"/>
    <mergeCell ref="CP225:CS225"/>
    <mergeCell ref="BT226:BU226"/>
    <mergeCell ref="BV226:BY226"/>
    <mergeCell ref="BZ226:CC226"/>
    <mergeCell ref="CD226:CG226"/>
    <mergeCell ref="CH226:CK226"/>
    <mergeCell ref="CL226:CO226"/>
    <mergeCell ref="CP226:CS226"/>
    <mergeCell ref="BT227:BU227"/>
    <mergeCell ref="BV227:BY227"/>
    <mergeCell ref="BZ227:CC227"/>
    <mergeCell ref="CD227:CG227"/>
    <mergeCell ref="CH227:CK227"/>
    <mergeCell ref="CL227:CO227"/>
    <mergeCell ref="CP227:CS227"/>
    <mergeCell ref="BT228:BU228"/>
    <mergeCell ref="BV228:BY228"/>
    <mergeCell ref="BZ228:CC228"/>
    <mergeCell ref="CD228:CG228"/>
    <mergeCell ref="CH228:CK228"/>
    <mergeCell ref="CL228:CO228"/>
    <mergeCell ref="CP228:CS228"/>
    <mergeCell ref="BT221:BU221"/>
    <mergeCell ref="BV221:BY221"/>
    <mergeCell ref="BZ221:CC221"/>
    <mergeCell ref="CD221:CG221"/>
    <mergeCell ref="CH221:CK221"/>
    <mergeCell ref="CL221:CO221"/>
    <mergeCell ref="CP221:CS221"/>
    <mergeCell ref="BT222:BU222"/>
    <mergeCell ref="BV222:BY222"/>
    <mergeCell ref="BZ222:CC222"/>
    <mergeCell ref="CD222:CG222"/>
    <mergeCell ref="CH222:CK222"/>
    <mergeCell ref="CL222:CO222"/>
    <mergeCell ref="CP222:CS222"/>
    <mergeCell ref="BT223:BU223"/>
    <mergeCell ref="BV223:BY223"/>
    <mergeCell ref="BZ223:CC223"/>
    <mergeCell ref="CD223:CG223"/>
    <mergeCell ref="CH223:CK223"/>
    <mergeCell ref="CL223:CO223"/>
    <mergeCell ref="CP223:CS223"/>
    <mergeCell ref="BT224:BU224"/>
    <mergeCell ref="BV224:BY224"/>
    <mergeCell ref="BZ224:CC224"/>
    <mergeCell ref="CD224:CG224"/>
    <mergeCell ref="CH224:CK224"/>
    <mergeCell ref="CL224:CO224"/>
    <mergeCell ref="CP224:CS224"/>
    <mergeCell ref="BT233:BU233"/>
    <mergeCell ref="BV233:BY233"/>
    <mergeCell ref="BZ233:CC233"/>
    <mergeCell ref="CD233:CG233"/>
    <mergeCell ref="CH233:CK233"/>
    <mergeCell ref="CL233:CO233"/>
    <mergeCell ref="CP233:CS233"/>
    <mergeCell ref="BT234:BU234"/>
    <mergeCell ref="BV234:BY234"/>
    <mergeCell ref="BZ234:CC234"/>
    <mergeCell ref="CD234:CG234"/>
    <mergeCell ref="CH234:CK234"/>
    <mergeCell ref="CL234:CO234"/>
    <mergeCell ref="CP234:CS234"/>
    <mergeCell ref="BT235:BU235"/>
    <mergeCell ref="BV235:BY235"/>
    <mergeCell ref="BZ235:CC235"/>
    <mergeCell ref="CD235:CG235"/>
    <mergeCell ref="CH235:CK235"/>
    <mergeCell ref="CL235:CO235"/>
    <mergeCell ref="CP235:CS235"/>
    <mergeCell ref="BT236:BU236"/>
    <mergeCell ref="BV236:BY236"/>
    <mergeCell ref="BZ236:CC236"/>
    <mergeCell ref="CD236:CG236"/>
    <mergeCell ref="CH236:CK236"/>
    <mergeCell ref="CL236:CO236"/>
    <mergeCell ref="CP236:CS236"/>
    <mergeCell ref="BT229:BU229"/>
    <mergeCell ref="BV229:BY229"/>
    <mergeCell ref="BZ229:CC229"/>
    <mergeCell ref="CD229:CG229"/>
    <mergeCell ref="CH229:CK229"/>
    <mergeCell ref="CL229:CO229"/>
    <mergeCell ref="CP229:CS229"/>
    <mergeCell ref="BT230:BU230"/>
    <mergeCell ref="BV230:BY230"/>
    <mergeCell ref="BZ230:CC230"/>
    <mergeCell ref="CD230:CG230"/>
    <mergeCell ref="CH230:CK230"/>
    <mergeCell ref="CL230:CO230"/>
    <mergeCell ref="CP230:CS230"/>
    <mergeCell ref="BT231:BU231"/>
    <mergeCell ref="BV231:BY231"/>
    <mergeCell ref="BZ231:CC231"/>
    <mergeCell ref="CD231:CG231"/>
    <mergeCell ref="CH231:CK231"/>
    <mergeCell ref="CL231:CO231"/>
    <mergeCell ref="CP231:CS231"/>
    <mergeCell ref="BT232:BU232"/>
    <mergeCell ref="BV232:BY232"/>
    <mergeCell ref="BZ232:CC232"/>
    <mergeCell ref="CD232:CG232"/>
    <mergeCell ref="CH232:CK232"/>
    <mergeCell ref="CL232:CO232"/>
    <mergeCell ref="CP232:CS232"/>
    <mergeCell ref="BT241:BU241"/>
    <mergeCell ref="BV241:BY241"/>
    <mergeCell ref="BZ241:CC241"/>
    <mergeCell ref="CD241:CG241"/>
    <mergeCell ref="CH241:CK241"/>
    <mergeCell ref="CL241:CO241"/>
    <mergeCell ref="CP241:CS241"/>
    <mergeCell ref="BT242:BU242"/>
    <mergeCell ref="BV242:BY242"/>
    <mergeCell ref="BZ242:CC242"/>
    <mergeCell ref="CD242:CG242"/>
    <mergeCell ref="CH242:CK242"/>
    <mergeCell ref="CL242:CO242"/>
    <mergeCell ref="CP242:CS242"/>
    <mergeCell ref="BT243:BU243"/>
    <mergeCell ref="BV243:BY243"/>
    <mergeCell ref="BZ243:CC243"/>
    <mergeCell ref="CD243:CG243"/>
    <mergeCell ref="CH243:CK243"/>
    <mergeCell ref="CL243:CO243"/>
    <mergeCell ref="CP243:CS243"/>
    <mergeCell ref="BT244:BU244"/>
    <mergeCell ref="BV244:BY244"/>
    <mergeCell ref="BZ244:CC244"/>
    <mergeCell ref="CD244:CG244"/>
    <mergeCell ref="CH244:CK244"/>
    <mergeCell ref="CL244:CO244"/>
    <mergeCell ref="CP244:CS244"/>
    <mergeCell ref="BT237:BU237"/>
    <mergeCell ref="BV237:BY237"/>
    <mergeCell ref="BZ237:CC237"/>
    <mergeCell ref="CD237:CG237"/>
    <mergeCell ref="CH237:CK237"/>
    <mergeCell ref="CL237:CO237"/>
    <mergeCell ref="CP237:CS237"/>
    <mergeCell ref="BT238:BU238"/>
    <mergeCell ref="BV238:BY238"/>
    <mergeCell ref="BZ238:CC238"/>
    <mergeCell ref="CD238:CG238"/>
    <mergeCell ref="CH238:CK238"/>
    <mergeCell ref="CL238:CO238"/>
    <mergeCell ref="CP238:CS238"/>
    <mergeCell ref="BT239:BU239"/>
    <mergeCell ref="BV239:BY239"/>
    <mergeCell ref="BZ239:CC239"/>
    <mergeCell ref="CD239:CG239"/>
    <mergeCell ref="CH239:CK239"/>
    <mergeCell ref="CL239:CO239"/>
    <mergeCell ref="CP239:CS239"/>
    <mergeCell ref="BT240:BU240"/>
    <mergeCell ref="BV240:BY240"/>
    <mergeCell ref="BZ240:CC240"/>
    <mergeCell ref="CD240:CG240"/>
    <mergeCell ref="CH240:CK240"/>
    <mergeCell ref="CL240:CO240"/>
    <mergeCell ref="CP240:CS240"/>
    <mergeCell ref="BT249:BU249"/>
    <mergeCell ref="BV249:BY249"/>
    <mergeCell ref="BZ249:CC249"/>
    <mergeCell ref="CD249:CG249"/>
    <mergeCell ref="CH249:CK249"/>
    <mergeCell ref="CL249:CO249"/>
    <mergeCell ref="CP249:CS249"/>
    <mergeCell ref="BT250:BU250"/>
    <mergeCell ref="BV250:BY250"/>
    <mergeCell ref="BZ250:CC250"/>
    <mergeCell ref="CD250:CG250"/>
    <mergeCell ref="CH250:CK250"/>
    <mergeCell ref="CL250:CO250"/>
    <mergeCell ref="CP250:CS250"/>
    <mergeCell ref="BT251:BU251"/>
    <mergeCell ref="BV251:BY251"/>
    <mergeCell ref="BZ251:CC251"/>
    <mergeCell ref="CD251:CG251"/>
    <mergeCell ref="CH251:CK251"/>
    <mergeCell ref="CL251:CO251"/>
    <mergeCell ref="CP251:CS251"/>
    <mergeCell ref="BT252:BU252"/>
    <mergeCell ref="BV252:BY252"/>
    <mergeCell ref="BZ252:CC252"/>
    <mergeCell ref="CD252:CG252"/>
    <mergeCell ref="CH252:CK252"/>
    <mergeCell ref="CL252:CO252"/>
    <mergeCell ref="CP252:CS252"/>
    <mergeCell ref="BT245:BU245"/>
    <mergeCell ref="BV245:BY245"/>
    <mergeCell ref="BZ245:CC245"/>
    <mergeCell ref="CD245:CG245"/>
    <mergeCell ref="CH245:CK245"/>
    <mergeCell ref="CL245:CO245"/>
    <mergeCell ref="CP245:CS245"/>
    <mergeCell ref="BT246:BU246"/>
    <mergeCell ref="BV246:BY246"/>
    <mergeCell ref="BZ246:CC246"/>
    <mergeCell ref="CD246:CG246"/>
    <mergeCell ref="CH246:CK246"/>
    <mergeCell ref="CL246:CO246"/>
    <mergeCell ref="CP246:CS246"/>
    <mergeCell ref="BT247:BU247"/>
    <mergeCell ref="BV247:BY247"/>
    <mergeCell ref="BZ247:CC247"/>
    <mergeCell ref="CD247:CG247"/>
    <mergeCell ref="CH247:CK247"/>
    <mergeCell ref="CL247:CO247"/>
    <mergeCell ref="CP247:CS247"/>
    <mergeCell ref="BT248:BU248"/>
    <mergeCell ref="BV248:BY248"/>
    <mergeCell ref="BZ248:CC248"/>
    <mergeCell ref="CD248:CG248"/>
    <mergeCell ref="CH248:CK248"/>
    <mergeCell ref="CL248:CO248"/>
    <mergeCell ref="CP248:CS248"/>
    <mergeCell ref="CD257:CG257"/>
    <mergeCell ref="CH257:CK257"/>
    <mergeCell ref="CL257:CO257"/>
    <mergeCell ref="CP257:CS257"/>
    <mergeCell ref="BZ258:CC259"/>
    <mergeCell ref="CD258:CG259"/>
    <mergeCell ref="CH258:CK259"/>
    <mergeCell ref="BT260:CO260"/>
    <mergeCell ref="CP260:CS260"/>
    <mergeCell ref="BT261:CO261"/>
    <mergeCell ref="CP261:CS261"/>
    <mergeCell ref="BT262:CO262"/>
    <mergeCell ref="CP262:CS262"/>
    <mergeCell ref="BT263:CO263"/>
    <mergeCell ref="CP263:CS263"/>
    <mergeCell ref="BT264:CO264"/>
    <mergeCell ref="CP264:CS264"/>
    <mergeCell ref="CL258:CO259"/>
    <mergeCell ref="CP258:CS259"/>
    <mergeCell ref="BT265:CO265"/>
    <mergeCell ref="CP265:CS265"/>
    <mergeCell ref="BT266:CO266"/>
    <mergeCell ref="CP266:CS266"/>
    <mergeCell ref="BT258:BX258"/>
    <mergeCell ref="BY258:BY259"/>
    <mergeCell ref="BT259:BX259"/>
    <mergeCell ref="BT253:BU253"/>
    <mergeCell ref="BV253:BY253"/>
    <mergeCell ref="BZ253:CC253"/>
    <mergeCell ref="CD253:CG253"/>
    <mergeCell ref="CH253:CK253"/>
    <mergeCell ref="CL253:CO253"/>
    <mergeCell ref="CP253:CS253"/>
    <mergeCell ref="BT254:BU254"/>
    <mergeCell ref="BV254:BY254"/>
    <mergeCell ref="BZ254:CC254"/>
    <mergeCell ref="CD254:CG254"/>
    <mergeCell ref="CH254:CK254"/>
    <mergeCell ref="CL254:CO254"/>
    <mergeCell ref="CP254:CS254"/>
    <mergeCell ref="BT255:BU255"/>
    <mergeCell ref="BV255:BY255"/>
    <mergeCell ref="BZ255:CC255"/>
    <mergeCell ref="CD255:CG255"/>
    <mergeCell ref="CH255:CK255"/>
    <mergeCell ref="CL255:CO255"/>
    <mergeCell ref="CP255:CS255"/>
    <mergeCell ref="BT256:BU256"/>
    <mergeCell ref="BV256:BY256"/>
    <mergeCell ref="BZ256:CC256"/>
    <mergeCell ref="CD256:CG256"/>
    <mergeCell ref="CH256:CK256"/>
    <mergeCell ref="CL256:CO256"/>
    <mergeCell ref="CP256:CS256"/>
    <mergeCell ref="BT267:CO267"/>
    <mergeCell ref="CP267:CS267"/>
    <mergeCell ref="BT268:CO268"/>
    <mergeCell ref="CP268:CS268"/>
    <mergeCell ref="BT269:CO269"/>
    <mergeCell ref="CP269:CS269"/>
    <mergeCell ref="AM2:BL2"/>
    <mergeCell ref="AX3:BC4"/>
    <mergeCell ref="BD3:BG4"/>
    <mergeCell ref="BH3:BL4"/>
    <mergeCell ref="BT257:BU257"/>
    <mergeCell ref="BV257:BY257"/>
    <mergeCell ref="BZ257:CC257"/>
    <mergeCell ref="AB73:AL73"/>
    <mergeCell ref="AB74:AL74"/>
    <mergeCell ref="AB75:AL75"/>
    <mergeCell ref="AB76:AL76"/>
    <mergeCell ref="AB77:AL77"/>
    <mergeCell ref="AB78:AL78"/>
    <mergeCell ref="AB79:AL79"/>
    <mergeCell ref="AB80:AL80"/>
    <mergeCell ref="CW3:CZ4"/>
    <mergeCell ref="DA3:DD4"/>
    <mergeCell ref="DE3:DH4"/>
    <mergeCell ref="DI3:DL4"/>
    <mergeCell ref="DM3:DP4"/>
    <mergeCell ref="CW5:CZ5"/>
    <mergeCell ref="DA5:DD5"/>
    <mergeCell ref="DE5:DH5"/>
    <mergeCell ref="DI5:DL5"/>
    <mergeCell ref="CW6:CZ6"/>
    <mergeCell ref="DA6:DD6"/>
    <mergeCell ref="DE6:DH6"/>
    <mergeCell ref="DI6:DL6"/>
    <mergeCell ref="CW7:CZ7"/>
    <mergeCell ref="DA7:DD7"/>
    <mergeCell ref="DE7:DH7"/>
    <mergeCell ref="DI7:DL7"/>
    <mergeCell ref="CW8:CZ8"/>
    <mergeCell ref="DA8:DD8"/>
    <mergeCell ref="DE8:DH8"/>
    <mergeCell ref="DI8:DL8"/>
    <mergeCell ref="CW9:CZ9"/>
    <mergeCell ref="DA9:DD9"/>
    <mergeCell ref="DE9:DH9"/>
    <mergeCell ref="DI9:DL9"/>
    <mergeCell ref="CW10:CZ10"/>
    <mergeCell ref="DA10:DD10"/>
    <mergeCell ref="DE10:DH10"/>
    <mergeCell ref="DI10:DL10"/>
    <mergeCell ref="CW11:CZ11"/>
    <mergeCell ref="DA11:DD11"/>
    <mergeCell ref="DE11:DH11"/>
    <mergeCell ref="DI11:DL11"/>
    <mergeCell ref="CW12:CZ12"/>
    <mergeCell ref="DA12:DD12"/>
    <mergeCell ref="DE12:DH12"/>
    <mergeCell ref="DI12:DL12"/>
    <mergeCell ref="CW13:CZ13"/>
    <mergeCell ref="DA13:DD13"/>
    <mergeCell ref="DE13:DH13"/>
    <mergeCell ref="DI13:DL13"/>
    <mergeCell ref="CW14:CZ14"/>
    <mergeCell ref="DA14:DD14"/>
    <mergeCell ref="DE14:DH14"/>
    <mergeCell ref="DI14:DL14"/>
    <mergeCell ref="CW15:CZ15"/>
    <mergeCell ref="DA15:DD15"/>
    <mergeCell ref="DE15:DH15"/>
    <mergeCell ref="DI15:DL15"/>
    <mergeCell ref="CW16:CZ16"/>
    <mergeCell ref="DA19:DD19"/>
    <mergeCell ref="CW23:CZ23"/>
    <mergeCell ref="DA23:DD23"/>
    <mergeCell ref="DE23:DH23"/>
    <mergeCell ref="DI23:DL23"/>
    <mergeCell ref="CW24:CZ24"/>
    <mergeCell ref="DA24:DD24"/>
    <mergeCell ref="DE24:DH24"/>
    <mergeCell ref="DI24:DL24"/>
    <mergeCell ref="CW25:CZ25"/>
    <mergeCell ref="DA25:DD25"/>
    <mergeCell ref="DE25:DH25"/>
    <mergeCell ref="DI25:DL25"/>
    <mergeCell ref="CW26:CZ26"/>
    <mergeCell ref="DA26:DD26"/>
    <mergeCell ref="DE26:DH26"/>
    <mergeCell ref="DI26:DL26"/>
    <mergeCell ref="CW27:CZ27"/>
    <mergeCell ref="DA27:DD27"/>
    <mergeCell ref="DE27:DH27"/>
    <mergeCell ref="DI27:DL27"/>
    <mergeCell ref="CW43:CZ43"/>
    <mergeCell ref="DA43:DD43"/>
    <mergeCell ref="DE43:DH43"/>
    <mergeCell ref="DI43:DL43"/>
    <mergeCell ref="DA42:DD42"/>
    <mergeCell ref="DE42:DH42"/>
    <mergeCell ref="DI42:DL42"/>
    <mergeCell ref="DA17:DD17"/>
    <mergeCell ref="DE17:DH17"/>
    <mergeCell ref="DI17:DL17"/>
    <mergeCell ref="CW18:CZ18"/>
    <mergeCell ref="DA18:DD18"/>
    <mergeCell ref="DE18:DH18"/>
    <mergeCell ref="CW44:CZ44"/>
    <mergeCell ref="DA44:DD44"/>
    <mergeCell ref="DE44:DH44"/>
    <mergeCell ref="DI44:DL44"/>
    <mergeCell ref="CW45:CZ45"/>
    <mergeCell ref="DA45:DD45"/>
    <mergeCell ref="DE45:DH45"/>
    <mergeCell ref="DI45:DL45"/>
    <mergeCell ref="CW46:CZ46"/>
    <mergeCell ref="DA46:DD46"/>
    <mergeCell ref="DE46:DH46"/>
    <mergeCell ref="DI46:DL46"/>
    <mergeCell ref="CW47:CZ47"/>
    <mergeCell ref="DA47:DD47"/>
    <mergeCell ref="DE47:DH47"/>
    <mergeCell ref="DI47:DL47"/>
    <mergeCell ref="CW48:CZ48"/>
    <mergeCell ref="DA48:DD48"/>
    <mergeCell ref="DE48:DH48"/>
    <mergeCell ref="DI48:DL48"/>
    <mergeCell ref="CW49:CZ49"/>
    <mergeCell ref="DA49:DD49"/>
    <mergeCell ref="DE49:DH49"/>
    <mergeCell ref="DI49:DL49"/>
    <mergeCell ref="CW50:CZ50"/>
    <mergeCell ref="DA50:DD50"/>
    <mergeCell ref="DE50:DH50"/>
    <mergeCell ref="DI50:DL50"/>
    <mergeCell ref="CW51:CZ51"/>
    <mergeCell ref="DA51:DD51"/>
    <mergeCell ref="DE51:DH51"/>
    <mergeCell ref="DI51:DL51"/>
    <mergeCell ref="CW52:CZ52"/>
    <mergeCell ref="DA52:DD52"/>
    <mergeCell ref="DE52:DH52"/>
    <mergeCell ref="DI52:DL52"/>
    <mergeCell ref="CW53:CZ53"/>
    <mergeCell ref="DA53:DD53"/>
    <mergeCell ref="DE53:DH53"/>
    <mergeCell ref="DI53:DL53"/>
    <mergeCell ref="CW54:CZ54"/>
    <mergeCell ref="DA54:DD54"/>
    <mergeCell ref="DE54:DH54"/>
    <mergeCell ref="DI54:DL54"/>
    <mergeCell ref="CW55:CZ55"/>
    <mergeCell ref="DA55:DD55"/>
    <mergeCell ref="DE55:DH55"/>
    <mergeCell ref="DI55:DL55"/>
    <mergeCell ref="CW56:CZ56"/>
    <mergeCell ref="DA56:DD56"/>
    <mergeCell ref="DE56:DH56"/>
    <mergeCell ref="DI56:DL56"/>
    <mergeCell ref="CW57:CZ57"/>
    <mergeCell ref="DA57:DD57"/>
    <mergeCell ref="DE57:DH57"/>
    <mergeCell ref="DI57:DL57"/>
    <mergeCell ref="CW58:CZ58"/>
    <mergeCell ref="DA58:DD58"/>
    <mergeCell ref="DE58:DH58"/>
    <mergeCell ref="DI58:DL58"/>
    <mergeCell ref="CW59:CZ59"/>
    <mergeCell ref="DA59:DD59"/>
    <mergeCell ref="DE59:DH59"/>
    <mergeCell ref="DI59:DL59"/>
    <mergeCell ref="CW60:CZ60"/>
    <mergeCell ref="DA60:DD60"/>
    <mergeCell ref="DE60:DH60"/>
    <mergeCell ref="DI60:DL60"/>
    <mergeCell ref="CW62:CZ62"/>
    <mergeCell ref="DA62:DD62"/>
    <mergeCell ref="DE62:DH62"/>
    <mergeCell ref="DI62:DL62"/>
    <mergeCell ref="CW63:CZ63"/>
    <mergeCell ref="DA63:DD63"/>
    <mergeCell ref="DE63:DH63"/>
    <mergeCell ref="DI63:DL63"/>
    <mergeCell ref="CW64:CZ64"/>
    <mergeCell ref="DA64:DD64"/>
    <mergeCell ref="DE64:DH64"/>
    <mergeCell ref="DI64:DL64"/>
    <mergeCell ref="CW65:CZ65"/>
    <mergeCell ref="DA65:DD65"/>
    <mergeCell ref="DE65:DH65"/>
    <mergeCell ref="DI65:DL65"/>
    <mergeCell ref="CW66:CZ66"/>
    <mergeCell ref="DA66:DD66"/>
    <mergeCell ref="DE66:DH66"/>
    <mergeCell ref="DI66:DL66"/>
    <mergeCell ref="CW67:CZ67"/>
    <mergeCell ref="DA67:DD67"/>
    <mergeCell ref="DE67:DH67"/>
    <mergeCell ref="DI67:DL67"/>
    <mergeCell ref="CW68:CZ68"/>
    <mergeCell ref="DA68:DD68"/>
    <mergeCell ref="DE68:DH68"/>
    <mergeCell ref="DI68:DL68"/>
    <mergeCell ref="CW69:CZ69"/>
    <mergeCell ref="DA69:DD69"/>
    <mergeCell ref="DE69:DH69"/>
    <mergeCell ref="DI69:DL69"/>
    <mergeCell ref="CW70:CZ70"/>
    <mergeCell ref="DA70:DD70"/>
    <mergeCell ref="DE70:DH70"/>
    <mergeCell ref="DI70:DL70"/>
    <mergeCell ref="CW71:CZ71"/>
    <mergeCell ref="DA71:DD71"/>
    <mergeCell ref="DE71:DH71"/>
    <mergeCell ref="DI71:DL71"/>
    <mergeCell ref="CW72:CZ72"/>
    <mergeCell ref="DA72:DD72"/>
    <mergeCell ref="DE72:DH72"/>
    <mergeCell ref="DI72:DL72"/>
    <mergeCell ref="CW73:CZ73"/>
    <mergeCell ref="DA73:DD73"/>
    <mergeCell ref="DE73:DH73"/>
    <mergeCell ref="DI73:DL73"/>
    <mergeCell ref="DE87:DH87"/>
    <mergeCell ref="DI87:DL87"/>
    <mergeCell ref="DE82:DH82"/>
    <mergeCell ref="DI82:DL82"/>
    <mergeCell ref="CW83:CZ83"/>
    <mergeCell ref="DA83:DD83"/>
    <mergeCell ref="DE83:DH83"/>
    <mergeCell ref="DI83:DL83"/>
    <mergeCell ref="CW84:CZ84"/>
    <mergeCell ref="DA84:DD84"/>
    <mergeCell ref="DE84:DH84"/>
    <mergeCell ref="CW88:CZ88"/>
    <mergeCell ref="DA88:DD88"/>
    <mergeCell ref="DE88:DH88"/>
    <mergeCell ref="DI88:DL88"/>
    <mergeCell ref="CW89:CZ89"/>
    <mergeCell ref="DA89:DD89"/>
    <mergeCell ref="DE89:DH89"/>
    <mergeCell ref="DI89:DL89"/>
    <mergeCell ref="CW90:CZ90"/>
    <mergeCell ref="DA90:DD90"/>
    <mergeCell ref="DE90:DH90"/>
    <mergeCell ref="DI90:DL90"/>
    <mergeCell ref="CW91:CZ91"/>
    <mergeCell ref="DA91:DD91"/>
    <mergeCell ref="DE91:DH91"/>
    <mergeCell ref="DI91:DL91"/>
    <mergeCell ref="DE79:DH79"/>
    <mergeCell ref="DI79:DL79"/>
    <mergeCell ref="CW92:CZ92"/>
    <mergeCell ref="DA92:DD92"/>
    <mergeCell ref="DE92:DH92"/>
    <mergeCell ref="DI92:DL92"/>
    <mergeCell ref="CW93:CZ93"/>
    <mergeCell ref="DA93:DD93"/>
    <mergeCell ref="DE93:DH93"/>
    <mergeCell ref="DI93:DL93"/>
    <mergeCell ref="CW94:CZ94"/>
    <mergeCell ref="DA94:DD94"/>
    <mergeCell ref="DE94:DH94"/>
    <mergeCell ref="DI94:DL94"/>
    <mergeCell ref="CW95:CZ95"/>
    <mergeCell ref="DA95:DD95"/>
    <mergeCell ref="DE95:DH95"/>
    <mergeCell ref="DI95:DL95"/>
    <mergeCell ref="CW96:CZ96"/>
    <mergeCell ref="DA96:DD96"/>
    <mergeCell ref="DE96:DH96"/>
    <mergeCell ref="DI96:DL96"/>
    <mergeCell ref="CW97:CZ97"/>
    <mergeCell ref="DA97:DD97"/>
    <mergeCell ref="DE97:DH97"/>
    <mergeCell ref="DI97:DL97"/>
    <mergeCell ref="CW98:CZ98"/>
    <mergeCell ref="DA98:DD98"/>
    <mergeCell ref="DE98:DH98"/>
    <mergeCell ref="DI98:DL98"/>
    <mergeCell ref="CW99:CZ99"/>
    <mergeCell ref="DA99:DD99"/>
    <mergeCell ref="DE99:DH99"/>
    <mergeCell ref="DI99:DL99"/>
    <mergeCell ref="CW100:CZ100"/>
    <mergeCell ref="DA100:DD100"/>
    <mergeCell ref="DE100:DH100"/>
    <mergeCell ref="DI100:DL100"/>
    <mergeCell ref="CW101:CZ101"/>
    <mergeCell ref="DA101:DD101"/>
    <mergeCell ref="DE101:DH101"/>
    <mergeCell ref="DI101:DL101"/>
    <mergeCell ref="CW102:CZ102"/>
    <mergeCell ref="DA102:DD102"/>
    <mergeCell ref="DE102:DH102"/>
    <mergeCell ref="DI102:DL102"/>
    <mergeCell ref="CW103:CZ103"/>
    <mergeCell ref="DA103:DD103"/>
    <mergeCell ref="DE103:DH103"/>
    <mergeCell ref="DI103:DL103"/>
    <mergeCell ref="CW104:CZ104"/>
    <mergeCell ref="DA104:DD104"/>
    <mergeCell ref="DE104:DH104"/>
    <mergeCell ref="DI104:DL104"/>
    <mergeCell ref="DA111:DD111"/>
    <mergeCell ref="DE111:DH111"/>
    <mergeCell ref="DI111:DL111"/>
    <mergeCell ref="DA116:DD116"/>
    <mergeCell ref="DE116:DH116"/>
    <mergeCell ref="DI116:DL116"/>
    <mergeCell ref="CW117:CZ117"/>
    <mergeCell ref="DA117:DD117"/>
    <mergeCell ref="DE117:DH117"/>
    <mergeCell ref="DI117:DL117"/>
    <mergeCell ref="CW118:CZ118"/>
    <mergeCell ref="DA118:DD118"/>
    <mergeCell ref="DE118:DH118"/>
    <mergeCell ref="DI118:DL118"/>
    <mergeCell ref="CW119:CZ119"/>
    <mergeCell ref="DA119:DD119"/>
    <mergeCell ref="DE119:DH119"/>
    <mergeCell ref="DI119:DL119"/>
    <mergeCell ref="CW195:CZ195"/>
    <mergeCell ref="DA195:DD195"/>
    <mergeCell ref="DE195:DH195"/>
    <mergeCell ref="DI195:DL195"/>
    <mergeCell ref="CW196:CZ196"/>
    <mergeCell ref="DA196:DD196"/>
    <mergeCell ref="DE196:DH196"/>
    <mergeCell ref="DI196:DL196"/>
    <mergeCell ref="CW197:CZ197"/>
    <mergeCell ref="DA197:DD197"/>
    <mergeCell ref="DE197:DH197"/>
    <mergeCell ref="DI197:DL197"/>
    <mergeCell ref="CW198:CZ198"/>
    <mergeCell ref="DA198:DD198"/>
    <mergeCell ref="DE198:DH198"/>
    <mergeCell ref="DI198:DL198"/>
    <mergeCell ref="CW199:CZ199"/>
    <mergeCell ref="DA199:DD199"/>
    <mergeCell ref="DE199:DH199"/>
    <mergeCell ref="DI199:DL199"/>
    <mergeCell ref="DE125:DH125"/>
    <mergeCell ref="DI125:DL125"/>
    <mergeCell ref="CW141:CZ141"/>
    <mergeCell ref="DA141:DD141"/>
    <mergeCell ref="DE141:DH141"/>
    <mergeCell ref="DI141:DL141"/>
    <mergeCell ref="CU204:CV204"/>
    <mergeCell ref="CU209:CV209"/>
    <mergeCell ref="CW209:CZ209"/>
    <mergeCell ref="DA209:DD209"/>
    <mergeCell ref="DE209:DH209"/>
    <mergeCell ref="DI209:DL209"/>
    <mergeCell ref="DM209:DP209"/>
    <mergeCell ref="CU164:CV164"/>
    <mergeCell ref="CU165:CV165"/>
    <mergeCell ref="CU166:CV166"/>
    <mergeCell ref="CU167:CV167"/>
    <mergeCell ref="CU168:CV168"/>
    <mergeCell ref="CU169:CV169"/>
    <mergeCell ref="CU170:CV170"/>
    <mergeCell ref="CU171:CV171"/>
    <mergeCell ref="CU172:CV172"/>
    <mergeCell ref="CU173:CV173"/>
    <mergeCell ref="CU174:CV174"/>
    <mergeCell ref="CU143:CV143"/>
    <mergeCell ref="CU144:CV144"/>
    <mergeCell ref="CU145:CV145"/>
    <mergeCell ref="CU146:CV146"/>
    <mergeCell ref="CU147:CV147"/>
    <mergeCell ref="CU148:CV148"/>
    <mergeCell ref="CU149:CV149"/>
    <mergeCell ref="CU150:CV150"/>
    <mergeCell ref="CU151:CV151"/>
    <mergeCell ref="CU152:CV152"/>
    <mergeCell ref="CU153:CV153"/>
    <mergeCell ref="CU154:CV154"/>
    <mergeCell ref="CU155:CV155"/>
    <mergeCell ref="CU156:CV156"/>
    <mergeCell ref="CU157:CV157"/>
    <mergeCell ref="CU158:CV158"/>
    <mergeCell ref="CU159:CV159"/>
    <mergeCell ref="CU160:CV160"/>
    <mergeCell ref="CU161:CV161"/>
    <mergeCell ref="CU162:CV162"/>
    <mergeCell ref="CW200:CZ200"/>
    <mergeCell ref="DA200:DD200"/>
    <mergeCell ref="DE200:DH200"/>
    <mergeCell ref="DI200:DL200"/>
    <mergeCell ref="CW201:CZ201"/>
    <mergeCell ref="DA201:DD201"/>
    <mergeCell ref="DE201:DH201"/>
    <mergeCell ref="DI201:DL201"/>
    <mergeCell ref="CW202:CZ202"/>
    <mergeCell ref="DA202:DD202"/>
    <mergeCell ref="DE202:DH202"/>
    <mergeCell ref="DI202:DL202"/>
    <mergeCell ref="CW203:CZ203"/>
    <mergeCell ref="DA203:DD203"/>
    <mergeCell ref="DE203:DH203"/>
    <mergeCell ref="DI203:DL203"/>
    <mergeCell ref="CW204:CZ204"/>
    <mergeCell ref="DA204:DD204"/>
    <mergeCell ref="DE204:DH204"/>
    <mergeCell ref="DI204:DL204"/>
    <mergeCell ref="CU205:CV205"/>
    <mergeCell ref="CW205:CZ205"/>
    <mergeCell ref="DA205:DD205"/>
    <mergeCell ref="DE205:DH205"/>
    <mergeCell ref="DI205:DL205"/>
    <mergeCell ref="DM205:DP205"/>
    <mergeCell ref="DQ205:DT205"/>
    <mergeCell ref="CU206:CV206"/>
    <mergeCell ref="CW206:CZ206"/>
    <mergeCell ref="DA206:DD206"/>
    <mergeCell ref="DE206:DH206"/>
    <mergeCell ref="DI206:DL206"/>
    <mergeCell ref="DM206:DP206"/>
    <mergeCell ref="DQ206:DT206"/>
    <mergeCell ref="CU211:CV211"/>
    <mergeCell ref="CW211:CZ211"/>
    <mergeCell ref="DA211:DD211"/>
    <mergeCell ref="DE211:DH211"/>
    <mergeCell ref="DI211:DL211"/>
    <mergeCell ref="DM211:DP211"/>
    <mergeCell ref="DQ211:DT211"/>
    <mergeCell ref="CU212:CV212"/>
    <mergeCell ref="CW212:CZ212"/>
    <mergeCell ref="DA212:DD212"/>
    <mergeCell ref="DE212:DH212"/>
    <mergeCell ref="DI212:DL212"/>
    <mergeCell ref="DM212:DP212"/>
    <mergeCell ref="DQ212:DT212"/>
    <mergeCell ref="CU213:CV213"/>
    <mergeCell ref="CW213:CZ213"/>
    <mergeCell ref="DA213:DD213"/>
    <mergeCell ref="DE213:DH213"/>
    <mergeCell ref="DI213:DL213"/>
    <mergeCell ref="DM213:DP213"/>
    <mergeCell ref="DQ213:DT213"/>
    <mergeCell ref="CU214:CV214"/>
    <mergeCell ref="CW214:CZ214"/>
    <mergeCell ref="DA214:DD214"/>
    <mergeCell ref="DE214:DH214"/>
    <mergeCell ref="DI214:DL214"/>
    <mergeCell ref="DM214:DP214"/>
    <mergeCell ref="DQ214:DT214"/>
    <mergeCell ref="CU207:CV207"/>
    <mergeCell ref="CW207:CZ207"/>
    <mergeCell ref="DA207:DD207"/>
    <mergeCell ref="DE207:DH207"/>
    <mergeCell ref="DI207:DL207"/>
    <mergeCell ref="DM207:DP207"/>
    <mergeCell ref="DQ207:DT207"/>
    <mergeCell ref="CU208:CV208"/>
    <mergeCell ref="CW208:CZ208"/>
    <mergeCell ref="DA208:DD208"/>
    <mergeCell ref="DE208:DH208"/>
    <mergeCell ref="DI208:DL208"/>
    <mergeCell ref="DM208:DP208"/>
    <mergeCell ref="DQ208:DT208"/>
    <mergeCell ref="DQ209:DT209"/>
    <mergeCell ref="CU210:CV210"/>
    <mergeCell ref="CW210:CZ210"/>
    <mergeCell ref="DA210:DD210"/>
    <mergeCell ref="DE210:DH210"/>
    <mergeCell ref="DI210:DL210"/>
    <mergeCell ref="DM210:DP210"/>
    <mergeCell ref="DQ210:DT210"/>
    <mergeCell ref="CU219:CV219"/>
    <mergeCell ref="CW219:CZ219"/>
    <mergeCell ref="DA219:DD219"/>
    <mergeCell ref="DE219:DH219"/>
    <mergeCell ref="DI219:DL219"/>
    <mergeCell ref="DM219:DP219"/>
    <mergeCell ref="DQ219:DT219"/>
    <mergeCell ref="CU220:CV220"/>
    <mergeCell ref="CW220:CZ220"/>
    <mergeCell ref="DA220:DD220"/>
    <mergeCell ref="DE220:DH220"/>
    <mergeCell ref="DI220:DL220"/>
    <mergeCell ref="DM220:DP220"/>
    <mergeCell ref="DQ220:DT220"/>
    <mergeCell ref="CU221:CV221"/>
    <mergeCell ref="CW221:CZ221"/>
    <mergeCell ref="DA221:DD221"/>
    <mergeCell ref="DE221:DH221"/>
    <mergeCell ref="DI221:DL221"/>
    <mergeCell ref="DM221:DP221"/>
    <mergeCell ref="DQ221:DT221"/>
    <mergeCell ref="CU222:CV222"/>
    <mergeCell ref="CW222:CZ222"/>
    <mergeCell ref="DA222:DD222"/>
    <mergeCell ref="DE222:DH222"/>
    <mergeCell ref="DI222:DL222"/>
    <mergeCell ref="DM222:DP222"/>
    <mergeCell ref="DQ222:DT222"/>
    <mergeCell ref="CU215:CV215"/>
    <mergeCell ref="CW215:CZ215"/>
    <mergeCell ref="DA215:DD215"/>
    <mergeCell ref="DE215:DH215"/>
    <mergeCell ref="DI215:DL215"/>
    <mergeCell ref="DM215:DP215"/>
    <mergeCell ref="DQ215:DT215"/>
    <mergeCell ref="CU216:CV216"/>
    <mergeCell ref="CW216:CZ216"/>
    <mergeCell ref="DA216:DD216"/>
    <mergeCell ref="DE216:DH216"/>
    <mergeCell ref="DI216:DL216"/>
    <mergeCell ref="DM216:DP216"/>
    <mergeCell ref="DQ216:DT216"/>
    <mergeCell ref="CU217:CV217"/>
    <mergeCell ref="CW217:CZ217"/>
    <mergeCell ref="DA217:DD217"/>
    <mergeCell ref="DE217:DH217"/>
    <mergeCell ref="DI217:DL217"/>
    <mergeCell ref="DM217:DP217"/>
    <mergeCell ref="DQ217:DT217"/>
    <mergeCell ref="CU218:CV218"/>
    <mergeCell ref="CW218:CZ218"/>
    <mergeCell ref="DA218:DD218"/>
    <mergeCell ref="DE218:DH218"/>
    <mergeCell ref="DI218:DL218"/>
    <mergeCell ref="DM218:DP218"/>
    <mergeCell ref="DQ218:DT218"/>
    <mergeCell ref="CU227:CV227"/>
    <mergeCell ref="CW227:CZ227"/>
    <mergeCell ref="DA227:DD227"/>
    <mergeCell ref="DE227:DH227"/>
    <mergeCell ref="DI227:DL227"/>
    <mergeCell ref="DM227:DP227"/>
    <mergeCell ref="DQ227:DT227"/>
    <mergeCell ref="CU228:CV228"/>
    <mergeCell ref="CW228:CZ228"/>
    <mergeCell ref="DA228:DD228"/>
    <mergeCell ref="DE228:DH228"/>
    <mergeCell ref="DI228:DL228"/>
    <mergeCell ref="DM228:DP228"/>
    <mergeCell ref="DQ228:DT228"/>
    <mergeCell ref="CU229:CV229"/>
    <mergeCell ref="CW229:CZ229"/>
    <mergeCell ref="DA229:DD229"/>
    <mergeCell ref="DE229:DH229"/>
    <mergeCell ref="DI229:DL229"/>
    <mergeCell ref="DM229:DP229"/>
    <mergeCell ref="DQ229:DT229"/>
    <mergeCell ref="CU230:CV230"/>
    <mergeCell ref="CW230:CZ230"/>
    <mergeCell ref="DA230:DD230"/>
    <mergeCell ref="DE230:DH230"/>
    <mergeCell ref="DI230:DL230"/>
    <mergeCell ref="DM230:DP230"/>
    <mergeCell ref="DQ230:DT230"/>
    <mergeCell ref="CU223:CV223"/>
    <mergeCell ref="CW223:CZ223"/>
    <mergeCell ref="DA223:DD223"/>
    <mergeCell ref="DE223:DH223"/>
    <mergeCell ref="DI223:DL223"/>
    <mergeCell ref="DM223:DP223"/>
    <mergeCell ref="DQ223:DT223"/>
    <mergeCell ref="CU224:CV224"/>
    <mergeCell ref="CW224:CZ224"/>
    <mergeCell ref="DA224:DD224"/>
    <mergeCell ref="DE224:DH224"/>
    <mergeCell ref="DI224:DL224"/>
    <mergeCell ref="DM224:DP224"/>
    <mergeCell ref="DQ224:DT224"/>
    <mergeCell ref="CU225:CV225"/>
    <mergeCell ref="CW225:CZ225"/>
    <mergeCell ref="DA225:DD225"/>
    <mergeCell ref="DE225:DH225"/>
    <mergeCell ref="DI225:DL225"/>
    <mergeCell ref="DM225:DP225"/>
    <mergeCell ref="DQ225:DT225"/>
    <mergeCell ref="CU226:CV226"/>
    <mergeCell ref="CW226:CZ226"/>
    <mergeCell ref="DA226:DD226"/>
    <mergeCell ref="DE226:DH226"/>
    <mergeCell ref="DI226:DL226"/>
    <mergeCell ref="DM226:DP226"/>
    <mergeCell ref="DQ226:DT226"/>
    <mergeCell ref="CU235:CV235"/>
    <mergeCell ref="CW235:CZ235"/>
    <mergeCell ref="DA235:DD235"/>
    <mergeCell ref="DE235:DH235"/>
    <mergeCell ref="DI235:DL235"/>
    <mergeCell ref="DM235:DP235"/>
    <mergeCell ref="DQ235:DT235"/>
    <mergeCell ref="CU236:CV236"/>
    <mergeCell ref="CW236:CZ236"/>
    <mergeCell ref="DA236:DD236"/>
    <mergeCell ref="DE236:DH236"/>
    <mergeCell ref="DI236:DL236"/>
    <mergeCell ref="DM236:DP236"/>
    <mergeCell ref="DQ236:DT236"/>
    <mergeCell ref="CU237:CV237"/>
    <mergeCell ref="CW237:CZ237"/>
    <mergeCell ref="DA237:DD237"/>
    <mergeCell ref="DE237:DH237"/>
    <mergeCell ref="DI237:DL237"/>
    <mergeCell ref="DM237:DP237"/>
    <mergeCell ref="DQ237:DT237"/>
    <mergeCell ref="CU238:CV238"/>
    <mergeCell ref="CW238:CZ238"/>
    <mergeCell ref="DA238:DD238"/>
    <mergeCell ref="DE238:DH238"/>
    <mergeCell ref="DI238:DL238"/>
    <mergeCell ref="DM238:DP238"/>
    <mergeCell ref="DQ238:DT238"/>
    <mergeCell ref="CU231:CV231"/>
    <mergeCell ref="CW231:CZ231"/>
    <mergeCell ref="DA231:DD231"/>
    <mergeCell ref="DE231:DH231"/>
    <mergeCell ref="DI231:DL231"/>
    <mergeCell ref="DM231:DP231"/>
    <mergeCell ref="DQ231:DT231"/>
    <mergeCell ref="CU232:CV232"/>
    <mergeCell ref="CW232:CZ232"/>
    <mergeCell ref="DA232:DD232"/>
    <mergeCell ref="DE232:DH232"/>
    <mergeCell ref="DI232:DL232"/>
    <mergeCell ref="DM232:DP232"/>
    <mergeCell ref="DQ232:DT232"/>
    <mergeCell ref="CU233:CV233"/>
    <mergeCell ref="CW233:CZ233"/>
    <mergeCell ref="DA233:DD233"/>
    <mergeCell ref="DE233:DH233"/>
    <mergeCell ref="DI233:DL233"/>
    <mergeCell ref="DM233:DP233"/>
    <mergeCell ref="DQ233:DT233"/>
    <mergeCell ref="CU234:CV234"/>
    <mergeCell ref="CW234:CZ234"/>
    <mergeCell ref="DA234:DD234"/>
    <mergeCell ref="DE234:DH234"/>
    <mergeCell ref="DI234:DL234"/>
    <mergeCell ref="DM234:DP234"/>
    <mergeCell ref="DQ234:DT234"/>
    <mergeCell ref="CU243:CV243"/>
    <mergeCell ref="CW243:CZ243"/>
    <mergeCell ref="DA243:DD243"/>
    <mergeCell ref="DE243:DH243"/>
    <mergeCell ref="DI243:DL243"/>
    <mergeCell ref="DM243:DP243"/>
    <mergeCell ref="DQ243:DT243"/>
    <mergeCell ref="CU244:CV244"/>
    <mergeCell ref="CW244:CZ244"/>
    <mergeCell ref="DA244:DD244"/>
    <mergeCell ref="DE244:DH244"/>
    <mergeCell ref="DI244:DL244"/>
    <mergeCell ref="DM244:DP244"/>
    <mergeCell ref="DQ244:DT244"/>
    <mergeCell ref="CU245:CV245"/>
    <mergeCell ref="CW245:CZ245"/>
    <mergeCell ref="DA245:DD245"/>
    <mergeCell ref="DE245:DH245"/>
    <mergeCell ref="DI245:DL245"/>
    <mergeCell ref="DM245:DP245"/>
    <mergeCell ref="DQ245:DT245"/>
    <mergeCell ref="CU246:CV246"/>
    <mergeCell ref="CW246:CZ246"/>
    <mergeCell ref="DA246:DD246"/>
    <mergeCell ref="DE246:DH246"/>
    <mergeCell ref="DI246:DL246"/>
    <mergeCell ref="DM246:DP246"/>
    <mergeCell ref="DQ246:DT246"/>
    <mergeCell ref="CU239:CV239"/>
    <mergeCell ref="CW239:CZ239"/>
    <mergeCell ref="DA239:DD239"/>
    <mergeCell ref="DE239:DH239"/>
    <mergeCell ref="DI239:DL239"/>
    <mergeCell ref="DM239:DP239"/>
    <mergeCell ref="DQ239:DT239"/>
    <mergeCell ref="CU240:CV240"/>
    <mergeCell ref="CW240:CZ240"/>
    <mergeCell ref="DA240:DD240"/>
    <mergeCell ref="DE240:DH240"/>
    <mergeCell ref="DI240:DL240"/>
    <mergeCell ref="DM240:DP240"/>
    <mergeCell ref="DQ240:DT240"/>
    <mergeCell ref="CU241:CV241"/>
    <mergeCell ref="CW241:CZ241"/>
    <mergeCell ref="DA241:DD241"/>
    <mergeCell ref="DE241:DH241"/>
    <mergeCell ref="DI241:DL241"/>
    <mergeCell ref="DM241:DP241"/>
    <mergeCell ref="DQ241:DT241"/>
    <mergeCell ref="CU242:CV242"/>
    <mergeCell ref="CW242:CZ242"/>
    <mergeCell ref="DA242:DD242"/>
    <mergeCell ref="DE242:DH242"/>
    <mergeCell ref="DI242:DL242"/>
    <mergeCell ref="DM242:DP242"/>
    <mergeCell ref="DQ242:DT242"/>
    <mergeCell ref="DQ251:DT251"/>
    <mergeCell ref="CU252:CV252"/>
    <mergeCell ref="CW252:CZ252"/>
    <mergeCell ref="DA252:DD252"/>
    <mergeCell ref="DE252:DH252"/>
    <mergeCell ref="DI252:DL252"/>
    <mergeCell ref="DM252:DP252"/>
    <mergeCell ref="DQ252:DT252"/>
    <mergeCell ref="CU253:CV253"/>
    <mergeCell ref="CW253:CZ253"/>
    <mergeCell ref="DA253:DD253"/>
    <mergeCell ref="DE253:DH253"/>
    <mergeCell ref="DI253:DL253"/>
    <mergeCell ref="DM253:DP253"/>
    <mergeCell ref="DQ253:DT253"/>
    <mergeCell ref="CU254:CV254"/>
    <mergeCell ref="CW254:CZ254"/>
    <mergeCell ref="DA254:DD254"/>
    <mergeCell ref="DE254:DH254"/>
    <mergeCell ref="DI254:DL254"/>
    <mergeCell ref="DM254:DP254"/>
    <mergeCell ref="DQ254:DT254"/>
    <mergeCell ref="CU247:CV247"/>
    <mergeCell ref="CW247:CZ247"/>
    <mergeCell ref="DA247:DD247"/>
    <mergeCell ref="DE247:DH247"/>
    <mergeCell ref="DI247:DL247"/>
    <mergeCell ref="DM247:DP247"/>
    <mergeCell ref="DQ247:DT247"/>
    <mergeCell ref="CU248:CV248"/>
    <mergeCell ref="CW248:CZ248"/>
    <mergeCell ref="DA248:DD248"/>
    <mergeCell ref="DE248:DH248"/>
    <mergeCell ref="DI248:DL248"/>
    <mergeCell ref="DM248:DP248"/>
    <mergeCell ref="DQ248:DT248"/>
    <mergeCell ref="CU249:CV249"/>
    <mergeCell ref="CW249:CZ249"/>
    <mergeCell ref="DA249:DD249"/>
    <mergeCell ref="DE249:DH249"/>
    <mergeCell ref="DI249:DL249"/>
    <mergeCell ref="DM249:DP249"/>
    <mergeCell ref="DQ249:DT249"/>
    <mergeCell ref="CU250:CV250"/>
    <mergeCell ref="CW250:CZ250"/>
    <mergeCell ref="DA250:DD250"/>
    <mergeCell ref="DE250:DH250"/>
    <mergeCell ref="DI250:DL250"/>
    <mergeCell ref="DM250:DP250"/>
    <mergeCell ref="DQ250:DT250"/>
    <mergeCell ref="CU255:CV255"/>
    <mergeCell ref="CW255:CZ255"/>
    <mergeCell ref="DA255:DD255"/>
    <mergeCell ref="DE255:DH255"/>
    <mergeCell ref="DI255:DL255"/>
    <mergeCell ref="DM255:DP255"/>
    <mergeCell ref="DQ255:DT255"/>
    <mergeCell ref="CU256:CV256"/>
    <mergeCell ref="CW256:CZ256"/>
    <mergeCell ref="DA256:DD256"/>
    <mergeCell ref="DE256:DH256"/>
    <mergeCell ref="DI256:DL256"/>
    <mergeCell ref="DM256:DP256"/>
    <mergeCell ref="DQ256:DT256"/>
    <mergeCell ref="CU257:CV257"/>
    <mergeCell ref="CW257:CZ257"/>
    <mergeCell ref="DA257:DD257"/>
    <mergeCell ref="DE257:DH257"/>
    <mergeCell ref="DI257:DL257"/>
    <mergeCell ref="DM257:DP257"/>
    <mergeCell ref="DQ257:DT257"/>
    <mergeCell ref="DX3:EA4"/>
    <mergeCell ref="EB3:EE4"/>
    <mergeCell ref="EF3:EI4"/>
    <mergeCell ref="EJ3:EM4"/>
    <mergeCell ref="EN3:EQ4"/>
    <mergeCell ref="DX5:EA5"/>
    <mergeCell ref="EB5:EE5"/>
    <mergeCell ref="EF5:EI5"/>
    <mergeCell ref="EJ5:EM5"/>
    <mergeCell ref="DX6:EA6"/>
    <mergeCell ref="EB6:EE6"/>
    <mergeCell ref="EF6:EI6"/>
    <mergeCell ref="EJ6:EM6"/>
    <mergeCell ref="DX7:EA7"/>
    <mergeCell ref="EB7:EE7"/>
    <mergeCell ref="EF7:EI7"/>
    <mergeCell ref="EJ7:EM7"/>
    <mergeCell ref="DX8:EA8"/>
    <mergeCell ref="EB8:EE8"/>
    <mergeCell ref="EF8:EI8"/>
    <mergeCell ref="EJ8:EM8"/>
    <mergeCell ref="DX9:EA9"/>
    <mergeCell ref="EB9:EE9"/>
    <mergeCell ref="EF9:EI9"/>
    <mergeCell ref="EJ9:EM9"/>
    <mergeCell ref="DX10:EA10"/>
    <mergeCell ref="EB10:EE10"/>
    <mergeCell ref="EF10:EI10"/>
    <mergeCell ref="EJ10:EM10"/>
    <mergeCell ref="DX11:EA11"/>
    <mergeCell ref="EB11:EE11"/>
    <mergeCell ref="EF11:EI11"/>
    <mergeCell ref="EJ11:EM11"/>
    <mergeCell ref="DX12:EA12"/>
    <mergeCell ref="EB12:EE12"/>
    <mergeCell ref="EF12:EI12"/>
    <mergeCell ref="EJ12:EM12"/>
    <mergeCell ref="CU251:CV251"/>
    <mergeCell ref="CW251:CZ251"/>
    <mergeCell ref="DA251:DD251"/>
    <mergeCell ref="DE251:DH251"/>
    <mergeCell ref="DI251:DL251"/>
    <mergeCell ref="DM251:DP251"/>
    <mergeCell ref="DX13:EA13"/>
    <mergeCell ref="EB13:EE13"/>
    <mergeCell ref="EF13:EI13"/>
    <mergeCell ref="EJ13:EM13"/>
    <mergeCell ref="DX14:EA14"/>
    <mergeCell ref="EB14:EE14"/>
    <mergeCell ref="EF14:EI14"/>
    <mergeCell ref="EJ14:EM14"/>
    <mergeCell ref="DX15:EA15"/>
    <mergeCell ref="EB15:EE15"/>
    <mergeCell ref="EF15:EI15"/>
    <mergeCell ref="EJ15:EM15"/>
    <mergeCell ref="DX16:EA16"/>
    <mergeCell ref="EB16:EE16"/>
    <mergeCell ref="EF16:EI16"/>
    <mergeCell ref="EJ16:EM16"/>
    <mergeCell ref="DX17:EA17"/>
    <mergeCell ref="EB17:EE17"/>
    <mergeCell ref="EB46:EE46"/>
    <mergeCell ref="EF46:EI46"/>
    <mergeCell ref="EJ46:EM46"/>
    <mergeCell ref="DX47:EA47"/>
    <mergeCell ref="EB47:EE47"/>
    <mergeCell ref="EF47:EI47"/>
    <mergeCell ref="EJ47:EM47"/>
    <mergeCell ref="DX48:EA48"/>
    <mergeCell ref="EB48:EE48"/>
    <mergeCell ref="EF48:EI48"/>
    <mergeCell ref="EJ48:EM48"/>
    <mergeCell ref="DX49:EA49"/>
    <mergeCell ref="EB49:EE49"/>
    <mergeCell ref="EF49:EI49"/>
    <mergeCell ref="EJ49:EM49"/>
    <mergeCell ref="DX31:EA31"/>
    <mergeCell ref="EB31:EE31"/>
    <mergeCell ref="EF31:EI31"/>
    <mergeCell ref="EJ31:EM31"/>
    <mergeCell ref="EF30:EI30"/>
    <mergeCell ref="EJ30:EM30"/>
    <mergeCell ref="EJ41:EM41"/>
    <mergeCell ref="DX42:EA42"/>
    <mergeCell ref="EB42:EE42"/>
    <mergeCell ref="EF42:EI42"/>
    <mergeCell ref="EJ42:EM42"/>
    <mergeCell ref="DX43:EA43"/>
    <mergeCell ref="EB43:EE43"/>
    <mergeCell ref="EF43:EI43"/>
    <mergeCell ref="EJ43:EM43"/>
    <mergeCell ref="DX44:EA44"/>
    <mergeCell ref="EB44:EE44"/>
    <mergeCell ref="EF44:EI44"/>
    <mergeCell ref="EJ44:EM44"/>
    <mergeCell ref="DX45:EA45"/>
    <mergeCell ref="EB45:EE45"/>
    <mergeCell ref="EF45:EI45"/>
    <mergeCell ref="EJ45:EM45"/>
    <mergeCell ref="DX46:EA46"/>
    <mergeCell ref="DX64:EA64"/>
    <mergeCell ref="EB64:EE64"/>
    <mergeCell ref="EF64:EI64"/>
    <mergeCell ref="EJ64:EM64"/>
    <mergeCell ref="DX65:EA65"/>
    <mergeCell ref="EB65:EE65"/>
    <mergeCell ref="EF65:EI65"/>
    <mergeCell ref="EJ65:EM65"/>
    <mergeCell ref="DX66:EA66"/>
    <mergeCell ref="EB66:EE66"/>
    <mergeCell ref="EF66:EI66"/>
    <mergeCell ref="EJ66:EM66"/>
    <mergeCell ref="DX67:EA67"/>
    <mergeCell ref="EB67:EE67"/>
    <mergeCell ref="EF67:EI67"/>
    <mergeCell ref="EJ67:EM67"/>
    <mergeCell ref="DX68:EA68"/>
    <mergeCell ref="EB68:EE68"/>
    <mergeCell ref="EF68:EI68"/>
    <mergeCell ref="EJ68:EM68"/>
    <mergeCell ref="DX69:EA69"/>
    <mergeCell ref="EB69:EE69"/>
    <mergeCell ref="EF69:EI69"/>
    <mergeCell ref="EJ69:EM69"/>
    <mergeCell ref="DX70:EA70"/>
    <mergeCell ref="EB70:EE70"/>
    <mergeCell ref="EF70:EI70"/>
    <mergeCell ref="EJ70:EM70"/>
    <mergeCell ref="DX71:EA71"/>
    <mergeCell ref="EB71:EE71"/>
    <mergeCell ref="EF71:EI71"/>
    <mergeCell ref="EJ71:EM71"/>
    <mergeCell ref="DX55:EA55"/>
    <mergeCell ref="EB55:EE55"/>
    <mergeCell ref="EF55:EI55"/>
    <mergeCell ref="EJ55:EM55"/>
    <mergeCell ref="DX56:EA56"/>
    <mergeCell ref="EB56:EE56"/>
    <mergeCell ref="EF56:EI56"/>
    <mergeCell ref="EJ56:EM56"/>
    <mergeCell ref="DX57:EA57"/>
    <mergeCell ref="EB57:EE57"/>
    <mergeCell ref="EF57:EI57"/>
    <mergeCell ref="EJ57:EM57"/>
    <mergeCell ref="DX72:EA72"/>
    <mergeCell ref="EB72:EE72"/>
    <mergeCell ref="EF72:EI72"/>
    <mergeCell ref="EJ72:EM72"/>
    <mergeCell ref="DX73:EA73"/>
    <mergeCell ref="EB73:EE73"/>
    <mergeCell ref="EF73:EI73"/>
    <mergeCell ref="EJ73:EM73"/>
    <mergeCell ref="DX74:EA74"/>
    <mergeCell ref="EB74:EE74"/>
    <mergeCell ref="EF74:EI74"/>
    <mergeCell ref="EJ74:EM74"/>
    <mergeCell ref="DX75:EA75"/>
    <mergeCell ref="EB75:EE75"/>
    <mergeCell ref="EF75:EI75"/>
    <mergeCell ref="EJ75:EM75"/>
    <mergeCell ref="DX76:EA76"/>
    <mergeCell ref="EB76:EE76"/>
    <mergeCell ref="EF76:EI76"/>
    <mergeCell ref="EJ76:EM76"/>
    <mergeCell ref="DX77:EA77"/>
    <mergeCell ref="EB77:EE77"/>
    <mergeCell ref="EF77:EI77"/>
    <mergeCell ref="EJ77:EM77"/>
    <mergeCell ref="DX78:EA78"/>
    <mergeCell ref="EB78:EE78"/>
    <mergeCell ref="EF78:EI78"/>
    <mergeCell ref="EJ78:EM78"/>
    <mergeCell ref="DX79:EA79"/>
    <mergeCell ref="EB79:EE79"/>
    <mergeCell ref="EF79:EI79"/>
    <mergeCell ref="EJ79:EM79"/>
    <mergeCell ref="DX80:EA80"/>
    <mergeCell ref="EB80:EE80"/>
    <mergeCell ref="EF80:EI80"/>
    <mergeCell ref="EJ80:EM80"/>
    <mergeCell ref="DX81:EA81"/>
    <mergeCell ref="EB81:EE81"/>
    <mergeCell ref="EF81:EI81"/>
    <mergeCell ref="EJ81:EM81"/>
    <mergeCell ref="DX95:EA95"/>
    <mergeCell ref="EB95:EE95"/>
    <mergeCell ref="EF95:EI95"/>
    <mergeCell ref="EJ95:EM95"/>
    <mergeCell ref="DX96:EA96"/>
    <mergeCell ref="EB96:EE96"/>
    <mergeCell ref="EF96:EI96"/>
    <mergeCell ref="EJ96:EM96"/>
    <mergeCell ref="DX97:EA97"/>
    <mergeCell ref="EB97:EE97"/>
    <mergeCell ref="EF97:EI97"/>
    <mergeCell ref="EJ97:EM97"/>
    <mergeCell ref="DX98:EA98"/>
    <mergeCell ref="EB98:EE98"/>
    <mergeCell ref="EF98:EI98"/>
    <mergeCell ref="EJ98:EM98"/>
    <mergeCell ref="DX86:EA86"/>
    <mergeCell ref="EB86:EE86"/>
    <mergeCell ref="EF86:EI86"/>
    <mergeCell ref="EJ86:EM86"/>
    <mergeCell ref="DX99:EA99"/>
    <mergeCell ref="EB99:EE99"/>
    <mergeCell ref="EF99:EI99"/>
    <mergeCell ref="EJ99:EM99"/>
    <mergeCell ref="DX100:EA100"/>
    <mergeCell ref="EB100:EE100"/>
    <mergeCell ref="EF100:EI100"/>
    <mergeCell ref="EJ100:EM100"/>
    <mergeCell ref="DX101:EA101"/>
    <mergeCell ref="EB101:EE101"/>
    <mergeCell ref="EF101:EI101"/>
    <mergeCell ref="EJ101:EM101"/>
    <mergeCell ref="DX102:EA102"/>
    <mergeCell ref="EB102:EE102"/>
    <mergeCell ref="EF102:EI102"/>
    <mergeCell ref="EJ102:EM102"/>
    <mergeCell ref="DX103:EA103"/>
    <mergeCell ref="EB103:EE103"/>
    <mergeCell ref="EF103:EI103"/>
    <mergeCell ref="EJ103:EM103"/>
    <mergeCell ref="DX104:EA104"/>
    <mergeCell ref="EB104:EE104"/>
    <mergeCell ref="EF104:EI104"/>
    <mergeCell ref="EJ104:EM104"/>
    <mergeCell ref="DX105:EA105"/>
    <mergeCell ref="EB105:EE105"/>
    <mergeCell ref="EF105:EI105"/>
    <mergeCell ref="EJ105:EM105"/>
    <mergeCell ref="DX106:EA106"/>
    <mergeCell ref="EB106:EE106"/>
    <mergeCell ref="EF106:EI106"/>
    <mergeCell ref="EJ106:EM106"/>
    <mergeCell ref="DX107:EA107"/>
    <mergeCell ref="EB107:EE107"/>
    <mergeCell ref="EF107:EI107"/>
    <mergeCell ref="EJ107:EM107"/>
    <mergeCell ref="DX195:EA195"/>
    <mergeCell ref="EB195:EE195"/>
    <mergeCell ref="EF195:EI195"/>
    <mergeCell ref="EJ195:EM195"/>
    <mergeCell ref="EJ189:EM189"/>
    <mergeCell ref="DX190:EA190"/>
    <mergeCell ref="EB190:EE190"/>
    <mergeCell ref="EF190:EI190"/>
    <mergeCell ref="EJ190:EM190"/>
    <mergeCell ref="DX183:EA183"/>
    <mergeCell ref="EB183:EE183"/>
    <mergeCell ref="EF183:EI183"/>
    <mergeCell ref="EJ183:EM183"/>
    <mergeCell ref="DX184:EA184"/>
    <mergeCell ref="EB184:EE184"/>
    <mergeCell ref="EF184:EI184"/>
    <mergeCell ref="EJ184:EM184"/>
    <mergeCell ref="DX185:EA185"/>
    <mergeCell ref="EB185:EE185"/>
    <mergeCell ref="EF185:EI185"/>
    <mergeCell ref="EJ185:EM185"/>
    <mergeCell ref="DX186:EA186"/>
    <mergeCell ref="EB186:EE186"/>
    <mergeCell ref="EF186:EI186"/>
    <mergeCell ref="EJ186:EM186"/>
    <mergeCell ref="EB172:EE172"/>
    <mergeCell ref="EF172:EI172"/>
    <mergeCell ref="EJ172:EM172"/>
    <mergeCell ref="DX173:EA173"/>
    <mergeCell ref="EB173:EE173"/>
    <mergeCell ref="EF173:EI173"/>
    <mergeCell ref="EJ173:EM173"/>
    <mergeCell ref="EF171:EI171"/>
    <mergeCell ref="EF170:EI170"/>
    <mergeCell ref="EJ170:EM170"/>
    <mergeCell ref="DX171:EA171"/>
    <mergeCell ref="EB171:EE171"/>
    <mergeCell ref="EB120:EE120"/>
    <mergeCell ref="EF120:EI120"/>
    <mergeCell ref="EJ120:EM120"/>
    <mergeCell ref="DX196:EA196"/>
    <mergeCell ref="EB196:EE196"/>
    <mergeCell ref="EF196:EI196"/>
    <mergeCell ref="EJ196:EM196"/>
    <mergeCell ref="DX197:EA197"/>
    <mergeCell ref="EB197:EE197"/>
    <mergeCell ref="EF197:EI197"/>
    <mergeCell ref="EJ197:EM197"/>
    <mergeCell ref="DX198:EA198"/>
    <mergeCell ref="EB198:EE198"/>
    <mergeCell ref="EF198:EI198"/>
    <mergeCell ref="EJ198:EM198"/>
    <mergeCell ref="DX199:EA199"/>
    <mergeCell ref="EB199:EE199"/>
    <mergeCell ref="EF199:EI199"/>
    <mergeCell ref="EJ199:EM199"/>
    <mergeCell ref="DX200:EA200"/>
    <mergeCell ref="EB200:EE200"/>
    <mergeCell ref="EF200:EI200"/>
    <mergeCell ref="EJ200:EM200"/>
    <mergeCell ref="DV205:DW205"/>
    <mergeCell ref="DX205:EA205"/>
    <mergeCell ref="EB205:EE205"/>
    <mergeCell ref="EF205:EI205"/>
    <mergeCell ref="EJ205:EM205"/>
    <mergeCell ref="EN205:EQ205"/>
    <mergeCell ref="ER205:EU205"/>
    <mergeCell ref="DV206:DW206"/>
    <mergeCell ref="DX206:EA206"/>
    <mergeCell ref="EB206:EE206"/>
    <mergeCell ref="EF206:EI206"/>
    <mergeCell ref="EJ206:EM206"/>
    <mergeCell ref="EN206:EQ206"/>
    <mergeCell ref="ER206:EU206"/>
    <mergeCell ref="ER202:EU202"/>
    <mergeCell ref="DV211:DW211"/>
    <mergeCell ref="DX211:EA211"/>
    <mergeCell ref="EB211:EE211"/>
    <mergeCell ref="EF211:EI211"/>
    <mergeCell ref="EJ211:EM211"/>
    <mergeCell ref="EN211:EQ211"/>
    <mergeCell ref="ER211:EU211"/>
    <mergeCell ref="ER204:EU204"/>
    <mergeCell ref="EN204:EQ204"/>
    <mergeCell ref="DV212:DW212"/>
    <mergeCell ref="DX212:EA212"/>
    <mergeCell ref="EB212:EE212"/>
    <mergeCell ref="EF212:EI212"/>
    <mergeCell ref="EJ212:EM212"/>
    <mergeCell ref="EN212:EQ212"/>
    <mergeCell ref="ER212:EU212"/>
    <mergeCell ref="DV213:DW213"/>
    <mergeCell ref="DX213:EA213"/>
    <mergeCell ref="EB213:EE213"/>
    <mergeCell ref="EF213:EI213"/>
    <mergeCell ref="EJ213:EM213"/>
    <mergeCell ref="EN213:EQ213"/>
    <mergeCell ref="ER213:EU213"/>
    <mergeCell ref="DV214:DW214"/>
    <mergeCell ref="DX214:EA214"/>
    <mergeCell ref="EB214:EE214"/>
    <mergeCell ref="EF214:EI214"/>
    <mergeCell ref="EJ214:EM214"/>
    <mergeCell ref="EN214:EQ214"/>
    <mergeCell ref="ER214:EU214"/>
    <mergeCell ref="DV207:DW207"/>
    <mergeCell ref="DX207:EA207"/>
    <mergeCell ref="EB207:EE207"/>
    <mergeCell ref="EF207:EI207"/>
    <mergeCell ref="EJ207:EM207"/>
    <mergeCell ref="EN207:EQ207"/>
    <mergeCell ref="ER207:EU207"/>
    <mergeCell ref="DV208:DW208"/>
    <mergeCell ref="DX208:EA208"/>
    <mergeCell ref="EB208:EE208"/>
    <mergeCell ref="EF208:EI208"/>
    <mergeCell ref="EJ208:EM208"/>
    <mergeCell ref="EN208:EQ208"/>
    <mergeCell ref="ER208:EU208"/>
    <mergeCell ref="DV209:DW209"/>
    <mergeCell ref="DX209:EA209"/>
    <mergeCell ref="EB209:EE209"/>
    <mergeCell ref="EF209:EI209"/>
    <mergeCell ref="EJ209:EM209"/>
    <mergeCell ref="EN209:EQ209"/>
    <mergeCell ref="ER209:EU209"/>
    <mergeCell ref="DV210:DW210"/>
    <mergeCell ref="DX210:EA210"/>
    <mergeCell ref="EB210:EE210"/>
    <mergeCell ref="EF210:EI210"/>
    <mergeCell ref="EJ210:EM210"/>
    <mergeCell ref="EN210:EQ210"/>
    <mergeCell ref="ER210:EU210"/>
    <mergeCell ref="DV219:DW219"/>
    <mergeCell ref="DX219:EA219"/>
    <mergeCell ref="EB219:EE219"/>
    <mergeCell ref="EF219:EI219"/>
    <mergeCell ref="EJ219:EM219"/>
    <mergeCell ref="EN219:EQ219"/>
    <mergeCell ref="ER219:EU219"/>
    <mergeCell ref="DV220:DW220"/>
    <mergeCell ref="DX220:EA220"/>
    <mergeCell ref="EB220:EE220"/>
    <mergeCell ref="EF220:EI220"/>
    <mergeCell ref="EJ220:EM220"/>
    <mergeCell ref="EN220:EQ220"/>
    <mergeCell ref="ER220:EU220"/>
    <mergeCell ref="DV221:DW221"/>
    <mergeCell ref="DX221:EA221"/>
    <mergeCell ref="EB221:EE221"/>
    <mergeCell ref="EF221:EI221"/>
    <mergeCell ref="EJ221:EM221"/>
    <mergeCell ref="EN221:EQ221"/>
    <mergeCell ref="ER221:EU221"/>
    <mergeCell ref="DV222:DW222"/>
    <mergeCell ref="DX222:EA222"/>
    <mergeCell ref="EB222:EE222"/>
    <mergeCell ref="EF222:EI222"/>
    <mergeCell ref="EJ222:EM222"/>
    <mergeCell ref="EN222:EQ222"/>
    <mergeCell ref="ER222:EU222"/>
    <mergeCell ref="DV215:DW215"/>
    <mergeCell ref="DX215:EA215"/>
    <mergeCell ref="EB215:EE215"/>
    <mergeCell ref="EF215:EI215"/>
    <mergeCell ref="EJ215:EM215"/>
    <mergeCell ref="EN215:EQ215"/>
    <mergeCell ref="ER215:EU215"/>
    <mergeCell ref="DV216:DW216"/>
    <mergeCell ref="DX216:EA216"/>
    <mergeCell ref="EB216:EE216"/>
    <mergeCell ref="EF216:EI216"/>
    <mergeCell ref="EJ216:EM216"/>
    <mergeCell ref="EN216:EQ216"/>
    <mergeCell ref="ER216:EU216"/>
    <mergeCell ref="DV217:DW217"/>
    <mergeCell ref="DX217:EA217"/>
    <mergeCell ref="EB217:EE217"/>
    <mergeCell ref="EF217:EI217"/>
    <mergeCell ref="EJ217:EM217"/>
    <mergeCell ref="EN217:EQ217"/>
    <mergeCell ref="ER217:EU217"/>
    <mergeCell ref="DV218:DW218"/>
    <mergeCell ref="DX218:EA218"/>
    <mergeCell ref="EB218:EE218"/>
    <mergeCell ref="EF218:EI218"/>
    <mergeCell ref="EJ218:EM218"/>
    <mergeCell ref="EN218:EQ218"/>
    <mergeCell ref="ER218:EU218"/>
    <mergeCell ref="DV227:DW227"/>
    <mergeCell ref="DX227:EA227"/>
    <mergeCell ref="EB227:EE227"/>
    <mergeCell ref="EF227:EI227"/>
    <mergeCell ref="EJ227:EM227"/>
    <mergeCell ref="EN227:EQ227"/>
    <mergeCell ref="ER227:EU227"/>
    <mergeCell ref="DV228:DW228"/>
    <mergeCell ref="DX228:EA228"/>
    <mergeCell ref="EB228:EE228"/>
    <mergeCell ref="EF228:EI228"/>
    <mergeCell ref="EJ228:EM228"/>
    <mergeCell ref="EN228:EQ228"/>
    <mergeCell ref="ER228:EU228"/>
    <mergeCell ref="DV229:DW229"/>
    <mergeCell ref="DX229:EA229"/>
    <mergeCell ref="EB229:EE229"/>
    <mergeCell ref="EF229:EI229"/>
    <mergeCell ref="EJ229:EM229"/>
    <mergeCell ref="EN229:EQ229"/>
    <mergeCell ref="ER229:EU229"/>
    <mergeCell ref="DV230:DW230"/>
    <mergeCell ref="DX230:EA230"/>
    <mergeCell ref="EB230:EE230"/>
    <mergeCell ref="EF230:EI230"/>
    <mergeCell ref="EJ230:EM230"/>
    <mergeCell ref="EN230:EQ230"/>
    <mergeCell ref="ER230:EU230"/>
    <mergeCell ref="DV223:DW223"/>
    <mergeCell ref="DX223:EA223"/>
    <mergeCell ref="EB223:EE223"/>
    <mergeCell ref="EF223:EI223"/>
    <mergeCell ref="EJ223:EM223"/>
    <mergeCell ref="EN223:EQ223"/>
    <mergeCell ref="ER223:EU223"/>
    <mergeCell ref="DV224:DW224"/>
    <mergeCell ref="DX224:EA224"/>
    <mergeCell ref="EB224:EE224"/>
    <mergeCell ref="EF224:EI224"/>
    <mergeCell ref="EJ224:EM224"/>
    <mergeCell ref="EN224:EQ224"/>
    <mergeCell ref="ER224:EU224"/>
    <mergeCell ref="DV225:DW225"/>
    <mergeCell ref="DX225:EA225"/>
    <mergeCell ref="EB225:EE225"/>
    <mergeCell ref="EF225:EI225"/>
    <mergeCell ref="EJ225:EM225"/>
    <mergeCell ref="EN225:EQ225"/>
    <mergeCell ref="ER225:EU225"/>
    <mergeCell ref="DV226:DW226"/>
    <mergeCell ref="DX226:EA226"/>
    <mergeCell ref="EB226:EE226"/>
    <mergeCell ref="EF226:EI226"/>
    <mergeCell ref="EJ226:EM226"/>
    <mergeCell ref="EN226:EQ226"/>
    <mergeCell ref="ER226:EU226"/>
    <mergeCell ref="DV235:DW235"/>
    <mergeCell ref="DX235:EA235"/>
    <mergeCell ref="EB235:EE235"/>
    <mergeCell ref="EF235:EI235"/>
    <mergeCell ref="EJ235:EM235"/>
    <mergeCell ref="EN235:EQ235"/>
    <mergeCell ref="ER235:EU235"/>
    <mergeCell ref="DV236:DW236"/>
    <mergeCell ref="DX236:EA236"/>
    <mergeCell ref="EB236:EE236"/>
    <mergeCell ref="EF236:EI236"/>
    <mergeCell ref="EJ236:EM236"/>
    <mergeCell ref="EN236:EQ236"/>
    <mergeCell ref="ER236:EU236"/>
    <mergeCell ref="DV237:DW237"/>
    <mergeCell ref="DX237:EA237"/>
    <mergeCell ref="EB237:EE237"/>
    <mergeCell ref="EF237:EI237"/>
    <mergeCell ref="EJ237:EM237"/>
    <mergeCell ref="EN237:EQ237"/>
    <mergeCell ref="ER237:EU237"/>
    <mergeCell ref="DV238:DW238"/>
    <mergeCell ref="DX238:EA238"/>
    <mergeCell ref="EB238:EE238"/>
    <mergeCell ref="EF238:EI238"/>
    <mergeCell ref="EJ238:EM238"/>
    <mergeCell ref="EN238:EQ238"/>
    <mergeCell ref="ER238:EU238"/>
    <mergeCell ref="DV231:DW231"/>
    <mergeCell ref="DX231:EA231"/>
    <mergeCell ref="EB231:EE231"/>
    <mergeCell ref="EF231:EI231"/>
    <mergeCell ref="EJ231:EM231"/>
    <mergeCell ref="EN231:EQ231"/>
    <mergeCell ref="ER231:EU231"/>
    <mergeCell ref="DV232:DW232"/>
    <mergeCell ref="DX232:EA232"/>
    <mergeCell ref="EB232:EE232"/>
    <mergeCell ref="EF232:EI232"/>
    <mergeCell ref="EJ232:EM232"/>
    <mergeCell ref="EN232:EQ232"/>
    <mergeCell ref="ER232:EU232"/>
    <mergeCell ref="DV233:DW233"/>
    <mergeCell ref="DX233:EA233"/>
    <mergeCell ref="EB233:EE233"/>
    <mergeCell ref="EF233:EI233"/>
    <mergeCell ref="EJ233:EM233"/>
    <mergeCell ref="EN233:EQ233"/>
    <mergeCell ref="ER233:EU233"/>
    <mergeCell ref="DV234:DW234"/>
    <mergeCell ref="DX234:EA234"/>
    <mergeCell ref="EB234:EE234"/>
    <mergeCell ref="EF234:EI234"/>
    <mergeCell ref="EJ234:EM234"/>
    <mergeCell ref="EN234:EQ234"/>
    <mergeCell ref="ER234:EU234"/>
    <mergeCell ref="DV240:DW240"/>
    <mergeCell ref="DX240:EA240"/>
    <mergeCell ref="EB240:EE240"/>
    <mergeCell ref="EF240:EI240"/>
    <mergeCell ref="EJ240:EM240"/>
    <mergeCell ref="EN240:EQ240"/>
    <mergeCell ref="ER240:EU240"/>
    <mergeCell ref="EN247:EQ247"/>
    <mergeCell ref="ER247:EU247"/>
    <mergeCell ref="DV248:DW248"/>
    <mergeCell ref="DX248:EA248"/>
    <mergeCell ref="EB248:EE248"/>
    <mergeCell ref="EF248:EI248"/>
    <mergeCell ref="EJ248:EM248"/>
    <mergeCell ref="EN248:EQ248"/>
    <mergeCell ref="ER248:EU248"/>
    <mergeCell ref="DV241:DW241"/>
    <mergeCell ref="DX241:EA241"/>
    <mergeCell ref="EB241:EE241"/>
    <mergeCell ref="EF241:EI241"/>
    <mergeCell ref="EJ241:EM241"/>
    <mergeCell ref="EN241:EQ241"/>
    <mergeCell ref="ER241:EU241"/>
    <mergeCell ref="DV242:DW242"/>
    <mergeCell ref="DX242:EA242"/>
    <mergeCell ref="EB242:EE242"/>
    <mergeCell ref="EF242:EI242"/>
    <mergeCell ref="EJ242:EM242"/>
    <mergeCell ref="EN242:EQ242"/>
    <mergeCell ref="ER242:EU242"/>
    <mergeCell ref="DV243:DW243"/>
    <mergeCell ref="DX243:EA243"/>
    <mergeCell ref="EB243:EE243"/>
    <mergeCell ref="EF243:EI243"/>
    <mergeCell ref="EJ243:EM243"/>
    <mergeCell ref="EN243:EQ243"/>
    <mergeCell ref="ER243:EU243"/>
    <mergeCell ref="DV244:DW244"/>
    <mergeCell ref="DX244:EA244"/>
    <mergeCell ref="EB244:EE244"/>
    <mergeCell ref="EF244:EI244"/>
    <mergeCell ref="EJ244:EM244"/>
    <mergeCell ref="DV245:DW245"/>
    <mergeCell ref="DX245:EA245"/>
    <mergeCell ref="EB245:EE245"/>
    <mergeCell ref="EF245:EI245"/>
    <mergeCell ref="EJ245:EM245"/>
    <mergeCell ref="EN245:EQ245"/>
    <mergeCell ref="ER245:EU245"/>
    <mergeCell ref="DV246:DW246"/>
    <mergeCell ref="DX246:EA246"/>
    <mergeCell ref="EB246:EE246"/>
    <mergeCell ref="EF246:EI246"/>
    <mergeCell ref="EJ246:EM246"/>
    <mergeCell ref="EN246:EQ246"/>
    <mergeCell ref="ER246:EU246"/>
    <mergeCell ref="DV247:DW247"/>
    <mergeCell ref="DX247:EA247"/>
    <mergeCell ref="EB247:EE247"/>
    <mergeCell ref="EF247:EI247"/>
    <mergeCell ref="EJ247:EM247"/>
    <mergeCell ref="EN255:EQ255"/>
    <mergeCell ref="ER255:EU255"/>
    <mergeCell ref="DV256:DW256"/>
    <mergeCell ref="DX256:EA256"/>
    <mergeCell ref="EB256:EE256"/>
    <mergeCell ref="EF256:EI256"/>
    <mergeCell ref="EJ256:EM256"/>
    <mergeCell ref="EN256:EQ256"/>
    <mergeCell ref="ER256:EU256"/>
    <mergeCell ref="DV249:DW249"/>
    <mergeCell ref="DX249:EA249"/>
    <mergeCell ref="EB249:EE249"/>
    <mergeCell ref="EF249:EI249"/>
    <mergeCell ref="EJ249:EM249"/>
    <mergeCell ref="EN249:EQ249"/>
    <mergeCell ref="ER249:EU249"/>
    <mergeCell ref="DV250:DW250"/>
    <mergeCell ref="DX250:EA250"/>
    <mergeCell ref="EB250:EE250"/>
    <mergeCell ref="EF250:EI250"/>
    <mergeCell ref="EJ250:EM250"/>
    <mergeCell ref="EN250:EQ250"/>
    <mergeCell ref="ER250:EU250"/>
    <mergeCell ref="DV251:DW251"/>
    <mergeCell ref="DX251:EA251"/>
    <mergeCell ref="EB251:EE251"/>
    <mergeCell ref="EF251:EI251"/>
    <mergeCell ref="EJ251:EM251"/>
    <mergeCell ref="EN251:EQ251"/>
    <mergeCell ref="ER251:EU251"/>
    <mergeCell ref="DV252:DW252"/>
    <mergeCell ref="DX252:EA252"/>
    <mergeCell ref="EB252:EE252"/>
    <mergeCell ref="EF252:EI252"/>
    <mergeCell ref="EJ252:EM252"/>
    <mergeCell ref="EN252:EQ252"/>
    <mergeCell ref="ER252:EU252"/>
    <mergeCell ref="DV255:DW255"/>
    <mergeCell ref="DX255:EA255"/>
    <mergeCell ref="EB255:EE255"/>
    <mergeCell ref="EF255:EI255"/>
    <mergeCell ref="EJ255:EM255"/>
    <mergeCell ref="DV253:DW253"/>
    <mergeCell ref="DX253:EA253"/>
    <mergeCell ref="EB253:EE253"/>
    <mergeCell ref="EF253:EI253"/>
    <mergeCell ref="EJ253:EM253"/>
    <mergeCell ref="EN253:EQ253"/>
    <mergeCell ref="ER253:EU253"/>
    <mergeCell ref="DV254:DW254"/>
    <mergeCell ref="DX254:EA254"/>
    <mergeCell ref="EB254:EE254"/>
    <mergeCell ref="EF254:EI254"/>
    <mergeCell ref="EJ254:EM254"/>
    <mergeCell ref="EN254:EQ254"/>
    <mergeCell ref="ER254:EU254"/>
    <mergeCell ref="EY66:FB66"/>
    <mergeCell ref="EN244:EQ244"/>
    <mergeCell ref="ER244:EU244"/>
    <mergeCell ref="DV239:DW239"/>
    <mergeCell ref="DX239:EA239"/>
    <mergeCell ref="EB239:EE239"/>
    <mergeCell ref="EF239:EI239"/>
    <mergeCell ref="EJ239:EM239"/>
    <mergeCell ref="EN239:EQ239"/>
    <mergeCell ref="ER239:EU239"/>
    <mergeCell ref="EY3:FB4"/>
    <mergeCell ref="FC3:FF4"/>
    <mergeCell ref="FG3:FJ4"/>
    <mergeCell ref="FK3:FN4"/>
    <mergeCell ref="FO3:FR4"/>
    <mergeCell ref="EY5:FB5"/>
    <mergeCell ref="FC5:FF5"/>
    <mergeCell ref="FG5:FJ5"/>
    <mergeCell ref="FK5:FN5"/>
    <mergeCell ref="EY6:FB6"/>
    <mergeCell ref="FC6:FF6"/>
    <mergeCell ref="FG6:FJ6"/>
    <mergeCell ref="FK6:FN6"/>
    <mergeCell ref="EY7:FB7"/>
    <mergeCell ref="FC7:FF7"/>
    <mergeCell ref="FG7:FJ7"/>
    <mergeCell ref="FK7:FN7"/>
    <mergeCell ref="EY8:FB8"/>
    <mergeCell ref="FC8:FF8"/>
    <mergeCell ref="FG8:FJ8"/>
    <mergeCell ref="FK8:FN8"/>
    <mergeCell ref="EY9:FB9"/>
    <mergeCell ref="FC9:FF9"/>
    <mergeCell ref="FG9:FJ9"/>
    <mergeCell ref="FK9:FN9"/>
    <mergeCell ref="EY10:FB10"/>
    <mergeCell ref="FC10:FF10"/>
    <mergeCell ref="FG10:FJ10"/>
    <mergeCell ref="FK10:FN10"/>
    <mergeCell ref="EY11:FB11"/>
    <mergeCell ref="FC11:FF11"/>
    <mergeCell ref="FG11:FJ11"/>
    <mergeCell ref="FK11:FN11"/>
    <mergeCell ref="FC66:FF66"/>
    <mergeCell ref="FG66:FJ66"/>
    <mergeCell ref="FK66:FN66"/>
    <mergeCell ref="EY67:FB67"/>
    <mergeCell ref="FC67:FF67"/>
    <mergeCell ref="FG67:FJ67"/>
    <mergeCell ref="FK67:FN67"/>
    <mergeCell ref="EY68:FB68"/>
    <mergeCell ref="FC68:FF68"/>
    <mergeCell ref="FG68:FJ68"/>
    <mergeCell ref="FK68:FN68"/>
    <mergeCell ref="EY69:FB69"/>
    <mergeCell ref="FC69:FF69"/>
    <mergeCell ref="FG69:FJ69"/>
    <mergeCell ref="FK69:FN69"/>
    <mergeCell ref="EY70:FB70"/>
    <mergeCell ref="FC70:FF70"/>
    <mergeCell ref="FG70:FJ70"/>
    <mergeCell ref="FK70:FN70"/>
    <mergeCell ref="EY71:FB71"/>
    <mergeCell ref="FC71:FF71"/>
    <mergeCell ref="FG71:FJ71"/>
    <mergeCell ref="FK71:FN71"/>
    <mergeCell ref="EY72:FB72"/>
    <mergeCell ref="FC72:FF72"/>
    <mergeCell ref="FG72:FJ72"/>
    <mergeCell ref="FK72:FN72"/>
    <mergeCell ref="EY73:FB73"/>
    <mergeCell ref="FC73:FF73"/>
    <mergeCell ref="FG73:FJ73"/>
    <mergeCell ref="FK73:FN73"/>
    <mergeCell ref="EY74:FB74"/>
    <mergeCell ref="FC74:FF74"/>
    <mergeCell ref="FG74:FJ74"/>
    <mergeCell ref="FK74:FN74"/>
    <mergeCell ref="EY75:FB75"/>
    <mergeCell ref="FC75:FF75"/>
    <mergeCell ref="FG75:FJ75"/>
    <mergeCell ref="FK75:FN75"/>
    <mergeCell ref="EY76:FB76"/>
    <mergeCell ref="FC76:FF76"/>
    <mergeCell ref="FG76:FJ76"/>
    <mergeCell ref="FK76:FN76"/>
    <mergeCell ref="EY77:FB77"/>
    <mergeCell ref="FC77:FF77"/>
    <mergeCell ref="FG77:FJ77"/>
    <mergeCell ref="FK77:FN77"/>
    <mergeCell ref="EY78:FB78"/>
    <mergeCell ref="FC78:FF78"/>
    <mergeCell ref="FG78:FJ78"/>
    <mergeCell ref="FK78:FN78"/>
    <mergeCell ref="EY79:FB79"/>
    <mergeCell ref="FC79:FF79"/>
    <mergeCell ref="FG79:FJ79"/>
    <mergeCell ref="FK79:FN79"/>
    <mergeCell ref="EY195:FB195"/>
    <mergeCell ref="FC195:FF195"/>
    <mergeCell ref="FG195:FJ195"/>
    <mergeCell ref="FK195:FN195"/>
    <mergeCell ref="EY196:FB196"/>
    <mergeCell ref="FC196:FF196"/>
    <mergeCell ref="FG196:FJ196"/>
    <mergeCell ref="FK196:FN196"/>
    <mergeCell ref="EY197:FB197"/>
    <mergeCell ref="FC197:FF197"/>
    <mergeCell ref="FG197:FJ197"/>
    <mergeCell ref="FK197:FN197"/>
    <mergeCell ref="EY198:FB198"/>
    <mergeCell ref="FC198:FF198"/>
    <mergeCell ref="FG198:FJ198"/>
    <mergeCell ref="FK198:FN198"/>
    <mergeCell ref="FC82:FF82"/>
    <mergeCell ref="FG82:FJ82"/>
    <mergeCell ref="FK82:FN82"/>
    <mergeCell ref="EY83:FB83"/>
    <mergeCell ref="FC83:FF83"/>
    <mergeCell ref="FG83:FJ83"/>
    <mergeCell ref="FK83:FN83"/>
    <mergeCell ref="EY84:FB84"/>
    <mergeCell ref="FC84:FF84"/>
    <mergeCell ref="FG84:FJ84"/>
    <mergeCell ref="FK84:FN84"/>
    <mergeCell ref="FK183:FN183"/>
    <mergeCell ref="EY184:FB184"/>
    <mergeCell ref="FC184:FF184"/>
    <mergeCell ref="FG184:FJ184"/>
    <mergeCell ref="FK184:FN184"/>
    <mergeCell ref="FC86:FF86"/>
    <mergeCell ref="FG86:FJ86"/>
    <mergeCell ref="FK86:FN86"/>
    <mergeCell ref="EY87:FB87"/>
    <mergeCell ref="FC87:FF87"/>
    <mergeCell ref="FG87:FJ87"/>
    <mergeCell ref="FK87:FN87"/>
    <mergeCell ref="EY88:FB88"/>
    <mergeCell ref="FC88:FF88"/>
    <mergeCell ref="FG88:FJ88"/>
    <mergeCell ref="FK88:FN88"/>
    <mergeCell ref="EY89:FB89"/>
    <mergeCell ref="FC89:FF89"/>
    <mergeCell ref="FG89:FJ89"/>
    <mergeCell ref="FK89:FN89"/>
    <mergeCell ref="EY199:FB199"/>
    <mergeCell ref="FC199:FF199"/>
    <mergeCell ref="FG199:FJ199"/>
    <mergeCell ref="FK199:FN199"/>
    <mergeCell ref="EY200:FB200"/>
    <mergeCell ref="FC200:FF200"/>
    <mergeCell ref="FG200:FJ200"/>
    <mergeCell ref="FK200:FN200"/>
    <mergeCell ref="EY201:FB201"/>
    <mergeCell ref="FC201:FF201"/>
    <mergeCell ref="FG201:FJ201"/>
    <mergeCell ref="FK201:FN201"/>
    <mergeCell ref="EY202:FB202"/>
    <mergeCell ref="FC202:FF202"/>
    <mergeCell ref="FG202:FJ202"/>
    <mergeCell ref="FK202:FN202"/>
    <mergeCell ref="EY203:FB203"/>
    <mergeCell ref="FC203:FF203"/>
    <mergeCell ref="FG203:FJ203"/>
    <mergeCell ref="FK203:FN203"/>
    <mergeCell ref="EY214:FB214"/>
    <mergeCell ref="FC214:FF214"/>
    <mergeCell ref="FG214:FJ214"/>
    <mergeCell ref="FK214:FN214"/>
    <mergeCell ref="EW215:EX215"/>
    <mergeCell ref="EY215:FB215"/>
    <mergeCell ref="FC215:FF215"/>
    <mergeCell ref="FG215:FJ215"/>
    <mergeCell ref="FK215:FN215"/>
    <mergeCell ref="FO215:FR215"/>
    <mergeCell ref="FS215:FV215"/>
    <mergeCell ref="FO201:FR201"/>
    <mergeCell ref="FS201:FV201"/>
    <mergeCell ref="EW202:EX202"/>
    <mergeCell ref="FO202:FR202"/>
    <mergeCell ref="FS202:FV202"/>
    <mergeCell ref="EW203:EX203"/>
    <mergeCell ref="FO203:FR203"/>
    <mergeCell ref="FS203:FV203"/>
    <mergeCell ref="EW204:EX204"/>
    <mergeCell ref="FO204:FR204"/>
    <mergeCell ref="FS204:FV204"/>
    <mergeCell ref="FS205:FV205"/>
    <mergeCell ref="FO205:FR205"/>
    <mergeCell ref="EY204:FB204"/>
    <mergeCell ref="FC204:FF204"/>
    <mergeCell ref="FG204:FJ204"/>
    <mergeCell ref="FK204:FN204"/>
    <mergeCell ref="EY205:FB205"/>
    <mergeCell ref="FC205:FF205"/>
    <mergeCell ref="FG205:FJ205"/>
    <mergeCell ref="FK205:FN205"/>
    <mergeCell ref="EY206:FB206"/>
    <mergeCell ref="FC206:FF206"/>
    <mergeCell ref="FG206:FJ206"/>
    <mergeCell ref="FC210:FF210"/>
    <mergeCell ref="EY211:FB211"/>
    <mergeCell ref="FC211:FF211"/>
    <mergeCell ref="FG211:FJ211"/>
    <mergeCell ref="FK211:FN211"/>
    <mergeCell ref="EY212:FB212"/>
    <mergeCell ref="FC212:FF212"/>
    <mergeCell ref="FG212:FJ212"/>
    <mergeCell ref="FK212:FN212"/>
    <mergeCell ref="EW220:EX220"/>
    <mergeCell ref="EY220:FB220"/>
    <mergeCell ref="FC220:FF220"/>
    <mergeCell ref="FG220:FJ220"/>
    <mergeCell ref="FK220:FN220"/>
    <mergeCell ref="FO220:FR220"/>
    <mergeCell ref="FS220:FV220"/>
    <mergeCell ref="EW221:EX221"/>
    <mergeCell ref="EY221:FB221"/>
    <mergeCell ref="FC221:FF221"/>
    <mergeCell ref="FG221:FJ221"/>
    <mergeCell ref="FK221:FN221"/>
    <mergeCell ref="FO221:FR221"/>
    <mergeCell ref="FS221:FV221"/>
    <mergeCell ref="EW222:EX222"/>
    <mergeCell ref="EY222:FB222"/>
    <mergeCell ref="FC222:FF222"/>
    <mergeCell ref="FG222:FJ222"/>
    <mergeCell ref="FK222:FN222"/>
    <mergeCell ref="FO222:FR222"/>
    <mergeCell ref="FS222:FV222"/>
    <mergeCell ref="EW223:EX223"/>
    <mergeCell ref="EY223:FB223"/>
    <mergeCell ref="FC223:FF223"/>
    <mergeCell ref="FG223:FJ223"/>
    <mergeCell ref="FK223:FN223"/>
    <mergeCell ref="FO223:FR223"/>
    <mergeCell ref="FS223:FV223"/>
    <mergeCell ref="EY216:FB216"/>
    <mergeCell ref="FC216:FF216"/>
    <mergeCell ref="FG216:FJ216"/>
    <mergeCell ref="FK216:FN216"/>
    <mergeCell ref="FO216:FR216"/>
    <mergeCell ref="FS216:FV216"/>
    <mergeCell ref="EW217:EX217"/>
    <mergeCell ref="EY217:FB217"/>
    <mergeCell ref="FC217:FF217"/>
    <mergeCell ref="FG217:FJ217"/>
    <mergeCell ref="FK217:FN217"/>
    <mergeCell ref="FO217:FR217"/>
    <mergeCell ref="FS217:FV217"/>
    <mergeCell ref="EW218:EX218"/>
    <mergeCell ref="EY218:FB218"/>
    <mergeCell ref="FC218:FF218"/>
    <mergeCell ref="FG218:FJ218"/>
    <mergeCell ref="FK218:FN218"/>
    <mergeCell ref="FO218:FR218"/>
    <mergeCell ref="FS218:FV218"/>
    <mergeCell ref="EW219:EX219"/>
    <mergeCell ref="EY219:FB219"/>
    <mergeCell ref="FC219:FF219"/>
    <mergeCell ref="FG219:FJ219"/>
    <mergeCell ref="FK219:FN219"/>
    <mergeCell ref="FO219:FR219"/>
    <mergeCell ref="FS219:FV219"/>
    <mergeCell ref="EW228:EX228"/>
    <mergeCell ref="EY228:FB228"/>
    <mergeCell ref="FC228:FF228"/>
    <mergeCell ref="FG228:FJ228"/>
    <mergeCell ref="FK228:FN228"/>
    <mergeCell ref="FO228:FR228"/>
    <mergeCell ref="FS228:FV228"/>
    <mergeCell ref="EW229:EX229"/>
    <mergeCell ref="EY229:FB229"/>
    <mergeCell ref="FC229:FF229"/>
    <mergeCell ref="FG229:FJ229"/>
    <mergeCell ref="FK229:FN229"/>
    <mergeCell ref="FO229:FR229"/>
    <mergeCell ref="FS229:FV229"/>
    <mergeCell ref="EW230:EX230"/>
    <mergeCell ref="EY230:FB230"/>
    <mergeCell ref="FC230:FF230"/>
    <mergeCell ref="FG230:FJ230"/>
    <mergeCell ref="FK230:FN230"/>
    <mergeCell ref="FO230:FR230"/>
    <mergeCell ref="FS230:FV230"/>
    <mergeCell ref="EW231:EX231"/>
    <mergeCell ref="EY231:FB231"/>
    <mergeCell ref="FC231:FF231"/>
    <mergeCell ref="FG231:FJ231"/>
    <mergeCell ref="FK231:FN231"/>
    <mergeCell ref="FO231:FR231"/>
    <mergeCell ref="FS231:FV231"/>
    <mergeCell ref="EW224:EX224"/>
    <mergeCell ref="EY224:FB224"/>
    <mergeCell ref="FC224:FF224"/>
    <mergeCell ref="FG224:FJ224"/>
    <mergeCell ref="FK224:FN224"/>
    <mergeCell ref="FO224:FR224"/>
    <mergeCell ref="FS224:FV224"/>
    <mergeCell ref="EW225:EX225"/>
    <mergeCell ref="EY225:FB225"/>
    <mergeCell ref="FC225:FF225"/>
    <mergeCell ref="FG225:FJ225"/>
    <mergeCell ref="FK225:FN225"/>
    <mergeCell ref="FO225:FR225"/>
    <mergeCell ref="FS225:FV225"/>
    <mergeCell ref="EW226:EX226"/>
    <mergeCell ref="EY226:FB226"/>
    <mergeCell ref="FC226:FF226"/>
    <mergeCell ref="FG226:FJ226"/>
    <mergeCell ref="FK226:FN226"/>
    <mergeCell ref="FO226:FR226"/>
    <mergeCell ref="FS226:FV226"/>
    <mergeCell ref="EW227:EX227"/>
    <mergeCell ref="EY227:FB227"/>
    <mergeCell ref="FC227:FF227"/>
    <mergeCell ref="FG227:FJ227"/>
    <mergeCell ref="FK227:FN227"/>
    <mergeCell ref="FO227:FR227"/>
    <mergeCell ref="FS227:FV227"/>
    <mergeCell ref="EW236:EX236"/>
    <mergeCell ref="EY236:FB236"/>
    <mergeCell ref="FC236:FF236"/>
    <mergeCell ref="FG236:FJ236"/>
    <mergeCell ref="FK236:FN236"/>
    <mergeCell ref="FO236:FR236"/>
    <mergeCell ref="FS236:FV236"/>
    <mergeCell ref="EW237:EX237"/>
    <mergeCell ref="EY237:FB237"/>
    <mergeCell ref="FC237:FF237"/>
    <mergeCell ref="FG237:FJ237"/>
    <mergeCell ref="FK237:FN237"/>
    <mergeCell ref="FO237:FR237"/>
    <mergeCell ref="FS237:FV237"/>
    <mergeCell ref="EW238:EX238"/>
    <mergeCell ref="EY238:FB238"/>
    <mergeCell ref="FC238:FF238"/>
    <mergeCell ref="FG238:FJ238"/>
    <mergeCell ref="FK238:FN238"/>
    <mergeCell ref="FO238:FR238"/>
    <mergeCell ref="FS238:FV238"/>
    <mergeCell ref="EW239:EX239"/>
    <mergeCell ref="EY239:FB239"/>
    <mergeCell ref="FC239:FF239"/>
    <mergeCell ref="FG239:FJ239"/>
    <mergeCell ref="FK239:FN239"/>
    <mergeCell ref="FO239:FR239"/>
    <mergeCell ref="FS239:FV239"/>
    <mergeCell ref="EW232:EX232"/>
    <mergeCell ref="EY232:FB232"/>
    <mergeCell ref="FC232:FF232"/>
    <mergeCell ref="FG232:FJ232"/>
    <mergeCell ref="FK232:FN232"/>
    <mergeCell ref="FO232:FR232"/>
    <mergeCell ref="FS232:FV232"/>
    <mergeCell ref="EW233:EX233"/>
    <mergeCell ref="EY233:FB233"/>
    <mergeCell ref="FC233:FF233"/>
    <mergeCell ref="FG233:FJ233"/>
    <mergeCell ref="FK233:FN233"/>
    <mergeCell ref="FO233:FR233"/>
    <mergeCell ref="FS233:FV233"/>
    <mergeCell ref="EW234:EX234"/>
    <mergeCell ref="EY234:FB234"/>
    <mergeCell ref="FC234:FF234"/>
    <mergeCell ref="FG234:FJ234"/>
    <mergeCell ref="FK234:FN234"/>
    <mergeCell ref="FO234:FR234"/>
    <mergeCell ref="FS234:FV234"/>
    <mergeCell ref="EW235:EX235"/>
    <mergeCell ref="EY235:FB235"/>
    <mergeCell ref="FC235:FF235"/>
    <mergeCell ref="FG235:FJ235"/>
    <mergeCell ref="FK235:FN235"/>
    <mergeCell ref="FO235:FR235"/>
    <mergeCell ref="FS235:FV235"/>
    <mergeCell ref="EW244:EX244"/>
    <mergeCell ref="EY244:FB244"/>
    <mergeCell ref="FC244:FF244"/>
    <mergeCell ref="FG244:FJ244"/>
    <mergeCell ref="FK244:FN244"/>
    <mergeCell ref="FO244:FR244"/>
    <mergeCell ref="FS244:FV244"/>
    <mergeCell ref="EW245:EX245"/>
    <mergeCell ref="EY245:FB245"/>
    <mergeCell ref="FC245:FF245"/>
    <mergeCell ref="FG245:FJ245"/>
    <mergeCell ref="FK245:FN245"/>
    <mergeCell ref="FO245:FR245"/>
    <mergeCell ref="FS245:FV245"/>
    <mergeCell ref="EW246:EX246"/>
    <mergeCell ref="EY246:FB246"/>
    <mergeCell ref="FC246:FF246"/>
    <mergeCell ref="FG246:FJ246"/>
    <mergeCell ref="FK246:FN246"/>
    <mergeCell ref="FO246:FR246"/>
    <mergeCell ref="FS246:FV246"/>
    <mergeCell ref="EW247:EX247"/>
    <mergeCell ref="EY247:FB247"/>
    <mergeCell ref="FC247:FF247"/>
    <mergeCell ref="FG247:FJ247"/>
    <mergeCell ref="FK247:FN247"/>
    <mergeCell ref="FO247:FR247"/>
    <mergeCell ref="FS247:FV247"/>
    <mergeCell ref="EW240:EX240"/>
    <mergeCell ref="EY240:FB240"/>
    <mergeCell ref="FC240:FF240"/>
    <mergeCell ref="FG240:FJ240"/>
    <mergeCell ref="FK240:FN240"/>
    <mergeCell ref="FO240:FR240"/>
    <mergeCell ref="FS240:FV240"/>
    <mergeCell ref="EW241:EX241"/>
    <mergeCell ref="EY241:FB241"/>
    <mergeCell ref="FC241:FF241"/>
    <mergeCell ref="FG241:FJ241"/>
    <mergeCell ref="FK241:FN241"/>
    <mergeCell ref="FO241:FR241"/>
    <mergeCell ref="FS241:FV241"/>
    <mergeCell ref="EW242:EX242"/>
    <mergeCell ref="EY242:FB242"/>
    <mergeCell ref="FC242:FF242"/>
    <mergeCell ref="FG242:FJ242"/>
    <mergeCell ref="FK242:FN242"/>
    <mergeCell ref="FO242:FR242"/>
    <mergeCell ref="FS242:FV242"/>
    <mergeCell ref="EW243:EX243"/>
    <mergeCell ref="EY243:FB243"/>
    <mergeCell ref="FC243:FF243"/>
    <mergeCell ref="FG243:FJ243"/>
    <mergeCell ref="FK243:FN243"/>
    <mergeCell ref="FO243:FR243"/>
    <mergeCell ref="FS243:FV243"/>
    <mergeCell ref="EW252:EX252"/>
    <mergeCell ref="EY252:FB252"/>
    <mergeCell ref="FC252:FF252"/>
    <mergeCell ref="FG252:FJ252"/>
    <mergeCell ref="FK252:FN252"/>
    <mergeCell ref="FO252:FR252"/>
    <mergeCell ref="FS252:FV252"/>
    <mergeCell ref="EW253:EX253"/>
    <mergeCell ref="EY253:FB253"/>
    <mergeCell ref="FC253:FF253"/>
    <mergeCell ref="FG253:FJ253"/>
    <mergeCell ref="FK253:FN253"/>
    <mergeCell ref="FO253:FR253"/>
    <mergeCell ref="FS253:FV253"/>
    <mergeCell ref="EW254:EX254"/>
    <mergeCell ref="EY254:FB254"/>
    <mergeCell ref="FC254:FF254"/>
    <mergeCell ref="FG254:FJ254"/>
    <mergeCell ref="FK254:FN254"/>
    <mergeCell ref="FO254:FR254"/>
    <mergeCell ref="FS254:FV254"/>
    <mergeCell ref="EW255:EX255"/>
    <mergeCell ref="EY255:FB255"/>
    <mergeCell ref="FC255:FF255"/>
    <mergeCell ref="FG255:FJ255"/>
    <mergeCell ref="FK255:FN255"/>
    <mergeCell ref="FO255:FR255"/>
    <mergeCell ref="FS255:FV255"/>
    <mergeCell ref="EW248:EX248"/>
    <mergeCell ref="EY248:FB248"/>
    <mergeCell ref="FC248:FF248"/>
    <mergeCell ref="FG248:FJ248"/>
    <mergeCell ref="FK248:FN248"/>
    <mergeCell ref="FO248:FR248"/>
    <mergeCell ref="FS248:FV248"/>
    <mergeCell ref="EW249:EX249"/>
    <mergeCell ref="EY249:FB249"/>
    <mergeCell ref="FC249:FF249"/>
    <mergeCell ref="FG249:FJ249"/>
    <mergeCell ref="FK249:FN249"/>
    <mergeCell ref="FO249:FR249"/>
    <mergeCell ref="FS249:FV249"/>
    <mergeCell ref="EW250:EX250"/>
    <mergeCell ref="EY250:FB250"/>
    <mergeCell ref="FC250:FF250"/>
    <mergeCell ref="FG250:FJ250"/>
    <mergeCell ref="FK250:FN250"/>
    <mergeCell ref="FO250:FR250"/>
    <mergeCell ref="FS250:FV250"/>
    <mergeCell ref="EW251:EX251"/>
    <mergeCell ref="EY251:FB251"/>
    <mergeCell ref="FC251:FF251"/>
    <mergeCell ref="FG251:FJ251"/>
    <mergeCell ref="FK251:FN251"/>
    <mergeCell ref="FO251:FR251"/>
    <mergeCell ref="FS251:FV251"/>
    <mergeCell ref="EW256:EX256"/>
    <mergeCell ref="EY256:FB256"/>
    <mergeCell ref="FC256:FF256"/>
    <mergeCell ref="FG256:FJ256"/>
    <mergeCell ref="FK256:FN256"/>
    <mergeCell ref="FO256:FR256"/>
    <mergeCell ref="FS256:FV256"/>
    <mergeCell ref="EW257:EX257"/>
    <mergeCell ref="EY257:FB257"/>
    <mergeCell ref="FC257:FF257"/>
    <mergeCell ref="FG257:FJ257"/>
    <mergeCell ref="FK257:FN257"/>
    <mergeCell ref="FO257:FR257"/>
    <mergeCell ref="FS257:FV257"/>
    <mergeCell ref="DA258:DD259"/>
    <mergeCell ref="DE258:DH259"/>
    <mergeCell ref="DI258:DL259"/>
    <mergeCell ref="CU265:DP265"/>
    <mergeCell ref="DQ265:DT265"/>
    <mergeCell ref="EB258:EE259"/>
    <mergeCell ref="EF258:EI259"/>
    <mergeCell ref="EJ258:EM259"/>
    <mergeCell ref="DV265:EQ265"/>
    <mergeCell ref="ER265:EU265"/>
    <mergeCell ref="FC258:FF259"/>
    <mergeCell ref="FG258:FJ259"/>
    <mergeCell ref="FK258:FN259"/>
    <mergeCell ref="EW265:FR265"/>
    <mergeCell ref="FS265:FV265"/>
    <mergeCell ref="DV257:DW257"/>
    <mergeCell ref="DX257:EA257"/>
    <mergeCell ref="EB257:EE257"/>
    <mergeCell ref="EF257:EI257"/>
    <mergeCell ref="EJ257:EM257"/>
    <mergeCell ref="EN257:EQ257"/>
    <mergeCell ref="ER257:EU257"/>
    <mergeCell ref="FO258:FR259"/>
    <mergeCell ref="FS258:FV259"/>
    <mergeCell ref="CU262:DP262"/>
    <mergeCell ref="CU258:CY258"/>
    <mergeCell ref="CZ258:CZ259"/>
    <mergeCell ref="CU259:CY259"/>
    <mergeCell ref="DV258:DZ258"/>
    <mergeCell ref="EA258:EA259"/>
    <mergeCell ref="DV259:DZ259"/>
    <mergeCell ref="EW258:FA258"/>
    <mergeCell ref="FB258:FB259"/>
    <mergeCell ref="EW259:FA259"/>
    <mergeCell ref="ER262:EU262"/>
    <mergeCell ref="EN258:EQ259"/>
    <mergeCell ref="ER258:EU259"/>
    <mergeCell ref="ER264:EU264"/>
    <mergeCell ref="DV261:EQ261"/>
    <mergeCell ref="ER261:EU261"/>
    <mergeCell ref="DV262:EQ262"/>
    <mergeCell ref="U124:AA124"/>
    <mergeCell ref="U106:AA106"/>
    <mergeCell ref="U107:AA107"/>
    <mergeCell ref="U141:AA141"/>
    <mergeCell ref="U142:AA142"/>
    <mergeCell ref="U143:AA143"/>
    <mergeCell ref="U144:AA144"/>
    <mergeCell ref="U145:AA145"/>
    <mergeCell ref="H261:K262"/>
    <mergeCell ref="L261:O262"/>
    <mergeCell ref="P261:T262"/>
    <mergeCell ref="A259:T259"/>
    <mergeCell ref="A260:B262"/>
    <mergeCell ref="C260:G262"/>
    <mergeCell ref="H260:T260"/>
    <mergeCell ref="A257:B257"/>
    <mergeCell ref="P257:T257"/>
    <mergeCell ref="A230:B230"/>
    <mergeCell ref="C230:G230"/>
    <mergeCell ref="H230:K230"/>
    <mergeCell ref="A222:B222"/>
    <mergeCell ref="C222:G222"/>
    <mergeCell ref="H222:K222"/>
    <mergeCell ref="P222:T222"/>
    <mergeCell ref="A219:B219"/>
    <mergeCell ref="C219:G219"/>
    <mergeCell ref="H219:K219"/>
    <mergeCell ref="P219:T219"/>
    <mergeCell ref="A216:B216"/>
    <mergeCell ref="C216:G216"/>
    <mergeCell ref="H216:K216"/>
    <mergeCell ref="P216:T216"/>
    <mergeCell ref="A213:B213"/>
    <mergeCell ref="C213:G213"/>
    <mergeCell ref="H213:K213"/>
    <mergeCell ref="P213:T213"/>
    <mergeCell ref="A210:B210"/>
    <mergeCell ref="C210:G210"/>
    <mergeCell ref="H210:K210"/>
    <mergeCell ref="P210:T210"/>
    <mergeCell ref="A208:B208"/>
    <mergeCell ref="P199:T199"/>
    <mergeCell ref="A225:B225"/>
    <mergeCell ref="C225:G225"/>
    <mergeCell ref="H225:K225"/>
    <mergeCell ref="A221:B221"/>
    <mergeCell ref="C221:G221"/>
    <mergeCell ref="H221:K221"/>
    <mergeCell ref="P221:T221"/>
    <mergeCell ref="A217:B217"/>
    <mergeCell ref="C217:G217"/>
    <mergeCell ref="H217:K217"/>
    <mergeCell ref="P217:T217"/>
    <mergeCell ref="A214:B214"/>
    <mergeCell ref="C214:G214"/>
    <mergeCell ref="H214:K214"/>
    <mergeCell ref="P214:T214"/>
    <mergeCell ref="H206:K206"/>
    <mergeCell ref="P206:T206"/>
    <mergeCell ref="L197:O197"/>
    <mergeCell ref="H189:K189"/>
    <mergeCell ref="U170:AA170"/>
    <mergeCell ref="U171:AA171"/>
    <mergeCell ref="U172:AA172"/>
    <mergeCell ref="C187:G187"/>
    <mergeCell ref="H187:K187"/>
    <mergeCell ref="P187:T187"/>
    <mergeCell ref="U187:AA187"/>
    <mergeCell ref="A185:B185"/>
    <mergeCell ref="C185:G185"/>
    <mergeCell ref="H185:K185"/>
    <mergeCell ref="P185:T185"/>
    <mergeCell ref="A178:B178"/>
    <mergeCell ref="A242:B242"/>
    <mergeCell ref="C242:G242"/>
    <mergeCell ref="H242:K242"/>
    <mergeCell ref="P242:T242"/>
    <mergeCell ref="C250:G250"/>
    <mergeCell ref="H250:K250"/>
    <mergeCell ref="A249:B249"/>
    <mergeCell ref="C249:G249"/>
    <mergeCell ref="H249:K249"/>
    <mergeCell ref="S263:T263"/>
    <mergeCell ref="H265:I265"/>
    <mergeCell ref="J265:K265"/>
    <mergeCell ref="J275:K275"/>
    <mergeCell ref="L275:M275"/>
    <mergeCell ref="N275:O275"/>
    <mergeCell ref="P275:R275"/>
    <mergeCell ref="S275:T275"/>
    <mergeCell ref="H272:I272"/>
    <mergeCell ref="J272:K272"/>
    <mergeCell ref="L272:M272"/>
    <mergeCell ref="N272:O272"/>
    <mergeCell ref="P272:R272"/>
    <mergeCell ref="S272:T272"/>
    <mergeCell ref="C263:G267"/>
    <mergeCell ref="H263:I263"/>
    <mergeCell ref="U231:AA231"/>
    <mergeCell ref="U232:AA232"/>
    <mergeCell ref="U233:AA233"/>
    <mergeCell ref="U234:AA234"/>
    <mergeCell ref="U235:AA235"/>
    <mergeCell ref="U236:AA236"/>
    <mergeCell ref="U237:AA237"/>
    <mergeCell ref="U238:AA238"/>
    <mergeCell ref="U239:AA239"/>
    <mergeCell ref="U240:AA240"/>
    <mergeCell ref="U241:AA241"/>
    <mergeCell ref="U242:AA242"/>
    <mergeCell ref="U243:AA243"/>
    <mergeCell ref="U244:AA244"/>
    <mergeCell ref="U245:AA245"/>
    <mergeCell ref="U246:AA246"/>
    <mergeCell ref="U247:AA247"/>
    <mergeCell ref="U248:AA248"/>
    <mergeCell ref="U249:AA249"/>
    <mergeCell ref="U250:AA250"/>
    <mergeCell ref="U251:AA251"/>
    <mergeCell ref="U252:AA252"/>
    <mergeCell ref="U253:AA253"/>
    <mergeCell ref="U254:AA254"/>
    <mergeCell ref="U255:AA255"/>
    <mergeCell ref="U256:AA256"/>
    <mergeCell ref="U257:AA257"/>
    <mergeCell ref="L252:O252"/>
    <mergeCell ref="L253:O253"/>
    <mergeCell ref="L254:O254"/>
    <mergeCell ref="H277:I277"/>
    <mergeCell ref="J277:K277"/>
    <mergeCell ref="L277:M277"/>
    <mergeCell ref="N277:O277"/>
    <mergeCell ref="P277:R277"/>
    <mergeCell ref="S277:T277"/>
    <mergeCell ref="S267:T267"/>
    <mergeCell ref="C278:G282"/>
    <mergeCell ref="H278:I278"/>
    <mergeCell ref="J278:K278"/>
    <mergeCell ref="L278:M278"/>
    <mergeCell ref="N278:O278"/>
    <mergeCell ref="P278:R278"/>
    <mergeCell ref="S278:T278"/>
    <mergeCell ref="H279:I279"/>
    <mergeCell ref="J279:K279"/>
    <mergeCell ref="L279:M279"/>
    <mergeCell ref="N279:O279"/>
    <mergeCell ref="H271:I271"/>
    <mergeCell ref="J271:K271"/>
    <mergeCell ref="L271:M271"/>
    <mergeCell ref="S274:T274"/>
    <mergeCell ref="P271:R271"/>
    <mergeCell ref="S271:T271"/>
    <mergeCell ref="P273:R273"/>
    <mergeCell ref="S273:T273"/>
    <mergeCell ref="N271:O271"/>
    <mergeCell ref="J273:K273"/>
    <mergeCell ref="L273:M273"/>
    <mergeCell ref="N273:O273"/>
    <mergeCell ref="H275:I275"/>
    <mergeCell ref="H273:I273"/>
    <mergeCell ref="H274:I274"/>
    <mergeCell ref="J274:K274"/>
    <mergeCell ref="J270:K270"/>
    <mergeCell ref="L270:M270"/>
    <mergeCell ref="N270:O270"/>
    <mergeCell ref="P270:R270"/>
    <mergeCell ref="S270:T270"/>
  </mergeCells>
  <phoneticPr fontId="0" type="noConversion"/>
  <conditionalFormatting sqref="L5:O39">
    <cfRule type="cellIs" dxfId="134" priority="141" stopIfTrue="1" operator="equal">
      <formula>"M1"</formula>
    </cfRule>
    <cfRule type="cellIs" dxfId="133" priority="142" stopIfTrue="1" operator="equal">
      <formula>"F1"</formula>
    </cfRule>
  </conditionalFormatting>
  <dataValidations count="4">
    <dataValidation type="list" allowBlank="1" showInputMessage="1" showErrorMessage="1" sqref="L5:O39" xr:uid="{00000000-0002-0000-0800-000000000000}">
      <formula1>"E1,E2,F1,F2,M1,M2"</formula1>
    </dataValidation>
    <dataValidation allowBlank="1" showInputMessage="1" showErrorMessage="1" prompt="Inserir desvio do Cliente" sqref="AS268:AW270" xr:uid="{00000000-0002-0000-0800-000001000000}"/>
    <dataValidation type="list" allowBlank="1" showInputMessage="1" showErrorMessage="1" sqref="AM268:AM269" xr:uid="{00000000-0002-0000-0800-000002000000}">
      <formula1>"x,,"</formula1>
    </dataValidation>
    <dataValidation type="list" allowBlank="1" showInputMessage="1" showErrorMessage="1" prompt=" - " sqref="L40:L257" xr:uid="{00000000-0002-0000-0800-000003000000}">
      <formula1>"E1,E2,F1,F2,M1,M2,M3"</formula1>
    </dataValidation>
  </dataValidations>
  <pageMargins left="0.78740157499999996" right="0.78740157499999996" top="0.984251969" bottom="0.984251969" header="0.49212598499999999" footer="0.49212598499999999"/>
  <pageSetup paperSize="9" scale="12" fitToWidth="0" orientation="landscape" r:id="rId1"/>
  <headerFooter alignWithMargins="0"/>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37" id="{77802479-EF15-4601-B691-5562E73E462F}">
            <xm:f>INDEX('Dados dos Padrões'!$B$6:$V$18,MATCH(U5,'Dados dos Padrões'!$B$6:$B$18,0),12)&lt;TODAY()</xm:f>
            <x14:dxf>
              <font>
                <color rgb="FFC00000"/>
              </font>
              <fill>
                <patternFill>
                  <bgColor theme="5" tint="0.59996337778862885"/>
                </patternFill>
              </fill>
            </x14:dxf>
          </x14:cfRule>
          <x14:cfRule type="expression" priority="140" id="{B26460A0-EA96-4728-9454-9AA679FA92F3}">
            <xm:f>AND(INDEX('Dados dos Padrões'!$B$6:$V$18,MATCH(U5,'Dados dos Padrões'!$B$6:$B$18,0),12)&gt;TODAY(),INDEX('Dados dos Padrões'!$B$6:$V$18,MATCH(U5,'Dados dos Padrões'!$B$6:$B$18,0),12)&lt;(EDATE(TODAY(),1)))</xm:f>
            <x14:dxf>
              <font>
                <color theme="5"/>
              </font>
              <fill>
                <patternFill>
                  <bgColor theme="7" tint="0.59996337778862885"/>
                </patternFill>
              </fill>
            </x14:dxf>
          </x14:cfRule>
          <xm:sqref>U5 U8:U16</xm:sqref>
        </x14:conditionalFormatting>
        <x14:conditionalFormatting xmlns:xm="http://schemas.microsoft.com/office/excel/2006/main">
          <x14:cfRule type="expression" priority="91" id="{8406274F-EA39-4362-AF24-8B28D21EDA54}">
            <xm:f>INDEX('Dados dos Padrões'!$B$6:$V$18,MATCH(U218,'Dados dos Padrões'!$B$6:$B$18,0),12)&lt;TODAY()</xm:f>
            <x14:dxf>
              <font>
                <color rgb="FFC00000"/>
              </font>
              <fill>
                <patternFill>
                  <bgColor theme="5" tint="0.59996337778862885"/>
                </patternFill>
              </fill>
            </x14:dxf>
          </x14:cfRule>
          <x14:cfRule type="expression" priority="92" id="{E5AEB5B8-B078-4DCD-B75C-2FF55A329F3B}">
            <xm:f>AND(INDEX('Dados dos Padrões'!$B$6:$V$18,MATCH(U218,'Dados dos Padrões'!$B$6:$B$18,0),12)&gt;TODAY(),INDEX('Dados dos Padrões'!$B$6:$V$18,MATCH(U218,'Dados dos Padrões'!$B$6:$B$18,0),12)&lt;(EDATE(TODAY(),1)))</xm:f>
            <x14:dxf>
              <font>
                <color theme="5"/>
              </font>
              <fill>
                <patternFill>
                  <bgColor theme="7" tint="0.59996337778862885"/>
                </patternFill>
              </fill>
            </x14:dxf>
          </x14:cfRule>
          <xm:sqref>U218:U257</xm:sqref>
        </x14:conditionalFormatting>
        <x14:conditionalFormatting xmlns:xm="http://schemas.microsoft.com/office/excel/2006/main">
          <x14:cfRule type="expression" priority="135" id="{29F82B27-1BE1-4C26-B4C2-A12D97B9834B}">
            <xm:f>INDEX('Dados dos Padrões'!$B$6:$V$18,MATCH(U17,'Dados dos Padrões'!$B$6:$B$18,0),12)&lt;TODAY()</xm:f>
            <x14:dxf>
              <font>
                <color rgb="FFC00000"/>
              </font>
              <fill>
                <patternFill>
                  <bgColor theme="5" tint="0.59996337778862885"/>
                </patternFill>
              </fill>
            </x14:dxf>
          </x14:cfRule>
          <x14:cfRule type="expression" priority="136" id="{248BA89C-731F-4D97-986D-6D443A22F688}">
            <xm:f>AND(INDEX('Dados dos Padrões'!$B$6:$V$18,MATCH(U17,'Dados dos Padrões'!$B$6:$B$18,0),12)&gt;TODAY(),INDEX('Dados dos Padrões'!$B$6:$V$18,MATCH(U17,'Dados dos Padrões'!$B$6:$B$18,0),12)&lt;(EDATE(TODAY(),1)))</xm:f>
            <x14:dxf>
              <font>
                <color theme="5"/>
              </font>
              <fill>
                <patternFill>
                  <bgColor theme="7" tint="0.59996337778862885"/>
                </patternFill>
              </fill>
            </x14:dxf>
          </x14:cfRule>
          <xm:sqref>U17</xm:sqref>
        </x14:conditionalFormatting>
        <x14:conditionalFormatting xmlns:xm="http://schemas.microsoft.com/office/excel/2006/main">
          <x14:cfRule type="expression" priority="133" id="{38536C2F-E5E5-4F49-906A-C2324ECBCFC6}">
            <xm:f>INDEX('Dados dos Padrões'!$B$6:$V$18,MATCH(U18,'Dados dos Padrões'!$B$6:$B$18,0),12)&lt;TODAY()</xm:f>
            <x14:dxf>
              <font>
                <color rgb="FFC00000"/>
              </font>
              <fill>
                <patternFill>
                  <bgColor theme="5" tint="0.59996337778862885"/>
                </patternFill>
              </fill>
            </x14:dxf>
          </x14:cfRule>
          <x14:cfRule type="expression" priority="134" id="{E10EB847-49B2-45D1-B0E7-2D93526A3DBA}">
            <xm:f>AND(INDEX('Dados dos Padrões'!$B$6:$V$18,MATCH(U18,'Dados dos Padrões'!$B$6:$B$18,0),12)&gt;TODAY(),INDEX('Dados dos Padrões'!$B$6:$V$18,MATCH(U18,'Dados dos Padrões'!$B$6:$B$18,0),12)&lt;(EDATE(TODAY(),1)))</xm:f>
            <x14:dxf>
              <font>
                <color theme="5"/>
              </font>
              <fill>
                <patternFill>
                  <bgColor theme="7" tint="0.59996337778862885"/>
                </patternFill>
              </fill>
            </x14:dxf>
          </x14:cfRule>
          <xm:sqref>U18</xm:sqref>
        </x14:conditionalFormatting>
        <x14:conditionalFormatting xmlns:xm="http://schemas.microsoft.com/office/excel/2006/main">
          <x14:cfRule type="expression" priority="131" id="{091982B8-F499-41E3-B675-1234CFFEF590}">
            <xm:f>INDEX('Dados dos Padrões'!$B$6:$V$18,MATCH(U19,'Dados dos Padrões'!$B$6:$B$18,0),12)&lt;TODAY()</xm:f>
            <x14:dxf>
              <font>
                <color rgb="FFC00000"/>
              </font>
              <fill>
                <patternFill>
                  <bgColor theme="5" tint="0.59996337778862885"/>
                </patternFill>
              </fill>
            </x14:dxf>
          </x14:cfRule>
          <x14:cfRule type="expression" priority="132" id="{9127F765-95CF-4734-BE21-29E736E01661}">
            <xm:f>AND(INDEX('Dados dos Padrões'!$B$6:$V$18,MATCH(U19,'Dados dos Padrões'!$B$6:$B$18,0),12)&gt;TODAY(),INDEX('Dados dos Padrões'!$B$6:$V$18,MATCH(U19,'Dados dos Padrões'!$B$6:$B$18,0),12)&lt;(EDATE(TODAY(),1)))</xm:f>
            <x14:dxf>
              <font>
                <color theme="5"/>
              </font>
              <fill>
                <patternFill>
                  <bgColor theme="7" tint="0.59996337778862885"/>
                </patternFill>
              </fill>
            </x14:dxf>
          </x14:cfRule>
          <xm:sqref>U19</xm:sqref>
        </x14:conditionalFormatting>
        <x14:conditionalFormatting xmlns:xm="http://schemas.microsoft.com/office/excel/2006/main">
          <x14:cfRule type="expression" priority="129" id="{A3EA9C89-6832-4CF9-AB12-1951ECF6EF09}">
            <xm:f>INDEX('Dados dos Padrões'!$B$6:$V$18,MATCH(U20,'Dados dos Padrões'!$B$6:$B$18,0),12)&lt;TODAY()</xm:f>
            <x14:dxf>
              <font>
                <color rgb="FFC00000"/>
              </font>
              <fill>
                <patternFill>
                  <bgColor theme="5" tint="0.59996337778862885"/>
                </patternFill>
              </fill>
            </x14:dxf>
          </x14:cfRule>
          <x14:cfRule type="expression" priority="130" id="{050BDBD4-E180-428A-85E0-0886F1FB33F9}">
            <xm:f>AND(INDEX('Dados dos Padrões'!$B$6:$V$18,MATCH(U20,'Dados dos Padrões'!$B$6:$B$18,0),12)&gt;TODAY(),INDEX('Dados dos Padrões'!$B$6:$V$18,MATCH(U20,'Dados dos Padrões'!$B$6:$B$18,0),12)&lt;(EDATE(TODAY(),1)))</xm:f>
            <x14:dxf>
              <font>
                <color theme="5"/>
              </font>
              <fill>
                <patternFill>
                  <bgColor theme="7" tint="0.59996337778862885"/>
                </patternFill>
              </fill>
            </x14:dxf>
          </x14:cfRule>
          <xm:sqref>U20:U26</xm:sqref>
        </x14:conditionalFormatting>
        <x14:conditionalFormatting xmlns:xm="http://schemas.microsoft.com/office/excel/2006/main">
          <x14:cfRule type="expression" priority="127" id="{4840A838-904B-48A7-8EF7-D0F3A456CB3E}">
            <xm:f>INDEX('Dados dos Padrões'!$B$6:$V$18,MATCH(U27,'Dados dos Padrões'!$B$6:$B$18,0),12)&lt;TODAY()</xm:f>
            <x14:dxf>
              <font>
                <color rgb="FFC00000"/>
              </font>
              <fill>
                <patternFill>
                  <bgColor theme="5" tint="0.59996337778862885"/>
                </patternFill>
              </fill>
            </x14:dxf>
          </x14:cfRule>
          <x14:cfRule type="expression" priority="128" id="{D508AB7E-7106-43F1-AE60-45BBFCA5542D}">
            <xm:f>AND(INDEX('Dados dos Padrões'!$B$6:$V$18,MATCH(U27,'Dados dos Padrões'!$B$6:$B$18,0),12)&gt;TODAY(),INDEX('Dados dos Padrões'!$B$6:$V$18,MATCH(U27,'Dados dos Padrões'!$B$6:$B$18,0),12)&lt;(EDATE(TODAY(),1)))</xm:f>
            <x14:dxf>
              <font>
                <color theme="5"/>
              </font>
              <fill>
                <patternFill>
                  <bgColor theme="7" tint="0.59996337778862885"/>
                </patternFill>
              </fill>
            </x14:dxf>
          </x14:cfRule>
          <xm:sqref>U27</xm:sqref>
        </x14:conditionalFormatting>
        <x14:conditionalFormatting xmlns:xm="http://schemas.microsoft.com/office/excel/2006/main">
          <x14:cfRule type="expression" priority="125" id="{3E641D6C-CA65-4319-B757-42F9BC0099C5}">
            <xm:f>INDEX('Dados dos Padrões'!$B$6:$V$18,MATCH(U28,'Dados dos Padrões'!$B$6:$B$18,0),12)&lt;TODAY()</xm:f>
            <x14:dxf>
              <font>
                <color rgb="FFC00000"/>
              </font>
              <fill>
                <patternFill>
                  <bgColor theme="5" tint="0.59996337778862885"/>
                </patternFill>
              </fill>
            </x14:dxf>
          </x14:cfRule>
          <x14:cfRule type="expression" priority="126" id="{152A378B-971D-4779-8648-878E2A695951}">
            <xm:f>AND(INDEX('Dados dos Padrões'!$B$6:$V$18,MATCH(U28,'Dados dos Padrões'!$B$6:$B$18,0),12)&gt;TODAY(),INDEX('Dados dos Padrões'!$B$6:$V$18,MATCH(U28,'Dados dos Padrões'!$B$6:$B$18,0),12)&lt;(EDATE(TODAY(),1)))</xm:f>
            <x14:dxf>
              <font>
                <color theme="5"/>
              </font>
              <fill>
                <patternFill>
                  <bgColor theme="7" tint="0.59996337778862885"/>
                </patternFill>
              </fill>
            </x14:dxf>
          </x14:cfRule>
          <xm:sqref>U28</xm:sqref>
        </x14:conditionalFormatting>
        <x14:conditionalFormatting xmlns:xm="http://schemas.microsoft.com/office/excel/2006/main">
          <x14:cfRule type="expression" priority="123" id="{DC90A603-CEAB-43E5-9CCE-704551F8B597}">
            <xm:f>INDEX('Dados dos Padrões'!$B$6:$V$18,MATCH(U29,'Dados dos Padrões'!$B$6:$B$18,0),12)&lt;TODAY()</xm:f>
            <x14:dxf>
              <font>
                <color rgb="FFC00000"/>
              </font>
              <fill>
                <patternFill>
                  <bgColor theme="5" tint="0.59996337778862885"/>
                </patternFill>
              </fill>
            </x14:dxf>
          </x14:cfRule>
          <x14:cfRule type="expression" priority="124" id="{5F431F6C-466D-47D0-BCB9-42CC6A8E412B}">
            <xm:f>AND(INDEX('Dados dos Padrões'!$B$6:$V$18,MATCH(U29,'Dados dos Padrões'!$B$6:$B$18,0),12)&gt;TODAY(),INDEX('Dados dos Padrões'!$B$6:$V$18,MATCH(U29,'Dados dos Padrões'!$B$6:$B$18,0),12)&lt;(EDATE(TODAY(),1)))</xm:f>
            <x14:dxf>
              <font>
                <color theme="5"/>
              </font>
              <fill>
                <patternFill>
                  <bgColor theme="7" tint="0.59996337778862885"/>
                </patternFill>
              </fill>
            </x14:dxf>
          </x14:cfRule>
          <xm:sqref>U29</xm:sqref>
        </x14:conditionalFormatting>
        <x14:conditionalFormatting xmlns:xm="http://schemas.microsoft.com/office/excel/2006/main">
          <x14:cfRule type="expression" priority="121" id="{70476317-B2FC-4E2B-8D2C-E10D1282EF61}">
            <xm:f>INDEX('Dados dos Padrões'!$B$6:$V$18,MATCH(U30,'Dados dos Padrões'!$B$6:$B$18,0),12)&lt;TODAY()</xm:f>
            <x14:dxf>
              <font>
                <color rgb="FFC00000"/>
              </font>
              <fill>
                <patternFill>
                  <bgColor theme="5" tint="0.59996337778862885"/>
                </patternFill>
              </fill>
            </x14:dxf>
          </x14:cfRule>
          <x14:cfRule type="expression" priority="122" id="{6C2DDA97-C913-445C-AB71-BAD144FB0B48}">
            <xm:f>AND(INDEX('Dados dos Padrões'!$B$6:$V$18,MATCH(U30,'Dados dos Padrões'!$B$6:$B$18,0),12)&gt;TODAY(),INDEX('Dados dos Padrões'!$B$6:$V$18,MATCH(U30,'Dados dos Padrões'!$B$6:$B$18,0),12)&lt;(EDATE(TODAY(),1)))</xm:f>
            <x14:dxf>
              <font>
                <color theme="5"/>
              </font>
              <fill>
                <patternFill>
                  <bgColor theme="7" tint="0.59996337778862885"/>
                </patternFill>
              </fill>
            </x14:dxf>
          </x14:cfRule>
          <xm:sqref>U30</xm:sqref>
        </x14:conditionalFormatting>
        <x14:conditionalFormatting xmlns:xm="http://schemas.microsoft.com/office/excel/2006/main">
          <x14:cfRule type="expression" priority="119" id="{6735B3A2-6D97-4521-96B5-E11E784251D6}">
            <xm:f>INDEX('Dados dos Padrões'!$B$6:$V$18,MATCH(U31,'Dados dos Padrões'!$B$6:$B$18,0),12)&lt;TODAY()</xm:f>
            <x14:dxf>
              <font>
                <color rgb="FFC00000"/>
              </font>
              <fill>
                <patternFill>
                  <bgColor theme="5" tint="0.59996337778862885"/>
                </patternFill>
              </fill>
            </x14:dxf>
          </x14:cfRule>
          <x14:cfRule type="expression" priority="120" id="{AD89AAAB-61D9-4AF4-A803-35C0C8B1D8E0}">
            <xm:f>AND(INDEX('Dados dos Padrões'!$B$6:$V$18,MATCH(U31,'Dados dos Padrões'!$B$6:$B$18,0),12)&gt;TODAY(),INDEX('Dados dos Padrões'!$B$6:$V$18,MATCH(U31,'Dados dos Padrões'!$B$6:$B$18,0),12)&lt;(EDATE(TODAY(),1)))</xm:f>
            <x14:dxf>
              <font>
                <color theme="5"/>
              </font>
              <fill>
                <patternFill>
                  <bgColor theme="7" tint="0.59996337778862885"/>
                </patternFill>
              </fill>
            </x14:dxf>
          </x14:cfRule>
          <xm:sqref>U31</xm:sqref>
        </x14:conditionalFormatting>
        <x14:conditionalFormatting xmlns:xm="http://schemas.microsoft.com/office/excel/2006/main">
          <x14:cfRule type="expression" priority="117" id="{DFF280BD-61CB-4A7D-A73B-7E1978263A98}">
            <xm:f>INDEX('Dados dos Padrões'!$B$6:$V$18,MATCH(U32,'Dados dos Padrões'!$B$6:$B$18,0),12)&lt;TODAY()</xm:f>
            <x14:dxf>
              <font>
                <color rgb="FFC00000"/>
              </font>
              <fill>
                <patternFill>
                  <bgColor theme="5" tint="0.59996337778862885"/>
                </patternFill>
              </fill>
            </x14:dxf>
          </x14:cfRule>
          <x14:cfRule type="expression" priority="118" id="{3119326B-0BFB-4EE4-A6FB-250AE145CA46}">
            <xm:f>AND(INDEX('Dados dos Padrões'!$B$6:$V$18,MATCH(U32,'Dados dos Padrões'!$B$6:$B$18,0),12)&gt;TODAY(),INDEX('Dados dos Padrões'!$B$6:$V$18,MATCH(U32,'Dados dos Padrões'!$B$6:$B$18,0),12)&lt;(EDATE(TODAY(),1)))</xm:f>
            <x14:dxf>
              <font>
                <color theme="5"/>
              </font>
              <fill>
                <patternFill>
                  <bgColor theme="7" tint="0.59996337778862885"/>
                </patternFill>
              </fill>
            </x14:dxf>
          </x14:cfRule>
          <xm:sqref>U32:U38</xm:sqref>
        </x14:conditionalFormatting>
        <x14:conditionalFormatting xmlns:xm="http://schemas.microsoft.com/office/excel/2006/main">
          <x14:cfRule type="expression" priority="103" id="{30011CB7-48F8-4287-A9F2-95E788CFD9F1}">
            <xm:f>INDEX('Dados dos Padrões'!$B$6:$V$18,MATCH(U39,'Dados dos Padrões'!$B$6:$B$18,0),12)&lt;TODAY()</xm:f>
            <x14:dxf>
              <font>
                <color rgb="FFC00000"/>
              </font>
              <fill>
                <patternFill>
                  <bgColor theme="5" tint="0.59996337778862885"/>
                </patternFill>
              </fill>
            </x14:dxf>
          </x14:cfRule>
          <x14:cfRule type="expression" priority="104" id="{699E19C9-8128-44FA-B5DE-92EBAA13E430}">
            <xm:f>AND(INDEX('Dados dos Padrões'!$B$6:$V$18,MATCH(U39,'Dados dos Padrões'!$B$6:$B$18,0),12)&gt;TODAY(),INDEX('Dados dos Padrões'!$B$6:$V$18,MATCH(U39,'Dados dos Padrões'!$B$6:$B$18,0),12)&lt;(EDATE(TODAY(),1)))</xm:f>
            <x14:dxf>
              <font>
                <color theme="5"/>
              </font>
              <fill>
                <patternFill>
                  <bgColor theme="7" tint="0.59996337778862885"/>
                </patternFill>
              </fill>
            </x14:dxf>
          </x14:cfRule>
          <xm:sqref>U39</xm:sqref>
        </x14:conditionalFormatting>
        <x14:conditionalFormatting xmlns:xm="http://schemas.microsoft.com/office/excel/2006/main">
          <x14:cfRule type="expression" priority="101" id="{5A826E4F-528F-49C4-BE4E-7C5910215D63}">
            <xm:f>INDEX('Dados dos Padrões'!$B$6:$V$18,MATCH(U40,'Dados dos Padrões'!$B$6:$B$18,0),12)&lt;TODAY()</xm:f>
            <x14:dxf>
              <font>
                <color rgb="FFC00000"/>
              </font>
              <fill>
                <patternFill>
                  <bgColor theme="5" tint="0.59996337778862885"/>
                </patternFill>
              </fill>
            </x14:dxf>
          </x14:cfRule>
          <x14:cfRule type="expression" priority="102" id="{5D8265F9-BC4A-408B-874F-D1530A4394F7}">
            <xm:f>AND(INDEX('Dados dos Padrões'!$B$6:$V$18,MATCH(U40,'Dados dos Padrões'!$B$6:$B$18,0),12)&gt;TODAY(),INDEX('Dados dos Padrões'!$B$6:$V$18,MATCH(U40,'Dados dos Padrões'!$B$6:$B$18,0),12)&lt;(EDATE(TODAY(),1)))</xm:f>
            <x14:dxf>
              <font>
                <color theme="5"/>
              </font>
              <fill>
                <patternFill>
                  <bgColor theme="7" tint="0.59996337778862885"/>
                </patternFill>
              </fill>
            </x14:dxf>
          </x14:cfRule>
          <xm:sqref>U40 U42 U44</xm:sqref>
        </x14:conditionalFormatting>
        <x14:conditionalFormatting xmlns:xm="http://schemas.microsoft.com/office/excel/2006/main">
          <x14:cfRule type="expression" priority="99" id="{9FA45EDD-93F6-4BB0-969E-13D81B463A98}">
            <xm:f>INDEX('Dados dos Padrões'!$B$6:$V$18,MATCH(U86,'Dados dos Padrões'!$B$6:$B$18,0),12)&lt;TODAY()</xm:f>
            <x14:dxf>
              <font>
                <color rgb="FFC00000"/>
              </font>
              <fill>
                <patternFill>
                  <bgColor theme="5" tint="0.59996337778862885"/>
                </patternFill>
              </fill>
            </x14:dxf>
          </x14:cfRule>
          <x14:cfRule type="expression" priority="100" id="{7611AA2B-C449-41BF-ACB1-28DABAF742D2}">
            <xm:f>AND(INDEX('Dados dos Padrões'!$B$6:$V$18,MATCH(U86,'Dados dos Padrões'!$B$6:$B$18,0),12)&gt;TODAY(),INDEX('Dados dos Padrões'!$B$6:$V$18,MATCH(U86,'Dados dos Padrões'!$B$6:$B$18,0),12)&lt;(EDATE(TODAY(),1)))</xm:f>
            <x14:dxf>
              <font>
                <color theme="5"/>
              </font>
              <fill>
                <patternFill>
                  <bgColor theme="7" tint="0.59996337778862885"/>
                </patternFill>
              </fill>
            </x14:dxf>
          </x14:cfRule>
          <xm:sqref>U86:U95</xm:sqref>
        </x14:conditionalFormatting>
        <x14:conditionalFormatting xmlns:xm="http://schemas.microsoft.com/office/excel/2006/main">
          <x14:cfRule type="expression" priority="97" id="{48FCCDCF-0018-40C0-8839-4B846581BF35}">
            <xm:f>INDEX('Dados dos Padrões'!$B$6:$V$18,MATCH(U96,'Dados dos Padrões'!$B$6:$B$18,0),12)&lt;TODAY()</xm:f>
            <x14:dxf>
              <font>
                <color rgb="FFC00000"/>
              </font>
              <fill>
                <patternFill>
                  <bgColor theme="5" tint="0.59996337778862885"/>
                </patternFill>
              </fill>
            </x14:dxf>
          </x14:cfRule>
          <x14:cfRule type="expression" priority="98" id="{B00619FC-F18A-4B65-9031-8CA88AA5E7C0}">
            <xm:f>AND(INDEX('Dados dos Padrões'!$B$6:$V$18,MATCH(U96,'Dados dos Padrões'!$B$6:$B$18,0),12)&gt;TODAY(),INDEX('Dados dos Padrões'!$B$6:$V$18,MATCH(U96,'Dados dos Padrões'!$B$6:$B$18,0),12)&lt;(EDATE(TODAY(),1)))</xm:f>
            <x14:dxf>
              <font>
                <color theme="5"/>
              </font>
              <fill>
                <patternFill>
                  <bgColor theme="7" tint="0.59996337778862885"/>
                </patternFill>
              </fill>
            </x14:dxf>
          </x14:cfRule>
          <xm:sqref>U96:U135</xm:sqref>
        </x14:conditionalFormatting>
        <x14:conditionalFormatting xmlns:xm="http://schemas.microsoft.com/office/excel/2006/main">
          <x14:cfRule type="expression" priority="95" id="{1509831B-66B3-49AD-8182-49D5C3AC6C3E}">
            <xm:f>INDEX('Dados dos Padrões'!$B$6:$V$18,MATCH(U136,'Dados dos Padrões'!$B$6:$B$18,0),12)&lt;TODAY()</xm:f>
            <x14:dxf>
              <font>
                <color rgb="FFC00000"/>
              </font>
              <fill>
                <patternFill>
                  <bgColor theme="5" tint="0.59996337778862885"/>
                </patternFill>
              </fill>
            </x14:dxf>
          </x14:cfRule>
          <x14:cfRule type="expression" priority="96" id="{70F5F0E5-EF8F-40AD-A271-FAE1D8D39A51}">
            <xm:f>AND(INDEX('Dados dos Padrões'!$B$6:$V$18,MATCH(U136,'Dados dos Padrões'!$B$6:$B$18,0),12)&gt;TODAY(),INDEX('Dados dos Padrões'!$B$6:$V$18,MATCH(U136,'Dados dos Padrões'!$B$6:$B$18,0),12)&lt;(EDATE(TODAY(),1)))</xm:f>
            <x14:dxf>
              <font>
                <color theme="5"/>
              </font>
              <fill>
                <patternFill>
                  <bgColor theme="7" tint="0.59996337778862885"/>
                </patternFill>
              </fill>
            </x14:dxf>
          </x14:cfRule>
          <xm:sqref>U136:U175</xm:sqref>
        </x14:conditionalFormatting>
        <x14:conditionalFormatting xmlns:xm="http://schemas.microsoft.com/office/excel/2006/main">
          <x14:cfRule type="expression" priority="93" id="{0534DC1E-D84A-44F9-83B4-8816325830CD}">
            <xm:f>INDEX('Dados dos Padrões'!$B$6:$V$18,MATCH(U176,'Dados dos Padrões'!$B$6:$B$18,0),12)&lt;TODAY()</xm:f>
            <x14:dxf>
              <font>
                <color rgb="FFC00000"/>
              </font>
              <fill>
                <patternFill>
                  <bgColor theme="5" tint="0.59996337778862885"/>
                </patternFill>
              </fill>
            </x14:dxf>
          </x14:cfRule>
          <x14:cfRule type="expression" priority="94" id="{DEA0D565-582F-4D08-B5F1-559D5F6C47DC}">
            <xm:f>AND(INDEX('Dados dos Padrões'!$B$6:$V$18,MATCH(U176,'Dados dos Padrões'!$B$6:$B$18,0),12)&gt;TODAY(),INDEX('Dados dos Padrões'!$B$6:$V$18,MATCH(U176,'Dados dos Padrões'!$B$6:$B$18,0),12)&lt;(EDATE(TODAY(),1)))</xm:f>
            <x14:dxf>
              <font>
                <color theme="5"/>
              </font>
              <fill>
                <patternFill>
                  <bgColor theme="7" tint="0.59996337778862885"/>
                </patternFill>
              </fill>
            </x14:dxf>
          </x14:cfRule>
          <xm:sqref>U176:U187 U190:U217</xm:sqref>
        </x14:conditionalFormatting>
        <x14:conditionalFormatting xmlns:xm="http://schemas.microsoft.com/office/excel/2006/main">
          <x14:cfRule type="expression" priority="89" id="{F437DC91-0AA5-424F-9508-6CEE389858A2}">
            <xm:f>INDEX('Dados dos Padrões'!$B$6:$V$18,MATCH(U188,'Dados dos Padrões'!$B$6:$B$18,0),12)&lt;TODAY()</xm:f>
            <x14:dxf>
              <font>
                <color rgb="FFC00000"/>
              </font>
              <fill>
                <patternFill>
                  <bgColor theme="5" tint="0.59996337778862885"/>
                </patternFill>
              </fill>
            </x14:dxf>
          </x14:cfRule>
          <x14:cfRule type="expression" priority="90" id="{AE3E011C-6849-4301-8A6D-E872AD824BC7}">
            <xm:f>AND(INDEX('Dados dos Padrões'!$B$6:$V$18,MATCH(U188,'Dados dos Padrões'!$B$6:$B$18,0),12)&gt;TODAY(),INDEX('Dados dos Padrões'!$B$6:$V$18,MATCH(U188,'Dados dos Padrões'!$B$6:$B$18,0),12)&lt;(EDATE(TODAY(),1)))</xm:f>
            <x14:dxf>
              <font>
                <color theme="5"/>
              </font>
              <fill>
                <patternFill>
                  <bgColor theme="7" tint="0.59996337778862885"/>
                </patternFill>
              </fill>
            </x14:dxf>
          </x14:cfRule>
          <xm:sqref>U188:U189</xm:sqref>
        </x14:conditionalFormatting>
        <x14:conditionalFormatting xmlns:xm="http://schemas.microsoft.com/office/excel/2006/main">
          <x14:cfRule type="expression" priority="87" id="{0B87CA40-6719-4D93-81BD-6DB767CA371F}">
            <xm:f>INDEX('Dados dos Padrões'!$B$6:$V$18,MATCH(U41,'Dados dos Padrões'!$B$6:$B$18,0),12)&lt;TODAY()</xm:f>
            <x14:dxf>
              <font>
                <color rgb="FFC00000"/>
              </font>
              <fill>
                <patternFill>
                  <bgColor theme="5" tint="0.59996337778862885"/>
                </patternFill>
              </fill>
            </x14:dxf>
          </x14:cfRule>
          <x14:cfRule type="expression" priority="88" id="{5A89FB59-B28F-44DB-BDA5-73F7624CC780}">
            <xm:f>AND(INDEX('Dados dos Padrões'!$B$6:$V$18,MATCH(U41,'Dados dos Padrões'!$B$6:$B$18,0),12)&gt;TODAY(),INDEX('Dados dos Padrões'!$B$6:$V$18,MATCH(U41,'Dados dos Padrões'!$B$6:$B$18,0),12)&lt;(EDATE(TODAY(),1)))</xm:f>
            <x14:dxf>
              <font>
                <color theme="5"/>
              </font>
              <fill>
                <patternFill>
                  <bgColor theme="7" tint="0.59996337778862885"/>
                </patternFill>
              </fill>
            </x14:dxf>
          </x14:cfRule>
          <xm:sqref>U41</xm:sqref>
        </x14:conditionalFormatting>
        <x14:conditionalFormatting xmlns:xm="http://schemas.microsoft.com/office/excel/2006/main">
          <x14:cfRule type="expression" priority="85" id="{85AC3ADA-0355-4ED4-B1E0-E18AD96394DB}">
            <xm:f>INDEX('Dados dos Padrões'!$B$6:$V$18,MATCH(U43,'Dados dos Padrões'!$B$6:$B$18,0),12)&lt;TODAY()</xm:f>
            <x14:dxf>
              <font>
                <color rgb="FFC00000"/>
              </font>
              <fill>
                <patternFill>
                  <bgColor theme="5" tint="0.59996337778862885"/>
                </patternFill>
              </fill>
            </x14:dxf>
          </x14:cfRule>
          <x14:cfRule type="expression" priority="86" id="{F95B1863-C7E3-4BDE-9BB2-156A25E3ECF6}">
            <xm:f>AND(INDEX('Dados dos Padrões'!$B$6:$V$18,MATCH(U43,'Dados dos Padrões'!$B$6:$B$18,0),12)&gt;TODAY(),INDEX('Dados dos Padrões'!$B$6:$V$18,MATCH(U43,'Dados dos Padrões'!$B$6:$B$18,0),12)&lt;(EDATE(TODAY(),1)))</xm:f>
            <x14:dxf>
              <font>
                <color theme="5"/>
              </font>
              <fill>
                <patternFill>
                  <bgColor theme="7" tint="0.59996337778862885"/>
                </patternFill>
              </fill>
            </x14:dxf>
          </x14:cfRule>
          <xm:sqref>U43</xm:sqref>
        </x14:conditionalFormatting>
        <x14:conditionalFormatting xmlns:xm="http://schemas.microsoft.com/office/excel/2006/main">
          <x14:cfRule type="expression" priority="83" id="{2A696347-2CAE-4F8C-910C-34336138D1AB}">
            <xm:f>INDEX('Dados dos Padrões'!$B$6:$V$18,MATCH(U45,'Dados dos Padrões'!$B$6:$B$18,0),12)&lt;TODAY()</xm:f>
            <x14:dxf>
              <font>
                <color rgb="FFC00000"/>
              </font>
              <fill>
                <patternFill>
                  <bgColor theme="5" tint="0.59996337778862885"/>
                </patternFill>
              </fill>
            </x14:dxf>
          </x14:cfRule>
          <x14:cfRule type="expression" priority="84" id="{C561E008-E057-4C55-AAE3-71A857140024}">
            <xm:f>AND(INDEX('Dados dos Padrões'!$B$6:$V$18,MATCH(U45,'Dados dos Padrões'!$B$6:$B$18,0),12)&gt;TODAY(),INDEX('Dados dos Padrões'!$B$6:$V$18,MATCH(U45,'Dados dos Padrões'!$B$6:$B$18,0),12)&lt;(EDATE(TODAY(),1)))</xm:f>
            <x14:dxf>
              <font>
                <color theme="5"/>
              </font>
              <fill>
                <patternFill>
                  <bgColor theme="7" tint="0.59996337778862885"/>
                </patternFill>
              </fill>
            </x14:dxf>
          </x14:cfRule>
          <xm:sqref>U45</xm:sqref>
        </x14:conditionalFormatting>
        <x14:conditionalFormatting xmlns:xm="http://schemas.microsoft.com/office/excel/2006/main">
          <x14:cfRule type="expression" priority="81" id="{BABED13B-9122-4DB1-B8A0-7B4245DC28BA}">
            <xm:f>INDEX('Dados dos Padrões'!$B$6:$V$18,MATCH(U47,'Dados dos Padrões'!$B$6:$B$18,0),12)&lt;TODAY()</xm:f>
            <x14:dxf>
              <font>
                <color rgb="FFC00000"/>
              </font>
              <fill>
                <patternFill>
                  <bgColor theme="5" tint="0.59996337778862885"/>
                </patternFill>
              </fill>
            </x14:dxf>
          </x14:cfRule>
          <x14:cfRule type="expression" priority="82" id="{BF65B51F-7D58-4FB7-B217-899D6F549889}">
            <xm:f>AND(INDEX('Dados dos Padrões'!$B$6:$V$18,MATCH(U47,'Dados dos Padrões'!$B$6:$B$18,0),12)&gt;TODAY(),INDEX('Dados dos Padrões'!$B$6:$V$18,MATCH(U47,'Dados dos Padrões'!$B$6:$B$18,0),12)&lt;(EDATE(TODAY(),1)))</xm:f>
            <x14:dxf>
              <font>
                <color theme="5"/>
              </font>
              <fill>
                <patternFill>
                  <bgColor theme="7" tint="0.59996337778862885"/>
                </patternFill>
              </fill>
            </x14:dxf>
          </x14:cfRule>
          <xm:sqref>U47</xm:sqref>
        </x14:conditionalFormatting>
        <x14:conditionalFormatting xmlns:xm="http://schemas.microsoft.com/office/excel/2006/main">
          <x14:cfRule type="expression" priority="79" id="{CC66C10B-635E-488F-8740-43D466687FED}">
            <xm:f>INDEX('Dados dos Padrões'!$B$6:$V$18,MATCH(U49,'Dados dos Padrões'!$B$6:$B$18,0),12)&lt;TODAY()</xm:f>
            <x14:dxf>
              <font>
                <color rgb="FFC00000"/>
              </font>
              <fill>
                <patternFill>
                  <bgColor theme="5" tint="0.59996337778862885"/>
                </patternFill>
              </fill>
            </x14:dxf>
          </x14:cfRule>
          <x14:cfRule type="expression" priority="80" id="{1CC92A97-6E3E-45FA-8105-3940F637C615}">
            <xm:f>AND(INDEX('Dados dos Padrões'!$B$6:$V$18,MATCH(U49,'Dados dos Padrões'!$B$6:$B$18,0),12)&gt;TODAY(),INDEX('Dados dos Padrões'!$B$6:$V$18,MATCH(U49,'Dados dos Padrões'!$B$6:$B$18,0),12)&lt;(EDATE(TODAY(),1)))</xm:f>
            <x14:dxf>
              <font>
                <color theme="5"/>
              </font>
              <fill>
                <patternFill>
                  <bgColor theme="7" tint="0.59996337778862885"/>
                </patternFill>
              </fill>
            </x14:dxf>
          </x14:cfRule>
          <xm:sqref>U49</xm:sqref>
        </x14:conditionalFormatting>
        <x14:conditionalFormatting xmlns:xm="http://schemas.microsoft.com/office/excel/2006/main">
          <x14:cfRule type="expression" priority="77" id="{E17230A8-9450-4AEB-AFF1-3B1F76C886A7}">
            <xm:f>INDEX('Dados dos Padrões'!$B$6:$V$18,MATCH(U51,'Dados dos Padrões'!$B$6:$B$18,0),12)&lt;TODAY()</xm:f>
            <x14:dxf>
              <font>
                <color rgb="FFC00000"/>
              </font>
              <fill>
                <patternFill>
                  <bgColor theme="5" tint="0.59996337778862885"/>
                </patternFill>
              </fill>
            </x14:dxf>
          </x14:cfRule>
          <x14:cfRule type="expression" priority="78" id="{C83F6A7A-16C7-4EE7-AE11-D3CE23BFE355}">
            <xm:f>AND(INDEX('Dados dos Padrões'!$B$6:$V$18,MATCH(U51,'Dados dos Padrões'!$B$6:$B$18,0),12)&gt;TODAY(),INDEX('Dados dos Padrões'!$B$6:$V$18,MATCH(U51,'Dados dos Padrões'!$B$6:$B$18,0),12)&lt;(EDATE(TODAY(),1)))</xm:f>
            <x14:dxf>
              <font>
                <color theme="5"/>
              </font>
              <fill>
                <patternFill>
                  <bgColor theme="7" tint="0.59996337778862885"/>
                </patternFill>
              </fill>
            </x14:dxf>
          </x14:cfRule>
          <xm:sqref>U51</xm:sqref>
        </x14:conditionalFormatting>
        <x14:conditionalFormatting xmlns:xm="http://schemas.microsoft.com/office/excel/2006/main">
          <x14:cfRule type="expression" priority="75" id="{9798C9FC-0EEF-40EE-89FA-421C4FCA0B0B}">
            <xm:f>INDEX('Dados dos Padrões'!$B$6:$V$18,MATCH(U53,'Dados dos Padrões'!$B$6:$B$18,0),12)&lt;TODAY()</xm:f>
            <x14:dxf>
              <font>
                <color rgb="FFC00000"/>
              </font>
              <fill>
                <patternFill>
                  <bgColor theme="5" tint="0.59996337778862885"/>
                </patternFill>
              </fill>
            </x14:dxf>
          </x14:cfRule>
          <x14:cfRule type="expression" priority="76" id="{1D799ED9-3C77-4607-87E5-24939E41543D}">
            <xm:f>AND(INDEX('Dados dos Padrões'!$B$6:$V$18,MATCH(U53,'Dados dos Padrões'!$B$6:$B$18,0),12)&gt;TODAY(),INDEX('Dados dos Padrões'!$B$6:$V$18,MATCH(U53,'Dados dos Padrões'!$B$6:$B$18,0),12)&lt;(EDATE(TODAY(),1)))</xm:f>
            <x14:dxf>
              <font>
                <color theme="5"/>
              </font>
              <fill>
                <patternFill>
                  <bgColor theme="7" tint="0.59996337778862885"/>
                </patternFill>
              </fill>
            </x14:dxf>
          </x14:cfRule>
          <xm:sqref>U53</xm:sqref>
        </x14:conditionalFormatting>
        <x14:conditionalFormatting xmlns:xm="http://schemas.microsoft.com/office/excel/2006/main">
          <x14:cfRule type="expression" priority="73" id="{9125CD88-1C3C-4A7B-BE73-A9B80E71F238}">
            <xm:f>INDEX('Dados dos Padrões'!$B$6:$V$18,MATCH(U55,'Dados dos Padrões'!$B$6:$B$18,0),12)&lt;TODAY()</xm:f>
            <x14:dxf>
              <font>
                <color rgb="FFC00000"/>
              </font>
              <fill>
                <patternFill>
                  <bgColor theme="5" tint="0.59996337778862885"/>
                </patternFill>
              </fill>
            </x14:dxf>
          </x14:cfRule>
          <x14:cfRule type="expression" priority="74" id="{CC9D176A-07B3-45DA-AC2B-E867EE08AE94}">
            <xm:f>AND(INDEX('Dados dos Padrões'!$B$6:$V$18,MATCH(U55,'Dados dos Padrões'!$B$6:$B$18,0),12)&gt;TODAY(),INDEX('Dados dos Padrões'!$B$6:$V$18,MATCH(U55,'Dados dos Padrões'!$B$6:$B$18,0),12)&lt;(EDATE(TODAY(),1)))</xm:f>
            <x14:dxf>
              <font>
                <color theme="5"/>
              </font>
              <fill>
                <patternFill>
                  <bgColor theme="7" tint="0.59996337778862885"/>
                </patternFill>
              </fill>
            </x14:dxf>
          </x14:cfRule>
          <xm:sqref>U55</xm:sqref>
        </x14:conditionalFormatting>
        <x14:conditionalFormatting xmlns:xm="http://schemas.microsoft.com/office/excel/2006/main">
          <x14:cfRule type="expression" priority="71" id="{73BD5B3F-9CD8-4527-AE10-26599EE770A1}">
            <xm:f>INDEX('Dados dos Padrões'!$B$6:$V$18,MATCH(U57,'Dados dos Padrões'!$B$6:$B$18,0),12)&lt;TODAY()</xm:f>
            <x14:dxf>
              <font>
                <color rgb="FFC00000"/>
              </font>
              <fill>
                <patternFill>
                  <bgColor theme="5" tint="0.59996337778862885"/>
                </patternFill>
              </fill>
            </x14:dxf>
          </x14:cfRule>
          <x14:cfRule type="expression" priority="72" id="{DE7982BF-9EBB-4015-A74E-6FED7DD86670}">
            <xm:f>AND(INDEX('Dados dos Padrões'!$B$6:$V$18,MATCH(U57,'Dados dos Padrões'!$B$6:$B$18,0),12)&gt;TODAY(),INDEX('Dados dos Padrões'!$B$6:$V$18,MATCH(U57,'Dados dos Padrões'!$B$6:$B$18,0),12)&lt;(EDATE(TODAY(),1)))</xm:f>
            <x14:dxf>
              <font>
                <color theme="5"/>
              </font>
              <fill>
                <patternFill>
                  <bgColor theme="7" tint="0.59996337778862885"/>
                </patternFill>
              </fill>
            </x14:dxf>
          </x14:cfRule>
          <xm:sqref>U57</xm:sqref>
        </x14:conditionalFormatting>
        <x14:conditionalFormatting xmlns:xm="http://schemas.microsoft.com/office/excel/2006/main">
          <x14:cfRule type="expression" priority="69" id="{3F65457D-E25D-45AB-A9E0-539E0A3A4801}">
            <xm:f>INDEX('Dados dos Padrões'!$B$6:$V$18,MATCH(U59,'Dados dos Padrões'!$B$6:$B$18,0),12)&lt;TODAY()</xm:f>
            <x14:dxf>
              <font>
                <color rgb="FFC00000"/>
              </font>
              <fill>
                <patternFill>
                  <bgColor theme="5" tint="0.59996337778862885"/>
                </patternFill>
              </fill>
            </x14:dxf>
          </x14:cfRule>
          <x14:cfRule type="expression" priority="70" id="{F6C4628E-FCEB-470B-8EB7-505153B8FF14}">
            <xm:f>AND(INDEX('Dados dos Padrões'!$B$6:$V$18,MATCH(U59,'Dados dos Padrões'!$B$6:$B$18,0),12)&gt;TODAY(),INDEX('Dados dos Padrões'!$B$6:$V$18,MATCH(U59,'Dados dos Padrões'!$B$6:$B$18,0),12)&lt;(EDATE(TODAY(),1)))</xm:f>
            <x14:dxf>
              <font>
                <color theme="5"/>
              </font>
              <fill>
                <patternFill>
                  <bgColor theme="7" tint="0.59996337778862885"/>
                </patternFill>
              </fill>
            </x14:dxf>
          </x14:cfRule>
          <xm:sqref>U59</xm:sqref>
        </x14:conditionalFormatting>
        <x14:conditionalFormatting xmlns:xm="http://schemas.microsoft.com/office/excel/2006/main">
          <x14:cfRule type="expression" priority="67" id="{56AD2C87-A41D-4820-9464-E808AF272EF7}">
            <xm:f>INDEX('Dados dos Padrões'!$B$6:$V$18,MATCH(U61,'Dados dos Padrões'!$B$6:$B$18,0),12)&lt;TODAY()</xm:f>
            <x14:dxf>
              <font>
                <color rgb="FFC00000"/>
              </font>
              <fill>
                <patternFill>
                  <bgColor theme="5" tint="0.59996337778862885"/>
                </patternFill>
              </fill>
            </x14:dxf>
          </x14:cfRule>
          <x14:cfRule type="expression" priority="68" id="{12FBDE86-7695-405F-8137-D54079B361FB}">
            <xm:f>AND(INDEX('Dados dos Padrões'!$B$6:$V$18,MATCH(U61,'Dados dos Padrões'!$B$6:$B$18,0),12)&gt;TODAY(),INDEX('Dados dos Padrões'!$B$6:$V$18,MATCH(U61,'Dados dos Padrões'!$B$6:$B$18,0),12)&lt;(EDATE(TODAY(),1)))</xm:f>
            <x14:dxf>
              <font>
                <color theme="5"/>
              </font>
              <fill>
                <patternFill>
                  <bgColor theme="7" tint="0.59996337778862885"/>
                </patternFill>
              </fill>
            </x14:dxf>
          </x14:cfRule>
          <xm:sqref>U61</xm:sqref>
        </x14:conditionalFormatting>
        <x14:conditionalFormatting xmlns:xm="http://schemas.microsoft.com/office/excel/2006/main">
          <x14:cfRule type="expression" priority="65" id="{DD9E92CC-DF08-4F2E-BA0C-1D07AC4A9B23}">
            <xm:f>INDEX('Dados dos Padrões'!$B$6:$V$18,MATCH(U63,'Dados dos Padrões'!$B$6:$B$18,0),12)&lt;TODAY()</xm:f>
            <x14:dxf>
              <font>
                <color rgb="FFC00000"/>
              </font>
              <fill>
                <patternFill>
                  <bgColor theme="5" tint="0.59996337778862885"/>
                </patternFill>
              </fill>
            </x14:dxf>
          </x14:cfRule>
          <x14:cfRule type="expression" priority="66" id="{9194D5C2-E6AC-41DD-9F33-487AD4F20F8B}">
            <xm:f>AND(INDEX('Dados dos Padrões'!$B$6:$V$18,MATCH(U63,'Dados dos Padrões'!$B$6:$B$18,0),12)&gt;TODAY(),INDEX('Dados dos Padrões'!$B$6:$V$18,MATCH(U63,'Dados dos Padrões'!$B$6:$B$18,0),12)&lt;(EDATE(TODAY(),1)))</xm:f>
            <x14:dxf>
              <font>
                <color theme="5"/>
              </font>
              <fill>
                <patternFill>
                  <bgColor theme="7" tint="0.59996337778862885"/>
                </patternFill>
              </fill>
            </x14:dxf>
          </x14:cfRule>
          <xm:sqref>U63</xm:sqref>
        </x14:conditionalFormatting>
        <x14:conditionalFormatting xmlns:xm="http://schemas.microsoft.com/office/excel/2006/main">
          <x14:cfRule type="expression" priority="63" id="{B0C69564-45A9-40BA-A609-2A1634DA7857}">
            <xm:f>INDEX('Dados dos Padrões'!$B$6:$V$18,MATCH(U65,'Dados dos Padrões'!$B$6:$B$18,0),12)&lt;TODAY()</xm:f>
            <x14:dxf>
              <font>
                <color rgb="FFC00000"/>
              </font>
              <fill>
                <patternFill>
                  <bgColor theme="5" tint="0.59996337778862885"/>
                </patternFill>
              </fill>
            </x14:dxf>
          </x14:cfRule>
          <x14:cfRule type="expression" priority="64" id="{C5BCFF0C-975B-474F-B0A8-C20EF1D12FA4}">
            <xm:f>AND(INDEX('Dados dos Padrões'!$B$6:$V$18,MATCH(U65,'Dados dos Padrões'!$B$6:$B$18,0),12)&gt;TODAY(),INDEX('Dados dos Padrões'!$B$6:$V$18,MATCH(U65,'Dados dos Padrões'!$B$6:$B$18,0),12)&lt;(EDATE(TODAY(),1)))</xm:f>
            <x14:dxf>
              <font>
                <color theme="5"/>
              </font>
              <fill>
                <patternFill>
                  <bgColor theme="7" tint="0.59996337778862885"/>
                </patternFill>
              </fill>
            </x14:dxf>
          </x14:cfRule>
          <xm:sqref>U65</xm:sqref>
        </x14:conditionalFormatting>
        <x14:conditionalFormatting xmlns:xm="http://schemas.microsoft.com/office/excel/2006/main">
          <x14:cfRule type="expression" priority="61" id="{4E15D278-10FE-4644-87DD-7D68C93B0C3C}">
            <xm:f>INDEX('Dados dos Padrões'!$B$6:$V$18,MATCH(U46,'Dados dos Padrões'!$B$6:$B$18,0),12)&lt;TODAY()</xm:f>
            <x14:dxf>
              <font>
                <color rgb="FFC00000"/>
              </font>
              <fill>
                <patternFill>
                  <bgColor theme="5" tint="0.59996337778862885"/>
                </patternFill>
              </fill>
            </x14:dxf>
          </x14:cfRule>
          <x14:cfRule type="expression" priority="62" id="{21142D81-8F04-4513-831E-A7ED3622C246}">
            <xm:f>AND(INDEX('Dados dos Padrões'!$B$6:$V$18,MATCH(U46,'Dados dos Padrões'!$B$6:$B$18,0),12)&gt;TODAY(),INDEX('Dados dos Padrões'!$B$6:$V$18,MATCH(U46,'Dados dos Padrões'!$B$6:$B$18,0),12)&lt;(EDATE(TODAY(),1)))</xm:f>
            <x14:dxf>
              <font>
                <color theme="5"/>
              </font>
              <fill>
                <patternFill>
                  <bgColor theme="7" tint="0.59996337778862885"/>
                </patternFill>
              </fill>
            </x14:dxf>
          </x14:cfRule>
          <xm:sqref>U46</xm:sqref>
        </x14:conditionalFormatting>
        <x14:conditionalFormatting xmlns:xm="http://schemas.microsoft.com/office/excel/2006/main">
          <x14:cfRule type="expression" priority="59" id="{DBC1D100-1AB2-4F4A-B053-7817F837D3EA}">
            <xm:f>INDEX('Dados dos Padrões'!$B$6:$V$18,MATCH(U48,'Dados dos Padrões'!$B$6:$B$18,0),12)&lt;TODAY()</xm:f>
            <x14:dxf>
              <font>
                <color rgb="FFC00000"/>
              </font>
              <fill>
                <patternFill>
                  <bgColor theme="5" tint="0.59996337778862885"/>
                </patternFill>
              </fill>
            </x14:dxf>
          </x14:cfRule>
          <x14:cfRule type="expression" priority="60" id="{23F3D75E-0078-4045-9410-166516ABEAE8}">
            <xm:f>AND(INDEX('Dados dos Padrões'!$B$6:$V$18,MATCH(U48,'Dados dos Padrões'!$B$6:$B$18,0),12)&gt;TODAY(),INDEX('Dados dos Padrões'!$B$6:$V$18,MATCH(U48,'Dados dos Padrões'!$B$6:$B$18,0),12)&lt;(EDATE(TODAY(),1)))</xm:f>
            <x14:dxf>
              <font>
                <color theme="5"/>
              </font>
              <fill>
                <patternFill>
                  <bgColor theme="7" tint="0.59996337778862885"/>
                </patternFill>
              </fill>
            </x14:dxf>
          </x14:cfRule>
          <xm:sqref>U48</xm:sqref>
        </x14:conditionalFormatting>
        <x14:conditionalFormatting xmlns:xm="http://schemas.microsoft.com/office/excel/2006/main">
          <x14:cfRule type="expression" priority="57" id="{F84A1613-9FDC-4CF3-B9C7-5A0FCC115258}">
            <xm:f>INDEX('Dados dos Padrões'!$B$6:$V$18,MATCH(U50,'Dados dos Padrões'!$B$6:$B$18,0),12)&lt;TODAY()</xm:f>
            <x14:dxf>
              <font>
                <color rgb="FFC00000"/>
              </font>
              <fill>
                <patternFill>
                  <bgColor theme="5" tint="0.59996337778862885"/>
                </patternFill>
              </fill>
            </x14:dxf>
          </x14:cfRule>
          <x14:cfRule type="expression" priority="58" id="{F44707DC-41A7-4306-8965-F6C71850F804}">
            <xm:f>AND(INDEX('Dados dos Padrões'!$B$6:$V$18,MATCH(U50,'Dados dos Padrões'!$B$6:$B$18,0),12)&gt;TODAY(),INDEX('Dados dos Padrões'!$B$6:$V$18,MATCH(U50,'Dados dos Padrões'!$B$6:$B$18,0),12)&lt;(EDATE(TODAY(),1)))</xm:f>
            <x14:dxf>
              <font>
                <color theme="5"/>
              </font>
              <fill>
                <patternFill>
                  <bgColor theme="7" tint="0.59996337778862885"/>
                </patternFill>
              </fill>
            </x14:dxf>
          </x14:cfRule>
          <xm:sqref>U50</xm:sqref>
        </x14:conditionalFormatting>
        <x14:conditionalFormatting xmlns:xm="http://schemas.microsoft.com/office/excel/2006/main">
          <x14:cfRule type="expression" priority="55" id="{C71E878F-EE25-48D3-8B08-ECD1BC1288DA}">
            <xm:f>INDEX('Dados dos Padrões'!$B$6:$V$18,MATCH(U52,'Dados dos Padrões'!$B$6:$B$18,0),12)&lt;TODAY()</xm:f>
            <x14:dxf>
              <font>
                <color rgb="FFC00000"/>
              </font>
              <fill>
                <patternFill>
                  <bgColor theme="5" tint="0.59996337778862885"/>
                </patternFill>
              </fill>
            </x14:dxf>
          </x14:cfRule>
          <x14:cfRule type="expression" priority="56" id="{9BEF5C1B-F223-49F5-B489-957BF54E1CAC}">
            <xm:f>AND(INDEX('Dados dos Padrões'!$B$6:$V$18,MATCH(U52,'Dados dos Padrões'!$B$6:$B$18,0),12)&gt;TODAY(),INDEX('Dados dos Padrões'!$B$6:$V$18,MATCH(U52,'Dados dos Padrões'!$B$6:$B$18,0),12)&lt;(EDATE(TODAY(),1)))</xm:f>
            <x14:dxf>
              <font>
                <color theme="5"/>
              </font>
              <fill>
                <patternFill>
                  <bgColor theme="7" tint="0.59996337778862885"/>
                </patternFill>
              </fill>
            </x14:dxf>
          </x14:cfRule>
          <xm:sqref>U52</xm:sqref>
        </x14:conditionalFormatting>
        <x14:conditionalFormatting xmlns:xm="http://schemas.microsoft.com/office/excel/2006/main">
          <x14:cfRule type="expression" priority="53" id="{E51FBB95-1D6F-49F8-A7A3-782F92C75B10}">
            <xm:f>INDEX('Dados dos Padrões'!$B$6:$V$18,MATCH(U54,'Dados dos Padrões'!$B$6:$B$18,0),12)&lt;TODAY()</xm:f>
            <x14:dxf>
              <font>
                <color rgb="FFC00000"/>
              </font>
              <fill>
                <patternFill>
                  <bgColor theme="5" tint="0.59996337778862885"/>
                </patternFill>
              </fill>
            </x14:dxf>
          </x14:cfRule>
          <x14:cfRule type="expression" priority="54" id="{11CF0B75-7879-4312-98F2-9F0F5C9E6A29}">
            <xm:f>AND(INDEX('Dados dos Padrões'!$B$6:$V$18,MATCH(U54,'Dados dos Padrões'!$B$6:$B$18,0),12)&gt;TODAY(),INDEX('Dados dos Padrões'!$B$6:$V$18,MATCH(U54,'Dados dos Padrões'!$B$6:$B$18,0),12)&lt;(EDATE(TODAY(),1)))</xm:f>
            <x14:dxf>
              <font>
                <color theme="5"/>
              </font>
              <fill>
                <patternFill>
                  <bgColor theme="7" tint="0.59996337778862885"/>
                </patternFill>
              </fill>
            </x14:dxf>
          </x14:cfRule>
          <xm:sqref>U54</xm:sqref>
        </x14:conditionalFormatting>
        <x14:conditionalFormatting xmlns:xm="http://schemas.microsoft.com/office/excel/2006/main">
          <x14:cfRule type="expression" priority="51" id="{E14C4025-CF85-4535-BC63-1E5AFBEEFFBA}">
            <xm:f>INDEX('Dados dos Padrões'!$B$6:$V$18,MATCH(U56,'Dados dos Padrões'!$B$6:$B$18,0),12)&lt;TODAY()</xm:f>
            <x14:dxf>
              <font>
                <color rgb="FFC00000"/>
              </font>
              <fill>
                <patternFill>
                  <bgColor theme="5" tint="0.59996337778862885"/>
                </patternFill>
              </fill>
            </x14:dxf>
          </x14:cfRule>
          <x14:cfRule type="expression" priority="52" id="{D28A04C7-E71C-4DA4-930A-ADF49B1B1DF7}">
            <xm:f>AND(INDEX('Dados dos Padrões'!$B$6:$V$18,MATCH(U56,'Dados dos Padrões'!$B$6:$B$18,0),12)&gt;TODAY(),INDEX('Dados dos Padrões'!$B$6:$V$18,MATCH(U56,'Dados dos Padrões'!$B$6:$B$18,0),12)&lt;(EDATE(TODAY(),1)))</xm:f>
            <x14:dxf>
              <font>
                <color theme="5"/>
              </font>
              <fill>
                <patternFill>
                  <bgColor theme="7" tint="0.59996337778862885"/>
                </patternFill>
              </fill>
            </x14:dxf>
          </x14:cfRule>
          <xm:sqref>U56</xm:sqref>
        </x14:conditionalFormatting>
        <x14:conditionalFormatting xmlns:xm="http://schemas.microsoft.com/office/excel/2006/main">
          <x14:cfRule type="expression" priority="49" id="{B2F6DA3F-DFAC-4DFC-A389-A76BB00860E3}">
            <xm:f>INDEX('Dados dos Padrões'!$B$6:$V$18,MATCH(U58,'Dados dos Padrões'!$B$6:$B$18,0),12)&lt;TODAY()</xm:f>
            <x14:dxf>
              <font>
                <color rgb="FFC00000"/>
              </font>
              <fill>
                <patternFill>
                  <bgColor theme="5" tint="0.59996337778862885"/>
                </patternFill>
              </fill>
            </x14:dxf>
          </x14:cfRule>
          <x14:cfRule type="expression" priority="50" id="{559E6478-5F25-4B73-8E7C-BF80E7FACB6F}">
            <xm:f>AND(INDEX('Dados dos Padrões'!$B$6:$V$18,MATCH(U58,'Dados dos Padrões'!$B$6:$B$18,0),12)&gt;TODAY(),INDEX('Dados dos Padrões'!$B$6:$V$18,MATCH(U58,'Dados dos Padrões'!$B$6:$B$18,0),12)&lt;(EDATE(TODAY(),1)))</xm:f>
            <x14:dxf>
              <font>
                <color theme="5"/>
              </font>
              <fill>
                <patternFill>
                  <bgColor theme="7" tint="0.59996337778862885"/>
                </patternFill>
              </fill>
            </x14:dxf>
          </x14:cfRule>
          <xm:sqref>U58</xm:sqref>
        </x14:conditionalFormatting>
        <x14:conditionalFormatting xmlns:xm="http://schemas.microsoft.com/office/excel/2006/main">
          <x14:cfRule type="expression" priority="47" id="{C11069A0-011B-4403-AB41-63A1FDC4CC1C}">
            <xm:f>INDEX('Dados dos Padrões'!$B$6:$V$18,MATCH(U60,'Dados dos Padrões'!$B$6:$B$18,0),12)&lt;TODAY()</xm:f>
            <x14:dxf>
              <font>
                <color rgb="FFC00000"/>
              </font>
              <fill>
                <patternFill>
                  <bgColor theme="5" tint="0.59996337778862885"/>
                </patternFill>
              </fill>
            </x14:dxf>
          </x14:cfRule>
          <x14:cfRule type="expression" priority="48" id="{F99D067D-5E44-496E-ADE1-306D08DB87B9}">
            <xm:f>AND(INDEX('Dados dos Padrões'!$B$6:$V$18,MATCH(U60,'Dados dos Padrões'!$B$6:$B$18,0),12)&gt;TODAY(),INDEX('Dados dos Padrões'!$B$6:$V$18,MATCH(U60,'Dados dos Padrões'!$B$6:$B$18,0),12)&lt;(EDATE(TODAY(),1)))</xm:f>
            <x14:dxf>
              <font>
                <color theme="5"/>
              </font>
              <fill>
                <patternFill>
                  <bgColor theme="7" tint="0.59996337778862885"/>
                </patternFill>
              </fill>
            </x14:dxf>
          </x14:cfRule>
          <xm:sqref>U60</xm:sqref>
        </x14:conditionalFormatting>
        <x14:conditionalFormatting xmlns:xm="http://schemas.microsoft.com/office/excel/2006/main">
          <x14:cfRule type="expression" priority="45" id="{CFF6DA48-7A23-4667-BAF8-8E0E5FB2A30F}">
            <xm:f>INDEX('Dados dos Padrões'!$B$6:$V$18,MATCH(U62,'Dados dos Padrões'!$B$6:$B$18,0),12)&lt;TODAY()</xm:f>
            <x14:dxf>
              <font>
                <color rgb="FFC00000"/>
              </font>
              <fill>
                <patternFill>
                  <bgColor theme="5" tint="0.59996337778862885"/>
                </patternFill>
              </fill>
            </x14:dxf>
          </x14:cfRule>
          <x14:cfRule type="expression" priority="46" id="{4360F3A7-D190-4059-AA97-1B876EF36150}">
            <xm:f>AND(INDEX('Dados dos Padrões'!$B$6:$V$18,MATCH(U62,'Dados dos Padrões'!$B$6:$B$18,0),12)&gt;TODAY(),INDEX('Dados dos Padrões'!$B$6:$V$18,MATCH(U62,'Dados dos Padrões'!$B$6:$B$18,0),12)&lt;(EDATE(TODAY(),1)))</xm:f>
            <x14:dxf>
              <font>
                <color theme="5"/>
              </font>
              <fill>
                <patternFill>
                  <bgColor theme="7" tint="0.59996337778862885"/>
                </patternFill>
              </fill>
            </x14:dxf>
          </x14:cfRule>
          <xm:sqref>U62</xm:sqref>
        </x14:conditionalFormatting>
        <x14:conditionalFormatting xmlns:xm="http://schemas.microsoft.com/office/excel/2006/main">
          <x14:cfRule type="expression" priority="43" id="{203C1F57-3AC4-40F6-BDFE-7C0BAF91A783}">
            <xm:f>INDEX('Dados dos Padrões'!$B$6:$V$18,MATCH(U64,'Dados dos Padrões'!$B$6:$B$18,0),12)&lt;TODAY()</xm:f>
            <x14:dxf>
              <font>
                <color rgb="FFC00000"/>
              </font>
              <fill>
                <patternFill>
                  <bgColor theme="5" tint="0.59996337778862885"/>
                </patternFill>
              </fill>
            </x14:dxf>
          </x14:cfRule>
          <x14:cfRule type="expression" priority="44" id="{6FD61BBB-3991-47A5-88CC-EF7D1EF7CAFF}">
            <xm:f>AND(INDEX('Dados dos Padrões'!$B$6:$V$18,MATCH(U64,'Dados dos Padrões'!$B$6:$B$18,0),12)&gt;TODAY(),INDEX('Dados dos Padrões'!$B$6:$V$18,MATCH(U64,'Dados dos Padrões'!$B$6:$B$18,0),12)&lt;(EDATE(TODAY(),1)))</xm:f>
            <x14:dxf>
              <font>
                <color theme="5"/>
              </font>
              <fill>
                <patternFill>
                  <bgColor theme="7" tint="0.59996337778862885"/>
                </patternFill>
              </fill>
            </x14:dxf>
          </x14:cfRule>
          <xm:sqref>U64</xm:sqref>
        </x14:conditionalFormatting>
        <x14:conditionalFormatting xmlns:xm="http://schemas.microsoft.com/office/excel/2006/main">
          <x14:cfRule type="expression" priority="39" id="{DFF3A692-5B6E-4B29-9367-6A62049292F4}">
            <xm:f>INDEX('Dados dos Padrões'!$B$6:$V$18,MATCH(U66,'Dados dos Padrões'!$B$6:$B$18,0),12)&lt;TODAY()</xm:f>
            <x14:dxf>
              <font>
                <color rgb="FFC00000"/>
              </font>
              <fill>
                <patternFill>
                  <bgColor theme="5" tint="0.59996337778862885"/>
                </patternFill>
              </fill>
            </x14:dxf>
          </x14:cfRule>
          <x14:cfRule type="expression" priority="40" id="{E35937D8-E3CD-43A7-B96D-F8E142F54A05}">
            <xm:f>AND(INDEX('Dados dos Padrões'!$B$6:$V$18,MATCH(U66,'Dados dos Padrões'!$B$6:$B$18,0),12)&gt;TODAY(),INDEX('Dados dos Padrões'!$B$6:$V$18,MATCH(U66,'Dados dos Padrões'!$B$6:$B$18,0),12)&lt;(EDATE(TODAY(),1)))</xm:f>
            <x14:dxf>
              <font>
                <color theme="5"/>
              </font>
              <fill>
                <patternFill>
                  <bgColor theme="7" tint="0.59996337778862885"/>
                </patternFill>
              </fill>
            </x14:dxf>
          </x14:cfRule>
          <xm:sqref>U66</xm:sqref>
        </x14:conditionalFormatting>
        <x14:conditionalFormatting xmlns:xm="http://schemas.microsoft.com/office/excel/2006/main">
          <x14:cfRule type="expression" priority="37" id="{EDE14519-6E65-48F7-869E-E8A098A441FB}">
            <xm:f>INDEX('Dados dos Padrões'!$B$6:$V$18,MATCH(U68,'Dados dos Padrões'!$B$6:$B$18,0),12)&lt;TODAY()</xm:f>
            <x14:dxf>
              <font>
                <color rgb="FFC00000"/>
              </font>
              <fill>
                <patternFill>
                  <bgColor theme="5" tint="0.59996337778862885"/>
                </patternFill>
              </fill>
            </x14:dxf>
          </x14:cfRule>
          <x14:cfRule type="expression" priority="38" id="{5874A1A9-685E-4491-AAEB-5677C0DC5197}">
            <xm:f>AND(INDEX('Dados dos Padrões'!$B$6:$V$18,MATCH(U68,'Dados dos Padrões'!$B$6:$B$18,0),12)&gt;TODAY(),INDEX('Dados dos Padrões'!$B$6:$V$18,MATCH(U68,'Dados dos Padrões'!$B$6:$B$18,0),12)&lt;(EDATE(TODAY(),1)))</xm:f>
            <x14:dxf>
              <font>
                <color theme="5"/>
              </font>
              <fill>
                <patternFill>
                  <bgColor theme="7" tint="0.59996337778862885"/>
                </patternFill>
              </fill>
            </x14:dxf>
          </x14:cfRule>
          <xm:sqref>U68</xm:sqref>
        </x14:conditionalFormatting>
        <x14:conditionalFormatting xmlns:xm="http://schemas.microsoft.com/office/excel/2006/main">
          <x14:cfRule type="expression" priority="35" id="{CD87DDC9-B392-4BDA-8B4B-BE2D0C27D84D}">
            <xm:f>INDEX('Dados dos Padrões'!$B$6:$V$18,MATCH(U70,'Dados dos Padrões'!$B$6:$B$18,0),12)&lt;TODAY()</xm:f>
            <x14:dxf>
              <font>
                <color rgb="FFC00000"/>
              </font>
              <fill>
                <patternFill>
                  <bgColor theme="5" tint="0.59996337778862885"/>
                </patternFill>
              </fill>
            </x14:dxf>
          </x14:cfRule>
          <x14:cfRule type="expression" priority="36" id="{6E81139C-B567-4A37-8C99-250FE64D13BE}">
            <xm:f>AND(INDEX('Dados dos Padrões'!$B$6:$V$18,MATCH(U70,'Dados dos Padrões'!$B$6:$B$18,0),12)&gt;TODAY(),INDEX('Dados dos Padrões'!$B$6:$V$18,MATCH(U70,'Dados dos Padrões'!$B$6:$B$18,0),12)&lt;(EDATE(TODAY(),1)))</xm:f>
            <x14:dxf>
              <font>
                <color theme="5"/>
              </font>
              <fill>
                <patternFill>
                  <bgColor theme="7" tint="0.59996337778862885"/>
                </patternFill>
              </fill>
            </x14:dxf>
          </x14:cfRule>
          <xm:sqref>U70</xm:sqref>
        </x14:conditionalFormatting>
        <x14:conditionalFormatting xmlns:xm="http://schemas.microsoft.com/office/excel/2006/main">
          <x14:cfRule type="expression" priority="33" id="{DFA28D18-696C-4D7F-9614-0E9E41075560}">
            <xm:f>INDEX('Dados dos Padrões'!$B$6:$V$18,MATCH(U72,'Dados dos Padrões'!$B$6:$B$18,0),12)&lt;TODAY()</xm:f>
            <x14:dxf>
              <font>
                <color rgb="FFC00000"/>
              </font>
              <fill>
                <patternFill>
                  <bgColor theme="5" tint="0.59996337778862885"/>
                </patternFill>
              </fill>
            </x14:dxf>
          </x14:cfRule>
          <x14:cfRule type="expression" priority="34" id="{7907C329-818E-4E43-95FA-6A834701CC6D}">
            <xm:f>AND(INDEX('Dados dos Padrões'!$B$6:$V$18,MATCH(U72,'Dados dos Padrões'!$B$6:$B$18,0),12)&gt;TODAY(),INDEX('Dados dos Padrões'!$B$6:$V$18,MATCH(U72,'Dados dos Padrões'!$B$6:$B$18,0),12)&lt;(EDATE(TODAY(),1)))</xm:f>
            <x14:dxf>
              <font>
                <color theme="5"/>
              </font>
              <fill>
                <patternFill>
                  <bgColor theme="7" tint="0.59996337778862885"/>
                </patternFill>
              </fill>
            </x14:dxf>
          </x14:cfRule>
          <xm:sqref>U72</xm:sqref>
        </x14:conditionalFormatting>
        <x14:conditionalFormatting xmlns:xm="http://schemas.microsoft.com/office/excel/2006/main">
          <x14:cfRule type="expression" priority="31" id="{081012F2-6D8D-4A31-8B5A-00742A480046}">
            <xm:f>INDEX('Dados dos Padrões'!$B$6:$V$18,MATCH(U74,'Dados dos Padrões'!$B$6:$B$18,0),12)&lt;TODAY()</xm:f>
            <x14:dxf>
              <font>
                <color rgb="FFC00000"/>
              </font>
              <fill>
                <patternFill>
                  <bgColor theme="5" tint="0.59996337778862885"/>
                </patternFill>
              </fill>
            </x14:dxf>
          </x14:cfRule>
          <x14:cfRule type="expression" priority="32" id="{F11309CC-1471-432C-BA4F-FC4149202CF3}">
            <xm:f>AND(INDEX('Dados dos Padrões'!$B$6:$V$18,MATCH(U74,'Dados dos Padrões'!$B$6:$B$18,0),12)&gt;TODAY(),INDEX('Dados dos Padrões'!$B$6:$V$18,MATCH(U74,'Dados dos Padrões'!$B$6:$B$18,0),12)&lt;(EDATE(TODAY(),1)))</xm:f>
            <x14:dxf>
              <font>
                <color theme="5"/>
              </font>
              <fill>
                <patternFill>
                  <bgColor theme="7" tint="0.59996337778862885"/>
                </patternFill>
              </fill>
            </x14:dxf>
          </x14:cfRule>
          <xm:sqref>U74</xm:sqref>
        </x14:conditionalFormatting>
        <x14:conditionalFormatting xmlns:xm="http://schemas.microsoft.com/office/excel/2006/main">
          <x14:cfRule type="expression" priority="29" id="{FD19F8FE-51D7-41FE-B3D3-620FB4B30120}">
            <xm:f>INDEX('Dados dos Padrões'!$B$6:$V$18,MATCH(U76,'Dados dos Padrões'!$B$6:$B$18,0),12)&lt;TODAY()</xm:f>
            <x14:dxf>
              <font>
                <color rgb="FFC00000"/>
              </font>
              <fill>
                <patternFill>
                  <bgColor theme="5" tint="0.59996337778862885"/>
                </patternFill>
              </fill>
            </x14:dxf>
          </x14:cfRule>
          <x14:cfRule type="expression" priority="30" id="{B40B4A04-E766-417A-9962-99A306E83453}">
            <xm:f>AND(INDEX('Dados dos Padrões'!$B$6:$V$18,MATCH(U76,'Dados dos Padrões'!$B$6:$B$18,0),12)&gt;TODAY(),INDEX('Dados dos Padrões'!$B$6:$V$18,MATCH(U76,'Dados dos Padrões'!$B$6:$B$18,0),12)&lt;(EDATE(TODAY(),1)))</xm:f>
            <x14:dxf>
              <font>
                <color theme="5"/>
              </font>
              <fill>
                <patternFill>
                  <bgColor theme="7" tint="0.59996337778862885"/>
                </patternFill>
              </fill>
            </x14:dxf>
          </x14:cfRule>
          <xm:sqref>U76</xm:sqref>
        </x14:conditionalFormatting>
        <x14:conditionalFormatting xmlns:xm="http://schemas.microsoft.com/office/excel/2006/main">
          <x14:cfRule type="expression" priority="27" id="{0672159F-3930-4752-9DA0-8D4CE7D6B7DF}">
            <xm:f>INDEX('Dados dos Padrões'!$B$6:$V$18,MATCH(U78,'Dados dos Padrões'!$B$6:$B$18,0),12)&lt;TODAY()</xm:f>
            <x14:dxf>
              <font>
                <color rgb="FFC00000"/>
              </font>
              <fill>
                <patternFill>
                  <bgColor theme="5" tint="0.59996337778862885"/>
                </patternFill>
              </fill>
            </x14:dxf>
          </x14:cfRule>
          <x14:cfRule type="expression" priority="28" id="{272426B0-BA3A-428B-A5DA-D087C39A9AA5}">
            <xm:f>AND(INDEX('Dados dos Padrões'!$B$6:$V$18,MATCH(U78,'Dados dos Padrões'!$B$6:$B$18,0),12)&gt;TODAY(),INDEX('Dados dos Padrões'!$B$6:$V$18,MATCH(U78,'Dados dos Padrões'!$B$6:$B$18,0),12)&lt;(EDATE(TODAY(),1)))</xm:f>
            <x14:dxf>
              <font>
                <color theme="5"/>
              </font>
              <fill>
                <patternFill>
                  <bgColor theme="7" tint="0.59996337778862885"/>
                </patternFill>
              </fill>
            </x14:dxf>
          </x14:cfRule>
          <xm:sqref>U78</xm:sqref>
        </x14:conditionalFormatting>
        <x14:conditionalFormatting xmlns:xm="http://schemas.microsoft.com/office/excel/2006/main">
          <x14:cfRule type="expression" priority="25" id="{51BDE00F-0D1C-4A7F-83A9-8FA7F5F46DA8}">
            <xm:f>INDEX('Dados dos Padrões'!$B$6:$V$18,MATCH(U80,'Dados dos Padrões'!$B$6:$B$18,0),12)&lt;TODAY()</xm:f>
            <x14:dxf>
              <font>
                <color rgb="FFC00000"/>
              </font>
              <fill>
                <patternFill>
                  <bgColor theme="5" tint="0.59996337778862885"/>
                </patternFill>
              </fill>
            </x14:dxf>
          </x14:cfRule>
          <x14:cfRule type="expression" priority="26" id="{8996C6C0-A6F7-4569-88E9-188D4F3BD5B7}">
            <xm:f>AND(INDEX('Dados dos Padrões'!$B$6:$V$18,MATCH(U80,'Dados dos Padrões'!$B$6:$B$18,0),12)&gt;TODAY(),INDEX('Dados dos Padrões'!$B$6:$V$18,MATCH(U80,'Dados dos Padrões'!$B$6:$B$18,0),12)&lt;(EDATE(TODAY(),1)))</xm:f>
            <x14:dxf>
              <font>
                <color theme="5"/>
              </font>
              <fill>
                <patternFill>
                  <bgColor theme="7" tint="0.59996337778862885"/>
                </patternFill>
              </fill>
            </x14:dxf>
          </x14:cfRule>
          <xm:sqref>U80</xm:sqref>
        </x14:conditionalFormatting>
        <x14:conditionalFormatting xmlns:xm="http://schemas.microsoft.com/office/excel/2006/main">
          <x14:cfRule type="expression" priority="23" id="{E306BAE9-41EE-43F9-B34E-924FBA4CD32B}">
            <xm:f>INDEX('Dados dos Padrões'!$B$6:$V$18,MATCH(U82,'Dados dos Padrões'!$B$6:$B$18,0),12)&lt;TODAY()</xm:f>
            <x14:dxf>
              <font>
                <color rgb="FFC00000"/>
              </font>
              <fill>
                <patternFill>
                  <bgColor theme="5" tint="0.59996337778862885"/>
                </patternFill>
              </fill>
            </x14:dxf>
          </x14:cfRule>
          <x14:cfRule type="expression" priority="24" id="{2F64AB1E-F338-4D16-B936-96D3BBD4FDD5}">
            <xm:f>AND(INDEX('Dados dos Padrões'!$B$6:$V$18,MATCH(U82,'Dados dos Padrões'!$B$6:$B$18,0),12)&gt;TODAY(),INDEX('Dados dos Padrões'!$B$6:$V$18,MATCH(U82,'Dados dos Padrões'!$B$6:$B$18,0),12)&lt;(EDATE(TODAY(),1)))</xm:f>
            <x14:dxf>
              <font>
                <color theme="5"/>
              </font>
              <fill>
                <patternFill>
                  <bgColor theme="7" tint="0.59996337778862885"/>
                </patternFill>
              </fill>
            </x14:dxf>
          </x14:cfRule>
          <xm:sqref>U82</xm:sqref>
        </x14:conditionalFormatting>
        <x14:conditionalFormatting xmlns:xm="http://schemas.microsoft.com/office/excel/2006/main">
          <x14:cfRule type="expression" priority="21" id="{F66C1994-9B35-4399-8789-41D460F780C4}">
            <xm:f>INDEX('Dados dos Padrões'!$B$6:$V$18,MATCH(U84,'Dados dos Padrões'!$B$6:$B$18,0),12)&lt;TODAY()</xm:f>
            <x14:dxf>
              <font>
                <color rgb="FFC00000"/>
              </font>
              <fill>
                <patternFill>
                  <bgColor theme="5" tint="0.59996337778862885"/>
                </patternFill>
              </fill>
            </x14:dxf>
          </x14:cfRule>
          <x14:cfRule type="expression" priority="22" id="{C5E3F356-AF38-415D-BC49-4EE2A713BF17}">
            <xm:f>AND(INDEX('Dados dos Padrões'!$B$6:$V$18,MATCH(U84,'Dados dos Padrões'!$B$6:$B$18,0),12)&gt;TODAY(),INDEX('Dados dos Padrões'!$B$6:$V$18,MATCH(U84,'Dados dos Padrões'!$B$6:$B$18,0),12)&lt;(EDATE(TODAY(),1)))</xm:f>
            <x14:dxf>
              <font>
                <color theme="5"/>
              </font>
              <fill>
                <patternFill>
                  <bgColor theme="7" tint="0.59996337778862885"/>
                </patternFill>
              </fill>
            </x14:dxf>
          </x14:cfRule>
          <xm:sqref>U84</xm:sqref>
        </x14:conditionalFormatting>
        <x14:conditionalFormatting xmlns:xm="http://schemas.microsoft.com/office/excel/2006/main">
          <x14:cfRule type="expression" priority="19" id="{5017A00F-B728-4889-89ED-65FC1D3C3D1C}">
            <xm:f>INDEX('Dados dos Padrões'!$B$6:$V$18,MATCH(U67,'Dados dos Padrões'!$B$6:$B$18,0),12)&lt;TODAY()</xm:f>
            <x14:dxf>
              <font>
                <color rgb="FFC00000"/>
              </font>
              <fill>
                <patternFill>
                  <bgColor theme="5" tint="0.59996337778862885"/>
                </patternFill>
              </fill>
            </x14:dxf>
          </x14:cfRule>
          <x14:cfRule type="expression" priority="20" id="{2B00C032-8745-406C-B76B-49542D091077}">
            <xm:f>AND(INDEX('Dados dos Padrões'!$B$6:$V$18,MATCH(U67,'Dados dos Padrões'!$B$6:$B$18,0),12)&gt;TODAY(),INDEX('Dados dos Padrões'!$B$6:$V$18,MATCH(U67,'Dados dos Padrões'!$B$6:$B$18,0),12)&lt;(EDATE(TODAY(),1)))</xm:f>
            <x14:dxf>
              <font>
                <color theme="5"/>
              </font>
              <fill>
                <patternFill>
                  <bgColor theme="7" tint="0.59996337778862885"/>
                </patternFill>
              </fill>
            </x14:dxf>
          </x14:cfRule>
          <xm:sqref>U67</xm:sqref>
        </x14:conditionalFormatting>
        <x14:conditionalFormatting xmlns:xm="http://schemas.microsoft.com/office/excel/2006/main">
          <x14:cfRule type="expression" priority="17" id="{10FDBD33-5D00-411B-927C-4C94DF553B36}">
            <xm:f>INDEX('Dados dos Padrões'!$B$6:$V$18,MATCH(U69,'Dados dos Padrões'!$B$6:$B$18,0),12)&lt;TODAY()</xm:f>
            <x14:dxf>
              <font>
                <color rgb="FFC00000"/>
              </font>
              <fill>
                <patternFill>
                  <bgColor theme="5" tint="0.59996337778862885"/>
                </patternFill>
              </fill>
            </x14:dxf>
          </x14:cfRule>
          <x14:cfRule type="expression" priority="18" id="{881CFF65-07B1-4986-A362-54386E90089E}">
            <xm:f>AND(INDEX('Dados dos Padrões'!$B$6:$V$18,MATCH(U69,'Dados dos Padrões'!$B$6:$B$18,0),12)&gt;TODAY(),INDEX('Dados dos Padrões'!$B$6:$V$18,MATCH(U69,'Dados dos Padrões'!$B$6:$B$18,0),12)&lt;(EDATE(TODAY(),1)))</xm:f>
            <x14:dxf>
              <font>
                <color theme="5"/>
              </font>
              <fill>
                <patternFill>
                  <bgColor theme="7" tint="0.59996337778862885"/>
                </patternFill>
              </fill>
            </x14:dxf>
          </x14:cfRule>
          <xm:sqref>U69</xm:sqref>
        </x14:conditionalFormatting>
        <x14:conditionalFormatting xmlns:xm="http://schemas.microsoft.com/office/excel/2006/main">
          <x14:cfRule type="expression" priority="15" id="{0EE370E4-7F1C-4973-98B4-B87B1DF98FE3}">
            <xm:f>INDEX('Dados dos Padrões'!$B$6:$V$18,MATCH(U71,'Dados dos Padrões'!$B$6:$B$18,0),12)&lt;TODAY()</xm:f>
            <x14:dxf>
              <font>
                <color rgb="FFC00000"/>
              </font>
              <fill>
                <patternFill>
                  <bgColor theme="5" tint="0.59996337778862885"/>
                </patternFill>
              </fill>
            </x14:dxf>
          </x14:cfRule>
          <x14:cfRule type="expression" priority="16" id="{8A671327-9070-44C5-9E47-85E13D2E6EBA}">
            <xm:f>AND(INDEX('Dados dos Padrões'!$B$6:$V$18,MATCH(U71,'Dados dos Padrões'!$B$6:$B$18,0),12)&gt;TODAY(),INDEX('Dados dos Padrões'!$B$6:$V$18,MATCH(U71,'Dados dos Padrões'!$B$6:$B$18,0),12)&lt;(EDATE(TODAY(),1)))</xm:f>
            <x14:dxf>
              <font>
                <color theme="5"/>
              </font>
              <fill>
                <patternFill>
                  <bgColor theme="7" tint="0.59996337778862885"/>
                </patternFill>
              </fill>
            </x14:dxf>
          </x14:cfRule>
          <xm:sqref>U71</xm:sqref>
        </x14:conditionalFormatting>
        <x14:conditionalFormatting xmlns:xm="http://schemas.microsoft.com/office/excel/2006/main">
          <x14:cfRule type="expression" priority="13" id="{D6E2A447-CEAE-46C1-BDBC-7E8138815944}">
            <xm:f>INDEX('Dados dos Padrões'!$B$6:$V$18,MATCH(U73,'Dados dos Padrões'!$B$6:$B$18,0),12)&lt;TODAY()</xm:f>
            <x14:dxf>
              <font>
                <color rgb="FFC00000"/>
              </font>
              <fill>
                <patternFill>
                  <bgColor theme="5" tint="0.59996337778862885"/>
                </patternFill>
              </fill>
            </x14:dxf>
          </x14:cfRule>
          <x14:cfRule type="expression" priority="14" id="{40A37850-C846-433E-8D8E-9E5A80651899}">
            <xm:f>AND(INDEX('Dados dos Padrões'!$B$6:$V$18,MATCH(U73,'Dados dos Padrões'!$B$6:$B$18,0),12)&gt;TODAY(),INDEX('Dados dos Padrões'!$B$6:$V$18,MATCH(U73,'Dados dos Padrões'!$B$6:$B$18,0),12)&lt;(EDATE(TODAY(),1)))</xm:f>
            <x14:dxf>
              <font>
                <color theme="5"/>
              </font>
              <fill>
                <patternFill>
                  <bgColor theme="7" tint="0.59996337778862885"/>
                </patternFill>
              </fill>
            </x14:dxf>
          </x14:cfRule>
          <xm:sqref>U73</xm:sqref>
        </x14:conditionalFormatting>
        <x14:conditionalFormatting xmlns:xm="http://schemas.microsoft.com/office/excel/2006/main">
          <x14:cfRule type="expression" priority="11" id="{0DDA4387-C6FA-46BD-9494-953C6ABCE115}">
            <xm:f>INDEX('Dados dos Padrões'!$B$6:$V$18,MATCH(U75,'Dados dos Padrões'!$B$6:$B$18,0),12)&lt;TODAY()</xm:f>
            <x14:dxf>
              <font>
                <color rgb="FFC00000"/>
              </font>
              <fill>
                <patternFill>
                  <bgColor theme="5" tint="0.59996337778862885"/>
                </patternFill>
              </fill>
            </x14:dxf>
          </x14:cfRule>
          <x14:cfRule type="expression" priority="12" id="{50B0BD16-342B-4704-BB31-554EDCE819EE}">
            <xm:f>AND(INDEX('Dados dos Padrões'!$B$6:$V$18,MATCH(U75,'Dados dos Padrões'!$B$6:$B$18,0),12)&gt;TODAY(),INDEX('Dados dos Padrões'!$B$6:$V$18,MATCH(U75,'Dados dos Padrões'!$B$6:$B$18,0),12)&lt;(EDATE(TODAY(),1)))</xm:f>
            <x14:dxf>
              <font>
                <color theme="5"/>
              </font>
              <fill>
                <patternFill>
                  <bgColor theme="7" tint="0.59996337778862885"/>
                </patternFill>
              </fill>
            </x14:dxf>
          </x14:cfRule>
          <xm:sqref>U75</xm:sqref>
        </x14:conditionalFormatting>
        <x14:conditionalFormatting xmlns:xm="http://schemas.microsoft.com/office/excel/2006/main">
          <x14:cfRule type="expression" priority="9" id="{259BBC43-1701-4F2D-A43D-ACACDAD53EC9}">
            <xm:f>INDEX('Dados dos Padrões'!$B$6:$V$18,MATCH(U77,'Dados dos Padrões'!$B$6:$B$18,0),12)&lt;TODAY()</xm:f>
            <x14:dxf>
              <font>
                <color rgb="FFC00000"/>
              </font>
              <fill>
                <patternFill>
                  <bgColor theme="5" tint="0.59996337778862885"/>
                </patternFill>
              </fill>
            </x14:dxf>
          </x14:cfRule>
          <x14:cfRule type="expression" priority="10" id="{E424DB69-9D19-43AB-ACB2-7DB620CBAA61}">
            <xm:f>AND(INDEX('Dados dos Padrões'!$B$6:$V$18,MATCH(U77,'Dados dos Padrões'!$B$6:$B$18,0),12)&gt;TODAY(),INDEX('Dados dos Padrões'!$B$6:$V$18,MATCH(U77,'Dados dos Padrões'!$B$6:$B$18,0),12)&lt;(EDATE(TODAY(),1)))</xm:f>
            <x14:dxf>
              <font>
                <color theme="5"/>
              </font>
              <fill>
                <patternFill>
                  <bgColor theme="7" tint="0.59996337778862885"/>
                </patternFill>
              </fill>
            </x14:dxf>
          </x14:cfRule>
          <xm:sqref>U77</xm:sqref>
        </x14:conditionalFormatting>
        <x14:conditionalFormatting xmlns:xm="http://schemas.microsoft.com/office/excel/2006/main">
          <x14:cfRule type="expression" priority="7" id="{F64808D6-CD7D-45B9-8553-2CF7BDE6005E}">
            <xm:f>INDEX('Dados dos Padrões'!$B$6:$V$18,MATCH(U79,'Dados dos Padrões'!$B$6:$B$18,0),12)&lt;TODAY()</xm:f>
            <x14:dxf>
              <font>
                <color rgb="FFC00000"/>
              </font>
              <fill>
                <patternFill>
                  <bgColor theme="5" tint="0.59996337778862885"/>
                </patternFill>
              </fill>
            </x14:dxf>
          </x14:cfRule>
          <x14:cfRule type="expression" priority="8" id="{B89C17D0-1019-4509-A8B3-0094727FED61}">
            <xm:f>AND(INDEX('Dados dos Padrões'!$B$6:$V$18,MATCH(U79,'Dados dos Padrões'!$B$6:$B$18,0),12)&gt;TODAY(),INDEX('Dados dos Padrões'!$B$6:$V$18,MATCH(U79,'Dados dos Padrões'!$B$6:$B$18,0),12)&lt;(EDATE(TODAY(),1)))</xm:f>
            <x14:dxf>
              <font>
                <color theme="5"/>
              </font>
              <fill>
                <patternFill>
                  <bgColor theme="7" tint="0.59996337778862885"/>
                </patternFill>
              </fill>
            </x14:dxf>
          </x14:cfRule>
          <xm:sqref>U79</xm:sqref>
        </x14:conditionalFormatting>
        <x14:conditionalFormatting xmlns:xm="http://schemas.microsoft.com/office/excel/2006/main">
          <x14:cfRule type="expression" priority="5" id="{AA39DAE9-B8AE-4760-A975-D19EF0E7FF96}">
            <xm:f>INDEX('Dados dos Padrões'!$B$6:$V$18,MATCH(U81,'Dados dos Padrões'!$B$6:$B$18,0),12)&lt;TODAY()</xm:f>
            <x14:dxf>
              <font>
                <color rgb="FFC00000"/>
              </font>
              <fill>
                <patternFill>
                  <bgColor theme="5" tint="0.59996337778862885"/>
                </patternFill>
              </fill>
            </x14:dxf>
          </x14:cfRule>
          <x14:cfRule type="expression" priority="6" id="{67279940-00ED-435E-81F6-3F31F5BE82DD}">
            <xm:f>AND(INDEX('Dados dos Padrões'!$B$6:$V$18,MATCH(U81,'Dados dos Padrões'!$B$6:$B$18,0),12)&gt;TODAY(),INDEX('Dados dos Padrões'!$B$6:$V$18,MATCH(U81,'Dados dos Padrões'!$B$6:$B$18,0),12)&lt;(EDATE(TODAY(),1)))</xm:f>
            <x14:dxf>
              <font>
                <color theme="5"/>
              </font>
              <fill>
                <patternFill>
                  <bgColor theme="7" tint="0.59996337778862885"/>
                </patternFill>
              </fill>
            </x14:dxf>
          </x14:cfRule>
          <xm:sqref>U81</xm:sqref>
        </x14:conditionalFormatting>
        <x14:conditionalFormatting xmlns:xm="http://schemas.microsoft.com/office/excel/2006/main">
          <x14:cfRule type="expression" priority="3" id="{B98E9B71-9A74-4B4B-9A23-6D04BE9B2068}">
            <xm:f>INDEX('Dados dos Padrões'!$B$6:$V$18,MATCH(U83,'Dados dos Padrões'!$B$6:$B$18,0),12)&lt;TODAY()</xm:f>
            <x14:dxf>
              <font>
                <color rgb="FFC00000"/>
              </font>
              <fill>
                <patternFill>
                  <bgColor theme="5" tint="0.59996337778862885"/>
                </patternFill>
              </fill>
            </x14:dxf>
          </x14:cfRule>
          <x14:cfRule type="expression" priority="4" id="{81B916E9-59E3-4E1D-B970-0BFC809F23D3}">
            <xm:f>AND(INDEX('Dados dos Padrões'!$B$6:$V$18,MATCH(U83,'Dados dos Padrões'!$B$6:$B$18,0),12)&gt;TODAY(),INDEX('Dados dos Padrões'!$B$6:$V$18,MATCH(U83,'Dados dos Padrões'!$B$6:$B$18,0),12)&lt;(EDATE(TODAY(),1)))</xm:f>
            <x14:dxf>
              <font>
                <color theme="5"/>
              </font>
              <fill>
                <patternFill>
                  <bgColor theme="7" tint="0.59996337778862885"/>
                </patternFill>
              </fill>
            </x14:dxf>
          </x14:cfRule>
          <xm:sqref>U83</xm:sqref>
        </x14:conditionalFormatting>
        <x14:conditionalFormatting xmlns:xm="http://schemas.microsoft.com/office/excel/2006/main">
          <x14:cfRule type="expression" priority="1" id="{B76AF9EE-75F2-4057-98D9-A41747394EFF}">
            <xm:f>INDEX('Dados dos Padrões'!$B$6:$V$18,MATCH(U85,'Dados dos Padrões'!$B$6:$B$18,0),12)&lt;TODAY()</xm:f>
            <x14:dxf>
              <font>
                <color rgb="FFC00000"/>
              </font>
              <fill>
                <patternFill>
                  <bgColor theme="5" tint="0.59996337778862885"/>
                </patternFill>
              </fill>
            </x14:dxf>
          </x14:cfRule>
          <x14:cfRule type="expression" priority="2" id="{D3871E52-10F7-42FA-9C3F-B1D9497199AD}">
            <xm:f>AND(INDEX('Dados dos Padrões'!$B$6:$V$18,MATCH(U85,'Dados dos Padrões'!$B$6:$B$18,0),12)&gt;TODAY(),INDEX('Dados dos Padrões'!$B$6:$V$18,MATCH(U85,'Dados dos Padrões'!$B$6:$B$18,0),12)&lt;(EDATE(TODAY(),1)))</xm:f>
            <x14:dxf>
              <font>
                <color theme="5"/>
              </font>
              <fill>
                <patternFill>
                  <bgColor theme="7" tint="0.59996337778862885"/>
                </patternFill>
              </fill>
            </x14:dxf>
          </x14:cfRule>
          <xm:sqref>U85</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7">
    <tabColor theme="9"/>
  </sheetPr>
  <dimension ref="A1:AF969"/>
  <sheetViews>
    <sheetView showGridLines="0" showRowColHeaders="0" topLeftCell="A13" workbookViewId="0">
      <selection activeCell="D27" sqref="D27:U31"/>
    </sheetView>
  </sheetViews>
  <sheetFormatPr defaultColWidth="14.42578125" defaultRowHeight="12.75" x14ac:dyDescent="0.2"/>
  <cols>
    <col min="1" max="1" width="3.140625" customWidth="1"/>
    <col min="2" max="4" width="9.140625" customWidth="1"/>
    <col min="5" max="5" width="5.85546875" customWidth="1"/>
    <col min="6" max="6" width="9.28515625" customWidth="1"/>
    <col min="7" max="9" width="9.140625" customWidth="1"/>
    <col min="10" max="10" width="2.85546875" customWidth="1"/>
    <col min="11" max="11" width="5.85546875" customWidth="1"/>
    <col min="12" max="15" width="9.140625" customWidth="1"/>
    <col min="16" max="16" width="3.140625" customWidth="1"/>
    <col min="17" max="17" width="5.85546875" customWidth="1"/>
    <col min="18" max="18" width="20.5703125" bestFit="1" customWidth="1"/>
    <col min="19" max="19" width="16.42578125" bestFit="1" customWidth="1"/>
    <col min="20" max="20" width="10.28515625" bestFit="1" customWidth="1"/>
    <col min="21" max="32" width="9.140625" customWidth="1"/>
  </cols>
  <sheetData>
    <row r="1" spans="1:32" ht="13.5" thickBot="1" x14ac:dyDescent="0.25"/>
    <row r="2" spans="1:32" ht="17.25" customHeight="1" thickBot="1" x14ac:dyDescent="0.25">
      <c r="B2" s="1155" t="s">
        <v>207</v>
      </c>
      <c r="C2" s="1156"/>
      <c r="D2" s="1157"/>
      <c r="F2" s="1180" t="s">
        <v>206</v>
      </c>
      <c r="G2" s="1181"/>
      <c r="H2" s="1181"/>
      <c r="I2" s="1181"/>
      <c r="J2" s="1182"/>
      <c r="K2" s="198"/>
      <c r="L2" s="1210" t="s">
        <v>50</v>
      </c>
      <c r="M2" s="1211"/>
      <c r="N2" s="1211"/>
      <c r="O2" s="1211"/>
      <c r="P2" s="1212"/>
      <c r="R2" s="1177" t="s">
        <v>181</v>
      </c>
      <c r="S2" s="1178"/>
      <c r="T2" s="1179"/>
      <c r="U2" s="67"/>
      <c r="V2" s="67"/>
      <c r="W2" s="67"/>
      <c r="X2" s="67"/>
      <c r="Y2" s="67"/>
      <c r="Z2" s="1"/>
      <c r="AA2" s="1"/>
      <c r="AB2" s="1"/>
      <c r="AC2" s="1"/>
      <c r="AD2" s="1"/>
      <c r="AE2" s="1"/>
      <c r="AF2" s="1"/>
    </row>
    <row r="3" spans="1:32" ht="15" customHeight="1" thickBot="1" x14ac:dyDescent="0.25">
      <c r="B3" s="333">
        <f t="array" aca="1" ref="B3" ca="1">IF('Entrada de Dados'!$T$20="","-",(IFERROR(INDEX(((OFFSET(INDEX($D$22:$D$41,MATCH('Entrada de Dados'!$U$23,$D$22:$D$41,0),1),1,5,4,4))),MATCH((MIN(IF((OFFSET(INDEX($D$22:$D$41,MATCH('Entrada de Dados'!$U$23,$D$22:$D$41,0),1),1,5,4))&gt;=('Entrada de Dados'!$T$20),(OFFSET(INDEX($D$22:$D$41,MATCH('Entrada de Dados'!$U$23,$D$22:$D$41,0),1),1,5,4))))),((OFFSET(INDEX($D$22:$D$41,MATCH('Entrada de Dados'!$U$23,$D$22:$D$41,0),1),1,5,4))),0),3),(IFERROR(INDEX((OFFSET(INDEX($D$22:$D$41,MATCH('Entrada de Dados'!$U$23,$D$22:$D$41,0),1),1,5,4,4)),MATCH((MAX(IF((OFFSET(INDEX($D$22:$D$41,MATCH('Entrada de Dados'!$U$23,$D$22:$D$41,0),1),1,5,4))&lt;('Entrada de Dados'!$T$20),(OFFSET(INDEX($D$22:$D$41,MATCH('Entrada de Dados'!$U$23,$D$22:$D$41,0),1),1,5,4))))),(OFFSET(INDEX($D$22:$D$41,MATCH('Entrada de Dados'!$U$23,$D$22:$D$41,0),1),1,5,4)),0),3),INDEX((OFFSET(INDEX($D$22:$D$41,MATCH('Entrada de Dados'!$U$23,$D$22:$D$41,0),1),1,5,4,4)),MATCH((MIN(IF((OFFSET(INDEX($D$22:$D$41,MATCH('Entrada de Dados'!$U$23,$D$22:$D$41,0),1),1,5,4))&gt;=('Entrada de Dados'!$T$20),(OFFSET(INDEX($D$22:$D$41,MATCH('Entrada de Dados'!$U$23,$D$22:$D$41,0),1),1,5,4))))),(OFFSET(INDEX($D$22:$D$41,MATCH('Entrada de Dados'!$U$23,$D$22:$D$41,0),1),1,5,4)),0),3))))-IFERROR(INDEX(((OFFSET(INDEX($D$22:$D$41,MATCH('Entrada de Dados'!$U$23,$D$22:$D$41,0),1),1,5,4,4))),MATCH((MAX(IF((OFFSET(INDEX($D$22:$D$41,MATCH('Entrada de Dados'!$U$23,$D$22:$D$41,0),1),1,5,4))&lt;('Entrada de Dados'!$T$20),(OFFSET(INDEX($D$22:$D$41,MATCH('Entrada de Dados'!$U$23,$D$22:$D$41,0),1),1,5,4))))),((OFFSET(INDEX($D$22:$D$41,MATCH('Entrada de Dados'!$U$23,$D$22:$D$41,0),1),1,5,4))),0),3),(IFERROR(INDEX((OFFSET(INDEX($D$22:$D$41,MATCH('Entrada de Dados'!$U$23,$D$22:$D$41,0),1),1,5,4,4)),MATCH((MIN(IF((OFFSET(INDEX($D$22:$D$41,MATCH('Entrada de Dados'!$U$23,$D$22:$D$41,0),1),1,5,4))&gt;=('Entrada de Dados'!$T$20),(OFFSET(INDEX($D$22:$D$41,MATCH('Entrada de Dados'!$U$23,$D$22:$D$41,0),1),1,5,4))))),(OFFSET(INDEX($D$22:$D$41,MATCH('Entrada de Dados'!$U$23,$D$22:$D$41,0),1),1,5,4)),0),3),INDEX((OFFSET(INDEX($D$22:$D$41,MATCH('Entrada de Dados'!$U$23,$D$22:$D$41,0),1),1,5,4,4)),MATCH((MAX(IF((OFFSET(INDEX($D$22:$D$41,MATCH('Entrada de Dados'!$U$23,$D$22:$D$41,0),1),1,5,4))&lt;('Entrada de Dados'!$T$20),(OFFSET(INDEX($D$22:$D$41,MATCH('Entrada de Dados'!$U$23,$D$22:$D$41,0),1),1,5,4))))),(OFFSET(INDEX($D$22:$D$41,MATCH('Entrada de Dados'!$U$23,$D$22:$D$41,0),1),1,5,4)),0),3)))))/((MIN(IF((OFFSET(INDEX($D$22:$D$41,MATCH('Entrada de Dados'!$U$23,$D$22:$D$41,0),1),1,5,4))&gt;=('Entrada de Dados'!$T$20),(OFFSET(INDEX($D$22:$D$41,MATCH('Entrada de Dados'!$U$23,$D$22:$D$41,0),1),1,5,4)))))-(MAX(IF((OFFSET(INDEX($D$22:$D$41,MATCH('Entrada de Dados'!$U$23,$D$22:$D$41,0),1),1,5,4))&lt;('Entrada de Dados'!$T$20),(OFFSET(INDEX($D$22:$D$41,MATCH('Entrada de Dados'!$U$23,$D$22:$D$41,0),1),1,5,4)))))))</f>
        <v>4.4585987261146494E-2</v>
      </c>
      <c r="C3" s="334" t="s">
        <v>208</v>
      </c>
      <c r="D3" s="335">
        <f t="array" aca="1" ref="D3" ca="1">IF('Entrada de Dados'!$T$20="","-",(IFERROR(INDEX((OFFSET(INDEX($D$22:$D$41,MATCH('Entrada de Dados'!$U$23,$D$22:$D$41,0),1),1,5,4,4)),MATCH((MAX(IF((OFFSET(INDEX($D$22:$D$41,MATCH('Entrada de Dados'!$U$23,$D$22:$D$41,0),1),1,5,4))&lt;('Entrada de Dados'!$T$20),(OFFSET(INDEX($D$22:$D$41,MATCH('Entrada de Dados'!$U$23,$D$22:$D$41,0),1),1,5,4))))),(OFFSET(INDEX($D$22:$D$41,MATCH('Entrada de Dados'!$U$23,$D$22:$D$41,0),1),1,5,4)),0),3),INDEX((OFFSET(INDEX($D$22:$D$41,MATCH('Entrada de Dados'!$U$23,$D$22:$D$41,0),1),1,5,4,4)),MATCH((MIN(IF((OFFSET(INDEX($D$22:$D$41,MATCH('Entrada de Dados'!$U$23,$D$22:$D$41,0),1),1,5,4))&gt;=('Entrada de Dados'!$T$20),(OFFSET(INDEX($D$22:$D$41,MATCH('Entrada de Dados'!$U$23,$D$22:$D$41,0),1),1,5,4))))),(OFFSET(INDEX($D$22:$D$41,MATCH('Entrada de Dados'!$U$23,$D$22:$D$41,0),1),1,5,4)),0),3)))-(B3*(MAX(IF((OFFSET(INDEX($D$22:$D$41,MATCH('Entrada de Dados'!$U$23,$D$22:$D$41,0),1),1,5,4))&lt;('Entrada de Dados'!$T$20),(OFFSET(INDEX($D$22:$D$41,MATCH('Entrada de Dados'!$U$23,$D$22:$D$41,0),1),1,5,4)))))))</f>
        <v>-1.4012738853503184</v>
      </c>
      <c r="F3" s="73" t="s">
        <v>46</v>
      </c>
      <c r="G3" s="1183">
        <f ca="1">IF('Entrada de Dados'!$L$20="","-",(('Entrada de Dados'!$L$20))+(((('Entrada de Dados'!$L$20))*'Densidade do AR'!B9)+'Densidade do AR'!D9))</f>
        <v>1021</v>
      </c>
      <c r="H3" s="1184"/>
      <c r="I3" s="1175" t="s">
        <v>47</v>
      </c>
      <c r="J3" s="1176"/>
      <c r="L3" s="76" t="s">
        <v>65</v>
      </c>
      <c r="M3" s="1206">
        <f ca="1">IF(G9="-","-",G9*M4)</f>
        <v>9421.5167535597429</v>
      </c>
      <c r="N3" s="1207"/>
      <c r="O3" s="1208" t="s">
        <v>64</v>
      </c>
      <c r="P3" s="1209"/>
      <c r="R3" s="195" t="s">
        <v>182</v>
      </c>
      <c r="S3" s="196" t="s">
        <v>183</v>
      </c>
      <c r="T3" s="194" t="s">
        <v>167</v>
      </c>
      <c r="U3" s="1"/>
      <c r="V3" s="1"/>
      <c r="W3" s="1"/>
      <c r="X3" s="1"/>
      <c r="Y3" s="71"/>
      <c r="Z3" s="1"/>
      <c r="AA3" s="1"/>
      <c r="AB3" s="1"/>
      <c r="AC3" s="1"/>
      <c r="AD3" s="1"/>
      <c r="AE3" s="1"/>
      <c r="AF3" s="1"/>
    </row>
    <row r="4" spans="1:32" ht="15" customHeight="1" thickBot="1" x14ac:dyDescent="0.25">
      <c r="F4" s="73" t="s">
        <v>48</v>
      </c>
      <c r="G4" s="1183">
        <f ca="1">IF('Entrada de Dados'!$F$20="","-",(('Entrada de Dados'!$F$20))+(((('Entrada de Dados'!$F$20))*'Densidade do AR'!B6)+'Densidade do AR'!D6))</f>
        <v>49.037974683544306</v>
      </c>
      <c r="H4" s="1183"/>
      <c r="I4" s="1175" t="s">
        <v>134</v>
      </c>
      <c r="J4" s="1176"/>
      <c r="L4" s="77" t="s">
        <v>51</v>
      </c>
      <c r="M4" s="1218">
        <f ca="1">IF(G7="-","-",G7*1000000)</f>
        <v>1146338.1483018748</v>
      </c>
      <c r="N4" s="1219"/>
      <c r="O4" s="1216" t="s">
        <v>64</v>
      </c>
      <c r="P4" s="1217"/>
      <c r="R4" s="1153" t="s">
        <v>184</v>
      </c>
      <c r="S4" s="1154">
        <v>2700</v>
      </c>
      <c r="T4" s="1152">
        <v>65</v>
      </c>
      <c r="U4" s="71"/>
      <c r="V4" s="71"/>
      <c r="W4" s="71"/>
      <c r="X4" s="71"/>
      <c r="Y4" s="71"/>
      <c r="Z4" s="1"/>
      <c r="AA4" s="1"/>
      <c r="AB4" s="1"/>
      <c r="AC4" s="1"/>
      <c r="AD4" s="1"/>
      <c r="AE4" s="1"/>
      <c r="AF4" s="1"/>
    </row>
    <row r="5" spans="1:32" ht="15" customHeight="1" thickBot="1" x14ac:dyDescent="0.25">
      <c r="B5" s="1155" t="s">
        <v>209</v>
      </c>
      <c r="C5" s="1156"/>
      <c r="D5" s="1157"/>
      <c r="F5" s="75" t="s">
        <v>49</v>
      </c>
      <c r="G5" s="1173">
        <f ca="1">IF('Entrada de Dados'!$T$20="","-",(('Entrada de Dados'!$T$20))+(((('Entrada de Dados'!$T$20))*'Densidade do AR'!B3)+'Densidade do AR'!D3))</f>
        <v>34.114649681528661</v>
      </c>
      <c r="H5" s="1173"/>
      <c r="I5" s="1161" t="s">
        <v>45</v>
      </c>
      <c r="J5" s="1162"/>
      <c r="R5" s="1153"/>
      <c r="S5" s="1154"/>
      <c r="T5" s="1152"/>
      <c r="U5" s="1"/>
      <c r="V5" s="1"/>
      <c r="W5" s="1"/>
      <c r="X5" s="1"/>
      <c r="Y5" s="1"/>
      <c r="Z5" s="1"/>
      <c r="AA5" s="1"/>
      <c r="AB5" s="1"/>
      <c r="AC5" s="1"/>
      <c r="AD5" s="1"/>
      <c r="AE5" s="1"/>
      <c r="AF5" s="1"/>
    </row>
    <row r="6" spans="1:32" ht="15" customHeight="1" thickBot="1" x14ac:dyDescent="0.25">
      <c r="A6" s="64"/>
      <c r="B6" s="333">
        <f t="array" aca="1" ref="B6" ca="1">IF('Entrada de Dados'!$F$20="","-",(IFERROR(INDEX(((OFFSET(INDEX($D$22:$D$41,MATCH('Entrada de Dados'!$U$23,$D$22:$D$41,0),1),1,9,4,4))),MATCH((MIN(IF((OFFSET(INDEX($D$22:$D$41,MATCH('Entrada de Dados'!$U$23,$D$22:$D$41,0),1),1,9,4))&gt;=('Entrada de Dados'!$F$20),(OFFSET(INDEX($D$22:$D$41,MATCH('Entrada de Dados'!$U$23,$D$22:$D$41,0),1),1,9,4))))),((OFFSET(INDEX($D$22:$D$41,MATCH('Entrada de Dados'!$U$23,$D$22:$D$41,0),1),1,9,4))),0),3),(IFERROR(INDEX((OFFSET(INDEX($D$22:$D$41,MATCH('Entrada de Dados'!$U$23,$D$22:$D$41,0),1),1,9,4,4)),MATCH((MAX(IF((OFFSET(INDEX($D$22:$D$41,MATCH('Entrada de Dados'!$U$23,$D$22:$D$41,0),1),1,9,4))&lt;('Entrada de Dados'!$F$20),(OFFSET(INDEX($D$22:$D$41,MATCH('Entrada de Dados'!$U$23,$D$22:$D$41,0),1),1,9,4))))),(OFFSET(INDEX($D$22:$D$41,MATCH('Entrada de Dados'!$U$23,$D$22:$D$41,0),1),1,9,4)),0),3),INDEX((OFFSET(INDEX($D$22:$D$41,MATCH('Entrada de Dados'!$U$23,$D$22:$D$41,0),1),1,9,4,4)),MATCH((MIN(IF((OFFSET(INDEX($D$22:$D$41,MATCH('Entrada de Dados'!$U$23,$D$22:$D$41,0),1),1,9,4))&gt;=('Entrada de Dados'!$F$20),(OFFSET(INDEX($D$22:$D$41,MATCH('Entrada de Dados'!$U$23,$D$22:$D$41,0),1),1,9,4))))),(OFFSET(INDEX($D$22:$D$41,MATCH('Entrada de Dados'!$U$23,$D$22:$D$41,0),1),1,9,4)),0),3))))-IFERROR(INDEX(((OFFSET(INDEX($D$22:$D$41,MATCH('Entrada de Dados'!$U$23,$D$22:$D$41,0),1),1,9,4,4))),MATCH((MAX(IF((OFFSET(INDEX($D$22:$D$41,MATCH('Entrada de Dados'!$U$23,$D$22:$D$41,0),1),1,9,4))&lt;('Entrada de Dados'!$F$20),(OFFSET(INDEX($D$22:$D$41,MATCH('Entrada de Dados'!$U$23,$D$22:$D$41,0),1),1,9,4))))),((OFFSET(INDEX($D$22:$D$41,MATCH('Entrada de Dados'!$U$23,$D$22:$D$41,0),1),1,9,4))),0),3),(IFERROR(INDEX((OFFSET(INDEX($D$22:$D$41,MATCH('Entrada de Dados'!$U$23,$D$22:$D$41,0),1),1,9,4,4)),MATCH((MIN(IF((OFFSET(INDEX($D$22:$D$41,MATCH('Entrada de Dados'!$U$23,$D$22:$D$41,0),1),1,9,4))&gt;=('Entrada de Dados'!$F$20),(OFFSET(INDEX($D$22:$D$41,MATCH('Entrada de Dados'!$U$23,$D$22:$D$41,0),1),1,9,4))))),(OFFSET(INDEX($D$22:$D$41,MATCH('Entrada de Dados'!$U$23,$D$22:$D$41,0),1),1,9,4)),0),3),INDEX((OFFSET(INDEX($D$22:$D$41,MATCH('Entrada de Dados'!$U$23,$D$22:$D$41,0),1),1,9,4,4)),MATCH((MAX(IF((OFFSET(INDEX($D$22:$D$41,MATCH('Entrada de Dados'!$U$23,$D$22:$D$41,0),1),1,9,4))&lt;('Entrada de Dados'!$F$20),(OFFSET(INDEX($D$22:$D$41,MATCH('Entrada de Dados'!$U$23,$D$22:$D$41,0),1),1,9,4))))),(OFFSET(INDEX($D$22:$D$41,MATCH('Entrada de Dados'!$U$23,$D$22:$D$41,0),1),1,9,4)),0),3)))))/((MIN(IF((OFFSET(INDEX($D$22:$D$41,MATCH('Entrada de Dados'!$U$23,$D$22:$D$41,0),1),1,9,4))&gt;=('Entrada de Dados'!$F$20),(OFFSET(INDEX($D$22:$D$41,MATCH('Entrada de Dados'!$U$23,$D$22:$D$41,0),1),1,9,4)))))-(MAX(IF((OFFSET(INDEX($D$22:$D$41,MATCH('Entrada de Dados'!$U$23,$D$22:$D$41,0),1),1,9,4))&lt;('Entrada de Dados'!$F$20),(OFFSET(INDEX($D$22:$D$41,MATCH('Entrada de Dados'!$U$23,$D$22:$D$41,0),1),1,9,4)))))))</f>
        <v>-0.26582278481012656</v>
      </c>
      <c r="C6" s="334" t="s">
        <v>208</v>
      </c>
      <c r="D6" s="335">
        <f t="array" aca="1" ref="D6" ca="1">IF('Entrada de Dados'!$F$20="","-",(IFERROR(INDEX((OFFSET(INDEX($D$22:$D$41,MATCH('Entrada de Dados'!$U$23,$D$22:$D$41,0),1),1,9,4,4)),MATCH((MAX(IF((OFFSET(INDEX($D$22:$D$41,MATCH('Entrada de Dados'!$U$23,$D$22:$D$41,0),1),1,9,4))&lt;('Entrada de Dados'!$F$20),(OFFSET(INDEX($D$22:$D$41,MATCH('Entrada de Dados'!$U$23,$D$22:$D$41,0),1),1,9,4))))),(OFFSET(INDEX($D$22:$D$41,MATCH('Entrada de Dados'!$U$23,$D$22:$D$41,0),1),1,9,4)),0),3),INDEX((OFFSET(INDEX($D$22:$D$41,MATCH('Entrada de Dados'!$U$23,$D$22:$D$41,0),1),1,9,4,4)),MATCH((MIN(IF((OFFSET(INDEX($D$22:$D$41,MATCH('Entrada de Dados'!$U$23,$D$22:$D$41,0),1),1,9,4))&gt;=('Entrada de Dados'!$F$20),(OFFSET(INDEX($D$22:$D$41,MATCH('Entrada de Dados'!$U$23,$D$22:$D$41,0),1),1,9,4))))),(OFFSET(INDEX($D$22:$D$41,MATCH('Entrada de Dados'!$U$23,$D$22:$D$41,0),1),1,9,4)),0),3)))-(B6*(MAX(IF((OFFSET(INDEX($D$22:$D$41,MATCH('Entrada de Dados'!$U$23,$D$22:$D$41,0),1),1,9,4))&lt;('Entrada de Dados'!$F$20),(OFFSET(INDEX($D$22:$D$41,MATCH('Entrada de Dados'!$U$23,$D$22:$D$41,0),1),1,9,4)))))))</f>
        <v>13.797468354430379</v>
      </c>
      <c r="E6" s="74"/>
      <c r="F6" s="74"/>
      <c r="G6" s="74"/>
      <c r="H6" s="74"/>
      <c r="I6" s="74"/>
      <c r="L6" s="1213" t="s">
        <v>113</v>
      </c>
      <c r="M6" s="1214"/>
      <c r="N6" s="1214"/>
      <c r="O6" s="1215"/>
      <c r="R6" s="1153" t="s">
        <v>185</v>
      </c>
      <c r="S6" s="1154">
        <v>8600</v>
      </c>
      <c r="T6" s="1152">
        <v>85</v>
      </c>
      <c r="U6" s="1"/>
      <c r="V6" s="1"/>
      <c r="W6" s="1"/>
      <c r="X6" s="1"/>
      <c r="Y6" s="1"/>
      <c r="Z6" s="1"/>
      <c r="AA6" s="1"/>
      <c r="AB6" s="1"/>
      <c r="AC6" s="1"/>
      <c r="AD6" s="1"/>
      <c r="AE6" s="1"/>
      <c r="AF6" s="1"/>
    </row>
    <row r="7" spans="1:32" ht="15" customHeight="1" thickBot="1" x14ac:dyDescent="0.25">
      <c r="A7" s="67"/>
      <c r="E7" s="74"/>
      <c r="F7" s="336" t="s">
        <v>58</v>
      </c>
      <c r="G7" s="1168">
        <f ca="1">IF(G3="-","-",((0.348448*G3)-(0.009*G4)*(EXP(0.061*G5)))/(273.15+G5))</f>
        <v>1.1463381483018749</v>
      </c>
      <c r="H7" s="1168"/>
      <c r="I7" s="1166" t="s">
        <v>52</v>
      </c>
      <c r="J7" s="1167"/>
      <c r="L7" s="345"/>
      <c r="M7" s="68" t="s">
        <v>59</v>
      </c>
      <c r="N7" s="68" t="s">
        <v>60</v>
      </c>
      <c r="O7" s="69" t="s">
        <v>61</v>
      </c>
      <c r="Q7" s="79"/>
      <c r="R7" s="1153"/>
      <c r="S7" s="1154"/>
      <c r="T7" s="1152"/>
      <c r="U7" s="79"/>
      <c r="V7" s="79"/>
      <c r="X7" s="1"/>
      <c r="Y7" s="1"/>
      <c r="Z7" s="1"/>
      <c r="AA7" s="1"/>
      <c r="AB7" s="1"/>
      <c r="AC7" s="1"/>
      <c r="AD7" s="1"/>
      <c r="AE7" s="1"/>
      <c r="AF7" s="1"/>
    </row>
    <row r="8" spans="1:32" ht="15" customHeight="1" thickBot="1" x14ac:dyDescent="0.25">
      <c r="B8" s="1155" t="s">
        <v>210</v>
      </c>
      <c r="C8" s="1156"/>
      <c r="D8" s="1157"/>
      <c r="E8" s="74"/>
      <c r="L8" s="70" t="s">
        <v>63</v>
      </c>
      <c r="M8" s="338">
        <v>27</v>
      </c>
      <c r="N8" s="338">
        <v>80</v>
      </c>
      <c r="O8" s="339">
        <v>1100</v>
      </c>
      <c r="P8" s="1"/>
      <c r="Q8" s="3"/>
      <c r="R8" s="1153" t="s">
        <v>186</v>
      </c>
      <c r="S8" s="1154">
        <v>7950</v>
      </c>
      <c r="T8" s="1152">
        <v>70</v>
      </c>
      <c r="U8" s="3"/>
      <c r="V8" s="3"/>
      <c r="X8" s="1"/>
      <c r="Y8" s="1"/>
      <c r="Z8" s="1"/>
      <c r="AA8" s="1"/>
      <c r="AB8" s="1"/>
      <c r="AC8" s="1"/>
      <c r="AD8" s="1"/>
      <c r="AE8" s="1"/>
      <c r="AF8" s="1"/>
    </row>
    <row r="9" spans="1:32" ht="15" customHeight="1" thickBot="1" x14ac:dyDescent="0.25">
      <c r="A9" s="74"/>
      <c r="B9" s="333">
        <f t="array" aca="1" ref="B9" ca="1">IF('Entrada de Dados'!$L$20="","-",(IFERROR(INDEX(((OFFSET(INDEX($D$22:$D$41,MATCH('Entrada de Dados'!$U$23,$D$22:$D$41,0),1),1,13,4,5))),MATCH((MIN(IF((OFFSET(INDEX($D$22:$D$41,MATCH('Entrada de Dados'!$U$23,$D$22:$D$41,0),1),1,13,4))&gt;=('Entrada de Dados'!$L$20),(OFFSET(INDEX($D$22:$D$41,MATCH('Entrada de Dados'!$U$23,$D$22:$D$41,0),1),1,13,4))))),((OFFSET(INDEX($D$22:$D$41,MATCH('Entrada de Dados'!$U$23,$D$22:$D$41,0),1),1,13,4))),0),4),(IFERROR(INDEX((OFFSET(INDEX($D$22:$D$41,MATCH('Entrada de Dados'!$U$23,$D$22:$D$41,0),1),1,13,4,5)),MATCH((MAX(IF((OFFSET(INDEX($D$22:$D$41,MATCH('Entrada de Dados'!$U$23,$D$22:$D$41,0),1),1,13,4))&lt;('Entrada de Dados'!$L$20),(OFFSET(INDEX($D$22:$D$41,MATCH('Entrada de Dados'!$U$23,$D$22:$D$41,0),1),1,13,4))))),(OFFSET(INDEX($D$22:$D$41,MATCH('Entrada de Dados'!$U$23,$D$22:$D$41,0),1),1,13,4)),0),4),INDEX((OFFSET(INDEX($D$22:$D$41,MATCH('Entrada de Dados'!$U$23,$D$22:$D$41,0),1),1,13,4,5)),MATCH((MIN(IF((OFFSET(INDEX($D$22:$D$41,MATCH('Entrada de Dados'!$U$23,$D$22:$D$41,0),1),1,13,4))&gt;=('Entrada de Dados'!$L$20),(OFFSET(INDEX($D$22:$D$41,MATCH('Entrada de Dados'!$U$23,$D$22:$D$41,0),1),1,13,4))))),(OFFSET(INDEX($D$22:$D$41,MATCH('Entrada de Dados'!$U$23,$D$22:$D$41,0),1),1,13,4)),0),4))))-IFERROR(INDEX(((OFFSET(INDEX($D$22:$D$41,MATCH('Entrada de Dados'!$U$23,$D$22:$D$41,0),1),1,13,4,5))),MATCH((MAX(IF((OFFSET(INDEX($D$22:$D$41,MATCH('Entrada de Dados'!$U$23,$D$22:$D$41,0),1),1,13,4))&lt;('Entrada de Dados'!$L$20),(OFFSET(INDEX($D$22:$D$41,MATCH('Entrada de Dados'!$U$23,$D$22:$D$41,0),1),1,13,4))))),((OFFSET(INDEX($D$22:$D$41,MATCH('Entrada de Dados'!$U$23,$D$22:$D$41,0),1),1,13,4))),0),4),(IFERROR(INDEX((OFFSET(INDEX($D$22:$D$41,MATCH('Entrada de Dados'!$U$23,$D$22:$D$41,0),1),1,13,4,5)),MATCH((MIN(IF((OFFSET(INDEX($D$22:$D$41,MATCH('Entrada de Dados'!$U$23,$D$22:$D$41,0),1),1,13,4))&gt;=('Entrada de Dados'!$L$20),(OFFSET(INDEX($D$22:$D$41,MATCH('Entrada de Dados'!$U$23,$D$22:$D$41,0),1),1,13,4))))),(OFFSET(INDEX($D$22:$D$41,MATCH('Entrada de Dados'!$U$23,$D$22:$D$41,0),1),1,13,4)),0),4),INDEX((OFFSET(INDEX($D$22:$D$41,MATCH('Entrada de Dados'!$U$23,$D$22:$D$41,0),1),1,13,4,5)),MATCH((MAX(IF((OFFSET(INDEX($D$22:$D$41,MATCH('Entrada de Dados'!$U$23,$D$22:$D$41,0),1),1,13,4))&lt;('Entrada de Dados'!$L$20),(OFFSET(INDEX($D$22:$D$41,MATCH('Entrada de Dados'!$U$23,$D$22:$D$41,0),1),1,13,4))))),(OFFSET(INDEX($D$22:$D$41,MATCH('Entrada de Dados'!$U$23,$D$22:$D$41,0),1),1,13,4)),0),4)))))/((MIN(IF((OFFSET(INDEX($D$22:$D$41,MATCH('Entrada de Dados'!$U$23,$D$22:$D$41,0),1),1,13,4))&gt;=('Entrada de Dados'!$L$20),(OFFSET(INDEX($D$22:$D$41,MATCH('Entrada de Dados'!$U$23,$D$22:$D$41,0),1),1,13,4)))))-(MAX(IF((OFFSET(INDEX($D$22:$D$41,MATCH('Entrada de Dados'!$U$23,$D$22:$D$41,0),1),1,13,4))&lt;('Entrada de Dados'!$L$20),(OFFSET(INDEX($D$22:$D$41,MATCH('Entrada de Dados'!$U$23,$D$22:$D$41,0),1),1,13,4)))))))</f>
        <v>0</v>
      </c>
      <c r="C9" s="334" t="s">
        <v>208</v>
      </c>
      <c r="D9" s="335">
        <f t="array" aca="1" ref="D9" ca="1">IF('Entrada de Dados'!$L$20="","-",(IFERROR(INDEX((OFFSET(INDEX($D$22:$D$41,MATCH('Entrada de Dados'!$U$23,$D$22:$D$41,0),1),1,13,4,5)),MATCH((MAX(IF((OFFSET(INDEX($D$22:$D$41,MATCH('Entrada de Dados'!$U$23,$D$22:$D$41,0),1),1,13,4))&lt;('Entrada de Dados'!$L$20),(OFFSET(INDEX($D$22:$D$41,MATCH('Entrada de Dados'!$U$23,$D$22:$D$41,0),1),1,13,4))))),(OFFSET(INDEX($D$22:$D$41,MATCH('Entrada de Dados'!$U$23,$D$22:$D$41,0),1),1,13,4)),0),4),INDEX((OFFSET(INDEX($D$22:$D$41,MATCH('Entrada de Dados'!$U$23,$D$22:$D$41,0),1),1,13,4,5)),MATCH((MIN(IF((OFFSET(INDEX($D$22:$D$41,MATCH('Entrada de Dados'!$U$23,$D$22:$D$41,0),1),1,13,4))&gt;=('Entrada de Dados'!$L$20),(OFFSET(INDEX($D$22:$D$41,MATCH('Entrada de Dados'!$U$23,$D$22:$D$41,0),1),1,13,4))))),(OFFSET(INDEX($D$22:$D$41,MATCH('Entrada de Dados'!$U$23,$D$22:$D$41,0),1),1,13,4)),0),4)))-(B9*(MAX(IF((OFFSET(INDEX($D$22:$D$41,MATCH('Entrada de Dados'!$U$23,$D$22:$D$41,0),1),1,13,4))&lt;('Entrada de Dados'!$L$20),(OFFSET(INDEX($D$22:$D$41,MATCH('Entrada de Dados'!$U$23,$D$22:$D$41,0),1),1,13,4)))))))</f>
        <v>2</v>
      </c>
      <c r="E9" s="74"/>
      <c r="F9" s="336" t="s">
        <v>136</v>
      </c>
      <c r="G9" s="1174">
        <f ca="1">SQRT((O10*0.0001)+(0.000001*1.333333*M10*M10)+(0.0000000001*6.75*N10*N10)+(0.0000000576))</f>
        <v>8.2187937019423847E-3</v>
      </c>
      <c r="H9" s="1174"/>
      <c r="I9" s="337"/>
      <c r="J9" s="344"/>
      <c r="L9" s="72" t="s">
        <v>62</v>
      </c>
      <c r="M9" s="340">
        <v>15</v>
      </c>
      <c r="N9" s="340">
        <v>20</v>
      </c>
      <c r="O9" s="341">
        <v>600</v>
      </c>
      <c r="Q9" s="58"/>
      <c r="R9" s="1153"/>
      <c r="S9" s="1154"/>
      <c r="T9" s="1152"/>
      <c r="U9" s="58"/>
      <c r="V9" s="58"/>
      <c r="X9" s="1"/>
      <c r="Y9" s="1"/>
      <c r="Z9" s="1"/>
      <c r="AA9" s="1"/>
      <c r="AB9" s="1"/>
      <c r="AC9" s="1"/>
      <c r="AD9" s="1"/>
      <c r="AE9" s="1"/>
      <c r="AF9" s="1"/>
    </row>
    <row r="10" spans="1:32" ht="15" customHeight="1" thickBot="1" x14ac:dyDescent="0.25">
      <c r="A10" s="74"/>
      <c r="B10" s="74"/>
      <c r="C10" s="74"/>
      <c r="D10" s="74"/>
      <c r="E10" s="74"/>
      <c r="L10" s="193" t="s">
        <v>133</v>
      </c>
      <c r="M10" s="191">
        <f ca="1">IF(G5&lt;M9,((M9-G5)),IF(G5&gt;M8,(G5-M8),0))</f>
        <v>7.1146496815286611</v>
      </c>
      <c r="N10" s="191">
        <f ca="1">IF(G4&lt;N9,((N9-G4)),IF(G4&gt;N8,(G4-N8),0))</f>
        <v>0</v>
      </c>
      <c r="O10" s="192">
        <f ca="1">IF(AND(G3&lt;O8,G3&gt;O9),0,1)</f>
        <v>0</v>
      </c>
      <c r="Q10" s="71"/>
      <c r="R10" s="1153" t="s">
        <v>187</v>
      </c>
      <c r="S10" s="1154">
        <v>8400</v>
      </c>
      <c r="T10" s="1152">
        <v>85</v>
      </c>
      <c r="U10" s="71"/>
      <c r="V10" s="71"/>
      <c r="X10" s="1"/>
      <c r="Y10" s="1"/>
      <c r="Z10" s="1"/>
      <c r="AA10" s="1"/>
      <c r="AB10" s="1"/>
      <c r="AC10" s="1"/>
      <c r="AD10" s="1"/>
      <c r="AE10" s="1"/>
      <c r="AF10" s="1"/>
    </row>
    <row r="11" spans="1:32" ht="15" customHeight="1" thickBot="1" x14ac:dyDescent="0.25">
      <c r="A11" s="64"/>
      <c r="B11" s="1169" t="s">
        <v>53</v>
      </c>
      <c r="C11" s="1170"/>
      <c r="D11" s="1170"/>
      <c r="E11" s="1170"/>
      <c r="F11" s="1171"/>
      <c r="G11" s="74"/>
      <c r="H11" s="74"/>
      <c r="I11" s="74"/>
      <c r="Q11" s="71"/>
      <c r="R11" s="1153"/>
      <c r="S11" s="1154"/>
      <c r="T11" s="1152"/>
      <c r="U11" s="71"/>
      <c r="V11" s="71"/>
      <c r="X11" s="1"/>
      <c r="Y11" s="1"/>
      <c r="Z11" s="1"/>
      <c r="AA11" s="1"/>
      <c r="AB11" s="1"/>
      <c r="AC11" s="1"/>
      <c r="AD11" s="1"/>
      <c r="AE11" s="1"/>
      <c r="AF11" s="1"/>
    </row>
    <row r="12" spans="1:32" ht="15" customHeight="1" thickBot="1" x14ac:dyDescent="0.25">
      <c r="A12" s="197"/>
      <c r="B12" s="1172" t="s">
        <v>115</v>
      </c>
      <c r="C12" s="1159"/>
      <c r="D12" s="1159"/>
      <c r="E12" s="1159"/>
      <c r="F12" s="1160"/>
      <c r="I12" s="1"/>
      <c r="J12" s="1"/>
      <c r="Q12" s="71"/>
      <c r="R12" s="1153" t="s">
        <v>188</v>
      </c>
      <c r="S12" s="1154">
        <v>7700</v>
      </c>
      <c r="T12" s="1152">
        <v>200</v>
      </c>
      <c r="U12" s="71"/>
      <c r="V12" s="71"/>
      <c r="X12" s="1"/>
      <c r="Y12" s="1"/>
      <c r="Z12" s="1"/>
      <c r="AA12" s="1"/>
      <c r="AB12" s="1"/>
      <c r="AC12" s="1"/>
      <c r="AD12" s="1"/>
      <c r="AE12" s="1"/>
      <c r="AF12" s="1"/>
    </row>
    <row r="13" spans="1:32" ht="15" customHeight="1" thickBot="1" x14ac:dyDescent="0.25">
      <c r="B13" s="1172" t="s">
        <v>116</v>
      </c>
      <c r="C13" s="1159"/>
      <c r="D13" s="1159"/>
      <c r="E13" s="1159"/>
      <c r="F13" s="1160"/>
      <c r="Q13" s="78"/>
      <c r="R13" s="1153"/>
      <c r="S13" s="1154"/>
      <c r="T13" s="1152"/>
      <c r="U13" s="71"/>
      <c r="V13" s="71"/>
      <c r="X13" s="67"/>
      <c r="Y13" s="67"/>
      <c r="Z13" s="1"/>
      <c r="AA13" s="1"/>
      <c r="AB13" s="1"/>
      <c r="AC13" s="1"/>
      <c r="AD13" s="1"/>
      <c r="AE13" s="1"/>
      <c r="AF13" s="1"/>
    </row>
    <row r="14" spans="1:32" ht="15" customHeight="1" thickBot="1" x14ac:dyDescent="0.25">
      <c r="B14" s="1172" t="s">
        <v>54</v>
      </c>
      <c r="C14" s="1159"/>
      <c r="D14" s="1159"/>
      <c r="E14" s="1159"/>
      <c r="F14" s="1160"/>
      <c r="I14" s="67"/>
      <c r="J14" s="74"/>
      <c r="K14" s="74"/>
      <c r="L14" s="74"/>
      <c r="Q14" s="1"/>
      <c r="R14" s="1153" t="s">
        <v>189</v>
      </c>
      <c r="S14" s="1154">
        <v>8000</v>
      </c>
      <c r="T14" s="342" t="s">
        <v>190</v>
      </c>
      <c r="U14" s="1"/>
      <c r="V14" s="1"/>
      <c r="X14" s="1"/>
      <c r="Y14" s="1"/>
      <c r="Z14" s="1"/>
      <c r="AA14" s="1"/>
      <c r="AB14" s="1"/>
      <c r="AC14" s="1"/>
      <c r="AD14" s="1"/>
      <c r="AE14" s="1"/>
      <c r="AF14" s="1"/>
    </row>
    <row r="15" spans="1:32" ht="15" customHeight="1" thickBot="1" x14ac:dyDescent="0.25">
      <c r="B15" s="1158" t="s">
        <v>55</v>
      </c>
      <c r="C15" s="1159"/>
      <c r="D15" s="1159"/>
      <c r="E15" s="1159"/>
      <c r="F15" s="1160"/>
      <c r="K15" s="74"/>
      <c r="L15" s="197"/>
      <c r="R15" s="1153"/>
      <c r="S15" s="1154"/>
      <c r="T15" s="343">
        <v>1.2</v>
      </c>
      <c r="U15" s="1"/>
      <c r="V15" s="1"/>
      <c r="W15" s="1"/>
      <c r="X15" s="1"/>
      <c r="Y15" s="1"/>
      <c r="Z15" s="1"/>
      <c r="AA15" s="1"/>
      <c r="AB15" s="1"/>
      <c r="AC15" s="1"/>
      <c r="AD15" s="1"/>
      <c r="AE15" s="1"/>
      <c r="AF15" s="1"/>
    </row>
    <row r="16" spans="1:32" ht="15" customHeight="1" thickBot="1" x14ac:dyDescent="0.25">
      <c r="A16" s="1"/>
      <c r="B16" s="1163" t="s">
        <v>56</v>
      </c>
      <c r="C16" s="1164"/>
      <c r="D16" s="1164"/>
      <c r="E16" s="1164"/>
      <c r="F16" s="1165"/>
      <c r="I16" s="74"/>
      <c r="L16" s="74"/>
      <c r="R16" s="1"/>
      <c r="S16" s="1"/>
      <c r="T16" s="1"/>
      <c r="U16" s="1"/>
      <c r="V16" s="1"/>
      <c r="W16" s="1"/>
      <c r="X16" s="1"/>
      <c r="Y16" s="1"/>
      <c r="Z16" s="1"/>
      <c r="AA16" s="1"/>
      <c r="AB16" s="1"/>
      <c r="AC16" s="1"/>
      <c r="AD16" s="1"/>
      <c r="AE16" s="1"/>
      <c r="AF16" s="1"/>
    </row>
    <row r="17" spans="1:32" ht="15" customHeight="1" thickBot="1" x14ac:dyDescent="0.25">
      <c r="F17" s="1"/>
      <c r="G17" s="1"/>
      <c r="H17" s="1"/>
      <c r="I17" s="74"/>
      <c r="J17" s="74"/>
      <c r="K17" s="74"/>
      <c r="L17" s="74"/>
      <c r="R17" s="1"/>
      <c r="S17" s="1"/>
      <c r="T17" s="1"/>
      <c r="U17" s="1"/>
      <c r="V17" s="1"/>
      <c r="W17" s="1"/>
      <c r="X17" s="1"/>
      <c r="Y17" s="1"/>
      <c r="Z17" s="1"/>
      <c r="AA17" s="1"/>
      <c r="AB17" s="1"/>
      <c r="AC17" s="1"/>
      <c r="AD17" s="1"/>
      <c r="AE17" s="1"/>
      <c r="AF17" s="1"/>
    </row>
    <row r="18" spans="1:32" ht="12.75" customHeight="1" x14ac:dyDescent="0.2">
      <c r="A18" s="169"/>
      <c r="B18" s="1185" t="s">
        <v>117</v>
      </c>
      <c r="C18" s="1186"/>
      <c r="D18" s="1186"/>
      <c r="E18" s="1186"/>
      <c r="F18" s="1186"/>
      <c r="G18" s="1186"/>
      <c r="H18" s="1186"/>
      <c r="I18" s="1186"/>
      <c r="J18" s="1186"/>
      <c r="K18" s="1186"/>
      <c r="L18" s="1186"/>
      <c r="M18" s="1186"/>
      <c r="N18" s="1186"/>
      <c r="O18" s="1186"/>
      <c r="P18" s="1186"/>
      <c r="Q18" s="1186"/>
      <c r="R18" s="1186"/>
      <c r="S18" s="1186"/>
      <c r="T18" s="1186"/>
      <c r="U18" s="1187"/>
      <c r="V18" s="169"/>
      <c r="W18" s="169"/>
      <c r="X18" s="169"/>
      <c r="Y18" s="169"/>
      <c r="Z18" s="169"/>
      <c r="AA18" s="169"/>
    </row>
    <row r="19" spans="1:32" ht="12.75" customHeight="1" x14ac:dyDescent="0.2">
      <c r="A19" s="169"/>
      <c r="B19" s="1188" t="s">
        <v>3</v>
      </c>
      <c r="C19" s="764"/>
      <c r="D19" s="1192" t="s">
        <v>5</v>
      </c>
      <c r="E19" s="763"/>
      <c r="F19" s="763"/>
      <c r="G19" s="763"/>
      <c r="H19" s="764"/>
      <c r="I19" s="1196" t="s">
        <v>118</v>
      </c>
      <c r="J19" s="873"/>
      <c r="K19" s="873"/>
      <c r="L19" s="873"/>
      <c r="M19" s="873"/>
      <c r="N19" s="873"/>
      <c r="O19" s="873"/>
      <c r="P19" s="873"/>
      <c r="Q19" s="873"/>
      <c r="R19" s="873"/>
      <c r="S19" s="873"/>
      <c r="T19" s="873"/>
      <c r="U19" s="1197"/>
      <c r="V19" s="169"/>
      <c r="W19" s="169"/>
      <c r="X19" s="169"/>
      <c r="Y19" s="169"/>
      <c r="Z19" s="169"/>
      <c r="AA19" s="169"/>
    </row>
    <row r="20" spans="1:32" ht="12.75" customHeight="1" x14ac:dyDescent="0.2">
      <c r="A20" s="169"/>
      <c r="B20" s="1189"/>
      <c r="C20" s="798"/>
      <c r="D20" s="1193"/>
      <c r="E20" s="730"/>
      <c r="F20" s="730"/>
      <c r="G20" s="730"/>
      <c r="H20" s="798"/>
      <c r="I20" s="1198" t="s">
        <v>119</v>
      </c>
      <c r="J20" s="1199"/>
      <c r="K20" s="1199"/>
      <c r="L20" s="1200"/>
      <c r="M20" s="1198" t="s">
        <v>120</v>
      </c>
      <c r="N20" s="1199"/>
      <c r="O20" s="1199"/>
      <c r="P20" s="1200"/>
      <c r="Q20" s="1198" t="s">
        <v>121</v>
      </c>
      <c r="R20" s="1199"/>
      <c r="S20" s="1199"/>
      <c r="T20" s="1199"/>
      <c r="U20" s="1204"/>
      <c r="V20" s="169"/>
      <c r="W20" s="169"/>
      <c r="X20" s="169"/>
      <c r="Y20" s="169"/>
      <c r="Z20" s="169"/>
      <c r="AA20" s="169"/>
    </row>
    <row r="21" spans="1:32" ht="12.75" customHeight="1" thickBot="1" x14ac:dyDescent="0.25">
      <c r="A21" s="169"/>
      <c r="B21" s="1190"/>
      <c r="C21" s="1191"/>
      <c r="D21" s="1194"/>
      <c r="E21" s="1195"/>
      <c r="F21" s="1195"/>
      <c r="G21" s="1195"/>
      <c r="H21" s="1191"/>
      <c r="I21" s="1201"/>
      <c r="J21" s="1202"/>
      <c r="K21" s="1202"/>
      <c r="L21" s="1203"/>
      <c r="M21" s="1201"/>
      <c r="N21" s="1202"/>
      <c r="O21" s="1202"/>
      <c r="P21" s="1203"/>
      <c r="Q21" s="1201"/>
      <c r="R21" s="1202"/>
      <c r="S21" s="1202"/>
      <c r="T21" s="1202"/>
      <c r="U21" s="1205"/>
      <c r="V21" s="169"/>
      <c r="W21" s="169"/>
      <c r="X21" s="169"/>
      <c r="Y21" s="169"/>
      <c r="Z21" s="169"/>
      <c r="AA21" s="169"/>
    </row>
    <row r="22" spans="1:32" ht="12.75" customHeight="1" x14ac:dyDescent="0.2">
      <c r="A22" s="169"/>
      <c r="B22" s="1138">
        <v>1</v>
      </c>
      <c r="C22" s="1139"/>
      <c r="D22" s="1150" t="s">
        <v>122</v>
      </c>
      <c r="E22" s="1144"/>
      <c r="F22" s="1144"/>
      <c r="G22" s="1144"/>
      <c r="H22" s="1139"/>
      <c r="I22" s="1146" t="s">
        <v>205</v>
      </c>
      <c r="J22" s="1147"/>
      <c r="K22" s="1148" t="s">
        <v>123</v>
      </c>
      <c r="L22" s="1147"/>
      <c r="M22" s="1148" t="s">
        <v>205</v>
      </c>
      <c r="N22" s="1147"/>
      <c r="O22" s="1148" t="s">
        <v>123</v>
      </c>
      <c r="P22" s="1147"/>
      <c r="Q22" s="1148" t="s">
        <v>205</v>
      </c>
      <c r="R22" s="1148"/>
      <c r="S22" s="1147"/>
      <c r="T22" s="1146" t="s">
        <v>123</v>
      </c>
      <c r="U22" s="1149"/>
      <c r="V22" s="169"/>
      <c r="W22" s="169"/>
      <c r="X22" s="169"/>
      <c r="Y22" s="169"/>
      <c r="Z22" s="169"/>
      <c r="AA22" s="169"/>
    </row>
    <row r="23" spans="1:32" ht="12.75" customHeight="1" x14ac:dyDescent="0.2">
      <c r="A23" s="169"/>
      <c r="B23" s="1140"/>
      <c r="C23" s="1141"/>
      <c r="D23" s="1151"/>
      <c r="E23" s="707"/>
      <c r="F23" s="707"/>
      <c r="G23" s="707"/>
      <c r="H23" s="1141"/>
      <c r="I23" s="1133">
        <v>9.8000000000000007</v>
      </c>
      <c r="J23" s="1136"/>
      <c r="K23" s="1133">
        <v>-0.2</v>
      </c>
      <c r="L23" s="1136"/>
      <c r="M23" s="1133">
        <v>11.4</v>
      </c>
      <c r="N23" s="1136"/>
      <c r="O23" s="1133">
        <v>1.4</v>
      </c>
      <c r="P23" s="1136"/>
      <c r="Q23" s="1133">
        <v>597.5</v>
      </c>
      <c r="R23" s="1137"/>
      <c r="S23" s="1136"/>
      <c r="T23" s="1133">
        <v>2.5</v>
      </c>
      <c r="U23" s="1134"/>
      <c r="V23" s="169"/>
      <c r="W23" s="169"/>
      <c r="X23" s="169"/>
      <c r="Y23" s="169"/>
      <c r="Z23" s="169"/>
      <c r="AA23" s="169"/>
    </row>
    <row r="24" spans="1:32" ht="12.75" customHeight="1" x14ac:dyDescent="0.2">
      <c r="A24" s="169"/>
      <c r="B24" s="1140"/>
      <c r="C24" s="1141"/>
      <c r="D24" s="1151"/>
      <c r="E24" s="707"/>
      <c r="F24" s="707"/>
      <c r="G24" s="707"/>
      <c r="H24" s="1141"/>
      <c r="I24" s="1133">
        <v>34.6</v>
      </c>
      <c r="J24" s="1136"/>
      <c r="K24" s="1133">
        <v>-0.4</v>
      </c>
      <c r="L24" s="1136"/>
      <c r="M24" s="1133">
        <v>40.9</v>
      </c>
      <c r="N24" s="1136"/>
      <c r="O24" s="1133">
        <v>0.9</v>
      </c>
      <c r="P24" s="1136"/>
      <c r="Q24" s="1133">
        <v>897.5</v>
      </c>
      <c r="R24" s="1137"/>
      <c r="S24" s="1136"/>
      <c r="T24" s="1133">
        <v>2.6</v>
      </c>
      <c r="U24" s="1134"/>
      <c r="V24" s="169"/>
      <c r="W24" s="169"/>
      <c r="X24" s="169"/>
      <c r="Y24" s="169"/>
      <c r="Z24" s="169"/>
      <c r="AA24" s="169"/>
    </row>
    <row r="25" spans="1:32" ht="12.75" customHeight="1" x14ac:dyDescent="0.2">
      <c r="A25" s="169"/>
      <c r="B25" s="1140"/>
      <c r="C25" s="1141"/>
      <c r="D25" s="1151"/>
      <c r="E25" s="707"/>
      <c r="F25" s="707"/>
      <c r="G25" s="707"/>
      <c r="H25" s="1141"/>
      <c r="I25" s="1133">
        <v>59.2</v>
      </c>
      <c r="J25" s="1136"/>
      <c r="K25" s="1133">
        <v>-0.8</v>
      </c>
      <c r="L25" s="1136"/>
      <c r="M25" s="1133">
        <v>69.900000000000006</v>
      </c>
      <c r="N25" s="1136"/>
      <c r="O25" s="1133">
        <v>-0.1</v>
      </c>
      <c r="P25" s="1136"/>
      <c r="Q25" s="1133">
        <v>928.9</v>
      </c>
      <c r="R25" s="1137"/>
      <c r="S25" s="1136"/>
      <c r="T25" s="1133">
        <v>2.6</v>
      </c>
      <c r="U25" s="1134"/>
      <c r="V25" s="169"/>
      <c r="W25" s="169"/>
      <c r="X25" s="169"/>
      <c r="Y25" s="169"/>
      <c r="Z25" s="169"/>
      <c r="AA25" s="169"/>
    </row>
    <row r="26" spans="1:32" ht="12.75" customHeight="1" thickBot="1" x14ac:dyDescent="0.25">
      <c r="A26" s="169"/>
      <c r="B26" s="1140"/>
      <c r="C26" s="1141"/>
      <c r="D26" s="1151"/>
      <c r="E26" s="707"/>
      <c r="F26" s="707"/>
      <c r="G26" s="707"/>
      <c r="H26" s="1141"/>
      <c r="I26" s="1133" t="s">
        <v>114</v>
      </c>
      <c r="J26" s="1136"/>
      <c r="K26" s="1133" t="s">
        <v>114</v>
      </c>
      <c r="L26" s="1136"/>
      <c r="M26" s="1133">
        <v>93.6</v>
      </c>
      <c r="N26" s="1136"/>
      <c r="O26" s="1133">
        <v>-1.4</v>
      </c>
      <c r="P26" s="1136"/>
      <c r="Q26" s="1133">
        <v>1097.5</v>
      </c>
      <c r="R26" s="1137"/>
      <c r="S26" s="1136"/>
      <c r="T26" s="1133">
        <v>2.5</v>
      </c>
      <c r="U26" s="1134"/>
      <c r="V26" s="169"/>
      <c r="W26" s="169"/>
      <c r="X26" s="169"/>
      <c r="Y26" s="169"/>
      <c r="Z26" s="169"/>
      <c r="AA26" s="169"/>
    </row>
    <row r="27" spans="1:32" ht="12.75" customHeight="1" x14ac:dyDescent="0.2">
      <c r="A27" s="169"/>
      <c r="B27" s="1138">
        <v>2</v>
      </c>
      <c r="C27" s="1139"/>
      <c r="D27" s="1144" t="s">
        <v>348</v>
      </c>
      <c r="E27" s="1144"/>
      <c r="F27" s="1144"/>
      <c r="G27" s="1144"/>
      <c r="H27" s="1139"/>
      <c r="I27" s="1146" t="s">
        <v>205</v>
      </c>
      <c r="J27" s="1147"/>
      <c r="K27" s="1148" t="s">
        <v>123</v>
      </c>
      <c r="L27" s="1147"/>
      <c r="M27" s="1148" t="s">
        <v>205</v>
      </c>
      <c r="N27" s="1147"/>
      <c r="O27" s="1148" t="s">
        <v>123</v>
      </c>
      <c r="P27" s="1147"/>
      <c r="Q27" s="1148" t="s">
        <v>205</v>
      </c>
      <c r="R27" s="1148"/>
      <c r="S27" s="1147"/>
      <c r="T27" s="1146" t="s">
        <v>123</v>
      </c>
      <c r="U27" s="1149"/>
      <c r="V27" s="169"/>
      <c r="W27" s="169"/>
      <c r="X27" s="169"/>
      <c r="Y27" s="169"/>
      <c r="Z27" s="169"/>
      <c r="AA27" s="169"/>
    </row>
    <row r="28" spans="1:32" ht="12.75" customHeight="1" x14ac:dyDescent="0.2">
      <c r="A28" s="169"/>
      <c r="B28" s="1140"/>
      <c r="C28" s="1141"/>
      <c r="D28" s="707"/>
      <c r="E28" s="707"/>
      <c r="F28" s="707"/>
      <c r="G28" s="707"/>
      <c r="H28" s="1141"/>
      <c r="I28" s="1133">
        <v>15.2</v>
      </c>
      <c r="J28" s="1136"/>
      <c r="K28" s="1133">
        <v>0.2</v>
      </c>
      <c r="L28" s="1136"/>
      <c r="M28" s="1133">
        <v>16.3</v>
      </c>
      <c r="N28" s="1136"/>
      <c r="O28" s="1133">
        <v>1.3</v>
      </c>
      <c r="P28" s="1136"/>
      <c r="Q28" s="1133">
        <v>902</v>
      </c>
      <c r="R28" s="1137"/>
      <c r="S28" s="1136"/>
      <c r="T28" s="1133">
        <v>2</v>
      </c>
      <c r="U28" s="1134"/>
      <c r="V28" s="169"/>
      <c r="W28" s="169"/>
      <c r="X28" s="169"/>
      <c r="Y28" s="169"/>
      <c r="Z28" s="169"/>
      <c r="AA28" s="169"/>
    </row>
    <row r="29" spans="1:32" ht="12.75" customHeight="1" x14ac:dyDescent="0.2">
      <c r="A29" s="169"/>
      <c r="B29" s="1140"/>
      <c r="C29" s="1141"/>
      <c r="D29" s="707"/>
      <c r="E29" s="707"/>
      <c r="F29" s="707"/>
      <c r="G29" s="707"/>
      <c r="H29" s="1141"/>
      <c r="I29" s="1133">
        <v>24.7</v>
      </c>
      <c r="J29" s="1136"/>
      <c r="K29" s="1133">
        <v>-0.3</v>
      </c>
      <c r="L29" s="1136"/>
      <c r="M29" s="1133">
        <v>42.5</v>
      </c>
      <c r="N29" s="1136"/>
      <c r="O29" s="1133">
        <v>2.5</v>
      </c>
      <c r="P29" s="1136"/>
      <c r="Q29" s="1133">
        <v>938</v>
      </c>
      <c r="R29" s="1137"/>
      <c r="S29" s="1136"/>
      <c r="T29" s="1133">
        <v>-2</v>
      </c>
      <c r="U29" s="1134"/>
      <c r="V29" s="169"/>
      <c r="W29" s="169"/>
      <c r="X29" s="169"/>
      <c r="Y29" s="169"/>
      <c r="Z29" s="169"/>
      <c r="AA29" s="169"/>
    </row>
    <row r="30" spans="1:32" ht="12.75" customHeight="1" x14ac:dyDescent="0.2">
      <c r="A30" s="169"/>
      <c r="B30" s="1140"/>
      <c r="C30" s="1141"/>
      <c r="D30" s="707"/>
      <c r="E30" s="707"/>
      <c r="F30" s="707"/>
      <c r="G30" s="707"/>
      <c r="H30" s="1141"/>
      <c r="I30" s="1133">
        <v>40.4</v>
      </c>
      <c r="J30" s="1136"/>
      <c r="K30" s="1133">
        <v>0.4</v>
      </c>
      <c r="L30" s="1136"/>
      <c r="M30" s="1133">
        <v>66.2</v>
      </c>
      <c r="N30" s="1136"/>
      <c r="O30" s="1133">
        <v>-3.8</v>
      </c>
      <c r="P30" s="1136"/>
      <c r="Q30" s="1133">
        <v>980</v>
      </c>
      <c r="R30" s="1137"/>
      <c r="S30" s="1136"/>
      <c r="T30" s="1133">
        <v>2</v>
      </c>
      <c r="U30" s="1134"/>
      <c r="V30" s="169"/>
      <c r="W30" s="169"/>
      <c r="X30" s="169"/>
      <c r="Y30" s="169"/>
      <c r="Z30" s="169"/>
      <c r="AA30" s="169"/>
    </row>
    <row r="31" spans="1:32" ht="12.75" customHeight="1" thickBot="1" x14ac:dyDescent="0.25">
      <c r="A31" s="169"/>
      <c r="B31" s="1142"/>
      <c r="C31" s="1143"/>
      <c r="D31" s="1145"/>
      <c r="E31" s="1145"/>
      <c r="F31" s="1145"/>
      <c r="G31" s="1145"/>
      <c r="H31" s="1143"/>
      <c r="I31" s="1133" t="s">
        <v>114</v>
      </c>
      <c r="J31" s="1136"/>
      <c r="K31" s="1133" t="s">
        <v>114</v>
      </c>
      <c r="L31" s="1136"/>
      <c r="M31" s="1133" t="s">
        <v>114</v>
      </c>
      <c r="N31" s="1136"/>
      <c r="O31" s="1133" t="s">
        <v>114</v>
      </c>
      <c r="P31" s="1136"/>
      <c r="Q31" s="1129" t="s">
        <v>114</v>
      </c>
      <c r="R31" s="1131"/>
      <c r="S31" s="1130"/>
      <c r="T31" s="1133" t="s">
        <v>114</v>
      </c>
      <c r="U31" s="1136"/>
      <c r="V31" s="169"/>
      <c r="W31" s="169"/>
      <c r="X31" s="169"/>
      <c r="Y31" s="169"/>
      <c r="Z31" s="169"/>
      <c r="AA31" s="169"/>
    </row>
    <row r="32" spans="1:32" ht="12.75" customHeight="1" x14ac:dyDescent="0.2">
      <c r="A32" s="169"/>
      <c r="B32" s="1138">
        <v>3</v>
      </c>
      <c r="C32" s="1139"/>
      <c r="D32" s="1144"/>
      <c r="E32" s="1144"/>
      <c r="F32" s="1144"/>
      <c r="G32" s="1144"/>
      <c r="H32" s="1139"/>
      <c r="I32" s="1146" t="s">
        <v>205</v>
      </c>
      <c r="J32" s="1147"/>
      <c r="K32" s="1148" t="s">
        <v>123</v>
      </c>
      <c r="L32" s="1147"/>
      <c r="M32" s="1148" t="s">
        <v>205</v>
      </c>
      <c r="N32" s="1147"/>
      <c r="O32" s="1148" t="s">
        <v>123</v>
      </c>
      <c r="P32" s="1147"/>
      <c r="Q32" s="1148" t="s">
        <v>205</v>
      </c>
      <c r="R32" s="1148"/>
      <c r="S32" s="1147"/>
      <c r="T32" s="1146" t="s">
        <v>123</v>
      </c>
      <c r="U32" s="1149"/>
      <c r="V32" s="169"/>
      <c r="W32" s="169"/>
      <c r="X32" s="169"/>
      <c r="Y32" s="169"/>
      <c r="Z32" s="169"/>
      <c r="AA32" s="169"/>
    </row>
    <row r="33" spans="1:32" ht="12.75" customHeight="1" x14ac:dyDescent="0.2">
      <c r="A33" s="169"/>
      <c r="B33" s="1140"/>
      <c r="C33" s="1141"/>
      <c r="D33" s="707"/>
      <c r="E33" s="707"/>
      <c r="F33" s="707"/>
      <c r="G33" s="707"/>
      <c r="H33" s="1141"/>
      <c r="I33" s="1133"/>
      <c r="J33" s="1136"/>
      <c r="K33" s="1133"/>
      <c r="L33" s="1136"/>
      <c r="M33" s="1133"/>
      <c r="N33" s="1136"/>
      <c r="O33" s="1133"/>
      <c r="P33" s="1136"/>
      <c r="Q33" s="1133"/>
      <c r="R33" s="1137"/>
      <c r="S33" s="1136"/>
      <c r="T33" s="1133"/>
      <c r="U33" s="1134"/>
      <c r="V33" s="169"/>
      <c r="W33" s="169"/>
      <c r="X33" s="169"/>
      <c r="Y33" s="169"/>
      <c r="Z33" s="169"/>
      <c r="AA33" s="169"/>
    </row>
    <row r="34" spans="1:32" ht="12.75" customHeight="1" x14ac:dyDescent="0.2">
      <c r="A34" s="1"/>
      <c r="B34" s="1140"/>
      <c r="C34" s="1141"/>
      <c r="D34" s="707"/>
      <c r="E34" s="707"/>
      <c r="F34" s="707"/>
      <c r="G34" s="707"/>
      <c r="H34" s="1141"/>
      <c r="I34" s="1133"/>
      <c r="J34" s="1136"/>
      <c r="K34" s="1133"/>
      <c r="L34" s="1136"/>
      <c r="M34" s="1133"/>
      <c r="N34" s="1136"/>
      <c r="O34" s="1133"/>
      <c r="P34" s="1136"/>
      <c r="Q34" s="1133"/>
      <c r="R34" s="1137"/>
      <c r="S34" s="1136"/>
      <c r="T34" s="1133"/>
      <c r="U34" s="1134"/>
      <c r="V34" s="1"/>
      <c r="W34" s="1"/>
      <c r="X34" s="1"/>
      <c r="Y34" s="1"/>
      <c r="Z34" s="1"/>
      <c r="AA34" s="1"/>
      <c r="AB34" s="1"/>
      <c r="AC34" s="1"/>
      <c r="AD34" s="1"/>
      <c r="AE34" s="1"/>
      <c r="AF34" s="1"/>
    </row>
    <row r="35" spans="1:32" ht="12.75" customHeight="1" x14ac:dyDescent="0.2">
      <c r="A35" s="1"/>
      <c r="B35" s="1140"/>
      <c r="C35" s="1141"/>
      <c r="D35" s="707"/>
      <c r="E35" s="707"/>
      <c r="F35" s="707"/>
      <c r="G35" s="707"/>
      <c r="H35" s="1141"/>
      <c r="I35" s="1133"/>
      <c r="J35" s="1136"/>
      <c r="K35" s="1133"/>
      <c r="L35" s="1136"/>
      <c r="M35" s="1133"/>
      <c r="N35" s="1136"/>
      <c r="O35" s="1133"/>
      <c r="P35" s="1136"/>
      <c r="Q35" s="1133"/>
      <c r="R35" s="1137"/>
      <c r="S35" s="1136"/>
      <c r="T35" s="1133"/>
      <c r="U35" s="1134"/>
      <c r="V35" s="1"/>
      <c r="W35" s="1"/>
      <c r="X35" s="1"/>
      <c r="Y35" s="1"/>
      <c r="Z35" s="1"/>
      <c r="AA35" s="1"/>
      <c r="AB35" s="1"/>
      <c r="AC35" s="1"/>
      <c r="AD35" s="1"/>
      <c r="AE35" s="1"/>
      <c r="AF35" s="1"/>
    </row>
    <row r="36" spans="1:32" ht="12.75" customHeight="1" thickBot="1" x14ac:dyDescent="0.25">
      <c r="A36" s="1"/>
      <c r="B36" s="1142"/>
      <c r="C36" s="1143"/>
      <c r="D36" s="1145"/>
      <c r="E36" s="1145"/>
      <c r="F36" s="1145"/>
      <c r="G36" s="1145"/>
      <c r="H36" s="1143"/>
      <c r="I36" s="1135"/>
      <c r="J36" s="1130"/>
      <c r="K36" s="1135"/>
      <c r="L36" s="1130"/>
      <c r="M36" s="1129"/>
      <c r="N36" s="1130"/>
      <c r="O36" s="1129"/>
      <c r="P36" s="1130"/>
      <c r="Q36" s="1129"/>
      <c r="R36" s="1131"/>
      <c r="S36" s="1130"/>
      <c r="T36" s="1129"/>
      <c r="U36" s="1132"/>
      <c r="V36" s="1"/>
      <c r="W36" s="1"/>
      <c r="X36" s="1"/>
      <c r="Y36" s="1"/>
      <c r="Z36" s="1"/>
      <c r="AA36" s="1"/>
      <c r="AB36" s="1"/>
      <c r="AC36" s="1"/>
      <c r="AD36" s="1"/>
      <c r="AE36" s="1"/>
      <c r="AF36" s="1"/>
    </row>
    <row r="37" spans="1:32" ht="12.75" customHeight="1" x14ac:dyDescent="0.2">
      <c r="A37" s="1"/>
      <c r="B37" s="1138">
        <v>4</v>
      </c>
      <c r="C37" s="1139"/>
      <c r="D37" s="1144"/>
      <c r="E37" s="1144"/>
      <c r="F37" s="1144"/>
      <c r="G37" s="1144"/>
      <c r="H37" s="1139"/>
      <c r="I37" s="1146" t="s">
        <v>205</v>
      </c>
      <c r="J37" s="1147"/>
      <c r="K37" s="1148" t="s">
        <v>123</v>
      </c>
      <c r="L37" s="1147"/>
      <c r="M37" s="1148" t="s">
        <v>205</v>
      </c>
      <c r="N37" s="1147"/>
      <c r="O37" s="1148" t="s">
        <v>123</v>
      </c>
      <c r="P37" s="1147"/>
      <c r="Q37" s="1148" t="s">
        <v>205</v>
      </c>
      <c r="R37" s="1148"/>
      <c r="S37" s="1147"/>
      <c r="T37" s="1146" t="s">
        <v>123</v>
      </c>
      <c r="U37" s="1149"/>
      <c r="V37" s="1"/>
      <c r="W37" s="1"/>
      <c r="X37" s="1"/>
      <c r="Y37" s="1"/>
      <c r="Z37" s="1"/>
      <c r="AA37" s="1"/>
      <c r="AB37" s="1"/>
      <c r="AC37" s="1"/>
      <c r="AD37" s="1"/>
      <c r="AE37" s="1"/>
      <c r="AF37" s="1"/>
    </row>
    <row r="38" spans="1:32" ht="12.75" customHeight="1" x14ac:dyDescent="0.2">
      <c r="A38" s="1"/>
      <c r="B38" s="1140"/>
      <c r="C38" s="1141"/>
      <c r="D38" s="707"/>
      <c r="E38" s="707"/>
      <c r="F38" s="707"/>
      <c r="G38" s="707"/>
      <c r="H38" s="1141"/>
      <c r="I38" s="1133"/>
      <c r="J38" s="1136"/>
      <c r="K38" s="1133"/>
      <c r="L38" s="1136"/>
      <c r="M38" s="1133"/>
      <c r="N38" s="1136"/>
      <c r="O38" s="1133"/>
      <c r="P38" s="1136"/>
      <c r="Q38" s="1133"/>
      <c r="R38" s="1137"/>
      <c r="S38" s="1136"/>
      <c r="T38" s="1133"/>
      <c r="U38" s="1134"/>
      <c r="V38" s="1"/>
      <c r="W38" s="1"/>
      <c r="X38" s="1"/>
      <c r="Y38" s="1"/>
      <c r="Z38" s="1"/>
      <c r="AA38" s="1"/>
      <c r="AB38" s="1"/>
      <c r="AC38" s="1"/>
      <c r="AD38" s="1"/>
      <c r="AE38" s="1"/>
      <c r="AF38" s="1"/>
    </row>
    <row r="39" spans="1:32" ht="12.75" customHeight="1" x14ac:dyDescent="0.2">
      <c r="A39" s="1"/>
      <c r="B39" s="1140"/>
      <c r="C39" s="1141"/>
      <c r="D39" s="707"/>
      <c r="E39" s="707"/>
      <c r="F39" s="707"/>
      <c r="G39" s="707"/>
      <c r="H39" s="1141"/>
      <c r="I39" s="1133"/>
      <c r="J39" s="1136"/>
      <c r="K39" s="1133"/>
      <c r="L39" s="1136"/>
      <c r="M39" s="1133"/>
      <c r="N39" s="1136"/>
      <c r="O39" s="1133"/>
      <c r="P39" s="1136"/>
      <c r="Q39" s="1133"/>
      <c r="R39" s="1137"/>
      <c r="S39" s="1136"/>
      <c r="T39" s="1133"/>
      <c r="U39" s="1134"/>
      <c r="V39" s="1"/>
      <c r="W39" s="1"/>
      <c r="X39" s="1"/>
      <c r="Y39" s="1"/>
      <c r="Z39" s="1"/>
      <c r="AA39" s="1"/>
      <c r="AB39" s="1"/>
      <c r="AC39" s="1"/>
      <c r="AD39" s="1"/>
      <c r="AE39" s="1"/>
      <c r="AF39" s="1"/>
    </row>
    <row r="40" spans="1:32" ht="12.75" customHeight="1" x14ac:dyDescent="0.2">
      <c r="A40" s="1"/>
      <c r="B40" s="1140"/>
      <c r="C40" s="1141"/>
      <c r="D40" s="707"/>
      <c r="E40" s="707"/>
      <c r="F40" s="707"/>
      <c r="G40" s="707"/>
      <c r="H40" s="1141"/>
      <c r="I40" s="1133"/>
      <c r="J40" s="1136"/>
      <c r="K40" s="1133"/>
      <c r="L40" s="1136"/>
      <c r="M40" s="1133"/>
      <c r="N40" s="1136"/>
      <c r="O40" s="1133"/>
      <c r="P40" s="1136"/>
      <c r="Q40" s="1133"/>
      <c r="R40" s="1137"/>
      <c r="S40" s="1136"/>
      <c r="T40" s="1133"/>
      <c r="U40" s="1134"/>
      <c r="V40" s="1"/>
      <c r="W40" s="1"/>
      <c r="X40" s="1"/>
      <c r="Y40" s="1"/>
      <c r="Z40" s="1"/>
      <c r="AA40" s="1"/>
      <c r="AB40" s="1"/>
      <c r="AC40" s="1"/>
      <c r="AD40" s="1"/>
      <c r="AE40" s="1"/>
      <c r="AF40" s="1"/>
    </row>
    <row r="41" spans="1:32" ht="12.75" customHeight="1" thickBot="1" x14ac:dyDescent="0.25">
      <c r="A41" s="1"/>
      <c r="B41" s="1142"/>
      <c r="C41" s="1143"/>
      <c r="D41" s="1145"/>
      <c r="E41" s="1145"/>
      <c r="F41" s="1145"/>
      <c r="G41" s="1145"/>
      <c r="H41" s="1143"/>
      <c r="I41" s="1135"/>
      <c r="J41" s="1130"/>
      <c r="K41" s="1135"/>
      <c r="L41" s="1130"/>
      <c r="M41" s="1129"/>
      <c r="N41" s="1130"/>
      <c r="O41" s="1129"/>
      <c r="P41" s="1130"/>
      <c r="Q41" s="1129"/>
      <c r="R41" s="1131"/>
      <c r="S41" s="1130"/>
      <c r="T41" s="1129"/>
      <c r="U41" s="1132"/>
      <c r="V41" s="1"/>
      <c r="W41" s="1"/>
      <c r="X41" s="1"/>
      <c r="Y41" s="1"/>
      <c r="Z41" s="1"/>
      <c r="AA41" s="1"/>
      <c r="AB41" s="1"/>
      <c r="AC41" s="1"/>
      <c r="AD41" s="1"/>
      <c r="AE41" s="1"/>
      <c r="AF41" s="1"/>
    </row>
    <row r="42" spans="1:32" ht="12.75" customHeight="1" x14ac:dyDescent="0.2">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row>
    <row r="43" spans="1:32" ht="12.75" customHeight="1" x14ac:dyDescent="0.2">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row>
    <row r="44" spans="1:32" ht="12.75" customHeight="1" x14ac:dyDescent="0.2">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row>
    <row r="45" spans="1:32" ht="12.75" customHeight="1" x14ac:dyDescent="0.2">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row>
    <row r="46" spans="1:32" ht="12.75" customHeight="1" x14ac:dyDescent="0.2">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row>
    <row r="47" spans="1:32" ht="12.75" customHeight="1" x14ac:dyDescent="0.2">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row>
    <row r="48" spans="1:32" ht="12.75" customHeight="1" x14ac:dyDescent="0.2">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row>
    <row r="49" spans="1:32" ht="12.75" customHeight="1" x14ac:dyDescent="0.2">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row>
    <row r="50" spans="1:32" ht="12.75" customHeight="1" x14ac:dyDescent="0.2">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row>
    <row r="51" spans="1:32" ht="12.75" customHeight="1" x14ac:dyDescent="0.2">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row>
    <row r="52" spans="1:32" ht="12.75" customHeight="1" x14ac:dyDescent="0.2">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row>
    <row r="53" spans="1:32" ht="12.75" customHeight="1" x14ac:dyDescent="0.2">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row>
    <row r="54" spans="1:32" ht="12.75" customHeight="1" x14ac:dyDescent="0.2">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row>
    <row r="55" spans="1:32" ht="12.75" customHeight="1" x14ac:dyDescent="0.2">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row>
    <row r="56" spans="1:32" ht="12.75" customHeight="1" x14ac:dyDescent="0.2">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row>
    <row r="57" spans="1:32" ht="12.75" customHeight="1" x14ac:dyDescent="0.2">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row>
    <row r="58" spans="1:32" ht="12.75" customHeight="1" x14ac:dyDescent="0.2">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row>
    <row r="59" spans="1:32" ht="12.75" customHeight="1" x14ac:dyDescent="0.2">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row>
    <row r="60" spans="1:32" ht="12.75" customHeight="1" x14ac:dyDescent="0.2">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row>
    <row r="61" spans="1:32" ht="12.75" customHeight="1" x14ac:dyDescent="0.2">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row>
    <row r="62" spans="1:32" ht="12.75" customHeight="1" x14ac:dyDescent="0.2">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row>
    <row r="63" spans="1:32" ht="12.75" customHeight="1" x14ac:dyDescent="0.2">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row>
    <row r="64" spans="1:32" ht="12.75" customHeight="1" x14ac:dyDescent="0.2">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row>
    <row r="65" spans="1:32" ht="12.75" customHeight="1" x14ac:dyDescent="0.2">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row>
    <row r="66" spans="1:32" ht="12.75" customHeight="1" x14ac:dyDescent="0.2">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row>
    <row r="67" spans="1:32" ht="12.75" customHeight="1" x14ac:dyDescent="0.2">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row>
    <row r="68" spans="1:32" ht="12.75" customHeight="1" x14ac:dyDescent="0.2">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row>
    <row r="69" spans="1:32" ht="12.75" customHeight="1" x14ac:dyDescent="0.2">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row>
    <row r="70" spans="1:32" ht="12.75" customHeight="1" x14ac:dyDescent="0.2">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row>
    <row r="71" spans="1:32" ht="12.75" customHeight="1" x14ac:dyDescent="0.2">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row>
    <row r="72" spans="1:32" ht="12.75" customHeight="1" x14ac:dyDescent="0.2">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row>
    <row r="73" spans="1:32" ht="12.75" customHeight="1" x14ac:dyDescent="0.2">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row>
    <row r="74" spans="1:32" ht="12.75" customHeight="1" x14ac:dyDescent="0.2">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row>
    <row r="75" spans="1:32" ht="12.75" customHeight="1" x14ac:dyDescent="0.2">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row>
    <row r="76" spans="1:32" ht="12.75" customHeight="1" x14ac:dyDescent="0.2">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row>
    <row r="77" spans="1:32" ht="12.75" customHeight="1" x14ac:dyDescent="0.2">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row>
    <row r="78" spans="1:32" ht="12.75" customHeight="1" x14ac:dyDescent="0.2">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row>
    <row r="79" spans="1:32" ht="12.75" customHeight="1" x14ac:dyDescent="0.2">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row>
    <row r="80" spans="1:32" ht="12.75" customHeight="1" x14ac:dyDescent="0.2">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row>
    <row r="81" spans="1:32" ht="12.75" customHeight="1" x14ac:dyDescent="0.2">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row>
    <row r="82" spans="1:32" ht="12.75" customHeight="1" x14ac:dyDescent="0.2">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row>
    <row r="83" spans="1:32" ht="12.75" customHeight="1" x14ac:dyDescent="0.2">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row>
    <row r="84" spans="1:32" ht="12.75" customHeight="1" x14ac:dyDescent="0.2">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row>
    <row r="85" spans="1:32" ht="12.75" customHeight="1" x14ac:dyDescent="0.2">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row>
    <row r="86" spans="1:32" ht="12.75" customHeight="1" x14ac:dyDescent="0.2">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row>
    <row r="87" spans="1:32" ht="12.75" customHeight="1" x14ac:dyDescent="0.2">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row>
    <row r="88" spans="1:32" ht="12.75" customHeight="1" x14ac:dyDescent="0.2">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row>
    <row r="89" spans="1:32" ht="12.75" customHeight="1" x14ac:dyDescent="0.2">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row>
    <row r="90" spans="1:32" ht="12.75" customHeight="1" x14ac:dyDescent="0.2">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row>
    <row r="91" spans="1:32" ht="12.75" customHeight="1" x14ac:dyDescent="0.2">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row>
    <row r="92" spans="1:32" ht="12.75" customHeight="1" x14ac:dyDescent="0.2">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row>
    <row r="93" spans="1:32" ht="12.75" customHeight="1" x14ac:dyDescent="0.2">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row>
    <row r="94" spans="1:32" ht="12.75" customHeight="1" x14ac:dyDescent="0.2">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row>
    <row r="95" spans="1:32" ht="12.75" customHeight="1" x14ac:dyDescent="0.2">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row>
    <row r="96" spans="1:32" ht="12.75" customHeight="1" x14ac:dyDescent="0.2">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row>
    <row r="97" spans="1:32" ht="12.75" customHeight="1" x14ac:dyDescent="0.2">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row>
    <row r="98" spans="1:32" ht="12.75" customHeight="1" x14ac:dyDescent="0.2">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row>
    <row r="99" spans="1:32" ht="12.75" customHeight="1" x14ac:dyDescent="0.2">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row>
    <row r="100" spans="1:32" ht="12.75" customHeight="1" x14ac:dyDescent="0.2">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row>
    <row r="101" spans="1:32" ht="12.75" customHeight="1" x14ac:dyDescent="0.2">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row>
    <row r="102" spans="1:32" ht="12.75" customHeight="1" x14ac:dyDescent="0.2">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row>
    <row r="103" spans="1:32" ht="12.75" customHeight="1" x14ac:dyDescent="0.2">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row>
    <row r="104" spans="1:32" ht="12.75" customHeight="1" x14ac:dyDescent="0.2">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row>
    <row r="105" spans="1:32" ht="12.75" customHeight="1" x14ac:dyDescent="0.2">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row>
    <row r="106" spans="1:32" ht="12.75" customHeight="1" x14ac:dyDescent="0.2">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row>
    <row r="107" spans="1:32" ht="12.75" customHeight="1" x14ac:dyDescent="0.2">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row>
    <row r="108" spans="1:32" ht="12.75" customHeight="1" x14ac:dyDescent="0.2">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row>
    <row r="109" spans="1:32" ht="12.75" customHeight="1" x14ac:dyDescent="0.2">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row>
    <row r="110" spans="1:32" ht="12.75" customHeight="1" x14ac:dyDescent="0.2">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row>
    <row r="111" spans="1:32" ht="12.75" customHeight="1" x14ac:dyDescent="0.2">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row>
    <row r="112" spans="1:32" ht="12.75" customHeight="1" x14ac:dyDescent="0.2">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row>
    <row r="113" spans="1:32" ht="12.75" customHeight="1" x14ac:dyDescent="0.2">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row>
    <row r="114" spans="1:32" ht="12.75" customHeight="1" x14ac:dyDescent="0.2">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row>
    <row r="115" spans="1:32" ht="12.75" customHeight="1" x14ac:dyDescent="0.2">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row>
    <row r="116" spans="1:32" ht="12.75" customHeight="1" x14ac:dyDescent="0.2">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row>
    <row r="117" spans="1:32" ht="12.75" customHeight="1" x14ac:dyDescent="0.2">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row>
    <row r="118" spans="1:32" ht="12.75" customHeight="1" x14ac:dyDescent="0.2">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row>
    <row r="119" spans="1:32" ht="12.75" customHeight="1" x14ac:dyDescent="0.2">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row>
    <row r="120" spans="1:32" ht="12.75" customHeight="1" x14ac:dyDescent="0.2">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row>
    <row r="121" spans="1:32" ht="12.75" customHeight="1" x14ac:dyDescent="0.2">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row>
    <row r="122" spans="1:32" ht="12.75" customHeight="1" x14ac:dyDescent="0.2">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row>
    <row r="123" spans="1:32" ht="12.75" customHeight="1" x14ac:dyDescent="0.2">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row>
    <row r="124" spans="1:32" ht="12.75" customHeight="1" x14ac:dyDescent="0.2">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row>
    <row r="125" spans="1:32" ht="12.75" customHeight="1" x14ac:dyDescent="0.2">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row>
    <row r="126" spans="1:32" ht="12.75" customHeight="1" x14ac:dyDescent="0.2">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row>
    <row r="127" spans="1:32" ht="12.75" customHeight="1" x14ac:dyDescent="0.2">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row>
    <row r="128" spans="1:32" ht="12.75" customHeight="1" x14ac:dyDescent="0.2">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row>
    <row r="129" spans="1:32" ht="12.75" customHeight="1" x14ac:dyDescent="0.2">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row>
    <row r="130" spans="1:32" ht="12.75" customHeight="1" x14ac:dyDescent="0.2">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row>
    <row r="131" spans="1:32" ht="12.75" customHeight="1" x14ac:dyDescent="0.2">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row>
    <row r="132" spans="1:32" ht="12.75" customHeight="1" x14ac:dyDescent="0.2">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row>
    <row r="133" spans="1:32" ht="12.75" customHeight="1" x14ac:dyDescent="0.2">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row>
    <row r="134" spans="1:32" ht="12.75" customHeight="1" x14ac:dyDescent="0.2">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row>
    <row r="135" spans="1:32" ht="12.75" customHeight="1" x14ac:dyDescent="0.2">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row>
    <row r="136" spans="1:32" ht="12.75" customHeight="1" x14ac:dyDescent="0.2">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row>
    <row r="137" spans="1:32" ht="12.75" customHeight="1" x14ac:dyDescent="0.2">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row>
    <row r="138" spans="1:32" ht="12.75" customHeight="1" x14ac:dyDescent="0.2">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row>
    <row r="139" spans="1:32" ht="12.75" customHeight="1" x14ac:dyDescent="0.2">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row>
    <row r="140" spans="1:32" ht="12.75" customHeight="1" x14ac:dyDescent="0.2">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row>
    <row r="141" spans="1:32" ht="12.75" customHeight="1" x14ac:dyDescent="0.2">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row>
    <row r="142" spans="1:32" ht="12.75" customHeight="1" x14ac:dyDescent="0.2">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row>
    <row r="143" spans="1:32" ht="12.75" customHeight="1" x14ac:dyDescent="0.2">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row>
    <row r="144" spans="1:32" ht="12.75" customHeight="1" x14ac:dyDescent="0.2">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row>
    <row r="145" spans="1:32" ht="12.75" customHeight="1" x14ac:dyDescent="0.2">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row>
    <row r="146" spans="1:32" ht="12.75" customHeight="1" x14ac:dyDescent="0.2">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row>
    <row r="147" spans="1:32" ht="12.75" customHeight="1" x14ac:dyDescent="0.2">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row>
    <row r="148" spans="1:32" ht="12.75" customHeight="1" x14ac:dyDescent="0.2">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row>
    <row r="149" spans="1:32" ht="12.75" customHeight="1" x14ac:dyDescent="0.2">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row>
    <row r="150" spans="1:32" ht="12.75" customHeight="1" x14ac:dyDescent="0.2">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row>
    <row r="151" spans="1:32" ht="12.75" customHeight="1" x14ac:dyDescent="0.2">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row>
    <row r="152" spans="1:32" ht="12.75" customHeight="1" x14ac:dyDescent="0.2">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row>
    <row r="153" spans="1:32" ht="12.75" customHeight="1" x14ac:dyDescent="0.2">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row>
    <row r="154" spans="1:32" ht="12.75" customHeight="1" x14ac:dyDescent="0.2">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row>
    <row r="155" spans="1:32" ht="12.75" customHeight="1" x14ac:dyDescent="0.2">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row>
    <row r="156" spans="1:32" ht="12.75" customHeight="1" x14ac:dyDescent="0.2">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row>
    <row r="157" spans="1:32" ht="12.75" customHeight="1" x14ac:dyDescent="0.2">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row>
    <row r="158" spans="1:32" ht="12.75" customHeight="1" x14ac:dyDescent="0.2">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row>
    <row r="159" spans="1:32" ht="12.75" customHeight="1" x14ac:dyDescent="0.2">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row>
    <row r="160" spans="1:32" ht="12.75" customHeight="1" x14ac:dyDescent="0.2">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row>
    <row r="161" spans="1:32" ht="12.75" customHeight="1" x14ac:dyDescent="0.2">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row>
    <row r="162" spans="1:32" ht="12.75" customHeight="1" x14ac:dyDescent="0.2">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row>
    <row r="163" spans="1:32" ht="12.75" customHeight="1" x14ac:dyDescent="0.2">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row>
    <row r="164" spans="1:32" ht="12.75" customHeight="1" x14ac:dyDescent="0.2">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row>
    <row r="165" spans="1:32" ht="12.75" customHeight="1" x14ac:dyDescent="0.2">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row>
    <row r="166" spans="1:32" ht="12.75" customHeight="1" x14ac:dyDescent="0.2">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row>
    <row r="167" spans="1:32" ht="12.75" customHeight="1" x14ac:dyDescent="0.2">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row>
    <row r="168" spans="1:32" ht="12.75" customHeight="1" x14ac:dyDescent="0.2">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row>
    <row r="169" spans="1:32" ht="12.75" customHeight="1" x14ac:dyDescent="0.2">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row>
    <row r="170" spans="1:32" ht="12.75" customHeight="1" x14ac:dyDescent="0.2">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row>
    <row r="171" spans="1:32" ht="12.75" customHeight="1" x14ac:dyDescent="0.2">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row>
    <row r="172" spans="1:32" ht="12.75" customHeight="1" x14ac:dyDescent="0.2">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row>
    <row r="173" spans="1:32" ht="12.75" customHeight="1" x14ac:dyDescent="0.2">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row>
    <row r="174" spans="1:32" ht="12.75" customHeight="1" x14ac:dyDescent="0.2">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row>
    <row r="175" spans="1:32" ht="12.75" customHeight="1" x14ac:dyDescent="0.2">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row>
    <row r="176" spans="1:32" ht="12.75" customHeight="1" x14ac:dyDescent="0.2">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row>
    <row r="177" spans="1:32" ht="12.75" customHeight="1" x14ac:dyDescent="0.2">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row>
    <row r="178" spans="1:32" ht="12.75" customHeight="1" x14ac:dyDescent="0.2">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row>
    <row r="179" spans="1:32" ht="12.75" customHeight="1" x14ac:dyDescent="0.2">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row>
    <row r="180" spans="1:32" ht="12.75" customHeight="1" x14ac:dyDescent="0.2">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row>
    <row r="181" spans="1:32" ht="12.75" customHeight="1" x14ac:dyDescent="0.2">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row>
    <row r="182" spans="1:32" ht="12.75" customHeight="1" x14ac:dyDescent="0.2">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row>
    <row r="183" spans="1:32" ht="12.75" customHeight="1" x14ac:dyDescent="0.2">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row>
    <row r="184" spans="1:32" ht="12.75" customHeight="1" x14ac:dyDescent="0.2">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row>
    <row r="185" spans="1:32" ht="12.75" customHeight="1" x14ac:dyDescent="0.2">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row>
    <row r="186" spans="1:32" ht="12.75" customHeight="1" x14ac:dyDescent="0.2">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row>
    <row r="187" spans="1:32" ht="12.75" customHeight="1" x14ac:dyDescent="0.2">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row>
    <row r="188" spans="1:32" ht="12.75" customHeight="1" x14ac:dyDescent="0.2">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row>
    <row r="189" spans="1:32" ht="12.75" customHeight="1" x14ac:dyDescent="0.2">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row>
    <row r="190" spans="1:32" ht="12.75" customHeight="1" x14ac:dyDescent="0.2">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row>
    <row r="191" spans="1:32" ht="12.75" customHeight="1" x14ac:dyDescent="0.2">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row>
    <row r="192" spans="1:32" ht="12.75" customHeight="1" x14ac:dyDescent="0.2">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row>
    <row r="193" spans="1:32" ht="12.75" customHeight="1" x14ac:dyDescent="0.2">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row>
    <row r="194" spans="1:32" ht="12.75" customHeight="1" x14ac:dyDescent="0.2">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row>
    <row r="195" spans="1:32" ht="12.75" customHeight="1" x14ac:dyDescent="0.2">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row>
    <row r="196" spans="1:32" ht="12.75" customHeight="1" x14ac:dyDescent="0.2">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row>
    <row r="197" spans="1:32" ht="12.75" customHeight="1" x14ac:dyDescent="0.2">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row>
    <row r="198" spans="1:32" ht="12.75" customHeight="1" x14ac:dyDescent="0.2">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row>
    <row r="199" spans="1:32" ht="12.75" customHeight="1" x14ac:dyDescent="0.2">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row>
    <row r="200" spans="1:32" ht="12.75" customHeight="1" x14ac:dyDescent="0.2">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row>
    <row r="201" spans="1:32" ht="12.75" customHeight="1" x14ac:dyDescent="0.2">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row>
    <row r="202" spans="1:32" ht="12.75" customHeight="1" x14ac:dyDescent="0.2">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row>
    <row r="203" spans="1:32" ht="12.75" customHeight="1" x14ac:dyDescent="0.2">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row>
    <row r="204" spans="1:32" ht="12.75" customHeight="1" x14ac:dyDescent="0.2">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row>
    <row r="205" spans="1:32" ht="12.75" customHeight="1" x14ac:dyDescent="0.2">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row>
    <row r="206" spans="1:32" ht="12.75" customHeight="1" x14ac:dyDescent="0.2">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row>
    <row r="207" spans="1:32" ht="12.75" customHeight="1" x14ac:dyDescent="0.2">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row>
    <row r="208" spans="1:32" ht="12.75" customHeight="1" x14ac:dyDescent="0.2">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row>
    <row r="209" spans="1:32" ht="12.75" customHeight="1" x14ac:dyDescent="0.2">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row>
    <row r="210" spans="1:32" ht="12.75" customHeight="1" x14ac:dyDescent="0.2">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row>
    <row r="211" spans="1:32" ht="12.75" customHeight="1" x14ac:dyDescent="0.2">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row>
    <row r="212" spans="1:32" ht="12.75" customHeight="1" x14ac:dyDescent="0.2">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row>
    <row r="213" spans="1:32" ht="12.75" customHeight="1" x14ac:dyDescent="0.2">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row>
    <row r="214" spans="1:32" ht="12.75" customHeight="1" x14ac:dyDescent="0.2">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row>
    <row r="215" spans="1:32" ht="12.75" customHeight="1" x14ac:dyDescent="0.2">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row>
    <row r="216" spans="1:32" ht="12.75" customHeight="1" x14ac:dyDescent="0.2">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row>
    <row r="217" spans="1:32" ht="12.75" customHeight="1" x14ac:dyDescent="0.2">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row>
    <row r="218" spans="1:32" ht="12.75" customHeight="1" x14ac:dyDescent="0.2">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row>
    <row r="219" spans="1:32" ht="12.75" customHeight="1" x14ac:dyDescent="0.2">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row>
    <row r="220" spans="1:32" ht="12.75" customHeight="1" x14ac:dyDescent="0.2">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row>
    <row r="221" spans="1:32" ht="12.75" customHeight="1" x14ac:dyDescent="0.2">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row>
    <row r="222" spans="1:32" ht="12.75" customHeight="1" x14ac:dyDescent="0.2">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row>
    <row r="223" spans="1:32" ht="12.75" customHeight="1" x14ac:dyDescent="0.2">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row>
    <row r="224" spans="1:32" ht="12.75" customHeight="1" x14ac:dyDescent="0.2">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row>
    <row r="225" spans="1:32" ht="12.75" customHeight="1" x14ac:dyDescent="0.2">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row>
    <row r="226" spans="1:32" ht="12.75" customHeight="1" x14ac:dyDescent="0.2">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row>
    <row r="227" spans="1:32" ht="12.75" customHeight="1" x14ac:dyDescent="0.2">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row>
    <row r="228" spans="1:32" ht="12.75" customHeight="1" x14ac:dyDescent="0.2">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row>
    <row r="229" spans="1:32" ht="12.75" customHeight="1" x14ac:dyDescent="0.2">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row>
    <row r="230" spans="1:32" ht="12.75" customHeight="1" x14ac:dyDescent="0.2">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row>
    <row r="231" spans="1:32" ht="12.75" customHeight="1" x14ac:dyDescent="0.2">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row>
    <row r="232" spans="1:32" ht="12.75" customHeight="1" x14ac:dyDescent="0.2">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row>
    <row r="233" spans="1:32" ht="12.75" customHeight="1" x14ac:dyDescent="0.2">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row>
    <row r="234" spans="1:32" ht="12.75" customHeight="1" x14ac:dyDescent="0.2">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row>
    <row r="235" spans="1:32" ht="12.75" customHeight="1" x14ac:dyDescent="0.2">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row>
    <row r="236" spans="1:32" ht="12.75" customHeight="1" x14ac:dyDescent="0.2">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row>
    <row r="237" spans="1:32" ht="12.75" customHeight="1" x14ac:dyDescent="0.2">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row>
    <row r="238" spans="1:32" ht="12.75" customHeight="1" x14ac:dyDescent="0.2">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row>
    <row r="239" spans="1:32" ht="12.75" customHeight="1" x14ac:dyDescent="0.2">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row>
    <row r="240" spans="1:32" ht="12.75" customHeight="1" x14ac:dyDescent="0.2">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row>
    <row r="241" spans="1:32" ht="12.75" customHeight="1" x14ac:dyDescent="0.2">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row>
    <row r="242" spans="1:32" ht="12.75" customHeight="1" x14ac:dyDescent="0.2">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row>
    <row r="243" spans="1:32" ht="12.75" customHeight="1" x14ac:dyDescent="0.2">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row>
    <row r="244" spans="1:32" ht="12.75" customHeight="1" x14ac:dyDescent="0.2">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row>
    <row r="245" spans="1:32" ht="12.75" customHeight="1" x14ac:dyDescent="0.2">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row>
    <row r="246" spans="1:32" ht="12.75" customHeight="1" x14ac:dyDescent="0.2">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row>
    <row r="247" spans="1:32" ht="12.75" customHeight="1" x14ac:dyDescent="0.2">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row>
    <row r="248" spans="1:32" ht="12.75" customHeight="1" x14ac:dyDescent="0.2">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row>
    <row r="249" spans="1:32" ht="12.75" customHeight="1" x14ac:dyDescent="0.2">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row>
    <row r="250" spans="1:32" ht="12.75" customHeight="1" x14ac:dyDescent="0.2">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row>
    <row r="251" spans="1:32" ht="12.75" customHeight="1" x14ac:dyDescent="0.2">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row>
    <row r="252" spans="1:32" ht="12.75" customHeight="1" x14ac:dyDescent="0.2">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row>
    <row r="253" spans="1:32" ht="12.75" customHeight="1" x14ac:dyDescent="0.2">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row>
    <row r="254" spans="1:32" ht="12.75" customHeight="1" x14ac:dyDescent="0.2">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row>
    <row r="255" spans="1:32" ht="12.75" customHeight="1" x14ac:dyDescent="0.2">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row>
    <row r="256" spans="1:32" ht="12.75" customHeight="1" x14ac:dyDescent="0.2">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row>
    <row r="257" spans="1:32" ht="12.75" customHeight="1" x14ac:dyDescent="0.2">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row>
    <row r="258" spans="1:32" ht="12.75" customHeight="1" x14ac:dyDescent="0.2">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row>
    <row r="259" spans="1:32" ht="12.75" customHeight="1" x14ac:dyDescent="0.2">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row>
    <row r="260" spans="1:32" ht="12.75" customHeight="1" x14ac:dyDescent="0.2">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row>
    <row r="261" spans="1:32" ht="12.75" customHeight="1" x14ac:dyDescent="0.2">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row>
    <row r="262" spans="1:32" ht="12.75" customHeight="1" x14ac:dyDescent="0.2">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row>
    <row r="263" spans="1:32" ht="12.75" customHeight="1" x14ac:dyDescent="0.2">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row>
    <row r="264" spans="1:32" ht="12.75" customHeight="1" x14ac:dyDescent="0.2">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row>
    <row r="265" spans="1:32" ht="12.75" customHeight="1" x14ac:dyDescent="0.2">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row>
    <row r="266" spans="1:32" ht="12.75" customHeight="1" x14ac:dyDescent="0.2">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row>
    <row r="267" spans="1:32" ht="12.75" customHeight="1" x14ac:dyDescent="0.2">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row>
    <row r="268" spans="1:32" ht="12.75" customHeight="1" x14ac:dyDescent="0.2">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row>
    <row r="269" spans="1:32" ht="12.75" customHeight="1" x14ac:dyDescent="0.2">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row>
    <row r="270" spans="1:32" ht="12.75" customHeight="1" x14ac:dyDescent="0.2">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row>
    <row r="271" spans="1:32" ht="12.75" customHeight="1" x14ac:dyDescent="0.2">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row>
    <row r="272" spans="1:32" ht="12.75" customHeight="1" x14ac:dyDescent="0.2">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row>
    <row r="273" spans="1:32" ht="12.75" customHeight="1" x14ac:dyDescent="0.2">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row>
    <row r="274" spans="1:32" ht="12.75" customHeight="1" x14ac:dyDescent="0.2">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row>
    <row r="275" spans="1:32" ht="12.75" customHeight="1" x14ac:dyDescent="0.2">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row>
    <row r="276" spans="1:32" ht="12.75" customHeight="1" x14ac:dyDescent="0.2">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row>
    <row r="277" spans="1:32" ht="12.75" customHeight="1" x14ac:dyDescent="0.2">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row>
    <row r="278" spans="1:32" ht="12.75" customHeight="1" x14ac:dyDescent="0.2">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row>
    <row r="279" spans="1:32" ht="12.75" customHeight="1" x14ac:dyDescent="0.2">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row>
    <row r="280" spans="1:32" ht="12.75" customHeight="1" x14ac:dyDescent="0.2">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row>
    <row r="281" spans="1:32" ht="12.75" customHeight="1" x14ac:dyDescent="0.2">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row>
    <row r="282" spans="1:32" ht="12.75" customHeight="1" x14ac:dyDescent="0.2">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row>
    <row r="283" spans="1:32" ht="12.75" customHeight="1" x14ac:dyDescent="0.2">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row>
    <row r="284" spans="1:32" ht="12.75" customHeight="1" x14ac:dyDescent="0.2">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row>
    <row r="285" spans="1:32" ht="12.75" customHeight="1" x14ac:dyDescent="0.2">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row>
    <row r="286" spans="1:32" ht="12.75" customHeight="1" x14ac:dyDescent="0.2">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row>
    <row r="287" spans="1:32" ht="12.75" customHeight="1" x14ac:dyDescent="0.2">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row>
    <row r="288" spans="1:32" ht="12.75" customHeight="1" x14ac:dyDescent="0.2">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row>
    <row r="289" spans="1:32" ht="12.75" customHeight="1" x14ac:dyDescent="0.2">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row>
    <row r="290" spans="1:32" ht="12.75" customHeight="1" x14ac:dyDescent="0.2">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row>
    <row r="291" spans="1:32" ht="12.75" customHeight="1" x14ac:dyDescent="0.2">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row>
    <row r="292" spans="1:32" ht="12.75" customHeight="1" x14ac:dyDescent="0.2">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row>
    <row r="293" spans="1:32" ht="12.75" customHeight="1" x14ac:dyDescent="0.2">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row>
    <row r="294" spans="1:32" ht="12.75" customHeight="1" x14ac:dyDescent="0.2">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row>
    <row r="295" spans="1:32" ht="12.75" customHeight="1" x14ac:dyDescent="0.2">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row>
    <row r="296" spans="1:32" ht="12.75" customHeight="1" x14ac:dyDescent="0.2">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row>
    <row r="297" spans="1:32" ht="12.75" customHeight="1" x14ac:dyDescent="0.2">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row>
    <row r="298" spans="1:32" ht="12.75" customHeight="1" x14ac:dyDescent="0.2">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row>
    <row r="299" spans="1:32" ht="12.75" customHeight="1" x14ac:dyDescent="0.2">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row>
    <row r="300" spans="1:32" ht="12.75" customHeight="1" x14ac:dyDescent="0.2">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row>
    <row r="301" spans="1:32" ht="12.75" customHeight="1" x14ac:dyDescent="0.2">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row>
    <row r="302" spans="1:32" ht="12.75" customHeight="1" x14ac:dyDescent="0.2">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row>
    <row r="303" spans="1:32" ht="12.75" customHeight="1" x14ac:dyDescent="0.2">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row>
    <row r="304" spans="1:32" ht="12.75" customHeight="1" x14ac:dyDescent="0.2">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row>
    <row r="305" spans="1:32" ht="12.75" customHeight="1" x14ac:dyDescent="0.2">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row>
    <row r="306" spans="1:32" ht="12.75" customHeight="1" x14ac:dyDescent="0.2">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row>
    <row r="307" spans="1:32" ht="12.75" customHeight="1" x14ac:dyDescent="0.2">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row>
    <row r="308" spans="1:32" ht="12.75" customHeight="1" x14ac:dyDescent="0.2">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row>
    <row r="309" spans="1:32" ht="12.75" customHeight="1" x14ac:dyDescent="0.2">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row>
    <row r="310" spans="1:32" ht="12.75" customHeight="1" x14ac:dyDescent="0.2">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row>
    <row r="311" spans="1:32" ht="12.75" customHeight="1" x14ac:dyDescent="0.2">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row>
    <row r="312" spans="1:32" ht="12.75" customHeight="1" x14ac:dyDescent="0.2">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row>
    <row r="313" spans="1:32" ht="12.75" customHeight="1" x14ac:dyDescent="0.2">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row>
    <row r="314" spans="1:32" ht="12.75" customHeight="1" x14ac:dyDescent="0.2">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row>
    <row r="315" spans="1:32" ht="12.75" customHeight="1" x14ac:dyDescent="0.2">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row>
    <row r="316" spans="1:32" ht="12.75" customHeight="1" x14ac:dyDescent="0.2">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row>
    <row r="317" spans="1:32" ht="12.75" customHeight="1" x14ac:dyDescent="0.2">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row>
    <row r="318" spans="1:32" ht="12.75" customHeight="1" x14ac:dyDescent="0.2">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row>
    <row r="319" spans="1:32" ht="12.75" customHeight="1" x14ac:dyDescent="0.2">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row>
    <row r="320" spans="1:32" ht="12.75" customHeight="1" x14ac:dyDescent="0.2">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row>
    <row r="321" spans="1:32" ht="12.75" customHeight="1" x14ac:dyDescent="0.2">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row>
    <row r="322" spans="1:32" ht="12.75" customHeight="1" x14ac:dyDescent="0.2">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row>
    <row r="323" spans="1:32" ht="12.75" customHeight="1" x14ac:dyDescent="0.2">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row>
    <row r="324" spans="1:32" ht="12.75" customHeight="1" x14ac:dyDescent="0.2">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row>
    <row r="325" spans="1:32" ht="12.75" customHeight="1" x14ac:dyDescent="0.2">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row>
    <row r="326" spans="1:32" ht="12.75" customHeight="1" x14ac:dyDescent="0.2">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row>
    <row r="327" spans="1:32" ht="12.75" customHeight="1" x14ac:dyDescent="0.2">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row>
    <row r="328" spans="1:32" ht="12.75" customHeight="1" x14ac:dyDescent="0.2">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row>
    <row r="329" spans="1:32" ht="12.75" customHeight="1" x14ac:dyDescent="0.2">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row>
    <row r="330" spans="1:32" ht="12.75" customHeight="1" x14ac:dyDescent="0.2">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row>
    <row r="331" spans="1:32" ht="12.75" customHeight="1" x14ac:dyDescent="0.2">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row>
    <row r="332" spans="1:32" ht="12.75" customHeight="1" x14ac:dyDescent="0.2">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row>
    <row r="333" spans="1:32" ht="12.75" customHeight="1" x14ac:dyDescent="0.2">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row>
    <row r="334" spans="1:32" ht="12.75" customHeight="1" x14ac:dyDescent="0.2">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row>
    <row r="335" spans="1:32" ht="12.75" customHeight="1" x14ac:dyDescent="0.2">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row>
    <row r="336" spans="1:32" ht="12.75" customHeight="1" x14ac:dyDescent="0.2">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row>
    <row r="337" spans="1:32" ht="12.75" customHeight="1" x14ac:dyDescent="0.2">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row>
    <row r="338" spans="1:32" ht="12.75" customHeight="1" x14ac:dyDescent="0.2">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row>
    <row r="339" spans="1:32" ht="12.75" customHeight="1" x14ac:dyDescent="0.2">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row>
    <row r="340" spans="1:32" ht="12.75" customHeight="1" x14ac:dyDescent="0.2">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row>
    <row r="341" spans="1:32" ht="12.75" customHeight="1" x14ac:dyDescent="0.2">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row>
    <row r="342" spans="1:32" ht="12.75" customHeight="1" x14ac:dyDescent="0.2">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row>
    <row r="343" spans="1:32" ht="12.75" customHeight="1" x14ac:dyDescent="0.2">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row>
    <row r="344" spans="1:32" ht="12.75" customHeight="1" x14ac:dyDescent="0.2">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row>
    <row r="345" spans="1:32" ht="12.75" customHeight="1" x14ac:dyDescent="0.2">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row>
    <row r="346" spans="1:32" ht="12.75" customHeight="1" x14ac:dyDescent="0.2">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row>
    <row r="347" spans="1:32" ht="12.75" customHeight="1" x14ac:dyDescent="0.2">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row>
    <row r="348" spans="1:32" ht="12.75" customHeight="1" x14ac:dyDescent="0.2">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row>
    <row r="349" spans="1:32" ht="12.75" customHeight="1" x14ac:dyDescent="0.2">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row>
    <row r="350" spans="1:32" ht="12.75" customHeight="1" x14ac:dyDescent="0.2">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row>
    <row r="351" spans="1:32" ht="12.75" customHeight="1" x14ac:dyDescent="0.2">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row>
    <row r="352" spans="1:32" ht="12.75" customHeight="1" x14ac:dyDescent="0.2">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row>
    <row r="353" spans="1:32" ht="12.75" customHeight="1" x14ac:dyDescent="0.2">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row>
    <row r="354" spans="1:32" ht="12.75" customHeight="1" x14ac:dyDescent="0.2">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row>
    <row r="355" spans="1:32" ht="12.75" customHeight="1" x14ac:dyDescent="0.2">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row>
    <row r="356" spans="1:32" ht="12.75" customHeight="1" x14ac:dyDescent="0.2">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row>
    <row r="357" spans="1:32" ht="12.75" customHeight="1" x14ac:dyDescent="0.2">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row>
    <row r="358" spans="1:32" ht="12.75" customHeight="1" x14ac:dyDescent="0.2">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row>
    <row r="359" spans="1:32" ht="12.75" customHeight="1" x14ac:dyDescent="0.2">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row>
    <row r="360" spans="1:32" ht="12.75" customHeight="1" x14ac:dyDescent="0.2">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row>
    <row r="361" spans="1:32" ht="12.75" customHeight="1" x14ac:dyDescent="0.2">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row>
    <row r="362" spans="1:32" ht="12.75" customHeight="1" x14ac:dyDescent="0.2">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row>
    <row r="363" spans="1:32" ht="12.75" customHeight="1" x14ac:dyDescent="0.2">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row>
    <row r="364" spans="1:32" ht="12.75" customHeight="1" x14ac:dyDescent="0.2">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row>
    <row r="365" spans="1:32" ht="12.75" customHeight="1" x14ac:dyDescent="0.2">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row>
    <row r="366" spans="1:32" ht="12.75" customHeight="1" x14ac:dyDescent="0.2">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row>
    <row r="367" spans="1:32" ht="12.75" customHeight="1" x14ac:dyDescent="0.2">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row>
    <row r="368" spans="1:32" ht="12.75" customHeight="1" x14ac:dyDescent="0.2">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c r="AF368" s="1"/>
    </row>
    <row r="369" spans="1:32" ht="12.75" customHeight="1" x14ac:dyDescent="0.2">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row>
    <row r="370" spans="1:32" ht="12.75" customHeight="1" x14ac:dyDescent="0.2">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row>
    <row r="371" spans="1:32" ht="12.75" customHeight="1" x14ac:dyDescent="0.2">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c r="AC371" s="1"/>
      <c r="AD371" s="1"/>
      <c r="AE371" s="1"/>
      <c r="AF371" s="1"/>
    </row>
    <row r="372" spans="1:32" ht="12.75" customHeight="1" x14ac:dyDescent="0.2">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c r="AE372" s="1"/>
      <c r="AF372" s="1"/>
    </row>
    <row r="373" spans="1:32" ht="12.75" customHeight="1" x14ac:dyDescent="0.2">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row>
    <row r="374" spans="1:32" ht="12.75" customHeight="1" x14ac:dyDescent="0.2">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c r="AF374" s="1"/>
    </row>
    <row r="375" spans="1:32" ht="12.75" customHeight="1" x14ac:dyDescent="0.2">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c r="AE375" s="1"/>
      <c r="AF375" s="1"/>
    </row>
    <row r="376" spans="1:32" ht="12.75" customHeight="1" x14ac:dyDescent="0.2">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row>
    <row r="377" spans="1:32" ht="12.75" customHeight="1" x14ac:dyDescent="0.2">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row>
    <row r="378" spans="1:32" ht="12.75" customHeight="1" x14ac:dyDescent="0.2">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row>
    <row r="379" spans="1:32" ht="12.75" customHeight="1" x14ac:dyDescent="0.2">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row>
    <row r="380" spans="1:32" ht="12.75" customHeight="1" x14ac:dyDescent="0.2">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row>
    <row r="381" spans="1:32" ht="12.75" customHeight="1" x14ac:dyDescent="0.2">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row>
    <row r="382" spans="1:32" ht="12.75" customHeight="1" x14ac:dyDescent="0.2">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c r="AE382" s="1"/>
      <c r="AF382" s="1"/>
    </row>
    <row r="383" spans="1:32" ht="12.75" customHeight="1" x14ac:dyDescent="0.2">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row>
    <row r="384" spans="1:32" ht="12.75" customHeight="1" x14ac:dyDescent="0.2">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row>
    <row r="385" spans="1:32" ht="12.75" customHeight="1" x14ac:dyDescent="0.2">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row>
    <row r="386" spans="1:32" ht="12.75" customHeight="1" x14ac:dyDescent="0.2">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c r="AE386" s="1"/>
      <c r="AF386" s="1"/>
    </row>
    <row r="387" spans="1:32" ht="12.75" customHeight="1" x14ac:dyDescent="0.2">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c r="AE387" s="1"/>
      <c r="AF387" s="1"/>
    </row>
    <row r="388" spans="1:32" ht="12.75" customHeight="1" x14ac:dyDescent="0.2">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row>
    <row r="389" spans="1:32" ht="12.75" customHeight="1" x14ac:dyDescent="0.2">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c r="AE389" s="1"/>
      <c r="AF389" s="1"/>
    </row>
    <row r="390" spans="1:32" ht="12.75" customHeight="1" x14ac:dyDescent="0.2">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c r="AE390" s="1"/>
      <c r="AF390" s="1"/>
    </row>
    <row r="391" spans="1:32" ht="12.75" customHeight="1" x14ac:dyDescent="0.2">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row>
    <row r="392" spans="1:32" ht="12.75" customHeight="1" x14ac:dyDescent="0.2">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row>
    <row r="393" spans="1:32" ht="12.75" customHeight="1" x14ac:dyDescent="0.2">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row>
    <row r="394" spans="1:32" ht="12.75" customHeight="1" x14ac:dyDescent="0.2">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row>
    <row r="395" spans="1:32" ht="12.75" customHeight="1" x14ac:dyDescent="0.2">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row>
    <row r="396" spans="1:32" ht="12.75" customHeight="1" x14ac:dyDescent="0.2">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row>
    <row r="397" spans="1:32" ht="12.75" customHeight="1" x14ac:dyDescent="0.2">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row>
    <row r="398" spans="1:32" ht="12.75" customHeight="1" x14ac:dyDescent="0.2">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row>
    <row r="399" spans="1:32" ht="12.75" customHeight="1" x14ac:dyDescent="0.2">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row>
    <row r="400" spans="1:32" ht="12.75" customHeight="1" x14ac:dyDescent="0.2">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row>
    <row r="401" spans="1:32" ht="12.75" customHeight="1" x14ac:dyDescent="0.2">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row>
    <row r="402" spans="1:32" ht="12.75" customHeight="1" x14ac:dyDescent="0.2">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c r="AD402" s="1"/>
      <c r="AE402" s="1"/>
      <c r="AF402" s="1"/>
    </row>
    <row r="403" spans="1:32" ht="12.75" customHeight="1" x14ac:dyDescent="0.2">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c r="AD403" s="1"/>
      <c r="AE403" s="1"/>
      <c r="AF403" s="1"/>
    </row>
    <row r="404" spans="1:32" ht="12.75" customHeight="1" x14ac:dyDescent="0.2">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row>
    <row r="405" spans="1:32" ht="12.75" customHeight="1" x14ac:dyDescent="0.2">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c r="AD405" s="1"/>
      <c r="AE405" s="1"/>
      <c r="AF405" s="1"/>
    </row>
    <row r="406" spans="1:32" ht="12.75" customHeight="1" x14ac:dyDescent="0.2">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c r="AD406" s="1"/>
      <c r="AE406" s="1"/>
      <c r="AF406" s="1"/>
    </row>
    <row r="407" spans="1:32" ht="12.75" customHeight="1" x14ac:dyDescent="0.2">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row>
    <row r="408" spans="1:32" ht="12.75" customHeight="1" x14ac:dyDescent="0.2">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row>
    <row r="409" spans="1:32" ht="12.75" customHeight="1" x14ac:dyDescent="0.2">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row>
    <row r="410" spans="1:32" ht="12.75" customHeight="1" x14ac:dyDescent="0.2">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c r="AC410" s="1"/>
      <c r="AD410" s="1"/>
      <c r="AE410" s="1"/>
      <c r="AF410" s="1"/>
    </row>
    <row r="411" spans="1:32" ht="12.75" customHeight="1" x14ac:dyDescent="0.2">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c r="AC411" s="1"/>
      <c r="AD411" s="1"/>
      <c r="AE411" s="1"/>
      <c r="AF411" s="1"/>
    </row>
    <row r="412" spans="1:32" ht="12.75" customHeight="1" x14ac:dyDescent="0.2">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c r="AC412" s="1"/>
      <c r="AD412" s="1"/>
      <c r="AE412" s="1"/>
      <c r="AF412" s="1"/>
    </row>
    <row r="413" spans="1:32" ht="12.75" customHeight="1" x14ac:dyDescent="0.2">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c r="AF413" s="1"/>
    </row>
    <row r="414" spans="1:32" ht="12.75" customHeight="1" x14ac:dyDescent="0.2">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c r="AF414" s="1"/>
    </row>
    <row r="415" spans="1:32" ht="12.75" customHeight="1" x14ac:dyDescent="0.2">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c r="AF415" s="1"/>
    </row>
    <row r="416" spans="1:32" ht="12.75" customHeight="1" x14ac:dyDescent="0.2">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c r="AF416" s="1"/>
    </row>
    <row r="417" spans="1:32" ht="12.75" customHeight="1" x14ac:dyDescent="0.2">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c r="AF417" s="1"/>
    </row>
    <row r="418" spans="1:32" ht="12.75" customHeight="1" x14ac:dyDescent="0.2">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c r="AD418" s="1"/>
      <c r="AE418" s="1"/>
      <c r="AF418" s="1"/>
    </row>
    <row r="419" spans="1:32" ht="12.75" customHeight="1" x14ac:dyDescent="0.2">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c r="AF419" s="1"/>
    </row>
    <row r="420" spans="1:32" ht="12.75" customHeight="1" x14ac:dyDescent="0.2">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c r="AD420" s="1"/>
      <c r="AE420" s="1"/>
      <c r="AF420" s="1"/>
    </row>
    <row r="421" spans="1:32" ht="12.75" customHeight="1" x14ac:dyDescent="0.2">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c r="AD421" s="1"/>
      <c r="AE421" s="1"/>
      <c r="AF421" s="1"/>
    </row>
    <row r="422" spans="1:32" ht="12.75" customHeight="1" x14ac:dyDescent="0.2">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c r="AD422" s="1"/>
      <c r="AE422" s="1"/>
      <c r="AF422" s="1"/>
    </row>
    <row r="423" spans="1:32" ht="12.75" customHeight="1" x14ac:dyDescent="0.2">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c r="AD423" s="1"/>
      <c r="AE423" s="1"/>
      <c r="AF423" s="1"/>
    </row>
    <row r="424" spans="1:32" ht="12.75" customHeight="1" x14ac:dyDescent="0.2">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c r="AD424" s="1"/>
      <c r="AE424" s="1"/>
      <c r="AF424" s="1"/>
    </row>
    <row r="425" spans="1:32" ht="12.75" customHeight="1" x14ac:dyDescent="0.2">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c r="AD425" s="1"/>
      <c r="AE425" s="1"/>
      <c r="AF425" s="1"/>
    </row>
    <row r="426" spans="1:32" ht="12.75" customHeight="1" x14ac:dyDescent="0.2">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c r="AD426" s="1"/>
      <c r="AE426" s="1"/>
      <c r="AF426" s="1"/>
    </row>
    <row r="427" spans="1:32" ht="12.75" customHeight="1" x14ac:dyDescent="0.2">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c r="AD427" s="1"/>
      <c r="AE427" s="1"/>
      <c r="AF427" s="1"/>
    </row>
    <row r="428" spans="1:32" ht="12.75" customHeight="1" x14ac:dyDescent="0.2">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c r="AD428" s="1"/>
      <c r="AE428" s="1"/>
      <c r="AF428" s="1"/>
    </row>
    <row r="429" spans="1:32" ht="12.75" customHeight="1" x14ac:dyDescent="0.2">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c r="AD429" s="1"/>
      <c r="AE429" s="1"/>
      <c r="AF429" s="1"/>
    </row>
    <row r="430" spans="1:32" ht="12.75" customHeight="1" x14ac:dyDescent="0.2">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c r="AD430" s="1"/>
      <c r="AE430" s="1"/>
      <c r="AF430" s="1"/>
    </row>
    <row r="431" spans="1:32" ht="12.75" customHeight="1" x14ac:dyDescent="0.2">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c r="AD431" s="1"/>
      <c r="AE431" s="1"/>
      <c r="AF431" s="1"/>
    </row>
    <row r="432" spans="1:32" ht="12.75" customHeight="1" x14ac:dyDescent="0.2">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c r="AD432" s="1"/>
      <c r="AE432" s="1"/>
      <c r="AF432" s="1"/>
    </row>
    <row r="433" spans="1:32" ht="12.75" customHeight="1" x14ac:dyDescent="0.2">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c r="AD433" s="1"/>
      <c r="AE433" s="1"/>
      <c r="AF433" s="1"/>
    </row>
    <row r="434" spans="1:32" ht="12.75" customHeight="1" x14ac:dyDescent="0.2">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c r="AD434" s="1"/>
      <c r="AE434" s="1"/>
      <c r="AF434" s="1"/>
    </row>
    <row r="435" spans="1:32" ht="12.75" customHeight="1" x14ac:dyDescent="0.2">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c r="AD435" s="1"/>
      <c r="AE435" s="1"/>
      <c r="AF435" s="1"/>
    </row>
    <row r="436" spans="1:32" ht="12.75" customHeight="1" x14ac:dyDescent="0.2">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c r="AD436" s="1"/>
      <c r="AE436" s="1"/>
      <c r="AF436" s="1"/>
    </row>
    <row r="437" spans="1:32" ht="12.75" customHeight="1" x14ac:dyDescent="0.2">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c r="AD437" s="1"/>
      <c r="AE437" s="1"/>
      <c r="AF437" s="1"/>
    </row>
    <row r="438" spans="1:32" ht="12.75" customHeight="1" x14ac:dyDescent="0.2">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c r="AF438" s="1"/>
    </row>
    <row r="439" spans="1:32" ht="12.75" customHeight="1" x14ac:dyDescent="0.2">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c r="AF439" s="1"/>
    </row>
    <row r="440" spans="1:32" ht="12.75" customHeight="1" x14ac:dyDescent="0.2">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c r="AF440" s="1"/>
    </row>
    <row r="441" spans="1:32" ht="12.75" customHeight="1" x14ac:dyDescent="0.2">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c r="AD441" s="1"/>
      <c r="AE441" s="1"/>
      <c r="AF441" s="1"/>
    </row>
    <row r="442" spans="1:32" ht="12.75" customHeight="1" x14ac:dyDescent="0.2">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c r="AF442" s="1"/>
    </row>
    <row r="443" spans="1:32" ht="12.75" customHeight="1" x14ac:dyDescent="0.2">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c r="AD443" s="1"/>
      <c r="AE443" s="1"/>
      <c r="AF443" s="1"/>
    </row>
    <row r="444" spans="1:32" ht="12.75" customHeight="1" x14ac:dyDescent="0.2">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c r="AD444" s="1"/>
      <c r="AE444" s="1"/>
      <c r="AF444" s="1"/>
    </row>
    <row r="445" spans="1:32" ht="12.75" customHeight="1" x14ac:dyDescent="0.2">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c r="AD445" s="1"/>
      <c r="AE445" s="1"/>
      <c r="AF445" s="1"/>
    </row>
    <row r="446" spans="1:32" ht="12.75" customHeight="1" x14ac:dyDescent="0.2">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c r="AD446" s="1"/>
      <c r="AE446" s="1"/>
      <c r="AF446" s="1"/>
    </row>
    <row r="447" spans="1:32" ht="12.75" customHeight="1" x14ac:dyDescent="0.2">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c r="AD447" s="1"/>
      <c r="AE447" s="1"/>
      <c r="AF447" s="1"/>
    </row>
    <row r="448" spans="1:32" ht="12.75" customHeight="1" x14ac:dyDescent="0.2">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row>
    <row r="449" spans="1:32" ht="12.75" customHeight="1" x14ac:dyDescent="0.2">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row>
    <row r="450" spans="1:32" ht="12.75" customHeight="1" x14ac:dyDescent="0.2">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row>
    <row r="451" spans="1:32" ht="12.75" customHeight="1" x14ac:dyDescent="0.2">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row>
    <row r="452" spans="1:32" ht="12.75" customHeight="1" x14ac:dyDescent="0.2">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row>
    <row r="453" spans="1:32" ht="12.75" customHeight="1" x14ac:dyDescent="0.2">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row>
    <row r="454" spans="1:32" ht="12.75" customHeight="1" x14ac:dyDescent="0.2">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row>
    <row r="455" spans="1:32" ht="12.75" customHeight="1" x14ac:dyDescent="0.2">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row>
    <row r="456" spans="1:32" ht="12.75" customHeight="1" x14ac:dyDescent="0.2">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row>
    <row r="457" spans="1:32" ht="12.75" customHeight="1" x14ac:dyDescent="0.2">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row>
    <row r="458" spans="1:32" ht="12.75" customHeight="1" x14ac:dyDescent="0.2">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row>
    <row r="459" spans="1:32" ht="12.75" customHeight="1" x14ac:dyDescent="0.2">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row>
    <row r="460" spans="1:32" ht="12.75" customHeight="1" x14ac:dyDescent="0.2">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row>
    <row r="461" spans="1:32" ht="12.75" customHeight="1" x14ac:dyDescent="0.2">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row>
    <row r="462" spans="1:32" ht="12.75" customHeight="1" x14ac:dyDescent="0.2">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row>
    <row r="463" spans="1:32" ht="12.75" customHeight="1" x14ac:dyDescent="0.2">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row>
    <row r="464" spans="1:32" ht="12.75" customHeight="1" x14ac:dyDescent="0.2">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row>
    <row r="465" spans="1:32" ht="12.75" customHeight="1" x14ac:dyDescent="0.2">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row>
    <row r="466" spans="1:32" ht="12.75" customHeight="1" x14ac:dyDescent="0.2">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row>
    <row r="467" spans="1:32" ht="12.75" customHeight="1" x14ac:dyDescent="0.2">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row>
    <row r="468" spans="1:32" ht="12.75" customHeight="1" x14ac:dyDescent="0.2">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row>
    <row r="469" spans="1:32" ht="12.75" customHeight="1" x14ac:dyDescent="0.2">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row>
    <row r="470" spans="1:32" ht="12.75" customHeight="1" x14ac:dyDescent="0.2">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row>
    <row r="471" spans="1:32" ht="12.75" customHeight="1" x14ac:dyDescent="0.2">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row>
    <row r="472" spans="1:32" ht="12.75" customHeight="1" x14ac:dyDescent="0.2">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row>
    <row r="473" spans="1:32" ht="12.75" customHeight="1" x14ac:dyDescent="0.2">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row>
    <row r="474" spans="1:32" ht="12.75" customHeight="1" x14ac:dyDescent="0.2">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row>
    <row r="475" spans="1:32" ht="12.75" customHeight="1" x14ac:dyDescent="0.2">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row>
    <row r="476" spans="1:32" ht="12.75" customHeight="1" x14ac:dyDescent="0.2">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row>
    <row r="477" spans="1:32" ht="12.75" customHeight="1" x14ac:dyDescent="0.2">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row>
    <row r="478" spans="1:32" ht="12.75" customHeight="1" x14ac:dyDescent="0.2">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row>
    <row r="479" spans="1:32" ht="12.75" customHeight="1" x14ac:dyDescent="0.2">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row>
    <row r="480" spans="1:32" ht="12.75" customHeight="1" x14ac:dyDescent="0.2">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row>
    <row r="481" spans="1:32" ht="12.75" customHeight="1" x14ac:dyDescent="0.2">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row>
    <row r="482" spans="1:32" ht="12.75" customHeight="1" x14ac:dyDescent="0.2">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row>
    <row r="483" spans="1:32" ht="12.75" customHeight="1" x14ac:dyDescent="0.2">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row>
    <row r="484" spans="1:32" ht="12.75" customHeight="1" x14ac:dyDescent="0.2">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row>
    <row r="485" spans="1:32" ht="12.75" customHeight="1" x14ac:dyDescent="0.2">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row>
    <row r="486" spans="1:32" ht="12.75" customHeight="1" x14ac:dyDescent="0.2">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row>
    <row r="487" spans="1:32" ht="12.75" customHeight="1" x14ac:dyDescent="0.2">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row>
    <row r="488" spans="1:32" ht="12.75" customHeight="1" x14ac:dyDescent="0.2">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row>
    <row r="489" spans="1:32" ht="12.75" customHeight="1" x14ac:dyDescent="0.2">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row>
    <row r="490" spans="1:32" ht="12.75" customHeight="1" x14ac:dyDescent="0.2">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row>
    <row r="491" spans="1:32" ht="12.75" customHeight="1" x14ac:dyDescent="0.2">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row>
    <row r="492" spans="1:32" ht="12.75" customHeight="1" x14ac:dyDescent="0.2">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row>
    <row r="493" spans="1:32" ht="12.75" customHeight="1" x14ac:dyDescent="0.2">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row>
    <row r="494" spans="1:32" ht="12.75" customHeight="1" x14ac:dyDescent="0.2">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row>
    <row r="495" spans="1:32" ht="12.75" customHeight="1" x14ac:dyDescent="0.2">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row>
    <row r="496" spans="1:32" ht="12.75" customHeight="1" x14ac:dyDescent="0.2">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row>
    <row r="497" spans="1:32" ht="12.75" customHeight="1" x14ac:dyDescent="0.2">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row>
    <row r="498" spans="1:32" ht="12.75" customHeight="1" x14ac:dyDescent="0.2">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row>
    <row r="499" spans="1:32" ht="12.75" customHeight="1" x14ac:dyDescent="0.2">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row>
    <row r="500" spans="1:32" ht="12.75" customHeight="1" x14ac:dyDescent="0.2">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row>
    <row r="501" spans="1:32" ht="12.75" customHeight="1" x14ac:dyDescent="0.2">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row>
    <row r="502" spans="1:32" ht="12.75" customHeight="1" x14ac:dyDescent="0.2">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row>
    <row r="503" spans="1:32" ht="12.75" customHeight="1" x14ac:dyDescent="0.2">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row>
    <row r="504" spans="1:32" ht="12.75" customHeight="1" x14ac:dyDescent="0.2">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row>
    <row r="505" spans="1:32" ht="12.75" customHeight="1" x14ac:dyDescent="0.2">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row>
    <row r="506" spans="1:32" ht="12.75" customHeight="1" x14ac:dyDescent="0.2">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row>
    <row r="507" spans="1:32" ht="12.75" customHeight="1" x14ac:dyDescent="0.2">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row>
    <row r="508" spans="1:32" ht="12.75" customHeight="1" x14ac:dyDescent="0.2">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row>
    <row r="509" spans="1:32" ht="12.75" customHeight="1" x14ac:dyDescent="0.2">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row>
    <row r="510" spans="1:32" ht="12.75" customHeight="1" x14ac:dyDescent="0.2">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row>
    <row r="511" spans="1:32" ht="12.75" customHeight="1" x14ac:dyDescent="0.2">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row>
    <row r="512" spans="1:32" ht="12.75" customHeight="1" x14ac:dyDescent="0.2">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row>
    <row r="513" spans="1:32" ht="12.75" customHeight="1" x14ac:dyDescent="0.2">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row>
    <row r="514" spans="1:32" ht="12.75" customHeight="1" x14ac:dyDescent="0.2">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row>
    <row r="515" spans="1:32" ht="12.75" customHeight="1" x14ac:dyDescent="0.2">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row>
    <row r="516" spans="1:32" ht="12.75" customHeight="1" x14ac:dyDescent="0.2">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row>
    <row r="517" spans="1:32" ht="12.75" customHeight="1" x14ac:dyDescent="0.2">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row>
    <row r="518" spans="1:32" ht="12.75" customHeight="1" x14ac:dyDescent="0.2">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row>
    <row r="519" spans="1:32" ht="12.75" customHeight="1" x14ac:dyDescent="0.2">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row>
    <row r="520" spans="1:32" ht="12.75" customHeight="1" x14ac:dyDescent="0.2">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row>
    <row r="521" spans="1:32" ht="12.75" customHeight="1" x14ac:dyDescent="0.2">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row>
    <row r="522" spans="1:32" ht="12.75" customHeight="1" x14ac:dyDescent="0.2">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row>
    <row r="523" spans="1:32" ht="12.75" customHeight="1" x14ac:dyDescent="0.2">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row>
    <row r="524" spans="1:32" ht="12.75" customHeight="1" x14ac:dyDescent="0.2">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row>
    <row r="525" spans="1:32" ht="12.75" customHeight="1" x14ac:dyDescent="0.2">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row>
    <row r="526" spans="1:32" ht="12.75" customHeight="1" x14ac:dyDescent="0.2">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row>
    <row r="527" spans="1:32" ht="12.75" customHeight="1" x14ac:dyDescent="0.2">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row>
    <row r="528" spans="1:32" ht="12.75" customHeight="1" x14ac:dyDescent="0.2">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row>
    <row r="529" spans="1:32" ht="12.75" customHeight="1" x14ac:dyDescent="0.2">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row>
    <row r="530" spans="1:32" ht="12.75" customHeight="1" x14ac:dyDescent="0.2">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row>
    <row r="531" spans="1:32" ht="12.75" customHeight="1" x14ac:dyDescent="0.2">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row>
    <row r="532" spans="1:32" ht="12.75" customHeight="1" x14ac:dyDescent="0.2">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row>
    <row r="533" spans="1:32" ht="12.75" customHeight="1" x14ac:dyDescent="0.2">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c r="AC533" s="1"/>
      <c r="AD533" s="1"/>
      <c r="AE533" s="1"/>
      <c r="AF533" s="1"/>
    </row>
    <row r="534" spans="1:32" ht="12.75" customHeight="1" x14ac:dyDescent="0.2">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c r="AC534" s="1"/>
      <c r="AD534" s="1"/>
      <c r="AE534" s="1"/>
      <c r="AF534" s="1"/>
    </row>
    <row r="535" spans="1:32" ht="12.75" customHeight="1" x14ac:dyDescent="0.2">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c r="AC535" s="1"/>
      <c r="AD535" s="1"/>
      <c r="AE535" s="1"/>
      <c r="AF535" s="1"/>
    </row>
    <row r="536" spans="1:32" ht="12.75" customHeight="1" x14ac:dyDescent="0.2">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c r="AC536" s="1"/>
      <c r="AD536" s="1"/>
      <c r="AE536" s="1"/>
      <c r="AF536" s="1"/>
    </row>
    <row r="537" spans="1:32" ht="12.75" customHeight="1" x14ac:dyDescent="0.2">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c r="AC537" s="1"/>
      <c r="AD537" s="1"/>
      <c r="AE537" s="1"/>
      <c r="AF537" s="1"/>
    </row>
    <row r="538" spans="1:32" ht="12.75" customHeight="1" x14ac:dyDescent="0.2">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c r="AA538" s="1"/>
      <c r="AB538" s="1"/>
      <c r="AC538" s="1"/>
      <c r="AD538" s="1"/>
      <c r="AE538" s="1"/>
      <c r="AF538" s="1"/>
    </row>
    <row r="539" spans="1:32" ht="12.75" customHeight="1" x14ac:dyDescent="0.2">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c r="AA539" s="1"/>
      <c r="AB539" s="1"/>
      <c r="AC539" s="1"/>
      <c r="AD539" s="1"/>
      <c r="AE539" s="1"/>
      <c r="AF539" s="1"/>
    </row>
    <row r="540" spans="1:32" ht="12.75" customHeight="1" x14ac:dyDescent="0.2">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c r="AA540" s="1"/>
      <c r="AB540" s="1"/>
      <c r="AC540" s="1"/>
      <c r="AD540" s="1"/>
      <c r="AE540" s="1"/>
      <c r="AF540" s="1"/>
    </row>
    <row r="541" spans="1:32" ht="12.75" customHeight="1" x14ac:dyDescent="0.2">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c r="AA541" s="1"/>
      <c r="AB541" s="1"/>
      <c r="AC541" s="1"/>
      <c r="AD541" s="1"/>
      <c r="AE541" s="1"/>
      <c r="AF541" s="1"/>
    </row>
    <row r="542" spans="1:32" ht="12.75" customHeight="1" x14ac:dyDescent="0.2">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c r="AA542" s="1"/>
      <c r="AB542" s="1"/>
      <c r="AC542" s="1"/>
      <c r="AD542" s="1"/>
      <c r="AE542" s="1"/>
      <c r="AF542" s="1"/>
    </row>
    <row r="543" spans="1:32" ht="12.75" customHeight="1" x14ac:dyDescent="0.2">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c r="AA543" s="1"/>
      <c r="AB543" s="1"/>
      <c r="AC543" s="1"/>
      <c r="AD543" s="1"/>
      <c r="AE543" s="1"/>
      <c r="AF543" s="1"/>
    </row>
    <row r="544" spans="1:32" ht="12.75" customHeight="1" x14ac:dyDescent="0.2">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c r="AA544" s="1"/>
      <c r="AB544" s="1"/>
      <c r="AC544" s="1"/>
      <c r="AD544" s="1"/>
      <c r="AE544" s="1"/>
      <c r="AF544" s="1"/>
    </row>
    <row r="545" spans="1:32" ht="12.75" customHeight="1" x14ac:dyDescent="0.2">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c r="AA545" s="1"/>
      <c r="AB545" s="1"/>
      <c r="AC545" s="1"/>
      <c r="AD545" s="1"/>
      <c r="AE545" s="1"/>
      <c r="AF545" s="1"/>
    </row>
    <row r="546" spans="1:32" ht="12.75" customHeight="1" x14ac:dyDescent="0.2">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c r="AA546" s="1"/>
      <c r="AB546" s="1"/>
      <c r="AC546" s="1"/>
      <c r="AD546" s="1"/>
      <c r="AE546" s="1"/>
      <c r="AF546" s="1"/>
    </row>
    <row r="547" spans="1:32" ht="12.75" customHeight="1" x14ac:dyDescent="0.2">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c r="AA547" s="1"/>
      <c r="AB547" s="1"/>
      <c r="AC547" s="1"/>
      <c r="AD547" s="1"/>
      <c r="AE547" s="1"/>
      <c r="AF547" s="1"/>
    </row>
    <row r="548" spans="1:32" ht="12.75" customHeight="1" x14ac:dyDescent="0.2">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c r="AA548" s="1"/>
      <c r="AB548" s="1"/>
      <c r="AC548" s="1"/>
      <c r="AD548" s="1"/>
      <c r="AE548" s="1"/>
      <c r="AF548" s="1"/>
    </row>
    <row r="549" spans="1:32" ht="12.75" customHeight="1" x14ac:dyDescent="0.2">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c r="AA549" s="1"/>
      <c r="AB549" s="1"/>
      <c r="AC549" s="1"/>
      <c r="AD549" s="1"/>
      <c r="AE549" s="1"/>
      <c r="AF549" s="1"/>
    </row>
    <row r="550" spans="1:32" ht="12.75" customHeight="1" x14ac:dyDescent="0.2">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c r="AA550" s="1"/>
      <c r="AB550" s="1"/>
      <c r="AC550" s="1"/>
      <c r="AD550" s="1"/>
      <c r="AE550" s="1"/>
      <c r="AF550" s="1"/>
    </row>
    <row r="551" spans="1:32" ht="12.75" customHeight="1" x14ac:dyDescent="0.2">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c r="AA551" s="1"/>
      <c r="AB551" s="1"/>
      <c r="AC551" s="1"/>
      <c r="AD551" s="1"/>
      <c r="AE551" s="1"/>
      <c r="AF551" s="1"/>
    </row>
    <row r="552" spans="1:32" ht="12.75" customHeight="1" x14ac:dyDescent="0.2">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c r="AA552" s="1"/>
      <c r="AB552" s="1"/>
      <c r="AC552" s="1"/>
      <c r="AD552" s="1"/>
      <c r="AE552" s="1"/>
      <c r="AF552" s="1"/>
    </row>
    <row r="553" spans="1:32" ht="12.75" customHeight="1" x14ac:dyDescent="0.2">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c r="AA553" s="1"/>
      <c r="AB553" s="1"/>
      <c r="AC553" s="1"/>
      <c r="AD553" s="1"/>
      <c r="AE553" s="1"/>
      <c r="AF553" s="1"/>
    </row>
    <row r="554" spans="1:32" ht="12.75" customHeight="1" x14ac:dyDescent="0.2">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c r="AA554" s="1"/>
      <c r="AB554" s="1"/>
      <c r="AC554" s="1"/>
      <c r="AD554" s="1"/>
      <c r="AE554" s="1"/>
      <c r="AF554" s="1"/>
    </row>
    <row r="555" spans="1:32" ht="12.75" customHeight="1" x14ac:dyDescent="0.2">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c r="AA555" s="1"/>
      <c r="AB555" s="1"/>
      <c r="AC555" s="1"/>
      <c r="AD555" s="1"/>
      <c r="AE555" s="1"/>
      <c r="AF555" s="1"/>
    </row>
    <row r="556" spans="1:32" ht="12.75" customHeight="1" x14ac:dyDescent="0.2">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c r="AA556" s="1"/>
      <c r="AB556" s="1"/>
      <c r="AC556" s="1"/>
      <c r="AD556" s="1"/>
      <c r="AE556" s="1"/>
      <c r="AF556" s="1"/>
    </row>
    <row r="557" spans="1:32" ht="12.75" customHeight="1" x14ac:dyDescent="0.2">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c r="AA557" s="1"/>
      <c r="AB557" s="1"/>
      <c r="AC557" s="1"/>
      <c r="AD557" s="1"/>
      <c r="AE557" s="1"/>
      <c r="AF557" s="1"/>
    </row>
    <row r="558" spans="1:32" ht="12.75" customHeight="1" x14ac:dyDescent="0.2">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c r="AA558" s="1"/>
      <c r="AB558" s="1"/>
      <c r="AC558" s="1"/>
      <c r="AD558" s="1"/>
      <c r="AE558" s="1"/>
      <c r="AF558" s="1"/>
    </row>
    <row r="559" spans="1:32" ht="12.75" customHeight="1" x14ac:dyDescent="0.2">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c r="AA559" s="1"/>
      <c r="AB559" s="1"/>
      <c r="AC559" s="1"/>
      <c r="AD559" s="1"/>
      <c r="AE559" s="1"/>
      <c r="AF559" s="1"/>
    </row>
    <row r="560" spans="1:32" ht="12.75" customHeight="1" x14ac:dyDescent="0.2">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c r="AA560" s="1"/>
      <c r="AB560" s="1"/>
      <c r="AC560" s="1"/>
      <c r="AD560" s="1"/>
      <c r="AE560" s="1"/>
      <c r="AF560" s="1"/>
    </row>
    <row r="561" spans="1:32" ht="12.75" customHeight="1" x14ac:dyDescent="0.2">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c r="AA561" s="1"/>
      <c r="AB561" s="1"/>
      <c r="AC561" s="1"/>
      <c r="AD561" s="1"/>
      <c r="AE561" s="1"/>
      <c r="AF561" s="1"/>
    </row>
    <row r="562" spans="1:32" ht="12.75" customHeight="1" x14ac:dyDescent="0.2">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c r="AA562" s="1"/>
      <c r="AB562" s="1"/>
      <c r="AC562" s="1"/>
      <c r="AD562" s="1"/>
      <c r="AE562" s="1"/>
      <c r="AF562" s="1"/>
    </row>
    <row r="563" spans="1:32" ht="12.75" customHeight="1" x14ac:dyDescent="0.2">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c r="AA563" s="1"/>
      <c r="AB563" s="1"/>
      <c r="AC563" s="1"/>
      <c r="AD563" s="1"/>
      <c r="AE563" s="1"/>
      <c r="AF563" s="1"/>
    </row>
    <row r="564" spans="1:32" ht="12.75" customHeight="1" x14ac:dyDescent="0.2">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c r="AA564" s="1"/>
      <c r="AB564" s="1"/>
      <c r="AC564" s="1"/>
      <c r="AD564" s="1"/>
      <c r="AE564" s="1"/>
      <c r="AF564" s="1"/>
    </row>
    <row r="565" spans="1:32" ht="12.75" customHeight="1" x14ac:dyDescent="0.2">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c r="AA565" s="1"/>
      <c r="AB565" s="1"/>
      <c r="AC565" s="1"/>
      <c r="AD565" s="1"/>
      <c r="AE565" s="1"/>
      <c r="AF565" s="1"/>
    </row>
    <row r="566" spans="1:32" ht="12.75" customHeight="1" x14ac:dyDescent="0.2">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c r="AA566" s="1"/>
      <c r="AB566" s="1"/>
      <c r="AC566" s="1"/>
      <c r="AD566" s="1"/>
      <c r="AE566" s="1"/>
      <c r="AF566" s="1"/>
    </row>
    <row r="567" spans="1:32" ht="12.75" customHeight="1" x14ac:dyDescent="0.2">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c r="AA567" s="1"/>
      <c r="AB567" s="1"/>
      <c r="AC567" s="1"/>
      <c r="AD567" s="1"/>
      <c r="AE567" s="1"/>
      <c r="AF567" s="1"/>
    </row>
    <row r="568" spans="1:32" ht="12.75" customHeight="1" x14ac:dyDescent="0.2">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c r="AA568" s="1"/>
      <c r="AB568" s="1"/>
      <c r="AC568" s="1"/>
      <c r="AD568" s="1"/>
      <c r="AE568" s="1"/>
      <c r="AF568" s="1"/>
    </row>
    <row r="569" spans="1:32" ht="12.75" customHeight="1" x14ac:dyDescent="0.2">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c r="AA569" s="1"/>
      <c r="AB569" s="1"/>
      <c r="AC569" s="1"/>
      <c r="AD569" s="1"/>
      <c r="AE569" s="1"/>
      <c r="AF569" s="1"/>
    </row>
    <row r="570" spans="1:32" ht="12.75" customHeight="1" x14ac:dyDescent="0.2">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c r="AA570" s="1"/>
      <c r="AB570" s="1"/>
      <c r="AC570" s="1"/>
      <c r="AD570" s="1"/>
      <c r="AE570" s="1"/>
      <c r="AF570" s="1"/>
    </row>
    <row r="571" spans="1:32" ht="12.75" customHeight="1" x14ac:dyDescent="0.2">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c r="AA571" s="1"/>
      <c r="AB571" s="1"/>
      <c r="AC571" s="1"/>
      <c r="AD571" s="1"/>
      <c r="AE571" s="1"/>
      <c r="AF571" s="1"/>
    </row>
    <row r="572" spans="1:32" ht="12.75" customHeight="1" x14ac:dyDescent="0.2">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c r="AA572" s="1"/>
      <c r="AB572" s="1"/>
      <c r="AC572" s="1"/>
      <c r="AD572" s="1"/>
      <c r="AE572" s="1"/>
      <c r="AF572" s="1"/>
    </row>
    <row r="573" spans="1:32" ht="12.75" customHeight="1" x14ac:dyDescent="0.2">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c r="AA573" s="1"/>
      <c r="AB573" s="1"/>
      <c r="AC573" s="1"/>
      <c r="AD573" s="1"/>
      <c r="AE573" s="1"/>
      <c r="AF573" s="1"/>
    </row>
    <row r="574" spans="1:32" ht="12.75" customHeight="1" x14ac:dyDescent="0.2">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c r="AA574" s="1"/>
      <c r="AB574" s="1"/>
      <c r="AC574" s="1"/>
      <c r="AD574" s="1"/>
      <c r="AE574" s="1"/>
      <c r="AF574" s="1"/>
    </row>
    <row r="575" spans="1:32" ht="12.75" customHeight="1" x14ac:dyDescent="0.2">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c r="AA575" s="1"/>
      <c r="AB575" s="1"/>
      <c r="AC575" s="1"/>
      <c r="AD575" s="1"/>
      <c r="AE575" s="1"/>
      <c r="AF575" s="1"/>
    </row>
    <row r="576" spans="1:32" ht="12.75" customHeight="1" x14ac:dyDescent="0.2">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c r="AA576" s="1"/>
      <c r="AB576" s="1"/>
      <c r="AC576" s="1"/>
      <c r="AD576" s="1"/>
      <c r="AE576" s="1"/>
      <c r="AF576" s="1"/>
    </row>
    <row r="577" spans="1:32" ht="12.75" customHeight="1" x14ac:dyDescent="0.2">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c r="AA577" s="1"/>
      <c r="AB577" s="1"/>
      <c r="AC577" s="1"/>
      <c r="AD577" s="1"/>
      <c r="AE577" s="1"/>
      <c r="AF577" s="1"/>
    </row>
    <row r="578" spans="1:32" ht="12.75" customHeight="1" x14ac:dyDescent="0.2">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c r="AA578" s="1"/>
      <c r="AB578" s="1"/>
      <c r="AC578" s="1"/>
      <c r="AD578" s="1"/>
      <c r="AE578" s="1"/>
      <c r="AF578" s="1"/>
    </row>
    <row r="579" spans="1:32" ht="12.75" customHeight="1" x14ac:dyDescent="0.2">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c r="AA579" s="1"/>
      <c r="AB579" s="1"/>
      <c r="AC579" s="1"/>
      <c r="AD579" s="1"/>
      <c r="AE579" s="1"/>
      <c r="AF579" s="1"/>
    </row>
    <row r="580" spans="1:32" ht="12.75" customHeight="1" x14ac:dyDescent="0.2">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c r="AA580" s="1"/>
      <c r="AB580" s="1"/>
      <c r="AC580" s="1"/>
      <c r="AD580" s="1"/>
      <c r="AE580" s="1"/>
      <c r="AF580" s="1"/>
    </row>
    <row r="581" spans="1:32" ht="12.75" customHeight="1" x14ac:dyDescent="0.2">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c r="AA581" s="1"/>
      <c r="AB581" s="1"/>
      <c r="AC581" s="1"/>
      <c r="AD581" s="1"/>
      <c r="AE581" s="1"/>
      <c r="AF581" s="1"/>
    </row>
    <row r="582" spans="1:32" ht="12.75" customHeight="1" x14ac:dyDescent="0.2">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c r="AA582" s="1"/>
      <c r="AB582" s="1"/>
      <c r="AC582" s="1"/>
      <c r="AD582" s="1"/>
      <c r="AE582" s="1"/>
      <c r="AF582" s="1"/>
    </row>
    <row r="583" spans="1:32" ht="12.75" customHeight="1" x14ac:dyDescent="0.2">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c r="AA583" s="1"/>
      <c r="AB583" s="1"/>
      <c r="AC583" s="1"/>
      <c r="AD583" s="1"/>
      <c r="AE583" s="1"/>
      <c r="AF583" s="1"/>
    </row>
    <row r="584" spans="1:32" ht="12.75" customHeight="1" x14ac:dyDescent="0.2">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c r="AA584" s="1"/>
      <c r="AB584" s="1"/>
      <c r="AC584" s="1"/>
      <c r="AD584" s="1"/>
      <c r="AE584" s="1"/>
      <c r="AF584" s="1"/>
    </row>
    <row r="585" spans="1:32" ht="12.75" customHeight="1" x14ac:dyDescent="0.2">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c r="AA585" s="1"/>
      <c r="AB585" s="1"/>
      <c r="AC585" s="1"/>
      <c r="AD585" s="1"/>
      <c r="AE585" s="1"/>
      <c r="AF585" s="1"/>
    </row>
    <row r="586" spans="1:32" ht="12.75" customHeight="1" x14ac:dyDescent="0.2">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c r="AA586" s="1"/>
      <c r="AB586" s="1"/>
      <c r="AC586" s="1"/>
      <c r="AD586" s="1"/>
      <c r="AE586" s="1"/>
      <c r="AF586" s="1"/>
    </row>
    <row r="587" spans="1:32" ht="12.75" customHeight="1" x14ac:dyDescent="0.2">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c r="AA587" s="1"/>
      <c r="AB587" s="1"/>
      <c r="AC587" s="1"/>
      <c r="AD587" s="1"/>
      <c r="AE587" s="1"/>
      <c r="AF587" s="1"/>
    </row>
    <row r="588" spans="1:32" ht="12.75" customHeight="1" x14ac:dyDescent="0.2">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c r="AA588" s="1"/>
      <c r="AB588" s="1"/>
      <c r="AC588" s="1"/>
      <c r="AD588" s="1"/>
      <c r="AE588" s="1"/>
      <c r="AF588" s="1"/>
    </row>
    <row r="589" spans="1:32" ht="12.75" customHeight="1" x14ac:dyDescent="0.2">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c r="AA589" s="1"/>
      <c r="AB589" s="1"/>
      <c r="AC589" s="1"/>
      <c r="AD589" s="1"/>
      <c r="AE589" s="1"/>
      <c r="AF589" s="1"/>
    </row>
    <row r="590" spans="1:32" ht="12.75" customHeight="1" x14ac:dyDescent="0.2">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c r="AA590" s="1"/>
      <c r="AB590" s="1"/>
      <c r="AC590" s="1"/>
      <c r="AD590" s="1"/>
      <c r="AE590" s="1"/>
      <c r="AF590" s="1"/>
    </row>
    <row r="591" spans="1:32" ht="12.75" customHeight="1" x14ac:dyDescent="0.2">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c r="AA591" s="1"/>
      <c r="AB591" s="1"/>
      <c r="AC591" s="1"/>
      <c r="AD591" s="1"/>
      <c r="AE591" s="1"/>
      <c r="AF591" s="1"/>
    </row>
    <row r="592" spans="1:32" ht="12.75" customHeight="1" x14ac:dyDescent="0.2">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c r="AA592" s="1"/>
      <c r="AB592" s="1"/>
      <c r="AC592" s="1"/>
      <c r="AD592" s="1"/>
      <c r="AE592" s="1"/>
      <c r="AF592" s="1"/>
    </row>
    <row r="593" spans="1:32" ht="12.75" customHeight="1" x14ac:dyDescent="0.2">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c r="AA593" s="1"/>
      <c r="AB593" s="1"/>
      <c r="AC593" s="1"/>
      <c r="AD593" s="1"/>
      <c r="AE593" s="1"/>
      <c r="AF593" s="1"/>
    </row>
    <row r="594" spans="1:32" ht="12.75" customHeight="1" x14ac:dyDescent="0.2">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c r="AA594" s="1"/>
      <c r="AB594" s="1"/>
      <c r="AC594" s="1"/>
      <c r="AD594" s="1"/>
      <c r="AE594" s="1"/>
      <c r="AF594" s="1"/>
    </row>
    <row r="595" spans="1:32" ht="12.75" customHeight="1" x14ac:dyDescent="0.2">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c r="AA595" s="1"/>
      <c r="AB595" s="1"/>
      <c r="AC595" s="1"/>
      <c r="AD595" s="1"/>
      <c r="AE595" s="1"/>
      <c r="AF595" s="1"/>
    </row>
    <row r="596" spans="1:32" ht="12.75" customHeight="1" x14ac:dyDescent="0.2">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c r="AA596" s="1"/>
      <c r="AB596" s="1"/>
      <c r="AC596" s="1"/>
      <c r="AD596" s="1"/>
      <c r="AE596" s="1"/>
      <c r="AF596" s="1"/>
    </row>
    <row r="597" spans="1:32" ht="12.75" customHeight="1" x14ac:dyDescent="0.2">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c r="AA597" s="1"/>
      <c r="AB597" s="1"/>
      <c r="AC597" s="1"/>
      <c r="AD597" s="1"/>
      <c r="AE597" s="1"/>
      <c r="AF597" s="1"/>
    </row>
    <row r="598" spans="1:32" ht="12.75" customHeight="1" x14ac:dyDescent="0.2">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c r="AA598" s="1"/>
      <c r="AB598" s="1"/>
      <c r="AC598" s="1"/>
      <c r="AD598" s="1"/>
      <c r="AE598" s="1"/>
      <c r="AF598" s="1"/>
    </row>
    <row r="599" spans="1:32" ht="12.75" customHeight="1" x14ac:dyDescent="0.2">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c r="AA599" s="1"/>
      <c r="AB599" s="1"/>
      <c r="AC599" s="1"/>
      <c r="AD599" s="1"/>
      <c r="AE599" s="1"/>
      <c r="AF599" s="1"/>
    </row>
    <row r="600" spans="1:32" ht="12.75" customHeight="1" x14ac:dyDescent="0.2">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c r="AA600" s="1"/>
      <c r="AB600" s="1"/>
      <c r="AC600" s="1"/>
      <c r="AD600" s="1"/>
      <c r="AE600" s="1"/>
      <c r="AF600" s="1"/>
    </row>
    <row r="601" spans="1:32" ht="12.75" customHeight="1" x14ac:dyDescent="0.2">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c r="AA601" s="1"/>
      <c r="AB601" s="1"/>
      <c r="AC601" s="1"/>
      <c r="AD601" s="1"/>
      <c r="AE601" s="1"/>
      <c r="AF601" s="1"/>
    </row>
    <row r="602" spans="1:32" ht="12.75" customHeight="1" x14ac:dyDescent="0.2">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c r="AA602" s="1"/>
      <c r="AB602" s="1"/>
      <c r="AC602" s="1"/>
      <c r="AD602" s="1"/>
      <c r="AE602" s="1"/>
      <c r="AF602" s="1"/>
    </row>
    <row r="603" spans="1:32" ht="12.75" customHeight="1" x14ac:dyDescent="0.2">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c r="AA603" s="1"/>
      <c r="AB603" s="1"/>
      <c r="AC603" s="1"/>
      <c r="AD603" s="1"/>
      <c r="AE603" s="1"/>
      <c r="AF603" s="1"/>
    </row>
    <row r="604" spans="1:32" ht="12.75" customHeight="1" x14ac:dyDescent="0.2">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c r="AA604" s="1"/>
      <c r="AB604" s="1"/>
      <c r="AC604" s="1"/>
      <c r="AD604" s="1"/>
      <c r="AE604" s="1"/>
      <c r="AF604" s="1"/>
    </row>
    <row r="605" spans="1:32" ht="12.75" customHeight="1" x14ac:dyDescent="0.2">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c r="AA605" s="1"/>
      <c r="AB605" s="1"/>
      <c r="AC605" s="1"/>
      <c r="AD605" s="1"/>
      <c r="AE605" s="1"/>
      <c r="AF605" s="1"/>
    </row>
    <row r="606" spans="1:32" ht="12.75" customHeight="1" x14ac:dyDescent="0.2">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c r="AA606" s="1"/>
      <c r="AB606" s="1"/>
      <c r="AC606" s="1"/>
      <c r="AD606" s="1"/>
      <c r="AE606" s="1"/>
      <c r="AF606" s="1"/>
    </row>
    <row r="607" spans="1:32" ht="12.75" customHeight="1" x14ac:dyDescent="0.2">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c r="AA607" s="1"/>
      <c r="AB607" s="1"/>
      <c r="AC607" s="1"/>
      <c r="AD607" s="1"/>
      <c r="AE607" s="1"/>
      <c r="AF607" s="1"/>
    </row>
    <row r="608" spans="1:32" ht="12.75" customHeight="1" x14ac:dyDescent="0.2">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c r="AA608" s="1"/>
      <c r="AB608" s="1"/>
      <c r="AC608" s="1"/>
      <c r="AD608" s="1"/>
      <c r="AE608" s="1"/>
      <c r="AF608" s="1"/>
    </row>
    <row r="609" spans="1:32" ht="12.75" customHeight="1" x14ac:dyDescent="0.2">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c r="AA609" s="1"/>
      <c r="AB609" s="1"/>
      <c r="AC609" s="1"/>
      <c r="AD609" s="1"/>
      <c r="AE609" s="1"/>
      <c r="AF609" s="1"/>
    </row>
    <row r="610" spans="1:32" ht="12.75" customHeight="1" x14ac:dyDescent="0.2">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c r="AA610" s="1"/>
      <c r="AB610" s="1"/>
      <c r="AC610" s="1"/>
      <c r="AD610" s="1"/>
      <c r="AE610" s="1"/>
      <c r="AF610" s="1"/>
    </row>
    <row r="611" spans="1:32" ht="12.75" customHeight="1" x14ac:dyDescent="0.2">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c r="AA611" s="1"/>
      <c r="AB611" s="1"/>
      <c r="AC611" s="1"/>
      <c r="AD611" s="1"/>
      <c r="AE611" s="1"/>
      <c r="AF611" s="1"/>
    </row>
    <row r="612" spans="1:32" ht="12.75" customHeight="1" x14ac:dyDescent="0.2">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c r="AA612" s="1"/>
      <c r="AB612" s="1"/>
      <c r="AC612" s="1"/>
      <c r="AD612" s="1"/>
      <c r="AE612" s="1"/>
      <c r="AF612" s="1"/>
    </row>
    <row r="613" spans="1:32" ht="12.75" customHeight="1" x14ac:dyDescent="0.2">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c r="AA613" s="1"/>
      <c r="AB613" s="1"/>
      <c r="AC613" s="1"/>
      <c r="AD613" s="1"/>
      <c r="AE613" s="1"/>
      <c r="AF613" s="1"/>
    </row>
    <row r="614" spans="1:32" ht="12.75" customHeight="1" x14ac:dyDescent="0.2">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c r="AA614" s="1"/>
      <c r="AB614" s="1"/>
      <c r="AC614" s="1"/>
      <c r="AD614" s="1"/>
      <c r="AE614" s="1"/>
      <c r="AF614" s="1"/>
    </row>
    <row r="615" spans="1:32" ht="12.75" customHeight="1" x14ac:dyDescent="0.2">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c r="AA615" s="1"/>
      <c r="AB615" s="1"/>
      <c r="AC615" s="1"/>
      <c r="AD615" s="1"/>
      <c r="AE615" s="1"/>
      <c r="AF615" s="1"/>
    </row>
    <row r="616" spans="1:32" ht="12.75" customHeight="1" x14ac:dyDescent="0.2">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c r="AA616" s="1"/>
      <c r="AB616" s="1"/>
      <c r="AC616" s="1"/>
      <c r="AD616" s="1"/>
      <c r="AE616" s="1"/>
      <c r="AF616" s="1"/>
    </row>
    <row r="617" spans="1:32" ht="12.75" customHeight="1" x14ac:dyDescent="0.2">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c r="AA617" s="1"/>
      <c r="AB617" s="1"/>
      <c r="AC617" s="1"/>
      <c r="AD617" s="1"/>
      <c r="AE617" s="1"/>
      <c r="AF617" s="1"/>
    </row>
    <row r="618" spans="1:32" ht="12.75" customHeight="1" x14ac:dyDescent="0.2">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c r="AA618" s="1"/>
      <c r="AB618" s="1"/>
      <c r="AC618" s="1"/>
      <c r="AD618" s="1"/>
      <c r="AE618" s="1"/>
      <c r="AF618" s="1"/>
    </row>
    <row r="619" spans="1:32" ht="12.75" customHeight="1" x14ac:dyDescent="0.2">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c r="AA619" s="1"/>
      <c r="AB619" s="1"/>
      <c r="AC619" s="1"/>
      <c r="AD619" s="1"/>
      <c r="AE619" s="1"/>
      <c r="AF619" s="1"/>
    </row>
    <row r="620" spans="1:32" ht="12.75" customHeight="1" x14ac:dyDescent="0.2">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c r="AA620" s="1"/>
      <c r="AB620" s="1"/>
      <c r="AC620" s="1"/>
      <c r="AD620" s="1"/>
      <c r="AE620" s="1"/>
      <c r="AF620" s="1"/>
    </row>
    <row r="621" spans="1:32" ht="12.75" customHeight="1" x14ac:dyDescent="0.2">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c r="AA621" s="1"/>
      <c r="AB621" s="1"/>
      <c r="AC621" s="1"/>
      <c r="AD621" s="1"/>
      <c r="AE621" s="1"/>
      <c r="AF621" s="1"/>
    </row>
    <row r="622" spans="1:32" ht="12.75" customHeight="1" x14ac:dyDescent="0.2">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c r="AA622" s="1"/>
      <c r="AB622" s="1"/>
      <c r="AC622" s="1"/>
      <c r="AD622" s="1"/>
      <c r="AE622" s="1"/>
      <c r="AF622" s="1"/>
    </row>
    <row r="623" spans="1:32" ht="12.75" customHeight="1" x14ac:dyDescent="0.2">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c r="AA623" s="1"/>
      <c r="AB623" s="1"/>
      <c r="AC623" s="1"/>
      <c r="AD623" s="1"/>
      <c r="AE623" s="1"/>
      <c r="AF623" s="1"/>
    </row>
    <row r="624" spans="1:32" ht="12.75" customHeight="1" x14ac:dyDescent="0.2">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c r="AA624" s="1"/>
      <c r="AB624" s="1"/>
      <c r="AC624" s="1"/>
      <c r="AD624" s="1"/>
      <c r="AE624" s="1"/>
      <c r="AF624" s="1"/>
    </row>
    <row r="625" spans="1:32" ht="12.75" customHeight="1" x14ac:dyDescent="0.2">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c r="AA625" s="1"/>
      <c r="AB625" s="1"/>
      <c r="AC625" s="1"/>
      <c r="AD625" s="1"/>
      <c r="AE625" s="1"/>
      <c r="AF625" s="1"/>
    </row>
    <row r="626" spans="1:32" ht="12.75" customHeight="1" x14ac:dyDescent="0.2">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c r="AA626" s="1"/>
      <c r="AB626" s="1"/>
      <c r="AC626" s="1"/>
      <c r="AD626" s="1"/>
      <c r="AE626" s="1"/>
      <c r="AF626" s="1"/>
    </row>
    <row r="627" spans="1:32" ht="12.75" customHeight="1" x14ac:dyDescent="0.2">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c r="AA627" s="1"/>
      <c r="AB627" s="1"/>
      <c r="AC627" s="1"/>
      <c r="AD627" s="1"/>
      <c r="AE627" s="1"/>
      <c r="AF627" s="1"/>
    </row>
    <row r="628" spans="1:32" ht="12.75" customHeight="1" x14ac:dyDescent="0.2">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c r="AA628" s="1"/>
      <c r="AB628" s="1"/>
      <c r="AC628" s="1"/>
      <c r="AD628" s="1"/>
      <c r="AE628" s="1"/>
      <c r="AF628" s="1"/>
    </row>
    <row r="629" spans="1:32" ht="12.75" customHeight="1" x14ac:dyDescent="0.2">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c r="AA629" s="1"/>
      <c r="AB629" s="1"/>
      <c r="AC629" s="1"/>
      <c r="AD629" s="1"/>
      <c r="AE629" s="1"/>
      <c r="AF629" s="1"/>
    </row>
    <row r="630" spans="1:32" ht="12.75" customHeight="1" x14ac:dyDescent="0.2">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c r="AA630" s="1"/>
      <c r="AB630" s="1"/>
      <c r="AC630" s="1"/>
      <c r="AD630" s="1"/>
      <c r="AE630" s="1"/>
      <c r="AF630" s="1"/>
    </row>
    <row r="631" spans="1:32" ht="12.75" customHeight="1" x14ac:dyDescent="0.2">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c r="AA631" s="1"/>
      <c r="AB631" s="1"/>
      <c r="AC631" s="1"/>
      <c r="AD631" s="1"/>
      <c r="AE631" s="1"/>
      <c r="AF631" s="1"/>
    </row>
    <row r="632" spans="1:32" ht="12.75" customHeight="1" x14ac:dyDescent="0.2">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c r="AA632" s="1"/>
      <c r="AB632" s="1"/>
      <c r="AC632" s="1"/>
      <c r="AD632" s="1"/>
      <c r="AE632" s="1"/>
      <c r="AF632" s="1"/>
    </row>
    <row r="633" spans="1:32" ht="12.75" customHeight="1" x14ac:dyDescent="0.2">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c r="AA633" s="1"/>
      <c r="AB633" s="1"/>
      <c r="AC633" s="1"/>
      <c r="AD633" s="1"/>
      <c r="AE633" s="1"/>
      <c r="AF633" s="1"/>
    </row>
    <row r="634" spans="1:32" ht="12.75" customHeight="1" x14ac:dyDescent="0.2">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c r="AA634" s="1"/>
      <c r="AB634" s="1"/>
      <c r="AC634" s="1"/>
      <c r="AD634" s="1"/>
      <c r="AE634" s="1"/>
      <c r="AF634" s="1"/>
    </row>
    <row r="635" spans="1:32" ht="12.75" customHeight="1" x14ac:dyDescent="0.2">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c r="AA635" s="1"/>
      <c r="AB635" s="1"/>
      <c r="AC635" s="1"/>
      <c r="AD635" s="1"/>
      <c r="AE635" s="1"/>
      <c r="AF635" s="1"/>
    </row>
    <row r="636" spans="1:32" ht="12.75" customHeight="1" x14ac:dyDescent="0.2">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c r="AA636" s="1"/>
      <c r="AB636" s="1"/>
      <c r="AC636" s="1"/>
      <c r="AD636" s="1"/>
      <c r="AE636" s="1"/>
      <c r="AF636" s="1"/>
    </row>
    <row r="637" spans="1:32" ht="12.75" customHeight="1" x14ac:dyDescent="0.2">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c r="AA637" s="1"/>
      <c r="AB637" s="1"/>
      <c r="AC637" s="1"/>
      <c r="AD637" s="1"/>
      <c r="AE637" s="1"/>
      <c r="AF637" s="1"/>
    </row>
    <row r="638" spans="1:32" ht="12.75" customHeight="1" x14ac:dyDescent="0.2">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c r="AA638" s="1"/>
      <c r="AB638" s="1"/>
      <c r="AC638" s="1"/>
      <c r="AD638" s="1"/>
      <c r="AE638" s="1"/>
      <c r="AF638" s="1"/>
    </row>
    <row r="639" spans="1:32" ht="12.75" customHeight="1" x14ac:dyDescent="0.2">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c r="AA639" s="1"/>
      <c r="AB639" s="1"/>
      <c r="AC639" s="1"/>
      <c r="AD639" s="1"/>
      <c r="AE639" s="1"/>
      <c r="AF639" s="1"/>
    </row>
    <row r="640" spans="1:32" ht="12.75" customHeight="1" x14ac:dyDescent="0.2">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c r="AA640" s="1"/>
      <c r="AB640" s="1"/>
      <c r="AC640" s="1"/>
      <c r="AD640" s="1"/>
      <c r="AE640" s="1"/>
      <c r="AF640" s="1"/>
    </row>
    <row r="641" spans="1:32" ht="12.75" customHeight="1" x14ac:dyDescent="0.2">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c r="AA641" s="1"/>
      <c r="AB641" s="1"/>
      <c r="AC641" s="1"/>
      <c r="AD641" s="1"/>
      <c r="AE641" s="1"/>
      <c r="AF641" s="1"/>
    </row>
    <row r="642" spans="1:32" ht="12.75" customHeight="1" x14ac:dyDescent="0.2">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c r="AA642" s="1"/>
      <c r="AB642" s="1"/>
      <c r="AC642" s="1"/>
      <c r="AD642" s="1"/>
      <c r="AE642" s="1"/>
      <c r="AF642" s="1"/>
    </row>
    <row r="643" spans="1:32" ht="12.75" customHeight="1" x14ac:dyDescent="0.2">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c r="AA643" s="1"/>
      <c r="AB643" s="1"/>
      <c r="AC643" s="1"/>
      <c r="AD643" s="1"/>
      <c r="AE643" s="1"/>
      <c r="AF643" s="1"/>
    </row>
    <row r="644" spans="1:32" ht="12.75" customHeight="1" x14ac:dyDescent="0.2">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c r="AA644" s="1"/>
      <c r="AB644" s="1"/>
      <c r="AC644" s="1"/>
      <c r="AD644" s="1"/>
      <c r="AE644" s="1"/>
      <c r="AF644" s="1"/>
    </row>
    <row r="645" spans="1:32" ht="12.75" customHeight="1" x14ac:dyDescent="0.2">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c r="AA645" s="1"/>
      <c r="AB645" s="1"/>
      <c r="AC645" s="1"/>
      <c r="AD645" s="1"/>
      <c r="AE645" s="1"/>
      <c r="AF645" s="1"/>
    </row>
    <row r="646" spans="1:32" ht="12.75" customHeight="1" x14ac:dyDescent="0.2">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c r="AA646" s="1"/>
      <c r="AB646" s="1"/>
      <c r="AC646" s="1"/>
      <c r="AD646" s="1"/>
      <c r="AE646" s="1"/>
      <c r="AF646" s="1"/>
    </row>
    <row r="647" spans="1:32" ht="12.75" customHeight="1" x14ac:dyDescent="0.2">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c r="AA647" s="1"/>
      <c r="AB647" s="1"/>
      <c r="AC647" s="1"/>
      <c r="AD647" s="1"/>
      <c r="AE647" s="1"/>
      <c r="AF647" s="1"/>
    </row>
    <row r="648" spans="1:32" ht="12.75" customHeight="1" x14ac:dyDescent="0.2">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c r="AA648" s="1"/>
      <c r="AB648" s="1"/>
      <c r="AC648" s="1"/>
      <c r="AD648" s="1"/>
      <c r="AE648" s="1"/>
      <c r="AF648" s="1"/>
    </row>
    <row r="649" spans="1:32" ht="12.75" customHeight="1" x14ac:dyDescent="0.2">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c r="AA649" s="1"/>
      <c r="AB649" s="1"/>
      <c r="AC649" s="1"/>
      <c r="AD649" s="1"/>
      <c r="AE649" s="1"/>
      <c r="AF649" s="1"/>
    </row>
    <row r="650" spans="1:32" ht="12.75" customHeight="1" x14ac:dyDescent="0.2">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c r="AA650" s="1"/>
      <c r="AB650" s="1"/>
      <c r="AC650" s="1"/>
      <c r="AD650" s="1"/>
      <c r="AE650" s="1"/>
      <c r="AF650" s="1"/>
    </row>
    <row r="651" spans="1:32" ht="12.75" customHeight="1" x14ac:dyDescent="0.2">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c r="AA651" s="1"/>
      <c r="AB651" s="1"/>
      <c r="AC651" s="1"/>
      <c r="AD651" s="1"/>
      <c r="AE651" s="1"/>
      <c r="AF651" s="1"/>
    </row>
    <row r="652" spans="1:32" ht="12.75" customHeight="1" x14ac:dyDescent="0.2">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c r="AA652" s="1"/>
      <c r="AB652" s="1"/>
      <c r="AC652" s="1"/>
      <c r="AD652" s="1"/>
      <c r="AE652" s="1"/>
      <c r="AF652" s="1"/>
    </row>
    <row r="653" spans="1:32" ht="12.75" customHeight="1" x14ac:dyDescent="0.2">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c r="AA653" s="1"/>
      <c r="AB653" s="1"/>
      <c r="AC653" s="1"/>
      <c r="AD653" s="1"/>
      <c r="AE653" s="1"/>
      <c r="AF653" s="1"/>
    </row>
    <row r="654" spans="1:32" ht="12.75" customHeight="1" x14ac:dyDescent="0.2">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c r="AA654" s="1"/>
      <c r="AB654" s="1"/>
      <c r="AC654" s="1"/>
      <c r="AD654" s="1"/>
      <c r="AE654" s="1"/>
      <c r="AF654" s="1"/>
    </row>
    <row r="655" spans="1:32" ht="12.75" customHeight="1" x14ac:dyDescent="0.2">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c r="AA655" s="1"/>
      <c r="AB655" s="1"/>
      <c r="AC655" s="1"/>
      <c r="AD655" s="1"/>
      <c r="AE655" s="1"/>
      <c r="AF655" s="1"/>
    </row>
    <row r="656" spans="1:32" ht="12.75" customHeight="1" x14ac:dyDescent="0.2">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c r="AA656" s="1"/>
      <c r="AB656" s="1"/>
      <c r="AC656" s="1"/>
      <c r="AD656" s="1"/>
      <c r="AE656" s="1"/>
      <c r="AF656" s="1"/>
    </row>
    <row r="657" spans="1:32" ht="12.75" customHeight="1" x14ac:dyDescent="0.2">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c r="AA657" s="1"/>
      <c r="AB657" s="1"/>
      <c r="AC657" s="1"/>
      <c r="AD657" s="1"/>
      <c r="AE657" s="1"/>
      <c r="AF657" s="1"/>
    </row>
    <row r="658" spans="1:32" ht="12.75" customHeight="1" x14ac:dyDescent="0.2">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c r="AA658" s="1"/>
      <c r="AB658" s="1"/>
      <c r="AC658" s="1"/>
      <c r="AD658" s="1"/>
      <c r="AE658" s="1"/>
      <c r="AF658" s="1"/>
    </row>
    <row r="659" spans="1:32" ht="12.75" customHeight="1" x14ac:dyDescent="0.2">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c r="AA659" s="1"/>
      <c r="AB659" s="1"/>
      <c r="AC659" s="1"/>
      <c r="AD659" s="1"/>
      <c r="AE659" s="1"/>
      <c r="AF659" s="1"/>
    </row>
    <row r="660" spans="1:32" ht="12.75" customHeight="1" x14ac:dyDescent="0.2">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c r="AA660" s="1"/>
      <c r="AB660" s="1"/>
      <c r="AC660" s="1"/>
      <c r="AD660" s="1"/>
      <c r="AE660" s="1"/>
      <c r="AF660" s="1"/>
    </row>
    <row r="661" spans="1:32" ht="12.75" customHeight="1" x14ac:dyDescent="0.2">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c r="AA661" s="1"/>
      <c r="AB661" s="1"/>
      <c r="AC661" s="1"/>
      <c r="AD661" s="1"/>
      <c r="AE661" s="1"/>
      <c r="AF661" s="1"/>
    </row>
    <row r="662" spans="1:32" ht="12.75" customHeight="1" x14ac:dyDescent="0.2">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c r="AA662" s="1"/>
      <c r="AB662" s="1"/>
      <c r="AC662" s="1"/>
      <c r="AD662" s="1"/>
      <c r="AE662" s="1"/>
      <c r="AF662" s="1"/>
    </row>
    <row r="663" spans="1:32" ht="12.75" customHeight="1" x14ac:dyDescent="0.2">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c r="AA663" s="1"/>
      <c r="AB663" s="1"/>
      <c r="AC663" s="1"/>
      <c r="AD663" s="1"/>
      <c r="AE663" s="1"/>
      <c r="AF663" s="1"/>
    </row>
    <row r="664" spans="1:32" ht="12.75" customHeight="1" x14ac:dyDescent="0.2">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c r="AA664" s="1"/>
      <c r="AB664" s="1"/>
      <c r="AC664" s="1"/>
      <c r="AD664" s="1"/>
      <c r="AE664" s="1"/>
      <c r="AF664" s="1"/>
    </row>
    <row r="665" spans="1:32" ht="12.75" customHeight="1" x14ac:dyDescent="0.2">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c r="AA665" s="1"/>
      <c r="AB665" s="1"/>
      <c r="AC665" s="1"/>
      <c r="AD665" s="1"/>
      <c r="AE665" s="1"/>
      <c r="AF665" s="1"/>
    </row>
    <row r="666" spans="1:32" ht="12.75" customHeight="1" x14ac:dyDescent="0.2">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c r="AA666" s="1"/>
      <c r="AB666" s="1"/>
      <c r="AC666" s="1"/>
      <c r="AD666" s="1"/>
      <c r="AE666" s="1"/>
      <c r="AF666" s="1"/>
    </row>
    <row r="667" spans="1:32" ht="12.75" customHeight="1" x14ac:dyDescent="0.2">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c r="AA667" s="1"/>
      <c r="AB667" s="1"/>
      <c r="AC667" s="1"/>
      <c r="AD667" s="1"/>
      <c r="AE667" s="1"/>
      <c r="AF667" s="1"/>
    </row>
    <row r="668" spans="1:32" ht="12.75" customHeight="1" x14ac:dyDescent="0.2">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c r="AA668" s="1"/>
      <c r="AB668" s="1"/>
      <c r="AC668" s="1"/>
      <c r="AD668" s="1"/>
      <c r="AE668" s="1"/>
      <c r="AF668" s="1"/>
    </row>
    <row r="669" spans="1:32" ht="12.75" customHeight="1" x14ac:dyDescent="0.2">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c r="AA669" s="1"/>
      <c r="AB669" s="1"/>
      <c r="AC669" s="1"/>
      <c r="AD669" s="1"/>
      <c r="AE669" s="1"/>
      <c r="AF669" s="1"/>
    </row>
    <row r="670" spans="1:32" ht="12.75" customHeight="1" x14ac:dyDescent="0.2">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c r="AA670" s="1"/>
      <c r="AB670" s="1"/>
      <c r="AC670" s="1"/>
      <c r="AD670" s="1"/>
      <c r="AE670" s="1"/>
      <c r="AF670" s="1"/>
    </row>
    <row r="671" spans="1:32" ht="12.75" customHeight="1" x14ac:dyDescent="0.2">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c r="AA671" s="1"/>
      <c r="AB671" s="1"/>
      <c r="AC671" s="1"/>
      <c r="AD671" s="1"/>
      <c r="AE671" s="1"/>
      <c r="AF671" s="1"/>
    </row>
    <row r="672" spans="1:32" ht="12.75" customHeight="1" x14ac:dyDescent="0.2">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c r="AA672" s="1"/>
      <c r="AB672" s="1"/>
      <c r="AC672" s="1"/>
      <c r="AD672" s="1"/>
      <c r="AE672" s="1"/>
      <c r="AF672" s="1"/>
    </row>
    <row r="673" spans="1:32" ht="12.75" customHeight="1" x14ac:dyDescent="0.2">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c r="AA673" s="1"/>
      <c r="AB673" s="1"/>
      <c r="AC673" s="1"/>
      <c r="AD673" s="1"/>
      <c r="AE673" s="1"/>
      <c r="AF673" s="1"/>
    </row>
    <row r="674" spans="1:32" ht="12.75" customHeight="1" x14ac:dyDescent="0.2">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c r="AA674" s="1"/>
      <c r="AB674" s="1"/>
      <c r="AC674" s="1"/>
      <c r="AD674" s="1"/>
      <c r="AE674" s="1"/>
      <c r="AF674" s="1"/>
    </row>
    <row r="675" spans="1:32" ht="12.75" customHeight="1" x14ac:dyDescent="0.2">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c r="AA675" s="1"/>
      <c r="AB675" s="1"/>
      <c r="AC675" s="1"/>
      <c r="AD675" s="1"/>
      <c r="AE675" s="1"/>
      <c r="AF675" s="1"/>
    </row>
    <row r="676" spans="1:32" ht="12.75" customHeight="1" x14ac:dyDescent="0.2">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c r="AA676" s="1"/>
      <c r="AB676" s="1"/>
      <c r="AC676" s="1"/>
      <c r="AD676" s="1"/>
      <c r="AE676" s="1"/>
      <c r="AF676" s="1"/>
    </row>
    <row r="677" spans="1:32" ht="12.75" customHeight="1" x14ac:dyDescent="0.2">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c r="AA677" s="1"/>
      <c r="AB677" s="1"/>
      <c r="AC677" s="1"/>
      <c r="AD677" s="1"/>
      <c r="AE677" s="1"/>
      <c r="AF677" s="1"/>
    </row>
    <row r="678" spans="1:32" ht="12.75" customHeight="1" x14ac:dyDescent="0.2">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c r="AA678" s="1"/>
      <c r="AB678" s="1"/>
      <c r="AC678" s="1"/>
      <c r="AD678" s="1"/>
      <c r="AE678" s="1"/>
      <c r="AF678" s="1"/>
    </row>
    <row r="679" spans="1:32" ht="12.75" customHeight="1" x14ac:dyDescent="0.2">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c r="AA679" s="1"/>
      <c r="AB679" s="1"/>
      <c r="AC679" s="1"/>
      <c r="AD679" s="1"/>
      <c r="AE679" s="1"/>
      <c r="AF679" s="1"/>
    </row>
    <row r="680" spans="1:32" ht="12.75" customHeight="1" x14ac:dyDescent="0.2">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c r="AA680" s="1"/>
      <c r="AB680" s="1"/>
      <c r="AC680" s="1"/>
      <c r="AD680" s="1"/>
      <c r="AE680" s="1"/>
      <c r="AF680" s="1"/>
    </row>
    <row r="681" spans="1:32" ht="12.75" customHeight="1" x14ac:dyDescent="0.2">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c r="AA681" s="1"/>
      <c r="AB681" s="1"/>
      <c r="AC681" s="1"/>
      <c r="AD681" s="1"/>
      <c r="AE681" s="1"/>
      <c r="AF681" s="1"/>
    </row>
    <row r="682" spans="1:32" ht="12.75" customHeight="1" x14ac:dyDescent="0.2">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c r="AA682" s="1"/>
      <c r="AB682" s="1"/>
      <c r="AC682" s="1"/>
      <c r="AD682" s="1"/>
      <c r="AE682" s="1"/>
      <c r="AF682" s="1"/>
    </row>
    <row r="683" spans="1:32" ht="12.75" customHeight="1" x14ac:dyDescent="0.2">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c r="AA683" s="1"/>
      <c r="AB683" s="1"/>
      <c r="AC683" s="1"/>
      <c r="AD683" s="1"/>
      <c r="AE683" s="1"/>
      <c r="AF683" s="1"/>
    </row>
    <row r="684" spans="1:32" ht="12.75" customHeight="1" x14ac:dyDescent="0.2">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c r="AA684" s="1"/>
      <c r="AB684" s="1"/>
      <c r="AC684" s="1"/>
      <c r="AD684" s="1"/>
      <c r="AE684" s="1"/>
      <c r="AF684" s="1"/>
    </row>
    <row r="685" spans="1:32" ht="12.75" customHeight="1" x14ac:dyDescent="0.2">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c r="AA685" s="1"/>
      <c r="AB685" s="1"/>
      <c r="AC685" s="1"/>
      <c r="AD685" s="1"/>
      <c r="AE685" s="1"/>
      <c r="AF685" s="1"/>
    </row>
    <row r="686" spans="1:32" ht="12.75" customHeight="1" x14ac:dyDescent="0.2">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c r="AA686" s="1"/>
      <c r="AB686" s="1"/>
      <c r="AC686" s="1"/>
      <c r="AD686" s="1"/>
      <c r="AE686" s="1"/>
      <c r="AF686" s="1"/>
    </row>
    <row r="687" spans="1:32" ht="12.75" customHeight="1" x14ac:dyDescent="0.2">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c r="AA687" s="1"/>
      <c r="AB687" s="1"/>
      <c r="AC687" s="1"/>
      <c r="AD687" s="1"/>
      <c r="AE687" s="1"/>
      <c r="AF687" s="1"/>
    </row>
    <row r="688" spans="1:32" ht="12.75" customHeight="1" x14ac:dyDescent="0.2">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c r="AA688" s="1"/>
      <c r="AB688" s="1"/>
      <c r="AC688" s="1"/>
      <c r="AD688" s="1"/>
      <c r="AE688" s="1"/>
      <c r="AF688" s="1"/>
    </row>
    <row r="689" spans="1:32" ht="12.75" customHeight="1" x14ac:dyDescent="0.2">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c r="AA689" s="1"/>
      <c r="AB689" s="1"/>
      <c r="AC689" s="1"/>
      <c r="AD689" s="1"/>
      <c r="AE689" s="1"/>
      <c r="AF689" s="1"/>
    </row>
    <row r="690" spans="1:32" ht="12.75" customHeight="1" x14ac:dyDescent="0.2">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c r="AA690" s="1"/>
      <c r="AB690" s="1"/>
      <c r="AC690" s="1"/>
      <c r="AD690" s="1"/>
      <c r="AE690" s="1"/>
      <c r="AF690" s="1"/>
    </row>
    <row r="691" spans="1:32" ht="12.75" customHeight="1" x14ac:dyDescent="0.2">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c r="AA691" s="1"/>
      <c r="AB691" s="1"/>
      <c r="AC691" s="1"/>
      <c r="AD691" s="1"/>
      <c r="AE691" s="1"/>
      <c r="AF691" s="1"/>
    </row>
    <row r="692" spans="1:32" ht="12.75" customHeight="1" x14ac:dyDescent="0.2">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c r="AA692" s="1"/>
      <c r="AB692" s="1"/>
      <c r="AC692" s="1"/>
      <c r="AD692" s="1"/>
      <c r="AE692" s="1"/>
      <c r="AF692" s="1"/>
    </row>
    <row r="693" spans="1:32" ht="12.75" customHeight="1" x14ac:dyDescent="0.2">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c r="AA693" s="1"/>
      <c r="AB693" s="1"/>
      <c r="AC693" s="1"/>
      <c r="AD693" s="1"/>
      <c r="AE693" s="1"/>
      <c r="AF693" s="1"/>
    </row>
    <row r="694" spans="1:32" ht="12.75" customHeight="1" x14ac:dyDescent="0.2">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c r="AA694" s="1"/>
      <c r="AB694" s="1"/>
      <c r="AC694" s="1"/>
      <c r="AD694" s="1"/>
      <c r="AE694" s="1"/>
      <c r="AF694" s="1"/>
    </row>
    <row r="695" spans="1:32" ht="12.75" customHeight="1" x14ac:dyDescent="0.2">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c r="AA695" s="1"/>
      <c r="AB695" s="1"/>
      <c r="AC695" s="1"/>
      <c r="AD695" s="1"/>
      <c r="AE695" s="1"/>
      <c r="AF695" s="1"/>
    </row>
    <row r="696" spans="1:32" ht="12.75" customHeight="1" x14ac:dyDescent="0.2">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c r="AA696" s="1"/>
      <c r="AB696" s="1"/>
      <c r="AC696" s="1"/>
      <c r="AD696" s="1"/>
      <c r="AE696" s="1"/>
      <c r="AF696" s="1"/>
    </row>
    <row r="697" spans="1:32" ht="12.75" customHeight="1" x14ac:dyDescent="0.2">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c r="AA697" s="1"/>
      <c r="AB697" s="1"/>
      <c r="AC697" s="1"/>
      <c r="AD697" s="1"/>
      <c r="AE697" s="1"/>
      <c r="AF697" s="1"/>
    </row>
    <row r="698" spans="1:32" ht="12.75" customHeight="1" x14ac:dyDescent="0.2">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c r="AA698" s="1"/>
      <c r="AB698" s="1"/>
      <c r="AC698" s="1"/>
      <c r="AD698" s="1"/>
      <c r="AE698" s="1"/>
      <c r="AF698" s="1"/>
    </row>
    <row r="699" spans="1:32" ht="12.75" customHeight="1" x14ac:dyDescent="0.2">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c r="AA699" s="1"/>
      <c r="AB699" s="1"/>
      <c r="AC699" s="1"/>
      <c r="AD699" s="1"/>
      <c r="AE699" s="1"/>
      <c r="AF699" s="1"/>
    </row>
    <row r="700" spans="1:32" ht="12.75" customHeight="1" x14ac:dyDescent="0.2">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c r="AA700" s="1"/>
      <c r="AB700" s="1"/>
      <c r="AC700" s="1"/>
      <c r="AD700" s="1"/>
      <c r="AE700" s="1"/>
      <c r="AF700" s="1"/>
    </row>
    <row r="701" spans="1:32" ht="12.75" customHeight="1" x14ac:dyDescent="0.2">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c r="AA701" s="1"/>
      <c r="AB701" s="1"/>
      <c r="AC701" s="1"/>
      <c r="AD701" s="1"/>
      <c r="AE701" s="1"/>
      <c r="AF701" s="1"/>
    </row>
    <row r="702" spans="1:32" ht="12.75" customHeight="1" x14ac:dyDescent="0.2">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c r="AA702" s="1"/>
      <c r="AB702" s="1"/>
      <c r="AC702" s="1"/>
      <c r="AD702" s="1"/>
      <c r="AE702" s="1"/>
      <c r="AF702" s="1"/>
    </row>
    <row r="703" spans="1:32" ht="12.75" customHeight="1" x14ac:dyDescent="0.2">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c r="AA703" s="1"/>
      <c r="AB703" s="1"/>
      <c r="AC703" s="1"/>
      <c r="AD703" s="1"/>
      <c r="AE703" s="1"/>
      <c r="AF703" s="1"/>
    </row>
    <row r="704" spans="1:32" ht="12.75" customHeight="1" x14ac:dyDescent="0.2">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c r="AA704" s="1"/>
      <c r="AB704" s="1"/>
      <c r="AC704" s="1"/>
      <c r="AD704" s="1"/>
      <c r="AE704" s="1"/>
      <c r="AF704" s="1"/>
    </row>
    <row r="705" spans="1:32" ht="12.75" customHeight="1" x14ac:dyDescent="0.2">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c r="AA705" s="1"/>
      <c r="AB705" s="1"/>
      <c r="AC705" s="1"/>
      <c r="AD705" s="1"/>
      <c r="AE705" s="1"/>
      <c r="AF705" s="1"/>
    </row>
    <row r="706" spans="1:32" ht="12.75" customHeight="1" x14ac:dyDescent="0.2">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c r="AA706" s="1"/>
      <c r="AB706" s="1"/>
      <c r="AC706" s="1"/>
      <c r="AD706" s="1"/>
      <c r="AE706" s="1"/>
      <c r="AF706" s="1"/>
    </row>
    <row r="707" spans="1:32" ht="12.75" customHeight="1" x14ac:dyDescent="0.2">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c r="AA707" s="1"/>
      <c r="AB707" s="1"/>
      <c r="AC707" s="1"/>
      <c r="AD707" s="1"/>
      <c r="AE707" s="1"/>
      <c r="AF707" s="1"/>
    </row>
    <row r="708" spans="1:32" ht="12.75" customHeight="1" x14ac:dyDescent="0.2">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c r="AA708" s="1"/>
      <c r="AB708" s="1"/>
      <c r="AC708" s="1"/>
      <c r="AD708" s="1"/>
      <c r="AE708" s="1"/>
      <c r="AF708" s="1"/>
    </row>
    <row r="709" spans="1:32" ht="12.75" customHeight="1" x14ac:dyDescent="0.2">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c r="AA709" s="1"/>
      <c r="AB709" s="1"/>
      <c r="AC709" s="1"/>
      <c r="AD709" s="1"/>
      <c r="AE709" s="1"/>
      <c r="AF709" s="1"/>
    </row>
    <row r="710" spans="1:32" ht="12.75" customHeight="1" x14ac:dyDescent="0.2">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c r="AA710" s="1"/>
      <c r="AB710" s="1"/>
      <c r="AC710" s="1"/>
      <c r="AD710" s="1"/>
      <c r="AE710" s="1"/>
      <c r="AF710" s="1"/>
    </row>
    <row r="711" spans="1:32" ht="12.75" customHeight="1" x14ac:dyDescent="0.2">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c r="AA711" s="1"/>
      <c r="AB711" s="1"/>
      <c r="AC711" s="1"/>
      <c r="AD711" s="1"/>
      <c r="AE711" s="1"/>
      <c r="AF711" s="1"/>
    </row>
    <row r="712" spans="1:32" ht="12.75" customHeight="1" x14ac:dyDescent="0.2">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c r="AA712" s="1"/>
      <c r="AB712" s="1"/>
      <c r="AC712" s="1"/>
      <c r="AD712" s="1"/>
      <c r="AE712" s="1"/>
      <c r="AF712" s="1"/>
    </row>
    <row r="713" spans="1:32" ht="12.75" customHeight="1" x14ac:dyDescent="0.2">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c r="AA713" s="1"/>
      <c r="AB713" s="1"/>
      <c r="AC713" s="1"/>
      <c r="AD713" s="1"/>
      <c r="AE713" s="1"/>
      <c r="AF713" s="1"/>
    </row>
    <row r="714" spans="1:32" ht="12.75" customHeight="1" x14ac:dyDescent="0.2">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c r="AA714" s="1"/>
      <c r="AB714" s="1"/>
      <c r="AC714" s="1"/>
      <c r="AD714" s="1"/>
      <c r="AE714" s="1"/>
      <c r="AF714" s="1"/>
    </row>
    <row r="715" spans="1:32" ht="12.75" customHeight="1" x14ac:dyDescent="0.2">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c r="AA715" s="1"/>
      <c r="AB715" s="1"/>
      <c r="AC715" s="1"/>
      <c r="AD715" s="1"/>
      <c r="AE715" s="1"/>
      <c r="AF715" s="1"/>
    </row>
    <row r="716" spans="1:32" ht="12.75" customHeight="1" x14ac:dyDescent="0.2">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c r="AA716" s="1"/>
      <c r="AB716" s="1"/>
      <c r="AC716" s="1"/>
      <c r="AD716" s="1"/>
      <c r="AE716" s="1"/>
      <c r="AF716" s="1"/>
    </row>
    <row r="717" spans="1:32" ht="12.75" customHeight="1" x14ac:dyDescent="0.2">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c r="AA717" s="1"/>
      <c r="AB717" s="1"/>
      <c r="AC717" s="1"/>
      <c r="AD717" s="1"/>
      <c r="AE717" s="1"/>
      <c r="AF717" s="1"/>
    </row>
    <row r="718" spans="1:32" ht="12.75" customHeight="1" x14ac:dyDescent="0.2">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c r="AA718" s="1"/>
      <c r="AB718" s="1"/>
      <c r="AC718" s="1"/>
      <c r="AD718" s="1"/>
      <c r="AE718" s="1"/>
      <c r="AF718" s="1"/>
    </row>
    <row r="719" spans="1:32" ht="12.75" customHeight="1" x14ac:dyDescent="0.2">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c r="AA719" s="1"/>
      <c r="AB719" s="1"/>
      <c r="AC719" s="1"/>
      <c r="AD719" s="1"/>
      <c r="AE719" s="1"/>
      <c r="AF719" s="1"/>
    </row>
    <row r="720" spans="1:32" ht="12.75" customHeight="1" x14ac:dyDescent="0.2">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c r="AA720" s="1"/>
      <c r="AB720" s="1"/>
      <c r="AC720" s="1"/>
      <c r="AD720" s="1"/>
      <c r="AE720" s="1"/>
      <c r="AF720" s="1"/>
    </row>
    <row r="721" spans="1:32" ht="12.75" customHeight="1" x14ac:dyDescent="0.2">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c r="AA721" s="1"/>
      <c r="AB721" s="1"/>
      <c r="AC721" s="1"/>
      <c r="AD721" s="1"/>
      <c r="AE721" s="1"/>
      <c r="AF721" s="1"/>
    </row>
    <row r="722" spans="1:32" ht="12.75" customHeight="1" x14ac:dyDescent="0.2">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c r="AA722" s="1"/>
      <c r="AB722" s="1"/>
      <c r="AC722" s="1"/>
      <c r="AD722" s="1"/>
      <c r="AE722" s="1"/>
      <c r="AF722" s="1"/>
    </row>
    <row r="723" spans="1:32" ht="12.75" customHeight="1" x14ac:dyDescent="0.2">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c r="AA723" s="1"/>
      <c r="AB723" s="1"/>
      <c r="AC723" s="1"/>
      <c r="AD723" s="1"/>
      <c r="AE723" s="1"/>
      <c r="AF723" s="1"/>
    </row>
    <row r="724" spans="1:32" ht="12.75" customHeight="1" x14ac:dyDescent="0.2">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c r="AA724" s="1"/>
      <c r="AB724" s="1"/>
      <c r="AC724" s="1"/>
      <c r="AD724" s="1"/>
      <c r="AE724" s="1"/>
      <c r="AF724" s="1"/>
    </row>
    <row r="725" spans="1:32" ht="12.75" customHeight="1" x14ac:dyDescent="0.2">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c r="AA725" s="1"/>
      <c r="AB725" s="1"/>
      <c r="AC725" s="1"/>
      <c r="AD725" s="1"/>
      <c r="AE725" s="1"/>
      <c r="AF725" s="1"/>
    </row>
    <row r="726" spans="1:32" ht="12.75" customHeight="1" x14ac:dyDescent="0.2">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c r="AA726" s="1"/>
      <c r="AB726" s="1"/>
      <c r="AC726" s="1"/>
      <c r="AD726" s="1"/>
      <c r="AE726" s="1"/>
      <c r="AF726" s="1"/>
    </row>
    <row r="727" spans="1:32" ht="12.75" customHeight="1" x14ac:dyDescent="0.2">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c r="AA727" s="1"/>
      <c r="AB727" s="1"/>
      <c r="AC727" s="1"/>
      <c r="AD727" s="1"/>
      <c r="AE727" s="1"/>
      <c r="AF727" s="1"/>
    </row>
    <row r="728" spans="1:32" ht="12.75" customHeight="1" x14ac:dyDescent="0.2">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c r="AA728" s="1"/>
      <c r="AB728" s="1"/>
      <c r="AC728" s="1"/>
      <c r="AD728" s="1"/>
      <c r="AE728" s="1"/>
      <c r="AF728" s="1"/>
    </row>
    <row r="729" spans="1:32" ht="12.75" customHeight="1" x14ac:dyDescent="0.2">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c r="AA729" s="1"/>
      <c r="AB729" s="1"/>
      <c r="AC729" s="1"/>
      <c r="AD729" s="1"/>
      <c r="AE729" s="1"/>
      <c r="AF729" s="1"/>
    </row>
    <row r="730" spans="1:32" ht="12.75" customHeight="1" x14ac:dyDescent="0.2">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c r="AA730" s="1"/>
      <c r="AB730" s="1"/>
      <c r="AC730" s="1"/>
      <c r="AD730" s="1"/>
      <c r="AE730" s="1"/>
      <c r="AF730" s="1"/>
    </row>
    <row r="731" spans="1:32" ht="12.75" customHeight="1" x14ac:dyDescent="0.2">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c r="AA731" s="1"/>
      <c r="AB731" s="1"/>
      <c r="AC731" s="1"/>
      <c r="AD731" s="1"/>
      <c r="AE731" s="1"/>
      <c r="AF731" s="1"/>
    </row>
    <row r="732" spans="1:32" ht="12.75" customHeight="1" x14ac:dyDescent="0.2">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c r="AA732" s="1"/>
      <c r="AB732" s="1"/>
      <c r="AC732" s="1"/>
      <c r="AD732" s="1"/>
      <c r="AE732" s="1"/>
      <c r="AF732" s="1"/>
    </row>
    <row r="733" spans="1:32" ht="12.75" customHeight="1" x14ac:dyDescent="0.2">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c r="AA733" s="1"/>
      <c r="AB733" s="1"/>
      <c r="AC733" s="1"/>
      <c r="AD733" s="1"/>
      <c r="AE733" s="1"/>
      <c r="AF733" s="1"/>
    </row>
    <row r="734" spans="1:32" ht="12.75" customHeight="1" x14ac:dyDescent="0.2">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c r="AA734" s="1"/>
      <c r="AB734" s="1"/>
      <c r="AC734" s="1"/>
      <c r="AD734" s="1"/>
      <c r="AE734" s="1"/>
      <c r="AF734" s="1"/>
    </row>
    <row r="735" spans="1:32" ht="12.75" customHeight="1" x14ac:dyDescent="0.2">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c r="AA735" s="1"/>
      <c r="AB735" s="1"/>
      <c r="AC735" s="1"/>
      <c r="AD735" s="1"/>
      <c r="AE735" s="1"/>
      <c r="AF735" s="1"/>
    </row>
    <row r="736" spans="1:32" ht="12.75" customHeight="1" x14ac:dyDescent="0.2">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c r="AA736" s="1"/>
      <c r="AB736" s="1"/>
      <c r="AC736" s="1"/>
      <c r="AD736" s="1"/>
      <c r="AE736" s="1"/>
      <c r="AF736" s="1"/>
    </row>
    <row r="737" spans="1:32" ht="12.75" customHeight="1" x14ac:dyDescent="0.2">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c r="AA737" s="1"/>
      <c r="AB737" s="1"/>
      <c r="AC737" s="1"/>
      <c r="AD737" s="1"/>
      <c r="AE737" s="1"/>
      <c r="AF737" s="1"/>
    </row>
    <row r="738" spans="1:32" ht="12.75" customHeight="1" x14ac:dyDescent="0.2">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c r="AA738" s="1"/>
      <c r="AB738" s="1"/>
      <c r="AC738" s="1"/>
      <c r="AD738" s="1"/>
      <c r="AE738" s="1"/>
      <c r="AF738" s="1"/>
    </row>
    <row r="739" spans="1:32" ht="12.75" customHeight="1" x14ac:dyDescent="0.2">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c r="AA739" s="1"/>
      <c r="AB739" s="1"/>
      <c r="AC739" s="1"/>
      <c r="AD739" s="1"/>
      <c r="AE739" s="1"/>
      <c r="AF739" s="1"/>
    </row>
    <row r="740" spans="1:32" ht="12.75" customHeight="1" x14ac:dyDescent="0.2">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c r="AA740" s="1"/>
      <c r="AB740" s="1"/>
      <c r="AC740" s="1"/>
      <c r="AD740" s="1"/>
      <c r="AE740" s="1"/>
      <c r="AF740" s="1"/>
    </row>
    <row r="741" spans="1:32" ht="12.75" customHeight="1" x14ac:dyDescent="0.2">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c r="AA741" s="1"/>
      <c r="AB741" s="1"/>
      <c r="AC741" s="1"/>
      <c r="AD741" s="1"/>
      <c r="AE741" s="1"/>
      <c r="AF741" s="1"/>
    </row>
    <row r="742" spans="1:32" ht="12.75" customHeight="1" x14ac:dyDescent="0.2">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c r="AA742" s="1"/>
      <c r="AB742" s="1"/>
      <c r="AC742" s="1"/>
      <c r="AD742" s="1"/>
      <c r="AE742" s="1"/>
      <c r="AF742" s="1"/>
    </row>
    <row r="743" spans="1:32" ht="12.75" customHeight="1" x14ac:dyDescent="0.2">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c r="AA743" s="1"/>
      <c r="AB743" s="1"/>
      <c r="AC743" s="1"/>
      <c r="AD743" s="1"/>
      <c r="AE743" s="1"/>
      <c r="AF743" s="1"/>
    </row>
    <row r="744" spans="1:32" ht="12.75" customHeight="1" x14ac:dyDescent="0.2">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c r="AA744" s="1"/>
      <c r="AB744" s="1"/>
      <c r="AC744" s="1"/>
      <c r="AD744" s="1"/>
      <c r="AE744" s="1"/>
      <c r="AF744" s="1"/>
    </row>
    <row r="745" spans="1:32" ht="12.75" customHeight="1" x14ac:dyDescent="0.2">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c r="AA745" s="1"/>
      <c r="AB745" s="1"/>
      <c r="AC745" s="1"/>
      <c r="AD745" s="1"/>
      <c r="AE745" s="1"/>
      <c r="AF745" s="1"/>
    </row>
    <row r="746" spans="1:32" ht="12.75" customHeight="1" x14ac:dyDescent="0.2">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c r="AA746" s="1"/>
      <c r="AB746" s="1"/>
      <c r="AC746" s="1"/>
      <c r="AD746" s="1"/>
      <c r="AE746" s="1"/>
      <c r="AF746" s="1"/>
    </row>
    <row r="747" spans="1:32" ht="12.75" customHeight="1" x14ac:dyDescent="0.2">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c r="AA747" s="1"/>
      <c r="AB747" s="1"/>
      <c r="AC747" s="1"/>
      <c r="AD747" s="1"/>
      <c r="AE747" s="1"/>
      <c r="AF747" s="1"/>
    </row>
    <row r="748" spans="1:32" ht="12.75" customHeight="1" x14ac:dyDescent="0.2">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c r="AA748" s="1"/>
      <c r="AB748" s="1"/>
      <c r="AC748" s="1"/>
      <c r="AD748" s="1"/>
      <c r="AE748" s="1"/>
      <c r="AF748" s="1"/>
    </row>
    <row r="749" spans="1:32" ht="12.75" customHeight="1" x14ac:dyDescent="0.2">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c r="AA749" s="1"/>
      <c r="AB749" s="1"/>
      <c r="AC749" s="1"/>
      <c r="AD749" s="1"/>
      <c r="AE749" s="1"/>
      <c r="AF749" s="1"/>
    </row>
    <row r="750" spans="1:32" ht="12.75" customHeight="1" x14ac:dyDescent="0.2">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c r="AA750" s="1"/>
      <c r="AB750" s="1"/>
      <c r="AC750" s="1"/>
      <c r="AD750" s="1"/>
      <c r="AE750" s="1"/>
      <c r="AF750" s="1"/>
    </row>
    <row r="751" spans="1:32" ht="12.75" customHeight="1" x14ac:dyDescent="0.2">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c r="AA751" s="1"/>
      <c r="AB751" s="1"/>
      <c r="AC751" s="1"/>
      <c r="AD751" s="1"/>
      <c r="AE751" s="1"/>
      <c r="AF751" s="1"/>
    </row>
    <row r="752" spans="1:32" ht="12.75" customHeight="1" x14ac:dyDescent="0.2">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c r="AA752" s="1"/>
      <c r="AB752" s="1"/>
      <c r="AC752" s="1"/>
      <c r="AD752" s="1"/>
      <c r="AE752" s="1"/>
      <c r="AF752" s="1"/>
    </row>
    <row r="753" spans="1:32" ht="12.75" customHeight="1" x14ac:dyDescent="0.2">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c r="AA753" s="1"/>
      <c r="AB753" s="1"/>
      <c r="AC753" s="1"/>
      <c r="AD753" s="1"/>
      <c r="AE753" s="1"/>
      <c r="AF753" s="1"/>
    </row>
    <row r="754" spans="1:32" ht="12.75" customHeight="1" x14ac:dyDescent="0.2">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c r="AA754" s="1"/>
      <c r="AB754" s="1"/>
      <c r="AC754" s="1"/>
      <c r="AD754" s="1"/>
      <c r="AE754" s="1"/>
      <c r="AF754" s="1"/>
    </row>
    <row r="755" spans="1:32" ht="12.75" customHeight="1" x14ac:dyDescent="0.2">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c r="AA755" s="1"/>
      <c r="AB755" s="1"/>
      <c r="AC755" s="1"/>
      <c r="AD755" s="1"/>
      <c r="AE755" s="1"/>
      <c r="AF755" s="1"/>
    </row>
    <row r="756" spans="1:32" ht="12.75" customHeight="1" x14ac:dyDescent="0.2">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c r="AA756" s="1"/>
      <c r="AB756" s="1"/>
      <c r="AC756" s="1"/>
      <c r="AD756" s="1"/>
      <c r="AE756" s="1"/>
      <c r="AF756" s="1"/>
    </row>
    <row r="757" spans="1:32" ht="12.75" customHeight="1" x14ac:dyDescent="0.2">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c r="AA757" s="1"/>
      <c r="AB757" s="1"/>
      <c r="AC757" s="1"/>
      <c r="AD757" s="1"/>
      <c r="AE757" s="1"/>
      <c r="AF757" s="1"/>
    </row>
    <row r="758" spans="1:32" ht="12.75" customHeight="1" x14ac:dyDescent="0.2">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c r="AA758" s="1"/>
      <c r="AB758" s="1"/>
      <c r="AC758" s="1"/>
      <c r="AD758" s="1"/>
      <c r="AE758" s="1"/>
      <c r="AF758" s="1"/>
    </row>
    <row r="759" spans="1:32" ht="12.75" customHeight="1" x14ac:dyDescent="0.2">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c r="AA759" s="1"/>
      <c r="AB759" s="1"/>
      <c r="AC759" s="1"/>
      <c r="AD759" s="1"/>
      <c r="AE759" s="1"/>
      <c r="AF759" s="1"/>
    </row>
    <row r="760" spans="1:32" ht="12.75" customHeight="1" x14ac:dyDescent="0.2">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c r="AA760" s="1"/>
      <c r="AB760" s="1"/>
      <c r="AC760" s="1"/>
      <c r="AD760" s="1"/>
      <c r="AE760" s="1"/>
      <c r="AF760" s="1"/>
    </row>
    <row r="761" spans="1:32" ht="12.75" customHeight="1" x14ac:dyDescent="0.2">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c r="AA761" s="1"/>
      <c r="AB761" s="1"/>
      <c r="AC761" s="1"/>
      <c r="AD761" s="1"/>
      <c r="AE761" s="1"/>
      <c r="AF761" s="1"/>
    </row>
    <row r="762" spans="1:32" ht="12.75" customHeight="1" x14ac:dyDescent="0.2">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c r="AA762" s="1"/>
      <c r="AB762" s="1"/>
      <c r="AC762" s="1"/>
      <c r="AD762" s="1"/>
      <c r="AE762" s="1"/>
      <c r="AF762" s="1"/>
    </row>
    <row r="763" spans="1:32" ht="12.75" customHeight="1" x14ac:dyDescent="0.2">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c r="AA763" s="1"/>
      <c r="AB763" s="1"/>
      <c r="AC763" s="1"/>
      <c r="AD763" s="1"/>
      <c r="AE763" s="1"/>
      <c r="AF763" s="1"/>
    </row>
    <row r="764" spans="1:32" ht="12.75" customHeight="1" x14ac:dyDescent="0.2">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c r="AA764" s="1"/>
      <c r="AB764" s="1"/>
      <c r="AC764" s="1"/>
      <c r="AD764" s="1"/>
      <c r="AE764" s="1"/>
      <c r="AF764" s="1"/>
    </row>
    <row r="765" spans="1:32" ht="12.75" customHeight="1" x14ac:dyDescent="0.2">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c r="AA765" s="1"/>
      <c r="AB765" s="1"/>
      <c r="AC765" s="1"/>
      <c r="AD765" s="1"/>
      <c r="AE765" s="1"/>
      <c r="AF765" s="1"/>
    </row>
    <row r="766" spans="1:32" ht="12.75" customHeight="1" x14ac:dyDescent="0.2">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c r="AA766" s="1"/>
      <c r="AB766" s="1"/>
      <c r="AC766" s="1"/>
      <c r="AD766" s="1"/>
      <c r="AE766" s="1"/>
      <c r="AF766" s="1"/>
    </row>
    <row r="767" spans="1:32" ht="12.75" customHeight="1" x14ac:dyDescent="0.2">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c r="AA767" s="1"/>
      <c r="AB767" s="1"/>
      <c r="AC767" s="1"/>
      <c r="AD767" s="1"/>
      <c r="AE767" s="1"/>
      <c r="AF767" s="1"/>
    </row>
    <row r="768" spans="1:32" ht="12.75" customHeight="1" x14ac:dyDescent="0.2">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c r="AA768" s="1"/>
      <c r="AB768" s="1"/>
      <c r="AC768" s="1"/>
      <c r="AD768" s="1"/>
      <c r="AE768" s="1"/>
      <c r="AF768" s="1"/>
    </row>
    <row r="769" spans="1:32" ht="12.75" customHeight="1" x14ac:dyDescent="0.2">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c r="AA769" s="1"/>
      <c r="AB769" s="1"/>
      <c r="AC769" s="1"/>
      <c r="AD769" s="1"/>
      <c r="AE769" s="1"/>
      <c r="AF769" s="1"/>
    </row>
    <row r="770" spans="1:32" ht="12.75" customHeight="1" x14ac:dyDescent="0.2">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c r="AA770" s="1"/>
      <c r="AB770" s="1"/>
      <c r="AC770" s="1"/>
      <c r="AD770" s="1"/>
      <c r="AE770" s="1"/>
      <c r="AF770" s="1"/>
    </row>
    <row r="771" spans="1:32" ht="12.75" customHeight="1" x14ac:dyDescent="0.2">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c r="AA771" s="1"/>
      <c r="AB771" s="1"/>
      <c r="AC771" s="1"/>
      <c r="AD771" s="1"/>
      <c r="AE771" s="1"/>
      <c r="AF771" s="1"/>
    </row>
    <row r="772" spans="1:32" ht="12.75" customHeight="1" x14ac:dyDescent="0.2">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c r="AA772" s="1"/>
      <c r="AB772" s="1"/>
      <c r="AC772" s="1"/>
      <c r="AD772" s="1"/>
      <c r="AE772" s="1"/>
      <c r="AF772" s="1"/>
    </row>
    <row r="773" spans="1:32" ht="12.75" customHeight="1" x14ac:dyDescent="0.2">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c r="AA773" s="1"/>
      <c r="AB773" s="1"/>
      <c r="AC773" s="1"/>
      <c r="AD773" s="1"/>
      <c r="AE773" s="1"/>
      <c r="AF773" s="1"/>
    </row>
    <row r="774" spans="1:32" ht="12.75" customHeight="1" x14ac:dyDescent="0.2">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c r="AA774" s="1"/>
      <c r="AB774" s="1"/>
      <c r="AC774" s="1"/>
      <c r="AD774" s="1"/>
      <c r="AE774" s="1"/>
      <c r="AF774" s="1"/>
    </row>
    <row r="775" spans="1:32" ht="12.75" customHeight="1" x14ac:dyDescent="0.2">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c r="AA775" s="1"/>
      <c r="AB775" s="1"/>
      <c r="AC775" s="1"/>
      <c r="AD775" s="1"/>
      <c r="AE775" s="1"/>
      <c r="AF775" s="1"/>
    </row>
    <row r="776" spans="1:32" ht="12.75" customHeight="1" x14ac:dyDescent="0.2">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c r="AA776" s="1"/>
      <c r="AB776" s="1"/>
      <c r="AC776" s="1"/>
      <c r="AD776" s="1"/>
      <c r="AE776" s="1"/>
      <c r="AF776" s="1"/>
    </row>
    <row r="777" spans="1:32" ht="12.75" customHeight="1" x14ac:dyDescent="0.2">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c r="AA777" s="1"/>
      <c r="AB777" s="1"/>
      <c r="AC777" s="1"/>
      <c r="AD777" s="1"/>
      <c r="AE777" s="1"/>
      <c r="AF777" s="1"/>
    </row>
    <row r="778" spans="1:32" ht="12.75" customHeight="1" x14ac:dyDescent="0.2">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c r="AA778" s="1"/>
      <c r="AB778" s="1"/>
      <c r="AC778" s="1"/>
      <c r="AD778" s="1"/>
      <c r="AE778" s="1"/>
      <c r="AF778" s="1"/>
    </row>
    <row r="779" spans="1:32" ht="12.75" customHeight="1" x14ac:dyDescent="0.2">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c r="AA779" s="1"/>
      <c r="AB779" s="1"/>
      <c r="AC779" s="1"/>
      <c r="AD779" s="1"/>
      <c r="AE779" s="1"/>
      <c r="AF779" s="1"/>
    </row>
    <row r="780" spans="1:32" ht="12.75" customHeight="1" x14ac:dyDescent="0.2">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c r="AA780" s="1"/>
      <c r="AB780" s="1"/>
      <c r="AC780" s="1"/>
      <c r="AD780" s="1"/>
      <c r="AE780" s="1"/>
      <c r="AF780" s="1"/>
    </row>
    <row r="781" spans="1:32" ht="12.75" customHeight="1" x14ac:dyDescent="0.2">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c r="AA781" s="1"/>
      <c r="AB781" s="1"/>
      <c r="AC781" s="1"/>
      <c r="AD781" s="1"/>
      <c r="AE781" s="1"/>
      <c r="AF781" s="1"/>
    </row>
    <row r="782" spans="1:32" ht="12.75" customHeight="1" x14ac:dyDescent="0.2">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c r="AA782" s="1"/>
      <c r="AB782" s="1"/>
      <c r="AC782" s="1"/>
      <c r="AD782" s="1"/>
      <c r="AE782" s="1"/>
      <c r="AF782" s="1"/>
    </row>
    <row r="783" spans="1:32" ht="12.75" customHeight="1" x14ac:dyDescent="0.2">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c r="AA783" s="1"/>
      <c r="AB783" s="1"/>
      <c r="AC783" s="1"/>
      <c r="AD783" s="1"/>
      <c r="AE783" s="1"/>
      <c r="AF783" s="1"/>
    </row>
    <row r="784" spans="1:32" ht="12.75" customHeight="1" x14ac:dyDescent="0.2">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c r="AA784" s="1"/>
      <c r="AB784" s="1"/>
      <c r="AC784" s="1"/>
      <c r="AD784" s="1"/>
      <c r="AE784" s="1"/>
      <c r="AF784" s="1"/>
    </row>
    <row r="785" spans="1:32" ht="12.75" customHeight="1" x14ac:dyDescent="0.2">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c r="AA785" s="1"/>
      <c r="AB785" s="1"/>
      <c r="AC785" s="1"/>
      <c r="AD785" s="1"/>
      <c r="AE785" s="1"/>
      <c r="AF785" s="1"/>
    </row>
    <row r="786" spans="1:32" ht="12.75" customHeight="1" x14ac:dyDescent="0.2">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c r="AA786" s="1"/>
      <c r="AB786" s="1"/>
      <c r="AC786" s="1"/>
      <c r="AD786" s="1"/>
      <c r="AE786" s="1"/>
      <c r="AF786" s="1"/>
    </row>
    <row r="787" spans="1:32" ht="12.75" customHeight="1" x14ac:dyDescent="0.2">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c r="AA787" s="1"/>
      <c r="AB787" s="1"/>
      <c r="AC787" s="1"/>
      <c r="AD787" s="1"/>
      <c r="AE787" s="1"/>
      <c r="AF787" s="1"/>
    </row>
    <row r="788" spans="1:32" ht="12.75" customHeight="1" x14ac:dyDescent="0.2">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c r="AA788" s="1"/>
      <c r="AB788" s="1"/>
      <c r="AC788" s="1"/>
      <c r="AD788" s="1"/>
      <c r="AE788" s="1"/>
      <c r="AF788" s="1"/>
    </row>
    <row r="789" spans="1:32" ht="12.75" customHeight="1" x14ac:dyDescent="0.2">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c r="AA789" s="1"/>
      <c r="AB789" s="1"/>
      <c r="AC789" s="1"/>
      <c r="AD789" s="1"/>
      <c r="AE789" s="1"/>
      <c r="AF789" s="1"/>
    </row>
    <row r="790" spans="1:32" ht="12.75" customHeight="1" x14ac:dyDescent="0.2">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c r="AA790" s="1"/>
      <c r="AB790" s="1"/>
      <c r="AC790" s="1"/>
      <c r="AD790" s="1"/>
      <c r="AE790" s="1"/>
      <c r="AF790" s="1"/>
    </row>
    <row r="791" spans="1:32" ht="12.75" customHeight="1" x14ac:dyDescent="0.2">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c r="AA791" s="1"/>
      <c r="AB791" s="1"/>
      <c r="AC791" s="1"/>
      <c r="AD791" s="1"/>
      <c r="AE791" s="1"/>
      <c r="AF791" s="1"/>
    </row>
    <row r="792" spans="1:32" ht="12.75" customHeight="1" x14ac:dyDescent="0.2">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c r="AA792" s="1"/>
      <c r="AB792" s="1"/>
      <c r="AC792" s="1"/>
      <c r="AD792" s="1"/>
      <c r="AE792" s="1"/>
      <c r="AF792" s="1"/>
    </row>
    <row r="793" spans="1:32" ht="12.75" customHeight="1" x14ac:dyDescent="0.2">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c r="AA793" s="1"/>
      <c r="AB793" s="1"/>
      <c r="AC793" s="1"/>
      <c r="AD793" s="1"/>
      <c r="AE793" s="1"/>
      <c r="AF793" s="1"/>
    </row>
    <row r="794" spans="1:32" ht="12.75" customHeight="1" x14ac:dyDescent="0.2">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c r="AA794" s="1"/>
      <c r="AB794" s="1"/>
      <c r="AC794" s="1"/>
      <c r="AD794" s="1"/>
      <c r="AE794" s="1"/>
      <c r="AF794" s="1"/>
    </row>
    <row r="795" spans="1:32" ht="12.75" customHeight="1" x14ac:dyDescent="0.2">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c r="AA795" s="1"/>
      <c r="AB795" s="1"/>
      <c r="AC795" s="1"/>
      <c r="AD795" s="1"/>
      <c r="AE795" s="1"/>
      <c r="AF795" s="1"/>
    </row>
    <row r="796" spans="1:32" ht="12.75" customHeight="1" x14ac:dyDescent="0.2">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c r="AA796" s="1"/>
      <c r="AB796" s="1"/>
      <c r="AC796" s="1"/>
      <c r="AD796" s="1"/>
      <c r="AE796" s="1"/>
      <c r="AF796" s="1"/>
    </row>
    <row r="797" spans="1:32" ht="12.75" customHeight="1" x14ac:dyDescent="0.2">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c r="AA797" s="1"/>
      <c r="AB797" s="1"/>
      <c r="AC797" s="1"/>
      <c r="AD797" s="1"/>
      <c r="AE797" s="1"/>
      <c r="AF797" s="1"/>
    </row>
    <row r="798" spans="1:32" ht="12.75" customHeight="1" x14ac:dyDescent="0.2">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c r="AA798" s="1"/>
      <c r="AB798" s="1"/>
      <c r="AC798" s="1"/>
      <c r="AD798" s="1"/>
      <c r="AE798" s="1"/>
      <c r="AF798" s="1"/>
    </row>
    <row r="799" spans="1:32" ht="12.75" customHeight="1" x14ac:dyDescent="0.2">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c r="AA799" s="1"/>
      <c r="AB799" s="1"/>
      <c r="AC799" s="1"/>
      <c r="AD799" s="1"/>
      <c r="AE799" s="1"/>
      <c r="AF799" s="1"/>
    </row>
    <row r="800" spans="1:32" ht="12.75" customHeight="1" x14ac:dyDescent="0.2">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c r="AA800" s="1"/>
      <c r="AB800" s="1"/>
      <c r="AC800" s="1"/>
      <c r="AD800" s="1"/>
      <c r="AE800" s="1"/>
      <c r="AF800" s="1"/>
    </row>
    <row r="801" spans="1:32" ht="12.75" customHeight="1" x14ac:dyDescent="0.2">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c r="AA801" s="1"/>
      <c r="AB801" s="1"/>
      <c r="AC801" s="1"/>
      <c r="AD801" s="1"/>
      <c r="AE801" s="1"/>
      <c r="AF801" s="1"/>
    </row>
    <row r="802" spans="1:32" ht="12.75" customHeight="1" x14ac:dyDescent="0.2">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c r="AA802" s="1"/>
      <c r="AB802" s="1"/>
      <c r="AC802" s="1"/>
      <c r="AD802" s="1"/>
      <c r="AE802" s="1"/>
      <c r="AF802" s="1"/>
    </row>
    <row r="803" spans="1:32" ht="12.75" customHeight="1" x14ac:dyDescent="0.2">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c r="AA803" s="1"/>
      <c r="AB803" s="1"/>
      <c r="AC803" s="1"/>
      <c r="AD803" s="1"/>
      <c r="AE803" s="1"/>
      <c r="AF803" s="1"/>
    </row>
    <row r="804" spans="1:32" ht="12.75" customHeight="1" x14ac:dyDescent="0.2">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c r="AA804" s="1"/>
      <c r="AB804" s="1"/>
      <c r="AC804" s="1"/>
      <c r="AD804" s="1"/>
      <c r="AE804" s="1"/>
      <c r="AF804" s="1"/>
    </row>
    <row r="805" spans="1:32" ht="12.75" customHeight="1" x14ac:dyDescent="0.2">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c r="AA805" s="1"/>
      <c r="AB805" s="1"/>
      <c r="AC805" s="1"/>
      <c r="AD805" s="1"/>
      <c r="AE805" s="1"/>
      <c r="AF805" s="1"/>
    </row>
    <row r="806" spans="1:32" ht="12.75" customHeight="1" x14ac:dyDescent="0.2">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c r="AA806" s="1"/>
      <c r="AB806" s="1"/>
      <c r="AC806" s="1"/>
      <c r="AD806" s="1"/>
      <c r="AE806" s="1"/>
      <c r="AF806" s="1"/>
    </row>
    <row r="807" spans="1:32" ht="12.75" customHeight="1" x14ac:dyDescent="0.2">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c r="AA807" s="1"/>
      <c r="AB807" s="1"/>
      <c r="AC807" s="1"/>
      <c r="AD807" s="1"/>
      <c r="AE807" s="1"/>
      <c r="AF807" s="1"/>
    </row>
    <row r="808" spans="1:32" ht="12.75" customHeight="1" x14ac:dyDescent="0.2">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c r="AA808" s="1"/>
      <c r="AB808" s="1"/>
      <c r="AC808" s="1"/>
      <c r="AD808" s="1"/>
      <c r="AE808" s="1"/>
      <c r="AF808" s="1"/>
    </row>
    <row r="809" spans="1:32" ht="12.75" customHeight="1" x14ac:dyDescent="0.2">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c r="AA809" s="1"/>
      <c r="AB809" s="1"/>
      <c r="AC809" s="1"/>
      <c r="AD809" s="1"/>
      <c r="AE809" s="1"/>
      <c r="AF809" s="1"/>
    </row>
    <row r="810" spans="1:32" ht="12.75" customHeight="1" x14ac:dyDescent="0.2">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c r="AA810" s="1"/>
      <c r="AB810" s="1"/>
      <c r="AC810" s="1"/>
      <c r="AD810" s="1"/>
      <c r="AE810" s="1"/>
      <c r="AF810" s="1"/>
    </row>
    <row r="811" spans="1:32" ht="12.75" customHeight="1" x14ac:dyDescent="0.2">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c r="AA811" s="1"/>
      <c r="AB811" s="1"/>
      <c r="AC811" s="1"/>
      <c r="AD811" s="1"/>
      <c r="AE811" s="1"/>
      <c r="AF811" s="1"/>
    </row>
    <row r="812" spans="1:32" ht="12.75" customHeight="1" x14ac:dyDescent="0.2">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c r="AA812" s="1"/>
      <c r="AB812" s="1"/>
      <c r="AC812" s="1"/>
      <c r="AD812" s="1"/>
      <c r="AE812" s="1"/>
      <c r="AF812" s="1"/>
    </row>
    <row r="813" spans="1:32" ht="12.75" customHeight="1" x14ac:dyDescent="0.2">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c r="AA813" s="1"/>
      <c r="AB813" s="1"/>
      <c r="AC813" s="1"/>
      <c r="AD813" s="1"/>
      <c r="AE813" s="1"/>
      <c r="AF813" s="1"/>
    </row>
    <row r="814" spans="1:32" ht="12.75" customHeight="1" x14ac:dyDescent="0.2">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c r="AA814" s="1"/>
      <c r="AB814" s="1"/>
      <c r="AC814" s="1"/>
      <c r="AD814" s="1"/>
      <c r="AE814" s="1"/>
      <c r="AF814" s="1"/>
    </row>
    <row r="815" spans="1:32" ht="12.75" customHeight="1" x14ac:dyDescent="0.2">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c r="AA815" s="1"/>
      <c r="AB815" s="1"/>
      <c r="AC815" s="1"/>
      <c r="AD815" s="1"/>
      <c r="AE815" s="1"/>
      <c r="AF815" s="1"/>
    </row>
    <row r="816" spans="1:32" ht="12.75" customHeight="1" x14ac:dyDescent="0.2">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c r="AA816" s="1"/>
      <c r="AB816" s="1"/>
      <c r="AC816" s="1"/>
      <c r="AD816" s="1"/>
      <c r="AE816" s="1"/>
      <c r="AF816" s="1"/>
    </row>
    <row r="817" spans="1:32" ht="12.75" customHeight="1" x14ac:dyDescent="0.2">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c r="AA817" s="1"/>
      <c r="AB817" s="1"/>
      <c r="AC817" s="1"/>
      <c r="AD817" s="1"/>
      <c r="AE817" s="1"/>
      <c r="AF817" s="1"/>
    </row>
    <row r="818" spans="1:32" ht="12.75" customHeight="1" x14ac:dyDescent="0.2">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c r="AA818" s="1"/>
      <c r="AB818" s="1"/>
      <c r="AC818" s="1"/>
      <c r="AD818" s="1"/>
      <c r="AE818" s="1"/>
      <c r="AF818" s="1"/>
    </row>
    <row r="819" spans="1:32" ht="12.75" customHeight="1" x14ac:dyDescent="0.2">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c r="AA819" s="1"/>
      <c r="AB819" s="1"/>
      <c r="AC819" s="1"/>
      <c r="AD819" s="1"/>
      <c r="AE819" s="1"/>
      <c r="AF819" s="1"/>
    </row>
    <row r="820" spans="1:32" ht="12.75" customHeight="1" x14ac:dyDescent="0.2">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c r="AA820" s="1"/>
      <c r="AB820" s="1"/>
      <c r="AC820" s="1"/>
      <c r="AD820" s="1"/>
      <c r="AE820" s="1"/>
      <c r="AF820" s="1"/>
    </row>
    <row r="821" spans="1:32" ht="12.75" customHeight="1" x14ac:dyDescent="0.2">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c r="AA821" s="1"/>
      <c r="AB821" s="1"/>
      <c r="AC821" s="1"/>
      <c r="AD821" s="1"/>
      <c r="AE821" s="1"/>
      <c r="AF821" s="1"/>
    </row>
    <row r="822" spans="1:32" ht="12.75" customHeight="1" x14ac:dyDescent="0.2">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c r="AA822" s="1"/>
      <c r="AB822" s="1"/>
      <c r="AC822" s="1"/>
      <c r="AD822" s="1"/>
      <c r="AE822" s="1"/>
      <c r="AF822" s="1"/>
    </row>
    <row r="823" spans="1:32" ht="12.75" customHeight="1" x14ac:dyDescent="0.2">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c r="AA823" s="1"/>
      <c r="AB823" s="1"/>
      <c r="AC823" s="1"/>
      <c r="AD823" s="1"/>
      <c r="AE823" s="1"/>
      <c r="AF823" s="1"/>
    </row>
    <row r="824" spans="1:32" ht="12.75" customHeight="1" x14ac:dyDescent="0.2">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c r="AA824" s="1"/>
      <c r="AB824" s="1"/>
      <c r="AC824" s="1"/>
      <c r="AD824" s="1"/>
      <c r="AE824" s="1"/>
      <c r="AF824" s="1"/>
    </row>
    <row r="825" spans="1:32" ht="12.75" customHeight="1" x14ac:dyDescent="0.2">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c r="AA825" s="1"/>
      <c r="AB825" s="1"/>
      <c r="AC825" s="1"/>
      <c r="AD825" s="1"/>
      <c r="AE825" s="1"/>
      <c r="AF825" s="1"/>
    </row>
    <row r="826" spans="1:32" ht="12.75" customHeight="1" x14ac:dyDescent="0.2">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c r="AA826" s="1"/>
      <c r="AB826" s="1"/>
      <c r="AC826" s="1"/>
      <c r="AD826" s="1"/>
      <c r="AE826" s="1"/>
      <c r="AF826" s="1"/>
    </row>
    <row r="827" spans="1:32" ht="12.75" customHeight="1" x14ac:dyDescent="0.2">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c r="AA827" s="1"/>
      <c r="AB827" s="1"/>
      <c r="AC827" s="1"/>
      <c r="AD827" s="1"/>
      <c r="AE827" s="1"/>
      <c r="AF827" s="1"/>
    </row>
    <row r="828" spans="1:32" ht="12.75" customHeight="1" x14ac:dyDescent="0.2">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c r="AA828" s="1"/>
      <c r="AB828" s="1"/>
      <c r="AC828" s="1"/>
      <c r="AD828" s="1"/>
      <c r="AE828" s="1"/>
      <c r="AF828" s="1"/>
    </row>
    <row r="829" spans="1:32" ht="12.75" customHeight="1" x14ac:dyDescent="0.2">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c r="AA829" s="1"/>
      <c r="AB829" s="1"/>
      <c r="AC829" s="1"/>
      <c r="AD829" s="1"/>
      <c r="AE829" s="1"/>
      <c r="AF829" s="1"/>
    </row>
    <row r="830" spans="1:32" ht="12.75" customHeight="1" x14ac:dyDescent="0.2">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c r="AA830" s="1"/>
      <c r="AB830" s="1"/>
      <c r="AC830" s="1"/>
      <c r="AD830" s="1"/>
      <c r="AE830" s="1"/>
      <c r="AF830" s="1"/>
    </row>
    <row r="831" spans="1:32" ht="12.75" customHeight="1" x14ac:dyDescent="0.2">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c r="AA831" s="1"/>
      <c r="AB831" s="1"/>
      <c r="AC831" s="1"/>
      <c r="AD831" s="1"/>
      <c r="AE831" s="1"/>
      <c r="AF831" s="1"/>
    </row>
    <row r="832" spans="1:32" ht="12.75" customHeight="1" x14ac:dyDescent="0.2">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c r="AA832" s="1"/>
      <c r="AB832" s="1"/>
      <c r="AC832" s="1"/>
      <c r="AD832" s="1"/>
      <c r="AE832" s="1"/>
      <c r="AF832" s="1"/>
    </row>
    <row r="833" spans="1:32" ht="12.75" customHeight="1" x14ac:dyDescent="0.2">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c r="AA833" s="1"/>
      <c r="AB833" s="1"/>
      <c r="AC833" s="1"/>
      <c r="AD833" s="1"/>
      <c r="AE833" s="1"/>
      <c r="AF833" s="1"/>
    </row>
    <row r="834" spans="1:32" ht="12.75" customHeight="1" x14ac:dyDescent="0.2">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c r="AA834" s="1"/>
      <c r="AB834" s="1"/>
      <c r="AC834" s="1"/>
      <c r="AD834" s="1"/>
      <c r="AE834" s="1"/>
      <c r="AF834" s="1"/>
    </row>
    <row r="835" spans="1:32" ht="12.75" customHeight="1" x14ac:dyDescent="0.2">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c r="AA835" s="1"/>
      <c r="AB835" s="1"/>
      <c r="AC835" s="1"/>
      <c r="AD835" s="1"/>
      <c r="AE835" s="1"/>
      <c r="AF835" s="1"/>
    </row>
    <row r="836" spans="1:32" ht="12.75" customHeight="1" x14ac:dyDescent="0.2">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c r="AA836" s="1"/>
      <c r="AB836" s="1"/>
      <c r="AC836" s="1"/>
      <c r="AD836" s="1"/>
      <c r="AE836" s="1"/>
      <c r="AF836" s="1"/>
    </row>
    <row r="837" spans="1:32" ht="12.75" customHeight="1" x14ac:dyDescent="0.2">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c r="AA837" s="1"/>
      <c r="AB837" s="1"/>
      <c r="AC837" s="1"/>
      <c r="AD837" s="1"/>
      <c r="AE837" s="1"/>
      <c r="AF837" s="1"/>
    </row>
    <row r="838" spans="1:32" ht="12.75" customHeight="1" x14ac:dyDescent="0.2">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c r="AA838" s="1"/>
      <c r="AB838" s="1"/>
      <c r="AC838" s="1"/>
      <c r="AD838" s="1"/>
      <c r="AE838" s="1"/>
      <c r="AF838" s="1"/>
    </row>
    <row r="839" spans="1:32" ht="12.75" customHeight="1" x14ac:dyDescent="0.2">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c r="AA839" s="1"/>
      <c r="AB839" s="1"/>
      <c r="AC839" s="1"/>
      <c r="AD839" s="1"/>
      <c r="AE839" s="1"/>
      <c r="AF839" s="1"/>
    </row>
    <row r="840" spans="1:32" ht="12.75" customHeight="1" x14ac:dyDescent="0.2">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c r="AA840" s="1"/>
      <c r="AB840" s="1"/>
      <c r="AC840" s="1"/>
      <c r="AD840" s="1"/>
      <c r="AE840" s="1"/>
      <c r="AF840" s="1"/>
    </row>
    <row r="841" spans="1:32" ht="12.75" customHeight="1" x14ac:dyDescent="0.2">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c r="AA841" s="1"/>
      <c r="AB841" s="1"/>
      <c r="AC841" s="1"/>
      <c r="AD841" s="1"/>
      <c r="AE841" s="1"/>
      <c r="AF841" s="1"/>
    </row>
    <row r="842" spans="1:32" ht="12.75" customHeight="1" x14ac:dyDescent="0.2">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c r="AA842" s="1"/>
      <c r="AB842" s="1"/>
      <c r="AC842" s="1"/>
      <c r="AD842" s="1"/>
      <c r="AE842" s="1"/>
      <c r="AF842" s="1"/>
    </row>
    <row r="843" spans="1:32" ht="12.75" customHeight="1" x14ac:dyDescent="0.2">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c r="AA843" s="1"/>
      <c r="AB843" s="1"/>
      <c r="AC843" s="1"/>
      <c r="AD843" s="1"/>
      <c r="AE843" s="1"/>
      <c r="AF843" s="1"/>
    </row>
    <row r="844" spans="1:32" ht="12.75" customHeight="1" x14ac:dyDescent="0.2">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c r="AA844" s="1"/>
      <c r="AB844" s="1"/>
      <c r="AC844" s="1"/>
      <c r="AD844" s="1"/>
      <c r="AE844" s="1"/>
      <c r="AF844" s="1"/>
    </row>
    <row r="845" spans="1:32" ht="12.75" customHeight="1" x14ac:dyDescent="0.2">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c r="AA845" s="1"/>
      <c r="AB845" s="1"/>
      <c r="AC845" s="1"/>
      <c r="AD845" s="1"/>
      <c r="AE845" s="1"/>
      <c r="AF845" s="1"/>
    </row>
    <row r="846" spans="1:32" ht="12.75" customHeight="1" x14ac:dyDescent="0.2">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c r="AA846" s="1"/>
      <c r="AB846" s="1"/>
      <c r="AC846" s="1"/>
      <c r="AD846" s="1"/>
      <c r="AE846" s="1"/>
      <c r="AF846" s="1"/>
    </row>
    <row r="847" spans="1:32" ht="12.75" customHeight="1" x14ac:dyDescent="0.2">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c r="AA847" s="1"/>
      <c r="AB847" s="1"/>
      <c r="AC847" s="1"/>
      <c r="AD847" s="1"/>
      <c r="AE847" s="1"/>
      <c r="AF847" s="1"/>
    </row>
    <row r="848" spans="1:32" ht="12.75" customHeight="1" x14ac:dyDescent="0.2">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c r="AA848" s="1"/>
      <c r="AB848" s="1"/>
      <c r="AC848" s="1"/>
      <c r="AD848" s="1"/>
      <c r="AE848" s="1"/>
      <c r="AF848" s="1"/>
    </row>
    <row r="849" spans="1:32" ht="12.75" customHeight="1" x14ac:dyDescent="0.2">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c r="AA849" s="1"/>
      <c r="AB849" s="1"/>
      <c r="AC849" s="1"/>
      <c r="AD849" s="1"/>
      <c r="AE849" s="1"/>
      <c r="AF849" s="1"/>
    </row>
    <row r="850" spans="1:32" ht="12.75" customHeight="1" x14ac:dyDescent="0.2">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c r="AA850" s="1"/>
      <c r="AB850" s="1"/>
      <c r="AC850" s="1"/>
      <c r="AD850" s="1"/>
      <c r="AE850" s="1"/>
      <c r="AF850" s="1"/>
    </row>
    <row r="851" spans="1:32" ht="12.75" customHeight="1" x14ac:dyDescent="0.2">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c r="AA851" s="1"/>
      <c r="AB851" s="1"/>
      <c r="AC851" s="1"/>
      <c r="AD851" s="1"/>
      <c r="AE851" s="1"/>
      <c r="AF851" s="1"/>
    </row>
    <row r="852" spans="1:32" ht="12.75" customHeight="1" x14ac:dyDescent="0.2">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c r="AA852" s="1"/>
      <c r="AB852" s="1"/>
      <c r="AC852" s="1"/>
      <c r="AD852" s="1"/>
      <c r="AE852" s="1"/>
      <c r="AF852" s="1"/>
    </row>
    <row r="853" spans="1:32" ht="12.75" customHeight="1" x14ac:dyDescent="0.2">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c r="AA853" s="1"/>
      <c r="AB853" s="1"/>
      <c r="AC853" s="1"/>
      <c r="AD853" s="1"/>
      <c r="AE853" s="1"/>
      <c r="AF853" s="1"/>
    </row>
    <row r="854" spans="1:32" ht="12.75" customHeight="1" x14ac:dyDescent="0.2">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c r="AA854" s="1"/>
      <c r="AB854" s="1"/>
      <c r="AC854" s="1"/>
      <c r="AD854" s="1"/>
      <c r="AE854" s="1"/>
      <c r="AF854" s="1"/>
    </row>
    <row r="855" spans="1:32" ht="12.75" customHeight="1" x14ac:dyDescent="0.2">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c r="AA855" s="1"/>
      <c r="AB855" s="1"/>
      <c r="AC855" s="1"/>
      <c r="AD855" s="1"/>
      <c r="AE855" s="1"/>
      <c r="AF855" s="1"/>
    </row>
    <row r="856" spans="1:32" ht="12.75" customHeight="1" x14ac:dyDescent="0.2">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c r="AA856" s="1"/>
      <c r="AB856" s="1"/>
      <c r="AC856" s="1"/>
      <c r="AD856" s="1"/>
      <c r="AE856" s="1"/>
      <c r="AF856" s="1"/>
    </row>
    <row r="857" spans="1:32" ht="12.75" customHeight="1" x14ac:dyDescent="0.2">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c r="AA857" s="1"/>
      <c r="AB857" s="1"/>
      <c r="AC857" s="1"/>
      <c r="AD857" s="1"/>
      <c r="AE857" s="1"/>
      <c r="AF857" s="1"/>
    </row>
    <row r="858" spans="1:32" ht="12.75" customHeight="1" x14ac:dyDescent="0.2">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c r="AA858" s="1"/>
      <c r="AB858" s="1"/>
      <c r="AC858" s="1"/>
      <c r="AD858" s="1"/>
      <c r="AE858" s="1"/>
      <c r="AF858" s="1"/>
    </row>
    <row r="859" spans="1:32" ht="12.75" customHeight="1" x14ac:dyDescent="0.2">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c r="AA859" s="1"/>
      <c r="AB859" s="1"/>
      <c r="AC859" s="1"/>
      <c r="AD859" s="1"/>
      <c r="AE859" s="1"/>
      <c r="AF859" s="1"/>
    </row>
    <row r="860" spans="1:32" ht="12.75" customHeight="1" x14ac:dyDescent="0.2">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c r="AA860" s="1"/>
      <c r="AB860" s="1"/>
      <c r="AC860" s="1"/>
      <c r="AD860" s="1"/>
      <c r="AE860" s="1"/>
      <c r="AF860" s="1"/>
    </row>
    <row r="861" spans="1:32" ht="12.75" customHeight="1" x14ac:dyDescent="0.2">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c r="AA861" s="1"/>
      <c r="AB861" s="1"/>
      <c r="AC861" s="1"/>
      <c r="AD861" s="1"/>
      <c r="AE861" s="1"/>
      <c r="AF861" s="1"/>
    </row>
    <row r="862" spans="1:32" ht="12.75" customHeight="1" x14ac:dyDescent="0.2">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c r="AA862" s="1"/>
      <c r="AB862" s="1"/>
      <c r="AC862" s="1"/>
      <c r="AD862" s="1"/>
      <c r="AE862" s="1"/>
      <c r="AF862" s="1"/>
    </row>
    <row r="863" spans="1:32" ht="12.75" customHeight="1" x14ac:dyDescent="0.2">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c r="AA863" s="1"/>
      <c r="AB863" s="1"/>
      <c r="AC863" s="1"/>
      <c r="AD863" s="1"/>
      <c r="AE863" s="1"/>
      <c r="AF863" s="1"/>
    </row>
    <row r="864" spans="1:32" ht="12.75" customHeight="1" x14ac:dyDescent="0.2">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c r="AA864" s="1"/>
      <c r="AB864" s="1"/>
      <c r="AC864" s="1"/>
      <c r="AD864" s="1"/>
      <c r="AE864" s="1"/>
      <c r="AF864" s="1"/>
    </row>
    <row r="865" spans="1:32" ht="12.75" customHeight="1" x14ac:dyDescent="0.2">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c r="AA865" s="1"/>
      <c r="AB865" s="1"/>
      <c r="AC865" s="1"/>
      <c r="AD865" s="1"/>
      <c r="AE865" s="1"/>
      <c r="AF865" s="1"/>
    </row>
    <row r="866" spans="1:32" ht="12.75" customHeight="1" x14ac:dyDescent="0.2">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c r="AA866" s="1"/>
      <c r="AB866" s="1"/>
      <c r="AC866" s="1"/>
      <c r="AD866" s="1"/>
      <c r="AE866" s="1"/>
      <c r="AF866" s="1"/>
    </row>
    <row r="867" spans="1:32" ht="12.75" customHeight="1" x14ac:dyDescent="0.2">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c r="AA867" s="1"/>
      <c r="AB867" s="1"/>
      <c r="AC867" s="1"/>
      <c r="AD867" s="1"/>
      <c r="AE867" s="1"/>
      <c r="AF867" s="1"/>
    </row>
    <row r="868" spans="1:32" ht="12.75" customHeight="1" x14ac:dyDescent="0.2">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c r="AA868" s="1"/>
      <c r="AB868" s="1"/>
      <c r="AC868" s="1"/>
      <c r="AD868" s="1"/>
      <c r="AE868" s="1"/>
      <c r="AF868" s="1"/>
    </row>
    <row r="869" spans="1:32" ht="12.75" customHeight="1" x14ac:dyDescent="0.2">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c r="AA869" s="1"/>
      <c r="AB869" s="1"/>
      <c r="AC869" s="1"/>
      <c r="AD869" s="1"/>
      <c r="AE869" s="1"/>
      <c r="AF869" s="1"/>
    </row>
    <row r="870" spans="1:32" ht="12.75" customHeight="1" x14ac:dyDescent="0.2">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c r="AA870" s="1"/>
      <c r="AB870" s="1"/>
      <c r="AC870" s="1"/>
      <c r="AD870" s="1"/>
      <c r="AE870" s="1"/>
      <c r="AF870" s="1"/>
    </row>
    <row r="871" spans="1:32" ht="12.75" customHeight="1" x14ac:dyDescent="0.2">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c r="AA871" s="1"/>
      <c r="AB871" s="1"/>
      <c r="AC871" s="1"/>
      <c r="AD871" s="1"/>
      <c r="AE871" s="1"/>
      <c r="AF871" s="1"/>
    </row>
    <row r="872" spans="1:32" ht="12.75" customHeight="1" x14ac:dyDescent="0.2">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c r="AA872" s="1"/>
      <c r="AB872" s="1"/>
      <c r="AC872" s="1"/>
      <c r="AD872" s="1"/>
      <c r="AE872" s="1"/>
      <c r="AF872" s="1"/>
    </row>
    <row r="873" spans="1:32" ht="12.75" customHeight="1" x14ac:dyDescent="0.2">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c r="AA873" s="1"/>
      <c r="AB873" s="1"/>
      <c r="AC873" s="1"/>
      <c r="AD873" s="1"/>
      <c r="AE873" s="1"/>
      <c r="AF873" s="1"/>
    </row>
    <row r="874" spans="1:32" ht="12.75" customHeight="1" x14ac:dyDescent="0.2">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c r="AA874" s="1"/>
      <c r="AB874" s="1"/>
      <c r="AC874" s="1"/>
      <c r="AD874" s="1"/>
      <c r="AE874" s="1"/>
      <c r="AF874" s="1"/>
    </row>
    <row r="875" spans="1:32" ht="12.75" customHeight="1" x14ac:dyDescent="0.2">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c r="AA875" s="1"/>
      <c r="AB875" s="1"/>
      <c r="AC875" s="1"/>
      <c r="AD875" s="1"/>
      <c r="AE875" s="1"/>
      <c r="AF875" s="1"/>
    </row>
    <row r="876" spans="1:32" ht="12.75" customHeight="1" x14ac:dyDescent="0.2">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c r="AA876" s="1"/>
      <c r="AB876" s="1"/>
      <c r="AC876" s="1"/>
      <c r="AD876" s="1"/>
      <c r="AE876" s="1"/>
      <c r="AF876" s="1"/>
    </row>
    <row r="877" spans="1:32" ht="12.75" customHeight="1" x14ac:dyDescent="0.2">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c r="AA877" s="1"/>
      <c r="AB877" s="1"/>
      <c r="AC877" s="1"/>
      <c r="AD877" s="1"/>
      <c r="AE877" s="1"/>
      <c r="AF877" s="1"/>
    </row>
    <row r="878" spans="1:32" ht="12.75" customHeight="1" x14ac:dyDescent="0.2">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c r="AA878" s="1"/>
      <c r="AB878" s="1"/>
      <c r="AC878" s="1"/>
      <c r="AD878" s="1"/>
      <c r="AE878" s="1"/>
      <c r="AF878" s="1"/>
    </row>
    <row r="879" spans="1:32" ht="12.75" customHeight="1" x14ac:dyDescent="0.2">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c r="AA879" s="1"/>
      <c r="AB879" s="1"/>
      <c r="AC879" s="1"/>
      <c r="AD879" s="1"/>
      <c r="AE879" s="1"/>
      <c r="AF879" s="1"/>
    </row>
    <row r="880" spans="1:32" ht="12.75" customHeight="1" x14ac:dyDescent="0.2">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c r="AA880" s="1"/>
      <c r="AB880" s="1"/>
      <c r="AC880" s="1"/>
      <c r="AD880" s="1"/>
      <c r="AE880" s="1"/>
      <c r="AF880" s="1"/>
    </row>
    <row r="881" spans="1:32" ht="12.75" customHeight="1" x14ac:dyDescent="0.2">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c r="AA881" s="1"/>
      <c r="AB881" s="1"/>
      <c r="AC881" s="1"/>
      <c r="AD881" s="1"/>
      <c r="AE881" s="1"/>
      <c r="AF881" s="1"/>
    </row>
    <row r="882" spans="1:32" ht="12.75" customHeight="1" x14ac:dyDescent="0.2">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c r="AA882" s="1"/>
      <c r="AB882" s="1"/>
      <c r="AC882" s="1"/>
      <c r="AD882" s="1"/>
      <c r="AE882" s="1"/>
      <c r="AF882" s="1"/>
    </row>
    <row r="883" spans="1:32" ht="12.75" customHeight="1" x14ac:dyDescent="0.2">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c r="AA883" s="1"/>
      <c r="AB883" s="1"/>
      <c r="AC883" s="1"/>
      <c r="AD883" s="1"/>
      <c r="AE883" s="1"/>
      <c r="AF883" s="1"/>
    </row>
    <row r="884" spans="1:32" ht="12.75" customHeight="1" x14ac:dyDescent="0.2">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c r="AA884" s="1"/>
      <c r="AB884" s="1"/>
      <c r="AC884" s="1"/>
      <c r="AD884" s="1"/>
      <c r="AE884" s="1"/>
      <c r="AF884" s="1"/>
    </row>
    <row r="885" spans="1:32" ht="12.75" customHeight="1" x14ac:dyDescent="0.2">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c r="AA885" s="1"/>
      <c r="AB885" s="1"/>
      <c r="AC885" s="1"/>
      <c r="AD885" s="1"/>
      <c r="AE885" s="1"/>
      <c r="AF885" s="1"/>
    </row>
    <row r="886" spans="1:32" ht="12.75" customHeight="1" x14ac:dyDescent="0.2">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c r="AA886" s="1"/>
      <c r="AB886" s="1"/>
      <c r="AC886" s="1"/>
      <c r="AD886" s="1"/>
      <c r="AE886" s="1"/>
      <c r="AF886" s="1"/>
    </row>
    <row r="887" spans="1:32" ht="12.75" customHeight="1" x14ac:dyDescent="0.2">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c r="AA887" s="1"/>
      <c r="AB887" s="1"/>
      <c r="AC887" s="1"/>
      <c r="AD887" s="1"/>
      <c r="AE887" s="1"/>
      <c r="AF887" s="1"/>
    </row>
    <row r="888" spans="1:32" ht="12.75" customHeight="1" x14ac:dyDescent="0.2">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c r="AA888" s="1"/>
      <c r="AB888" s="1"/>
      <c r="AC888" s="1"/>
      <c r="AD888" s="1"/>
      <c r="AE888" s="1"/>
      <c r="AF888" s="1"/>
    </row>
    <row r="889" spans="1:32" ht="12.75" customHeight="1" x14ac:dyDescent="0.2">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c r="AA889" s="1"/>
      <c r="AB889" s="1"/>
      <c r="AC889" s="1"/>
      <c r="AD889" s="1"/>
      <c r="AE889" s="1"/>
      <c r="AF889" s="1"/>
    </row>
    <row r="890" spans="1:32" ht="12.75" customHeight="1" x14ac:dyDescent="0.2">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c r="AA890" s="1"/>
      <c r="AB890" s="1"/>
      <c r="AC890" s="1"/>
      <c r="AD890" s="1"/>
      <c r="AE890" s="1"/>
      <c r="AF890" s="1"/>
    </row>
    <row r="891" spans="1:32" ht="12.75" customHeight="1" x14ac:dyDescent="0.2">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c r="AA891" s="1"/>
      <c r="AB891" s="1"/>
      <c r="AC891" s="1"/>
      <c r="AD891" s="1"/>
      <c r="AE891" s="1"/>
      <c r="AF891" s="1"/>
    </row>
    <row r="892" spans="1:32" ht="12.75" customHeight="1" x14ac:dyDescent="0.2">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c r="AA892" s="1"/>
      <c r="AB892" s="1"/>
      <c r="AC892" s="1"/>
      <c r="AD892" s="1"/>
      <c r="AE892" s="1"/>
      <c r="AF892" s="1"/>
    </row>
    <row r="893" spans="1:32" ht="12.75" customHeight="1" x14ac:dyDescent="0.2">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c r="AA893" s="1"/>
      <c r="AB893" s="1"/>
      <c r="AC893" s="1"/>
      <c r="AD893" s="1"/>
      <c r="AE893" s="1"/>
      <c r="AF893" s="1"/>
    </row>
    <row r="894" spans="1:32" ht="12.75" customHeight="1" x14ac:dyDescent="0.2">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c r="AA894" s="1"/>
      <c r="AB894" s="1"/>
      <c r="AC894" s="1"/>
      <c r="AD894" s="1"/>
      <c r="AE894" s="1"/>
      <c r="AF894" s="1"/>
    </row>
    <row r="895" spans="1:32" ht="12.75" customHeight="1" x14ac:dyDescent="0.2">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c r="AA895" s="1"/>
      <c r="AB895" s="1"/>
      <c r="AC895" s="1"/>
      <c r="AD895" s="1"/>
      <c r="AE895" s="1"/>
      <c r="AF895" s="1"/>
    </row>
    <row r="896" spans="1:32" ht="12.75" customHeight="1" x14ac:dyDescent="0.2">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c r="AA896" s="1"/>
      <c r="AB896" s="1"/>
      <c r="AC896" s="1"/>
      <c r="AD896" s="1"/>
      <c r="AE896" s="1"/>
      <c r="AF896" s="1"/>
    </row>
    <row r="897" spans="1:32" ht="12.75" customHeight="1" x14ac:dyDescent="0.2">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c r="AA897" s="1"/>
      <c r="AB897" s="1"/>
      <c r="AC897" s="1"/>
      <c r="AD897" s="1"/>
      <c r="AE897" s="1"/>
      <c r="AF897" s="1"/>
    </row>
    <row r="898" spans="1:32" ht="12.75" customHeight="1" x14ac:dyDescent="0.2">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c r="AA898" s="1"/>
      <c r="AB898" s="1"/>
      <c r="AC898" s="1"/>
      <c r="AD898" s="1"/>
      <c r="AE898" s="1"/>
      <c r="AF898" s="1"/>
    </row>
    <row r="899" spans="1:32" ht="12.75" customHeight="1" x14ac:dyDescent="0.2">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c r="AA899" s="1"/>
      <c r="AB899" s="1"/>
      <c r="AC899" s="1"/>
      <c r="AD899" s="1"/>
      <c r="AE899" s="1"/>
      <c r="AF899" s="1"/>
    </row>
    <row r="900" spans="1:32" ht="12.75" customHeight="1" x14ac:dyDescent="0.2">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c r="AA900" s="1"/>
      <c r="AB900" s="1"/>
      <c r="AC900" s="1"/>
      <c r="AD900" s="1"/>
      <c r="AE900" s="1"/>
      <c r="AF900" s="1"/>
    </row>
    <row r="901" spans="1:32" ht="12.75" customHeight="1" x14ac:dyDescent="0.2">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c r="AA901" s="1"/>
      <c r="AB901" s="1"/>
      <c r="AC901" s="1"/>
      <c r="AD901" s="1"/>
      <c r="AE901" s="1"/>
      <c r="AF901" s="1"/>
    </row>
    <row r="902" spans="1:32" ht="12.75" customHeight="1" x14ac:dyDescent="0.2">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c r="AA902" s="1"/>
      <c r="AB902" s="1"/>
      <c r="AC902" s="1"/>
      <c r="AD902" s="1"/>
      <c r="AE902" s="1"/>
      <c r="AF902" s="1"/>
    </row>
    <row r="903" spans="1:32" ht="12.75" customHeight="1" x14ac:dyDescent="0.2">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c r="AA903" s="1"/>
      <c r="AB903" s="1"/>
      <c r="AC903" s="1"/>
      <c r="AD903" s="1"/>
      <c r="AE903" s="1"/>
      <c r="AF903" s="1"/>
    </row>
    <row r="904" spans="1:32" ht="12.75" customHeight="1" x14ac:dyDescent="0.2">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c r="AA904" s="1"/>
      <c r="AB904" s="1"/>
      <c r="AC904" s="1"/>
      <c r="AD904" s="1"/>
      <c r="AE904" s="1"/>
      <c r="AF904" s="1"/>
    </row>
    <row r="905" spans="1:32" ht="12.75" customHeight="1" x14ac:dyDescent="0.2">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c r="AA905" s="1"/>
      <c r="AB905" s="1"/>
      <c r="AC905" s="1"/>
      <c r="AD905" s="1"/>
      <c r="AE905" s="1"/>
      <c r="AF905" s="1"/>
    </row>
    <row r="906" spans="1:32" ht="12.75" customHeight="1" x14ac:dyDescent="0.2">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c r="AA906" s="1"/>
      <c r="AB906" s="1"/>
      <c r="AC906" s="1"/>
      <c r="AD906" s="1"/>
      <c r="AE906" s="1"/>
      <c r="AF906" s="1"/>
    </row>
    <row r="907" spans="1:32" ht="12.75" customHeight="1" x14ac:dyDescent="0.2">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c r="AA907" s="1"/>
      <c r="AB907" s="1"/>
      <c r="AC907" s="1"/>
      <c r="AD907" s="1"/>
      <c r="AE907" s="1"/>
      <c r="AF907" s="1"/>
    </row>
    <row r="908" spans="1:32" ht="12.75" customHeight="1" x14ac:dyDescent="0.2">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c r="AA908" s="1"/>
      <c r="AB908" s="1"/>
      <c r="AC908" s="1"/>
      <c r="AD908" s="1"/>
      <c r="AE908" s="1"/>
      <c r="AF908" s="1"/>
    </row>
    <row r="909" spans="1:32" ht="12.75" customHeight="1" x14ac:dyDescent="0.2">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c r="AA909" s="1"/>
      <c r="AB909" s="1"/>
      <c r="AC909" s="1"/>
      <c r="AD909" s="1"/>
      <c r="AE909" s="1"/>
      <c r="AF909" s="1"/>
    </row>
    <row r="910" spans="1:32" ht="12.75" customHeight="1" x14ac:dyDescent="0.2">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c r="AA910" s="1"/>
      <c r="AB910" s="1"/>
      <c r="AC910" s="1"/>
      <c r="AD910" s="1"/>
      <c r="AE910" s="1"/>
      <c r="AF910" s="1"/>
    </row>
    <row r="911" spans="1:32" ht="12.75" customHeight="1" x14ac:dyDescent="0.2">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c r="AA911" s="1"/>
      <c r="AB911" s="1"/>
      <c r="AC911" s="1"/>
      <c r="AD911" s="1"/>
      <c r="AE911" s="1"/>
      <c r="AF911" s="1"/>
    </row>
    <row r="912" spans="1:32" ht="12.75" customHeight="1" x14ac:dyDescent="0.2">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c r="AA912" s="1"/>
      <c r="AB912" s="1"/>
      <c r="AC912" s="1"/>
      <c r="AD912" s="1"/>
      <c r="AE912" s="1"/>
      <c r="AF912" s="1"/>
    </row>
    <row r="913" spans="1:32" ht="12.75" customHeight="1" x14ac:dyDescent="0.2">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c r="AA913" s="1"/>
      <c r="AB913" s="1"/>
      <c r="AC913" s="1"/>
      <c r="AD913" s="1"/>
      <c r="AE913" s="1"/>
      <c r="AF913" s="1"/>
    </row>
    <row r="914" spans="1:32" ht="12.75" customHeight="1" x14ac:dyDescent="0.2">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c r="AA914" s="1"/>
      <c r="AB914" s="1"/>
      <c r="AC914" s="1"/>
      <c r="AD914" s="1"/>
      <c r="AE914" s="1"/>
      <c r="AF914" s="1"/>
    </row>
    <row r="915" spans="1:32" ht="12.75" customHeight="1" x14ac:dyDescent="0.2">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c r="AA915" s="1"/>
      <c r="AB915" s="1"/>
      <c r="AC915" s="1"/>
      <c r="AD915" s="1"/>
      <c r="AE915" s="1"/>
      <c r="AF915" s="1"/>
    </row>
    <row r="916" spans="1:32" ht="12.75" customHeight="1" x14ac:dyDescent="0.2">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c r="AA916" s="1"/>
      <c r="AB916" s="1"/>
      <c r="AC916" s="1"/>
      <c r="AD916" s="1"/>
      <c r="AE916" s="1"/>
      <c r="AF916" s="1"/>
    </row>
    <row r="917" spans="1:32" ht="12.75" customHeight="1" x14ac:dyDescent="0.2">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c r="AA917" s="1"/>
      <c r="AB917" s="1"/>
      <c r="AC917" s="1"/>
      <c r="AD917" s="1"/>
      <c r="AE917" s="1"/>
      <c r="AF917" s="1"/>
    </row>
    <row r="918" spans="1:32" ht="12.75" customHeight="1" x14ac:dyDescent="0.2">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c r="AA918" s="1"/>
      <c r="AB918" s="1"/>
      <c r="AC918" s="1"/>
      <c r="AD918" s="1"/>
      <c r="AE918" s="1"/>
      <c r="AF918" s="1"/>
    </row>
    <row r="919" spans="1:32" ht="12.75" customHeight="1" x14ac:dyDescent="0.2">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c r="AA919" s="1"/>
      <c r="AB919" s="1"/>
      <c r="AC919" s="1"/>
      <c r="AD919" s="1"/>
      <c r="AE919" s="1"/>
      <c r="AF919" s="1"/>
    </row>
    <row r="920" spans="1:32" ht="12.75" customHeight="1" x14ac:dyDescent="0.2">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c r="AA920" s="1"/>
      <c r="AB920" s="1"/>
      <c r="AC920" s="1"/>
      <c r="AD920" s="1"/>
      <c r="AE920" s="1"/>
      <c r="AF920" s="1"/>
    </row>
    <row r="921" spans="1:32" ht="12.75" customHeight="1" x14ac:dyDescent="0.2">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c r="AA921" s="1"/>
      <c r="AB921" s="1"/>
      <c r="AC921" s="1"/>
      <c r="AD921" s="1"/>
      <c r="AE921" s="1"/>
      <c r="AF921" s="1"/>
    </row>
    <row r="922" spans="1:32" ht="12.75" customHeight="1" x14ac:dyDescent="0.2">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c r="AA922" s="1"/>
      <c r="AB922" s="1"/>
      <c r="AC922" s="1"/>
      <c r="AD922" s="1"/>
      <c r="AE922" s="1"/>
      <c r="AF922" s="1"/>
    </row>
    <row r="923" spans="1:32" ht="12.75" customHeight="1" x14ac:dyDescent="0.2">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c r="AA923" s="1"/>
      <c r="AB923" s="1"/>
      <c r="AC923" s="1"/>
      <c r="AD923" s="1"/>
      <c r="AE923" s="1"/>
      <c r="AF923" s="1"/>
    </row>
    <row r="924" spans="1:32" ht="12.75" customHeight="1" x14ac:dyDescent="0.2">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c r="AA924" s="1"/>
      <c r="AB924" s="1"/>
      <c r="AC924" s="1"/>
      <c r="AD924" s="1"/>
      <c r="AE924" s="1"/>
      <c r="AF924" s="1"/>
    </row>
    <row r="925" spans="1:32" ht="12.75" customHeight="1" x14ac:dyDescent="0.2">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c r="AA925" s="1"/>
      <c r="AB925" s="1"/>
      <c r="AC925" s="1"/>
      <c r="AD925" s="1"/>
      <c r="AE925" s="1"/>
      <c r="AF925" s="1"/>
    </row>
    <row r="926" spans="1:32" ht="12.75" customHeight="1" x14ac:dyDescent="0.2">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c r="AA926" s="1"/>
      <c r="AB926" s="1"/>
      <c r="AC926" s="1"/>
      <c r="AD926" s="1"/>
      <c r="AE926" s="1"/>
      <c r="AF926" s="1"/>
    </row>
    <row r="927" spans="1:32" ht="12.75" customHeight="1" x14ac:dyDescent="0.2">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c r="AA927" s="1"/>
      <c r="AB927" s="1"/>
      <c r="AC927" s="1"/>
      <c r="AD927" s="1"/>
      <c r="AE927" s="1"/>
      <c r="AF927" s="1"/>
    </row>
    <row r="928" spans="1:32" ht="12.75" customHeight="1" x14ac:dyDescent="0.2">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c r="AA928" s="1"/>
      <c r="AB928" s="1"/>
      <c r="AC928" s="1"/>
      <c r="AD928" s="1"/>
      <c r="AE928" s="1"/>
      <c r="AF928" s="1"/>
    </row>
    <row r="929" spans="1:32" ht="12.75" customHeight="1" x14ac:dyDescent="0.2">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c r="AA929" s="1"/>
      <c r="AB929" s="1"/>
      <c r="AC929" s="1"/>
      <c r="AD929" s="1"/>
      <c r="AE929" s="1"/>
      <c r="AF929" s="1"/>
    </row>
    <row r="930" spans="1:32" ht="12.75" customHeight="1" x14ac:dyDescent="0.2">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c r="AA930" s="1"/>
      <c r="AB930" s="1"/>
      <c r="AC930" s="1"/>
      <c r="AD930" s="1"/>
      <c r="AE930" s="1"/>
      <c r="AF930" s="1"/>
    </row>
    <row r="931" spans="1:32" ht="12.75" customHeight="1" x14ac:dyDescent="0.2">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c r="AA931" s="1"/>
      <c r="AB931" s="1"/>
      <c r="AC931" s="1"/>
      <c r="AD931" s="1"/>
      <c r="AE931" s="1"/>
      <c r="AF931" s="1"/>
    </row>
    <row r="932" spans="1:32" ht="12.75" customHeight="1" x14ac:dyDescent="0.2">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c r="AA932" s="1"/>
      <c r="AB932" s="1"/>
      <c r="AC932" s="1"/>
      <c r="AD932" s="1"/>
      <c r="AE932" s="1"/>
      <c r="AF932" s="1"/>
    </row>
    <row r="933" spans="1:32" ht="12.75" customHeight="1" x14ac:dyDescent="0.2">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c r="AA933" s="1"/>
      <c r="AB933" s="1"/>
      <c r="AC933" s="1"/>
      <c r="AD933" s="1"/>
      <c r="AE933" s="1"/>
      <c r="AF933" s="1"/>
    </row>
    <row r="934" spans="1:32" ht="12.75" customHeight="1" x14ac:dyDescent="0.2">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c r="AA934" s="1"/>
      <c r="AB934" s="1"/>
      <c r="AC934" s="1"/>
      <c r="AD934" s="1"/>
      <c r="AE934" s="1"/>
      <c r="AF934" s="1"/>
    </row>
    <row r="935" spans="1:32" ht="12.75" customHeight="1" x14ac:dyDescent="0.2">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c r="AA935" s="1"/>
      <c r="AB935" s="1"/>
      <c r="AC935" s="1"/>
      <c r="AD935" s="1"/>
      <c r="AE935" s="1"/>
      <c r="AF935" s="1"/>
    </row>
    <row r="936" spans="1:32" ht="12.75" customHeight="1" x14ac:dyDescent="0.2">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c r="AA936" s="1"/>
      <c r="AB936" s="1"/>
      <c r="AC936" s="1"/>
      <c r="AD936" s="1"/>
      <c r="AE936" s="1"/>
      <c r="AF936" s="1"/>
    </row>
    <row r="937" spans="1:32" ht="12.75" customHeight="1" x14ac:dyDescent="0.2">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c r="AA937" s="1"/>
      <c r="AB937" s="1"/>
      <c r="AC937" s="1"/>
      <c r="AD937" s="1"/>
      <c r="AE937" s="1"/>
      <c r="AF937" s="1"/>
    </row>
    <row r="938" spans="1:32" ht="12.75" customHeight="1" x14ac:dyDescent="0.2">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c r="AA938" s="1"/>
      <c r="AB938" s="1"/>
      <c r="AC938" s="1"/>
      <c r="AD938" s="1"/>
      <c r="AE938" s="1"/>
      <c r="AF938" s="1"/>
    </row>
    <row r="939" spans="1:32" ht="12.75" customHeight="1" x14ac:dyDescent="0.2">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c r="AA939" s="1"/>
      <c r="AB939" s="1"/>
      <c r="AC939" s="1"/>
      <c r="AD939" s="1"/>
      <c r="AE939" s="1"/>
      <c r="AF939" s="1"/>
    </row>
    <row r="940" spans="1:32" ht="12.75" customHeight="1" x14ac:dyDescent="0.2">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c r="AA940" s="1"/>
      <c r="AB940" s="1"/>
      <c r="AC940" s="1"/>
      <c r="AD940" s="1"/>
      <c r="AE940" s="1"/>
      <c r="AF940" s="1"/>
    </row>
    <row r="941" spans="1:32" ht="12.75" customHeight="1" x14ac:dyDescent="0.2">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c r="AA941" s="1"/>
      <c r="AB941" s="1"/>
      <c r="AC941" s="1"/>
      <c r="AD941" s="1"/>
      <c r="AE941" s="1"/>
      <c r="AF941" s="1"/>
    </row>
    <row r="942" spans="1:32" ht="12.75" customHeight="1" x14ac:dyDescent="0.2">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c r="AA942" s="1"/>
      <c r="AB942" s="1"/>
      <c r="AC942" s="1"/>
      <c r="AD942" s="1"/>
      <c r="AE942" s="1"/>
      <c r="AF942" s="1"/>
    </row>
    <row r="943" spans="1:32" ht="12.75" customHeight="1" x14ac:dyDescent="0.2">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c r="AA943" s="1"/>
      <c r="AB943" s="1"/>
      <c r="AC943" s="1"/>
      <c r="AD943" s="1"/>
      <c r="AE943" s="1"/>
      <c r="AF943" s="1"/>
    </row>
    <row r="944" spans="1:32" ht="12.75" customHeight="1" x14ac:dyDescent="0.2">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c r="AA944" s="1"/>
      <c r="AB944" s="1"/>
      <c r="AC944" s="1"/>
      <c r="AD944" s="1"/>
      <c r="AE944" s="1"/>
      <c r="AF944" s="1"/>
    </row>
    <row r="945" spans="1:32" ht="12.75" customHeight="1" x14ac:dyDescent="0.2">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c r="AA945" s="1"/>
      <c r="AB945" s="1"/>
      <c r="AC945" s="1"/>
      <c r="AD945" s="1"/>
      <c r="AE945" s="1"/>
      <c r="AF945" s="1"/>
    </row>
    <row r="946" spans="1:32" ht="12.75" customHeight="1" x14ac:dyDescent="0.2">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c r="AA946" s="1"/>
      <c r="AB946" s="1"/>
      <c r="AC946" s="1"/>
      <c r="AD946" s="1"/>
      <c r="AE946" s="1"/>
      <c r="AF946" s="1"/>
    </row>
    <row r="947" spans="1:32" ht="12.75" customHeight="1" x14ac:dyDescent="0.2">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c r="AA947" s="1"/>
      <c r="AB947" s="1"/>
      <c r="AC947" s="1"/>
      <c r="AD947" s="1"/>
      <c r="AE947" s="1"/>
      <c r="AF947" s="1"/>
    </row>
    <row r="948" spans="1:32" ht="12.75" customHeight="1" x14ac:dyDescent="0.2">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c r="AA948" s="1"/>
      <c r="AB948" s="1"/>
      <c r="AC948" s="1"/>
      <c r="AD948" s="1"/>
      <c r="AE948" s="1"/>
      <c r="AF948" s="1"/>
    </row>
    <row r="949" spans="1:32" ht="12.75" customHeight="1" x14ac:dyDescent="0.2">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c r="AA949" s="1"/>
      <c r="AB949" s="1"/>
      <c r="AC949" s="1"/>
      <c r="AD949" s="1"/>
      <c r="AE949" s="1"/>
      <c r="AF949" s="1"/>
    </row>
    <row r="950" spans="1:32" ht="12.75" customHeight="1" x14ac:dyDescent="0.2">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c r="AA950" s="1"/>
      <c r="AB950" s="1"/>
      <c r="AC950" s="1"/>
      <c r="AD950" s="1"/>
      <c r="AE950" s="1"/>
      <c r="AF950" s="1"/>
    </row>
    <row r="951" spans="1:32" ht="12.75" customHeight="1" x14ac:dyDescent="0.2">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c r="AA951" s="1"/>
      <c r="AB951" s="1"/>
      <c r="AC951" s="1"/>
      <c r="AD951" s="1"/>
      <c r="AE951" s="1"/>
      <c r="AF951" s="1"/>
    </row>
    <row r="952" spans="1:32" ht="12.75" customHeight="1" x14ac:dyDescent="0.2">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c r="AA952" s="1"/>
      <c r="AB952" s="1"/>
      <c r="AC952" s="1"/>
      <c r="AD952" s="1"/>
      <c r="AE952" s="1"/>
      <c r="AF952" s="1"/>
    </row>
    <row r="953" spans="1:32" ht="12.75" customHeight="1" x14ac:dyDescent="0.2">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c r="AA953" s="1"/>
      <c r="AB953" s="1"/>
      <c r="AC953" s="1"/>
      <c r="AD953" s="1"/>
      <c r="AE953" s="1"/>
      <c r="AF953" s="1"/>
    </row>
    <row r="954" spans="1:32" ht="12.75" customHeight="1" x14ac:dyDescent="0.2">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c r="AA954" s="1"/>
      <c r="AB954" s="1"/>
      <c r="AC954" s="1"/>
      <c r="AD954" s="1"/>
      <c r="AE954" s="1"/>
      <c r="AF954" s="1"/>
    </row>
    <row r="955" spans="1:32" ht="12.75" customHeight="1" x14ac:dyDescent="0.2">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c r="AA955" s="1"/>
      <c r="AB955" s="1"/>
      <c r="AC955" s="1"/>
      <c r="AD955" s="1"/>
      <c r="AE955" s="1"/>
      <c r="AF955" s="1"/>
    </row>
    <row r="956" spans="1:32" ht="12.75" customHeight="1" x14ac:dyDescent="0.2">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c r="AA956" s="1"/>
      <c r="AB956" s="1"/>
      <c r="AC956" s="1"/>
      <c r="AD956" s="1"/>
      <c r="AE956" s="1"/>
      <c r="AF956" s="1"/>
    </row>
    <row r="957" spans="1:32" ht="12.75" customHeight="1" x14ac:dyDescent="0.2">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c r="AA957" s="1"/>
      <c r="AB957" s="1"/>
      <c r="AC957" s="1"/>
      <c r="AD957" s="1"/>
      <c r="AE957" s="1"/>
      <c r="AF957" s="1"/>
    </row>
    <row r="958" spans="1:32" ht="12.75" customHeight="1" x14ac:dyDescent="0.2">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c r="AA958" s="1"/>
      <c r="AB958" s="1"/>
      <c r="AC958" s="1"/>
      <c r="AD958" s="1"/>
      <c r="AE958" s="1"/>
      <c r="AF958" s="1"/>
    </row>
    <row r="959" spans="1:32" ht="12.75" customHeight="1" x14ac:dyDescent="0.2">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c r="AA959" s="1"/>
      <c r="AB959" s="1"/>
      <c r="AC959" s="1"/>
      <c r="AD959" s="1"/>
      <c r="AE959" s="1"/>
      <c r="AF959" s="1"/>
    </row>
    <row r="960" spans="1:32" ht="12.75" customHeight="1" x14ac:dyDescent="0.2">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c r="AA960" s="1"/>
      <c r="AB960" s="1"/>
      <c r="AC960" s="1"/>
      <c r="AD960" s="1"/>
      <c r="AE960" s="1"/>
      <c r="AF960" s="1"/>
    </row>
    <row r="961" spans="1:32" ht="12.75" customHeight="1" x14ac:dyDescent="0.2">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c r="AA961" s="1"/>
      <c r="AB961" s="1"/>
      <c r="AC961" s="1"/>
      <c r="AD961" s="1"/>
      <c r="AE961" s="1"/>
      <c r="AF961" s="1"/>
    </row>
    <row r="962" spans="1:32" ht="12.75" customHeight="1" x14ac:dyDescent="0.2">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c r="AA962" s="1"/>
      <c r="AB962" s="1"/>
      <c r="AC962" s="1"/>
      <c r="AD962" s="1"/>
      <c r="AE962" s="1"/>
      <c r="AF962" s="1"/>
    </row>
    <row r="963" spans="1:32" ht="12.75" customHeight="1" x14ac:dyDescent="0.2">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c r="AA963" s="1"/>
      <c r="AB963" s="1"/>
      <c r="AC963" s="1"/>
      <c r="AD963" s="1"/>
      <c r="AE963" s="1"/>
      <c r="AF963" s="1"/>
    </row>
    <row r="964" spans="1:32" ht="12.75" customHeight="1" x14ac:dyDescent="0.2">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c r="AA964" s="1"/>
      <c r="AB964" s="1"/>
      <c r="AC964" s="1"/>
      <c r="AD964" s="1"/>
      <c r="AE964" s="1"/>
      <c r="AF964" s="1"/>
    </row>
    <row r="965" spans="1:32" ht="12.75" customHeight="1" x14ac:dyDescent="0.2">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c r="AA965" s="1"/>
      <c r="AB965" s="1"/>
      <c r="AC965" s="1"/>
      <c r="AD965" s="1"/>
      <c r="AE965" s="1"/>
      <c r="AF965" s="1"/>
    </row>
    <row r="966" spans="1:32" ht="12.75" customHeight="1" x14ac:dyDescent="0.2">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c r="AA966" s="1"/>
      <c r="AB966" s="1"/>
      <c r="AC966" s="1"/>
      <c r="AD966" s="1"/>
      <c r="AE966" s="1"/>
      <c r="AF966" s="1"/>
    </row>
    <row r="967" spans="1:32" ht="12.75" customHeight="1" x14ac:dyDescent="0.2">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c r="AA967" s="1"/>
      <c r="AB967" s="1"/>
      <c r="AC967" s="1"/>
      <c r="AD967" s="1"/>
      <c r="AE967" s="1"/>
      <c r="AF967" s="1"/>
    </row>
    <row r="968" spans="1:32" ht="12.75" customHeight="1" x14ac:dyDescent="0.2">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c r="AA968" s="1"/>
      <c r="AB968" s="1"/>
      <c r="AC968" s="1"/>
      <c r="AD968" s="1"/>
      <c r="AE968" s="1"/>
      <c r="AF968" s="1"/>
    </row>
    <row r="969" spans="1:32" ht="12.75" customHeight="1" x14ac:dyDescent="0.2">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c r="AA969" s="1"/>
      <c r="AB969" s="1"/>
      <c r="AC969" s="1"/>
      <c r="AD969" s="1"/>
      <c r="AE969" s="1"/>
      <c r="AF969" s="1"/>
    </row>
  </sheetData>
  <mergeCells count="178">
    <mergeCell ref="G4:H4"/>
    <mergeCell ref="M3:N3"/>
    <mergeCell ref="O3:P3"/>
    <mergeCell ref="L2:P2"/>
    <mergeCell ref="L6:O6"/>
    <mergeCell ref="O4:P4"/>
    <mergeCell ref="R4:R5"/>
    <mergeCell ref="S4:S5"/>
    <mergeCell ref="R6:R7"/>
    <mergeCell ref="S6:S7"/>
    <mergeCell ref="M4:N4"/>
    <mergeCell ref="B18:U18"/>
    <mergeCell ref="B19:C21"/>
    <mergeCell ref="D19:H21"/>
    <mergeCell ref="I19:U19"/>
    <mergeCell ref="I20:L21"/>
    <mergeCell ref="M20:P21"/>
    <mergeCell ref="Q20:U21"/>
    <mergeCell ref="T10:T11"/>
    <mergeCell ref="T12:T13"/>
    <mergeCell ref="S14:S15"/>
    <mergeCell ref="R12:R13"/>
    <mergeCell ref="S12:S13"/>
    <mergeCell ref="R14:R15"/>
    <mergeCell ref="R10:R11"/>
    <mergeCell ref="S10:S11"/>
    <mergeCell ref="T8:T9"/>
    <mergeCell ref="R8:R9"/>
    <mergeCell ref="S8:S9"/>
    <mergeCell ref="B2:D2"/>
    <mergeCell ref="B15:F15"/>
    <mergeCell ref="I5:J5"/>
    <mergeCell ref="B16:F16"/>
    <mergeCell ref="I7:J7"/>
    <mergeCell ref="G7:H7"/>
    <mergeCell ref="B11:F11"/>
    <mergeCell ref="B12:F12"/>
    <mergeCell ref="B13:F13"/>
    <mergeCell ref="G5:H5"/>
    <mergeCell ref="B5:D5"/>
    <mergeCell ref="B8:D8"/>
    <mergeCell ref="B14:F14"/>
    <mergeCell ref="G9:H9"/>
    <mergeCell ref="I4:J4"/>
    <mergeCell ref="R2:T2"/>
    <mergeCell ref="T4:T5"/>
    <mergeCell ref="T6:T7"/>
    <mergeCell ref="F2:J2"/>
    <mergeCell ref="I3:J3"/>
    <mergeCell ref="G3:H3"/>
    <mergeCell ref="B22:C26"/>
    <mergeCell ref="D22:H26"/>
    <mergeCell ref="I22:J22"/>
    <mergeCell ref="K22:L22"/>
    <mergeCell ref="M22:N22"/>
    <mergeCell ref="I24:J24"/>
    <mergeCell ref="K24:L24"/>
    <mergeCell ref="M24:N24"/>
    <mergeCell ref="I26:J26"/>
    <mergeCell ref="K26:L26"/>
    <mergeCell ref="M26:N26"/>
    <mergeCell ref="O22:P22"/>
    <mergeCell ref="Q22:S22"/>
    <mergeCell ref="T22:U22"/>
    <mergeCell ref="I23:J23"/>
    <mergeCell ref="K23:L23"/>
    <mergeCell ref="M23:N23"/>
    <mergeCell ref="O23:P23"/>
    <mergeCell ref="Q23:S23"/>
    <mergeCell ref="T23:U23"/>
    <mergeCell ref="O24:P24"/>
    <mergeCell ref="Q24:S24"/>
    <mergeCell ref="T24:U24"/>
    <mergeCell ref="I25:J25"/>
    <mergeCell ref="K25:L25"/>
    <mergeCell ref="M25:N25"/>
    <mergeCell ref="O25:P25"/>
    <mergeCell ref="Q25:S25"/>
    <mergeCell ref="T25:U25"/>
    <mergeCell ref="B27:C31"/>
    <mergeCell ref="D27:H31"/>
    <mergeCell ref="I27:J27"/>
    <mergeCell ref="K27:L27"/>
    <mergeCell ref="M27:N27"/>
    <mergeCell ref="O27:P27"/>
    <mergeCell ref="Q27:S27"/>
    <mergeCell ref="T27:U27"/>
    <mergeCell ref="I28:J28"/>
    <mergeCell ref="K28:L28"/>
    <mergeCell ref="M28:N28"/>
    <mergeCell ref="O28:P28"/>
    <mergeCell ref="Q28:S28"/>
    <mergeCell ref="T28:U28"/>
    <mergeCell ref="I29:J29"/>
    <mergeCell ref="K29:L29"/>
    <mergeCell ref="M29:N29"/>
    <mergeCell ref="O29:P29"/>
    <mergeCell ref="Q29:S29"/>
    <mergeCell ref="T29:U29"/>
    <mergeCell ref="O26:P26"/>
    <mergeCell ref="Q26:S26"/>
    <mergeCell ref="T26:U26"/>
    <mergeCell ref="T30:U30"/>
    <mergeCell ref="I31:J31"/>
    <mergeCell ref="K31:L31"/>
    <mergeCell ref="M31:N31"/>
    <mergeCell ref="O31:P31"/>
    <mergeCell ref="Q31:S31"/>
    <mergeCell ref="T31:U31"/>
    <mergeCell ref="I30:J30"/>
    <mergeCell ref="K30:L30"/>
    <mergeCell ref="M30:N30"/>
    <mergeCell ref="O30:P30"/>
    <mergeCell ref="Q30:S30"/>
    <mergeCell ref="B32:C36"/>
    <mergeCell ref="D32:H36"/>
    <mergeCell ref="I32:J32"/>
    <mergeCell ref="K32:L32"/>
    <mergeCell ref="M32:N32"/>
    <mergeCell ref="I34:J34"/>
    <mergeCell ref="K34:L34"/>
    <mergeCell ref="M34:N34"/>
    <mergeCell ref="I36:J36"/>
    <mergeCell ref="K36:L36"/>
    <mergeCell ref="M36:N36"/>
    <mergeCell ref="O32:P32"/>
    <mergeCell ref="Q32:S32"/>
    <mergeCell ref="T32:U32"/>
    <mergeCell ref="I33:J33"/>
    <mergeCell ref="K33:L33"/>
    <mergeCell ref="M33:N33"/>
    <mergeCell ref="O33:P33"/>
    <mergeCell ref="Q33:S33"/>
    <mergeCell ref="T33:U33"/>
    <mergeCell ref="O34:P34"/>
    <mergeCell ref="Q34:S34"/>
    <mergeCell ref="T34:U34"/>
    <mergeCell ref="I35:J35"/>
    <mergeCell ref="K35:L35"/>
    <mergeCell ref="M35:N35"/>
    <mergeCell ref="O35:P35"/>
    <mergeCell ref="Q35:S35"/>
    <mergeCell ref="T35:U35"/>
    <mergeCell ref="B37:C41"/>
    <mergeCell ref="D37:H41"/>
    <mergeCell ref="I37:J37"/>
    <mergeCell ref="K37:L37"/>
    <mergeCell ref="M37:N37"/>
    <mergeCell ref="O37:P37"/>
    <mergeCell ref="Q37:S37"/>
    <mergeCell ref="T37:U37"/>
    <mergeCell ref="I38:J38"/>
    <mergeCell ref="K38:L38"/>
    <mergeCell ref="M38:N38"/>
    <mergeCell ref="O38:P38"/>
    <mergeCell ref="Q38:S38"/>
    <mergeCell ref="T38:U38"/>
    <mergeCell ref="I39:J39"/>
    <mergeCell ref="K39:L39"/>
    <mergeCell ref="M39:N39"/>
    <mergeCell ref="O39:P39"/>
    <mergeCell ref="Q39:S39"/>
    <mergeCell ref="T39:U39"/>
    <mergeCell ref="O36:P36"/>
    <mergeCell ref="Q36:S36"/>
    <mergeCell ref="T36:U36"/>
    <mergeCell ref="T40:U40"/>
    <mergeCell ref="I41:J41"/>
    <mergeCell ref="K41:L41"/>
    <mergeCell ref="M41:N41"/>
    <mergeCell ref="O41:P41"/>
    <mergeCell ref="Q41:S41"/>
    <mergeCell ref="T41:U41"/>
    <mergeCell ref="I40:J40"/>
    <mergeCell ref="K40:L40"/>
    <mergeCell ref="M40:N40"/>
    <mergeCell ref="O40:P40"/>
    <mergeCell ref="Q40:S40"/>
  </mergeCells>
  <pageMargins left="0.511811024" right="0.511811024" top="0.78740157499999996" bottom="0.78740157499999996" header="0.31496062000000002" footer="0.31496062000000002"/>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2">
    <tabColor theme="1"/>
  </sheetPr>
  <dimension ref="A1:AR18"/>
  <sheetViews>
    <sheetView showGridLines="0" showRowColHeaders="0" zoomScale="110" zoomScaleNormal="110" workbookViewId="0">
      <selection activeCell="X7" sqref="X7:AR7"/>
    </sheetView>
  </sheetViews>
  <sheetFormatPr defaultColWidth="2.7109375" defaultRowHeight="12.75" x14ac:dyDescent="0.2"/>
  <cols>
    <col min="1" max="1" width="21.85546875" customWidth="1"/>
    <col min="2" max="2" width="5.140625" bestFit="1" customWidth="1"/>
    <col min="3" max="3" width="2.7109375" customWidth="1"/>
    <col min="6" max="7" width="2.7109375" customWidth="1"/>
    <col min="13" max="13" width="3.140625" bestFit="1" customWidth="1"/>
    <col min="19" max="19" width="2.5703125" customWidth="1"/>
    <col min="35" max="35" width="3.85546875" customWidth="1"/>
  </cols>
  <sheetData>
    <row r="1" spans="1:44" ht="12.75" customHeight="1" x14ac:dyDescent="0.2">
      <c r="A1" s="190">
        <f ca="1">TODAY()</f>
        <v>45321</v>
      </c>
    </row>
    <row r="2" spans="1:44" ht="12.75" customHeight="1" x14ac:dyDescent="0.2">
      <c r="B2" s="393" t="s">
        <v>202</v>
      </c>
      <c r="C2" s="393"/>
      <c r="D2" s="393"/>
      <c r="E2" s="393"/>
      <c r="F2" s="393"/>
      <c r="G2" s="393"/>
      <c r="H2" s="393"/>
      <c r="I2" s="393"/>
      <c r="J2" s="393"/>
      <c r="K2" s="393"/>
      <c r="L2" s="393"/>
      <c r="M2" s="393"/>
      <c r="N2" s="393"/>
      <c r="O2" s="393"/>
      <c r="P2" s="393"/>
      <c r="Q2" s="393"/>
      <c r="R2" s="393"/>
      <c r="S2" s="393"/>
      <c r="T2" s="393"/>
      <c r="U2" s="393"/>
      <c r="V2" s="393"/>
      <c r="W2" s="393"/>
      <c r="X2" s="393"/>
      <c r="Y2" s="393"/>
      <c r="Z2" s="393"/>
      <c r="AA2" s="393"/>
      <c r="AB2" s="393"/>
      <c r="AC2" s="393"/>
      <c r="AD2" s="393"/>
      <c r="AE2" s="393"/>
      <c r="AF2" s="393"/>
      <c r="AG2" s="393"/>
      <c r="AH2" s="393"/>
      <c r="AI2" s="393"/>
      <c r="AJ2" s="393"/>
      <c r="AK2" s="393"/>
      <c r="AL2" s="393"/>
      <c r="AM2" s="393"/>
      <c r="AN2" s="393"/>
      <c r="AO2" s="393"/>
      <c r="AP2" s="393"/>
      <c r="AQ2" s="393"/>
      <c r="AR2" s="393"/>
    </row>
    <row r="3" spans="1:44" x14ac:dyDescent="0.2">
      <c r="B3" s="1243" t="s">
        <v>155</v>
      </c>
      <c r="C3" s="763"/>
      <c r="D3" s="763"/>
      <c r="E3" s="763"/>
      <c r="F3" s="764"/>
      <c r="G3" s="1244" t="s">
        <v>14</v>
      </c>
      <c r="H3" s="1245"/>
      <c r="I3" s="1245"/>
      <c r="J3" s="1245"/>
      <c r="K3" s="1245"/>
      <c r="L3" s="1246"/>
      <c r="M3" s="1253" t="s">
        <v>90</v>
      </c>
      <c r="N3" s="763"/>
      <c r="O3" s="763"/>
      <c r="P3" s="763"/>
      <c r="Q3" s="764"/>
      <c r="R3" s="1253" t="s">
        <v>203</v>
      </c>
      <c r="S3" s="763"/>
      <c r="T3" s="763"/>
      <c r="U3" s="763"/>
      <c r="V3" s="764"/>
      <c r="X3" s="1243" t="s">
        <v>5</v>
      </c>
      <c r="Y3" s="763"/>
      <c r="Z3" s="763"/>
      <c r="AA3" s="763"/>
      <c r="AB3" s="764"/>
      <c r="AC3" s="1244" t="s">
        <v>14</v>
      </c>
      <c r="AD3" s="1245"/>
      <c r="AE3" s="1245"/>
      <c r="AF3" s="1245"/>
      <c r="AG3" s="1245"/>
      <c r="AH3" s="1246"/>
      <c r="AI3" s="1253" t="s">
        <v>90</v>
      </c>
      <c r="AJ3" s="763"/>
      <c r="AK3" s="763"/>
      <c r="AL3" s="763"/>
      <c r="AM3" s="764"/>
      <c r="AN3" s="1253" t="s">
        <v>203</v>
      </c>
      <c r="AO3" s="763"/>
      <c r="AP3" s="763"/>
      <c r="AQ3" s="763"/>
      <c r="AR3" s="764"/>
    </row>
    <row r="4" spans="1:44" x14ac:dyDescent="0.2">
      <c r="B4" s="1193"/>
      <c r="C4" s="509"/>
      <c r="D4" s="509"/>
      <c r="E4" s="509"/>
      <c r="F4" s="798"/>
      <c r="G4" s="1247"/>
      <c r="H4" s="1248"/>
      <c r="I4" s="1248"/>
      <c r="J4" s="1248"/>
      <c r="K4" s="1248"/>
      <c r="L4" s="1249"/>
      <c r="M4" s="729"/>
      <c r="N4" s="509"/>
      <c r="O4" s="509"/>
      <c r="P4" s="509"/>
      <c r="Q4" s="798"/>
      <c r="R4" s="729"/>
      <c r="S4" s="509"/>
      <c r="T4" s="509"/>
      <c r="U4" s="509"/>
      <c r="V4" s="798"/>
      <c r="X4" s="1193"/>
      <c r="Y4" s="509"/>
      <c r="Z4" s="509"/>
      <c r="AA4" s="509"/>
      <c r="AB4" s="798"/>
      <c r="AC4" s="1247"/>
      <c r="AD4" s="1248"/>
      <c r="AE4" s="1248"/>
      <c r="AF4" s="1248"/>
      <c r="AG4" s="1248"/>
      <c r="AH4" s="1249"/>
      <c r="AI4" s="729"/>
      <c r="AJ4" s="509"/>
      <c r="AK4" s="509"/>
      <c r="AL4" s="509"/>
      <c r="AM4" s="798"/>
      <c r="AN4" s="729"/>
      <c r="AO4" s="509"/>
      <c r="AP4" s="509"/>
      <c r="AQ4" s="509"/>
      <c r="AR4" s="798"/>
    </row>
    <row r="5" spans="1:44" x14ac:dyDescent="0.2">
      <c r="B5" s="765"/>
      <c r="C5" s="766"/>
      <c r="D5" s="766"/>
      <c r="E5" s="766"/>
      <c r="F5" s="767"/>
      <c r="G5" s="1250"/>
      <c r="H5" s="1251"/>
      <c r="I5" s="1251"/>
      <c r="J5" s="1251"/>
      <c r="K5" s="1251"/>
      <c r="L5" s="1252"/>
      <c r="M5" s="766"/>
      <c r="N5" s="766"/>
      <c r="O5" s="766"/>
      <c r="P5" s="766"/>
      <c r="Q5" s="767"/>
      <c r="R5" s="766"/>
      <c r="S5" s="766"/>
      <c r="T5" s="766"/>
      <c r="U5" s="766"/>
      <c r="V5" s="767"/>
      <c r="X5" s="765"/>
      <c r="Y5" s="766"/>
      <c r="Z5" s="766"/>
      <c r="AA5" s="766"/>
      <c r="AB5" s="767"/>
      <c r="AC5" s="1250"/>
      <c r="AD5" s="1251"/>
      <c r="AE5" s="1251"/>
      <c r="AF5" s="1251"/>
      <c r="AG5" s="1251"/>
      <c r="AH5" s="1252"/>
      <c r="AI5" s="766"/>
      <c r="AJ5" s="766"/>
      <c r="AK5" s="766"/>
      <c r="AL5" s="766"/>
      <c r="AM5" s="767"/>
      <c r="AN5" s="766"/>
      <c r="AO5" s="766"/>
      <c r="AP5" s="766"/>
      <c r="AQ5" s="766"/>
      <c r="AR5" s="767"/>
    </row>
    <row r="6" spans="1:44" x14ac:dyDescent="0.2">
      <c r="B6" s="1237" t="s">
        <v>299</v>
      </c>
      <c r="C6" s="1238"/>
      <c r="D6" s="1238"/>
      <c r="E6" s="1238"/>
      <c r="F6" s="1239"/>
      <c r="G6" s="1240" t="s">
        <v>300</v>
      </c>
      <c r="H6" s="1241"/>
      <c r="I6" s="1241"/>
      <c r="J6" s="1241"/>
      <c r="K6" s="1241"/>
      <c r="L6" s="1242"/>
      <c r="M6" s="1223">
        <v>45355</v>
      </c>
      <c r="N6" s="1229"/>
      <c r="O6" s="1229"/>
      <c r="P6" s="1229"/>
      <c r="Q6" s="1230"/>
      <c r="R6" s="1223" t="s">
        <v>301</v>
      </c>
      <c r="S6" s="1229"/>
      <c r="T6" s="1229"/>
      <c r="U6" s="1229"/>
      <c r="V6" s="1230"/>
      <c r="X6" s="790" t="s">
        <v>122</v>
      </c>
      <c r="Y6" s="785"/>
      <c r="Z6" s="785"/>
      <c r="AA6" s="785"/>
      <c r="AB6" s="786"/>
      <c r="AC6" s="1220" t="s">
        <v>347</v>
      </c>
      <c r="AD6" s="1221"/>
      <c r="AE6" s="1221"/>
      <c r="AF6" s="1221"/>
      <c r="AG6" s="1221"/>
      <c r="AH6" s="1222"/>
      <c r="AI6" s="1223">
        <v>45535</v>
      </c>
      <c r="AJ6" s="1229"/>
      <c r="AK6" s="1229"/>
      <c r="AL6" s="1229"/>
      <c r="AM6" s="1230"/>
      <c r="AN6" s="1223" t="s">
        <v>336</v>
      </c>
      <c r="AO6" s="1224"/>
      <c r="AP6" s="1224"/>
      <c r="AQ6" s="1224"/>
      <c r="AR6" s="1225"/>
    </row>
    <row r="7" spans="1:44" ht="12.75" customHeight="1" x14ac:dyDescent="0.2">
      <c r="B7" s="790" t="s">
        <v>302</v>
      </c>
      <c r="C7" s="785"/>
      <c r="D7" s="785"/>
      <c r="E7" s="785"/>
      <c r="F7" s="786"/>
      <c r="G7" s="1220" t="s">
        <v>303</v>
      </c>
      <c r="H7" s="1221"/>
      <c r="I7" s="1221"/>
      <c r="J7" s="1221"/>
      <c r="K7" s="1221"/>
      <c r="L7" s="1222"/>
      <c r="M7" s="1223">
        <v>45355</v>
      </c>
      <c r="N7" s="1229"/>
      <c r="O7" s="1229"/>
      <c r="P7" s="1229"/>
      <c r="Q7" s="1230"/>
      <c r="R7" s="1223" t="s">
        <v>301</v>
      </c>
      <c r="S7" s="1229"/>
      <c r="T7" s="1229"/>
      <c r="U7" s="1229"/>
      <c r="V7" s="1230"/>
      <c r="X7" s="790" t="s">
        <v>348</v>
      </c>
      <c r="Y7" s="785"/>
      <c r="Z7" s="785"/>
      <c r="AA7" s="785"/>
      <c r="AB7" s="786"/>
      <c r="AC7" s="1220" t="s">
        <v>347</v>
      </c>
      <c r="AD7" s="1221"/>
      <c r="AE7" s="1221"/>
      <c r="AF7" s="1221"/>
      <c r="AG7" s="1221"/>
      <c r="AH7" s="1222"/>
      <c r="AI7" s="1223">
        <v>45535</v>
      </c>
      <c r="AJ7" s="1224"/>
      <c r="AK7" s="1224"/>
      <c r="AL7" s="1224"/>
      <c r="AM7" s="1225"/>
      <c r="AN7" s="1223" t="s">
        <v>336</v>
      </c>
      <c r="AO7" s="1224"/>
      <c r="AP7" s="1224"/>
      <c r="AQ7" s="1224"/>
      <c r="AR7" s="1225"/>
    </row>
    <row r="8" spans="1:44" ht="12.75" customHeight="1" x14ac:dyDescent="0.2">
      <c r="B8" s="790" t="s">
        <v>349</v>
      </c>
      <c r="C8" s="785"/>
      <c r="D8" s="785"/>
      <c r="E8" s="785"/>
      <c r="F8" s="786"/>
      <c r="G8" s="1220" t="s">
        <v>304</v>
      </c>
      <c r="H8" s="1221"/>
      <c r="I8" s="1221"/>
      <c r="J8" s="1221"/>
      <c r="K8" s="1221"/>
      <c r="L8" s="1222"/>
      <c r="M8" s="1223">
        <v>45355</v>
      </c>
      <c r="N8" s="1229"/>
      <c r="O8" s="1229"/>
      <c r="P8" s="1229"/>
      <c r="Q8" s="1230"/>
      <c r="R8" s="1223" t="s">
        <v>301</v>
      </c>
      <c r="S8" s="1229"/>
      <c r="T8" s="1229"/>
      <c r="U8" s="1229"/>
      <c r="V8" s="1230"/>
      <c r="X8" s="790"/>
      <c r="Y8" s="785"/>
      <c r="Z8" s="785"/>
      <c r="AA8" s="785"/>
      <c r="AB8" s="786"/>
      <c r="AC8" s="1220"/>
      <c r="AD8" s="1221"/>
      <c r="AE8" s="1221"/>
      <c r="AF8" s="1221"/>
      <c r="AG8" s="1221"/>
      <c r="AH8" s="1222"/>
      <c r="AI8" s="1223"/>
      <c r="AJ8" s="1224"/>
      <c r="AK8" s="1224"/>
      <c r="AL8" s="1224"/>
      <c r="AM8" s="1225"/>
      <c r="AN8" s="1223"/>
      <c r="AO8" s="1224"/>
      <c r="AP8" s="1224"/>
      <c r="AQ8" s="1224"/>
      <c r="AR8" s="1225"/>
    </row>
    <row r="9" spans="1:44" ht="12.75" customHeight="1" x14ac:dyDescent="0.2">
      <c r="B9" s="790" t="s">
        <v>305</v>
      </c>
      <c r="C9" s="785"/>
      <c r="D9" s="785"/>
      <c r="E9" s="785"/>
      <c r="F9" s="786"/>
      <c r="G9" s="1220" t="s">
        <v>306</v>
      </c>
      <c r="H9" s="1221"/>
      <c r="I9" s="1221"/>
      <c r="J9" s="1221"/>
      <c r="K9" s="1221"/>
      <c r="L9" s="1222"/>
      <c r="M9" s="1223">
        <v>45417</v>
      </c>
      <c r="N9" s="1224"/>
      <c r="O9" s="1224"/>
      <c r="P9" s="1224"/>
      <c r="Q9" s="1225"/>
      <c r="R9" s="1223" t="s">
        <v>307</v>
      </c>
      <c r="S9" s="1224"/>
      <c r="T9" s="1224"/>
      <c r="U9" s="1224"/>
      <c r="V9" s="1225"/>
      <c r="X9" s="790"/>
      <c r="Y9" s="785"/>
      <c r="Z9" s="785"/>
      <c r="AA9" s="785"/>
      <c r="AB9" s="786"/>
      <c r="AC9" s="1220"/>
      <c r="AD9" s="1221"/>
      <c r="AE9" s="1221"/>
      <c r="AF9" s="1221"/>
      <c r="AG9" s="1221"/>
      <c r="AH9" s="1222"/>
      <c r="AI9" s="1223"/>
      <c r="AJ9" s="1224"/>
      <c r="AK9" s="1224"/>
      <c r="AL9" s="1224"/>
      <c r="AM9" s="1225"/>
      <c r="AN9" s="1223"/>
      <c r="AO9" s="1224"/>
      <c r="AP9" s="1224"/>
      <c r="AQ9" s="1224"/>
      <c r="AR9" s="1225"/>
    </row>
    <row r="10" spans="1:44" ht="12.75" customHeight="1" x14ac:dyDescent="0.2">
      <c r="B10" s="1220" t="s">
        <v>321</v>
      </c>
      <c r="C10" s="1221"/>
      <c r="D10" s="1221"/>
      <c r="E10" s="1221"/>
      <c r="F10" s="1222"/>
      <c r="G10" s="1220" t="s">
        <v>318</v>
      </c>
      <c r="H10" s="1221"/>
      <c r="I10" s="1221"/>
      <c r="J10" s="1221"/>
      <c r="K10" s="1221"/>
      <c r="L10" s="1222"/>
      <c r="M10" s="1223">
        <v>45557</v>
      </c>
      <c r="N10" s="1224"/>
      <c r="O10" s="1224"/>
      <c r="P10" s="1224"/>
      <c r="Q10" s="1225"/>
      <c r="R10" s="1223" t="s">
        <v>319</v>
      </c>
      <c r="S10" s="1224"/>
      <c r="T10" s="1224"/>
      <c r="U10" s="1224"/>
      <c r="V10" s="1225"/>
      <c r="X10" s="790"/>
      <c r="Y10" s="785"/>
      <c r="Z10" s="785"/>
      <c r="AA10" s="785"/>
      <c r="AB10" s="786"/>
      <c r="AC10" s="1220"/>
      <c r="AD10" s="1221"/>
      <c r="AE10" s="1221"/>
      <c r="AF10" s="1221"/>
      <c r="AG10" s="1221"/>
      <c r="AH10" s="1222"/>
      <c r="AI10" s="1223"/>
      <c r="AJ10" s="1224"/>
      <c r="AK10" s="1224"/>
      <c r="AL10" s="1224"/>
      <c r="AM10" s="1225"/>
      <c r="AN10" s="1223"/>
      <c r="AO10" s="1224"/>
      <c r="AP10" s="1224"/>
      <c r="AQ10" s="1224"/>
      <c r="AR10" s="1225"/>
    </row>
    <row r="11" spans="1:44" ht="12.75" customHeight="1" x14ac:dyDescent="0.2">
      <c r="B11" s="790"/>
      <c r="C11" s="785"/>
      <c r="D11" s="785"/>
      <c r="E11" s="785"/>
      <c r="F11" s="786"/>
      <c r="G11" s="1220"/>
      <c r="H11" s="1221"/>
      <c r="I11" s="1221"/>
      <c r="J11" s="1221"/>
      <c r="K11" s="1221"/>
      <c r="L11" s="1222"/>
      <c r="M11" s="1223"/>
      <c r="N11" s="1224"/>
      <c r="O11" s="1224"/>
      <c r="P11" s="1224"/>
      <c r="Q11" s="1225"/>
      <c r="R11" s="1223"/>
      <c r="S11" s="1224"/>
      <c r="T11" s="1224"/>
      <c r="U11" s="1224"/>
      <c r="V11" s="1225"/>
      <c r="X11" s="790"/>
      <c r="Y11" s="785"/>
      <c r="Z11" s="785"/>
      <c r="AA11" s="785"/>
      <c r="AB11" s="786"/>
      <c r="AC11" s="1220"/>
      <c r="AD11" s="1221"/>
      <c r="AE11" s="1221"/>
      <c r="AF11" s="1221"/>
      <c r="AG11" s="1221"/>
      <c r="AH11" s="1222"/>
      <c r="AI11" s="1223"/>
      <c r="AJ11" s="1224"/>
      <c r="AK11" s="1224"/>
      <c r="AL11" s="1224"/>
      <c r="AM11" s="1225"/>
      <c r="AN11" s="1223"/>
      <c r="AO11" s="1224"/>
      <c r="AP11" s="1224"/>
      <c r="AQ11" s="1224"/>
      <c r="AR11" s="1225"/>
    </row>
    <row r="12" spans="1:44" ht="12.75" customHeight="1" x14ac:dyDescent="0.2">
      <c r="B12" s="790"/>
      <c r="C12" s="785"/>
      <c r="D12" s="785"/>
      <c r="E12" s="785"/>
      <c r="F12" s="786"/>
      <c r="G12" s="1220"/>
      <c r="H12" s="1221"/>
      <c r="I12" s="1221"/>
      <c r="J12" s="1221"/>
      <c r="K12" s="1221"/>
      <c r="L12" s="1222"/>
      <c r="M12" s="1223"/>
      <c r="N12" s="1224"/>
      <c r="O12" s="1224"/>
      <c r="P12" s="1224"/>
      <c r="Q12" s="1225"/>
      <c r="R12" s="1223"/>
      <c r="S12" s="1224"/>
      <c r="T12" s="1224"/>
      <c r="U12" s="1224"/>
      <c r="V12" s="1225"/>
      <c r="X12" s="1226"/>
      <c r="Y12" s="1227"/>
      <c r="Z12" s="1227"/>
      <c r="AA12" s="1227"/>
      <c r="AB12" s="1228"/>
      <c r="AC12" s="1231"/>
      <c r="AD12" s="1232"/>
      <c r="AE12" s="1232"/>
      <c r="AF12" s="1232"/>
      <c r="AG12" s="1232"/>
      <c r="AH12" s="1233"/>
      <c r="AI12" s="1234"/>
      <c r="AJ12" s="1235"/>
      <c r="AK12" s="1235"/>
      <c r="AL12" s="1235"/>
      <c r="AM12" s="1236"/>
      <c r="AN12" s="1234"/>
      <c r="AO12" s="1235"/>
      <c r="AP12" s="1235"/>
      <c r="AQ12" s="1235"/>
      <c r="AR12" s="1236"/>
    </row>
    <row r="13" spans="1:44" ht="12.75" customHeight="1" x14ac:dyDescent="0.2">
      <c r="B13" s="790"/>
      <c r="C13" s="785"/>
      <c r="D13" s="785"/>
      <c r="E13" s="785"/>
      <c r="F13" s="786"/>
      <c r="G13" s="1220"/>
      <c r="H13" s="1221"/>
      <c r="I13" s="1221"/>
      <c r="J13" s="1221"/>
      <c r="K13" s="1221"/>
      <c r="L13" s="1222"/>
      <c r="M13" s="1223"/>
      <c r="N13" s="1224"/>
      <c r="O13" s="1224"/>
      <c r="P13" s="1224"/>
      <c r="Q13" s="1225"/>
      <c r="R13" s="1223"/>
      <c r="S13" s="1224"/>
      <c r="T13" s="1224"/>
      <c r="U13" s="1224"/>
      <c r="V13" s="1225"/>
      <c r="X13" s="1226"/>
      <c r="Y13" s="1227"/>
      <c r="Z13" s="1227"/>
      <c r="AA13" s="1227"/>
      <c r="AB13" s="1228"/>
      <c r="AC13" s="1231"/>
      <c r="AD13" s="1232"/>
      <c r="AE13" s="1232"/>
      <c r="AF13" s="1232"/>
      <c r="AG13" s="1232"/>
      <c r="AH13" s="1233"/>
      <c r="AI13" s="1234"/>
      <c r="AJ13" s="1235"/>
      <c r="AK13" s="1235"/>
      <c r="AL13" s="1235"/>
      <c r="AM13" s="1236"/>
      <c r="AN13" s="1234"/>
      <c r="AO13" s="1235"/>
      <c r="AP13" s="1235"/>
      <c r="AQ13" s="1235"/>
      <c r="AR13" s="1236"/>
    </row>
    <row r="14" spans="1:44" ht="12.75" customHeight="1" x14ac:dyDescent="0.2">
      <c r="B14" s="790"/>
      <c r="C14" s="785"/>
      <c r="D14" s="785"/>
      <c r="E14" s="785"/>
      <c r="F14" s="786"/>
      <c r="G14" s="1220"/>
      <c r="H14" s="1221"/>
      <c r="I14" s="1221"/>
      <c r="J14" s="1221"/>
      <c r="K14" s="1221"/>
      <c r="L14" s="1222"/>
      <c r="M14" s="1223"/>
      <c r="N14" s="1224"/>
      <c r="O14" s="1224"/>
      <c r="P14" s="1224"/>
      <c r="Q14" s="1225"/>
      <c r="R14" s="1223"/>
      <c r="S14" s="1224"/>
      <c r="T14" s="1224"/>
      <c r="U14" s="1224"/>
      <c r="V14" s="1225"/>
      <c r="X14" s="1226"/>
      <c r="Y14" s="1227"/>
      <c r="Z14" s="1227"/>
      <c r="AA14" s="1227"/>
      <c r="AB14" s="1228"/>
      <c r="AC14" s="1231"/>
      <c r="AD14" s="1232"/>
      <c r="AE14" s="1232"/>
      <c r="AF14" s="1232"/>
      <c r="AG14" s="1232"/>
      <c r="AH14" s="1233"/>
      <c r="AI14" s="1234"/>
      <c r="AJ14" s="1235"/>
      <c r="AK14" s="1235"/>
      <c r="AL14" s="1235"/>
      <c r="AM14" s="1236"/>
      <c r="AN14" s="1234"/>
      <c r="AO14" s="1235"/>
      <c r="AP14" s="1235"/>
      <c r="AQ14" s="1235"/>
      <c r="AR14" s="1236"/>
    </row>
    <row r="15" spans="1:44" ht="12.75" customHeight="1" x14ac:dyDescent="0.2">
      <c r="B15" s="790"/>
      <c r="C15" s="785"/>
      <c r="D15" s="785"/>
      <c r="E15" s="785"/>
      <c r="F15" s="786"/>
      <c r="G15" s="1220"/>
      <c r="H15" s="1221"/>
      <c r="I15" s="1221"/>
      <c r="J15" s="1221"/>
      <c r="K15" s="1221"/>
      <c r="L15" s="1222"/>
      <c r="M15" s="1223"/>
      <c r="N15" s="1224"/>
      <c r="O15" s="1224"/>
      <c r="P15" s="1224"/>
      <c r="Q15" s="1225"/>
      <c r="R15" s="1223"/>
      <c r="S15" s="1224"/>
      <c r="T15" s="1224"/>
      <c r="U15" s="1224"/>
      <c r="V15" s="1225"/>
      <c r="X15" s="1226"/>
      <c r="Y15" s="1227"/>
      <c r="Z15" s="1227"/>
      <c r="AA15" s="1227"/>
      <c r="AB15" s="1228"/>
      <c r="AC15" s="1231"/>
      <c r="AD15" s="1232"/>
      <c r="AE15" s="1232"/>
      <c r="AF15" s="1232"/>
      <c r="AG15" s="1232"/>
      <c r="AH15" s="1233"/>
      <c r="AI15" s="1234"/>
      <c r="AJ15" s="1235"/>
      <c r="AK15" s="1235"/>
      <c r="AL15" s="1235"/>
      <c r="AM15" s="1236"/>
      <c r="AN15" s="1234"/>
      <c r="AO15" s="1235"/>
      <c r="AP15" s="1235"/>
      <c r="AQ15" s="1235"/>
      <c r="AR15" s="1236"/>
    </row>
    <row r="16" spans="1:44" ht="12.75" customHeight="1" x14ac:dyDescent="0.2">
      <c r="B16" s="790"/>
      <c r="C16" s="785"/>
      <c r="D16" s="785"/>
      <c r="E16" s="785"/>
      <c r="F16" s="786"/>
      <c r="G16" s="1220"/>
      <c r="H16" s="1221"/>
      <c r="I16" s="1221"/>
      <c r="J16" s="1221"/>
      <c r="K16" s="1221"/>
      <c r="L16" s="1222"/>
      <c r="M16" s="1223"/>
      <c r="N16" s="1224"/>
      <c r="O16" s="1224"/>
      <c r="P16" s="1224"/>
      <c r="Q16" s="1225"/>
      <c r="R16" s="1223"/>
      <c r="S16" s="1224"/>
      <c r="T16" s="1224"/>
      <c r="U16" s="1224"/>
      <c r="V16" s="1225"/>
      <c r="X16" s="1226"/>
      <c r="Y16" s="1227"/>
      <c r="Z16" s="1227"/>
      <c r="AA16" s="1227"/>
      <c r="AB16" s="1228"/>
      <c r="AC16" s="1231"/>
      <c r="AD16" s="1232"/>
      <c r="AE16" s="1232"/>
      <c r="AF16" s="1232"/>
      <c r="AG16" s="1232"/>
      <c r="AH16" s="1233"/>
      <c r="AI16" s="1234"/>
      <c r="AJ16" s="1235"/>
      <c r="AK16" s="1235"/>
      <c r="AL16" s="1235"/>
      <c r="AM16" s="1236"/>
      <c r="AN16" s="1234"/>
      <c r="AO16" s="1235"/>
      <c r="AP16" s="1235"/>
      <c r="AQ16" s="1235"/>
      <c r="AR16" s="1236"/>
    </row>
    <row r="17" spans="2:44" x14ac:dyDescent="0.2">
      <c r="B17" s="790"/>
      <c r="C17" s="785"/>
      <c r="D17" s="785"/>
      <c r="E17" s="785"/>
      <c r="F17" s="786"/>
      <c r="G17" s="1220"/>
      <c r="H17" s="1221"/>
      <c r="I17" s="1221"/>
      <c r="J17" s="1221"/>
      <c r="K17" s="1221"/>
      <c r="L17" s="1222"/>
      <c r="M17" s="1223"/>
      <c r="N17" s="1224"/>
      <c r="O17" s="1224"/>
      <c r="P17" s="1224"/>
      <c r="Q17" s="1225"/>
      <c r="R17" s="1223"/>
      <c r="S17" s="1224"/>
      <c r="T17" s="1224"/>
      <c r="U17" s="1224"/>
      <c r="V17" s="1225"/>
      <c r="X17" s="1226"/>
      <c r="Y17" s="1227"/>
      <c r="Z17" s="1227"/>
      <c r="AA17" s="1227"/>
      <c r="AB17" s="1228"/>
      <c r="AC17" s="1231"/>
      <c r="AD17" s="1232"/>
      <c r="AE17" s="1232"/>
      <c r="AF17" s="1232"/>
      <c r="AG17" s="1232"/>
      <c r="AH17" s="1233"/>
      <c r="AI17" s="1234"/>
      <c r="AJ17" s="1235"/>
      <c r="AK17" s="1235"/>
      <c r="AL17" s="1235"/>
      <c r="AM17" s="1236"/>
      <c r="AN17" s="1234"/>
      <c r="AO17" s="1235"/>
      <c r="AP17" s="1235"/>
      <c r="AQ17" s="1235"/>
      <c r="AR17" s="1236"/>
    </row>
    <row r="18" spans="2:44" x14ac:dyDescent="0.2">
      <c r="B18" s="790"/>
      <c r="C18" s="785"/>
      <c r="D18" s="785"/>
      <c r="E18" s="785"/>
      <c r="F18" s="786"/>
      <c r="G18" s="1220"/>
      <c r="H18" s="1221"/>
      <c r="I18" s="1221"/>
      <c r="J18" s="1221"/>
      <c r="K18" s="1221"/>
      <c r="L18" s="1222"/>
      <c r="M18" s="1223"/>
      <c r="N18" s="1224"/>
      <c r="O18" s="1224"/>
      <c r="P18" s="1224"/>
      <c r="Q18" s="1225"/>
      <c r="R18" s="1223"/>
      <c r="S18" s="1224"/>
      <c r="T18" s="1224"/>
      <c r="U18" s="1224"/>
      <c r="V18" s="1225"/>
      <c r="X18" s="1226"/>
      <c r="Y18" s="1227"/>
      <c r="Z18" s="1227"/>
      <c r="AA18" s="1227"/>
      <c r="AB18" s="1228"/>
      <c r="AC18" s="1231"/>
      <c r="AD18" s="1232"/>
      <c r="AE18" s="1232"/>
      <c r="AF18" s="1232"/>
      <c r="AG18" s="1232"/>
      <c r="AH18" s="1233"/>
      <c r="AI18" s="1234"/>
      <c r="AJ18" s="1235"/>
      <c r="AK18" s="1235"/>
      <c r="AL18" s="1235"/>
      <c r="AM18" s="1236"/>
      <c r="AN18" s="1234"/>
      <c r="AO18" s="1235"/>
      <c r="AP18" s="1235"/>
      <c r="AQ18" s="1235"/>
      <c r="AR18" s="1236"/>
    </row>
  </sheetData>
  <dataConsolidate/>
  <mergeCells count="113">
    <mergeCell ref="X17:AB17"/>
    <mergeCell ref="AC17:AH17"/>
    <mergeCell ref="AI17:AM17"/>
    <mergeCell ref="AN17:AR17"/>
    <mergeCell ref="X18:AB18"/>
    <mergeCell ref="AC18:AH18"/>
    <mergeCell ref="AI18:AM18"/>
    <mergeCell ref="AN18:AR18"/>
    <mergeCell ref="X15:AB15"/>
    <mergeCell ref="AC15:AH15"/>
    <mergeCell ref="AI15:AM15"/>
    <mergeCell ref="AN15:AR15"/>
    <mergeCell ref="X16:AB16"/>
    <mergeCell ref="AC16:AH16"/>
    <mergeCell ref="AI16:AM16"/>
    <mergeCell ref="AN16:AR16"/>
    <mergeCell ref="AC13:AH13"/>
    <mergeCell ref="AI13:AM13"/>
    <mergeCell ref="AN13:AR13"/>
    <mergeCell ref="X14:AB14"/>
    <mergeCell ref="AC14:AH14"/>
    <mergeCell ref="AI14:AM14"/>
    <mergeCell ref="AN14:AR14"/>
    <mergeCell ref="AC6:AH6"/>
    <mergeCell ref="AI6:AM6"/>
    <mergeCell ref="AN6:AR6"/>
    <mergeCell ref="AC8:AH8"/>
    <mergeCell ref="AI8:AM8"/>
    <mergeCell ref="AN8:AR8"/>
    <mergeCell ref="AC11:AH11"/>
    <mergeCell ref="AI11:AM11"/>
    <mergeCell ref="AN11:AR11"/>
    <mergeCell ref="B6:F6"/>
    <mergeCell ref="G6:L6"/>
    <mergeCell ref="M6:Q6"/>
    <mergeCell ref="R6:V6"/>
    <mergeCell ref="X6:AB6"/>
    <mergeCell ref="B2:AR2"/>
    <mergeCell ref="B3:F5"/>
    <mergeCell ref="G3:L5"/>
    <mergeCell ref="M3:Q5"/>
    <mergeCell ref="R3:V5"/>
    <mergeCell ref="X3:AB5"/>
    <mergeCell ref="AC3:AH5"/>
    <mergeCell ref="AI3:AM5"/>
    <mergeCell ref="AN3:AR5"/>
    <mergeCell ref="B9:F9"/>
    <mergeCell ref="G9:L9"/>
    <mergeCell ref="M9:Q9"/>
    <mergeCell ref="R9:V9"/>
    <mergeCell ref="X9:AB9"/>
    <mergeCell ref="AC9:AH9"/>
    <mergeCell ref="AI9:AM9"/>
    <mergeCell ref="AN9:AR9"/>
    <mergeCell ref="AC12:AH12"/>
    <mergeCell ref="AI12:AM12"/>
    <mergeCell ref="AN12:AR12"/>
    <mergeCell ref="B12:F12"/>
    <mergeCell ref="G12:L12"/>
    <mergeCell ref="M12:Q12"/>
    <mergeCell ref="R12:V12"/>
    <mergeCell ref="X12:AB12"/>
    <mergeCell ref="AC10:AH10"/>
    <mergeCell ref="AI10:AM10"/>
    <mergeCell ref="AN10:AR10"/>
    <mergeCell ref="B11:F11"/>
    <mergeCell ref="G11:L11"/>
    <mergeCell ref="M11:Q11"/>
    <mergeCell ref="R11:V11"/>
    <mergeCell ref="X11:AB11"/>
    <mergeCell ref="B7:F7"/>
    <mergeCell ref="G7:L7"/>
    <mergeCell ref="M7:Q7"/>
    <mergeCell ref="R7:V7"/>
    <mergeCell ref="X7:AB7"/>
    <mergeCell ref="AC7:AH7"/>
    <mergeCell ref="AI7:AM7"/>
    <mergeCell ref="AN7:AR7"/>
    <mergeCell ref="B8:F8"/>
    <mergeCell ref="G8:L8"/>
    <mergeCell ref="M8:Q8"/>
    <mergeCell ref="R8:V8"/>
    <mergeCell ref="X8:AB8"/>
    <mergeCell ref="B10:F10"/>
    <mergeCell ref="G10:L10"/>
    <mergeCell ref="M10:Q10"/>
    <mergeCell ref="R10:V10"/>
    <mergeCell ref="X10:AB10"/>
    <mergeCell ref="B16:F16"/>
    <mergeCell ref="G16:L16"/>
    <mergeCell ref="M16:Q16"/>
    <mergeCell ref="R16:V16"/>
    <mergeCell ref="X13:AB13"/>
    <mergeCell ref="B17:F17"/>
    <mergeCell ref="G17:L17"/>
    <mergeCell ref="M17:Q17"/>
    <mergeCell ref="R17:V17"/>
    <mergeCell ref="B18:F18"/>
    <mergeCell ref="G18:L18"/>
    <mergeCell ref="M18:Q18"/>
    <mergeCell ref="R18:V18"/>
    <mergeCell ref="B13:F13"/>
    <mergeCell ref="G13:L13"/>
    <mergeCell ref="M13:Q13"/>
    <mergeCell ref="R13:V13"/>
    <mergeCell ref="B14:F14"/>
    <mergeCell ref="G14:L14"/>
    <mergeCell ref="M14:Q14"/>
    <mergeCell ref="R14:V14"/>
    <mergeCell ref="B15:F15"/>
    <mergeCell ref="G15:L15"/>
    <mergeCell ref="M15:Q15"/>
    <mergeCell ref="R15:V15"/>
  </mergeCells>
  <conditionalFormatting sqref="AI6:AM18 M6:Q18">
    <cfRule type="containsBlanks" dxfId="8" priority="1">
      <formula>LEN(TRIM(M6))=0</formula>
    </cfRule>
    <cfRule type="cellIs" dxfId="7" priority="2" operator="between">
      <formula>EDATE(TODAY(),-0.0333333333333333)</formula>
      <formula>EDATE(TODAY(),1)</formula>
    </cfRule>
    <cfRule type="cellIs" dxfId="6" priority="5" operator="lessThan">
      <formula>TODAY()</formula>
    </cfRule>
  </conditionalFormatting>
  <printOptions horizontalCentered="1" verticalCentered="1"/>
  <pageMargins left="0.25" right="0.25" top="0.75" bottom="0.75" header="0.3" footer="0.3"/>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12">
    <tabColor theme="5" tint="-0.499984740745262"/>
  </sheetPr>
  <dimension ref="B1:E25"/>
  <sheetViews>
    <sheetView showGridLines="0" showRowColHeaders="0" zoomScale="98" zoomScaleNormal="98" workbookViewId="0">
      <selection activeCell="T29" sqref="T29"/>
    </sheetView>
  </sheetViews>
  <sheetFormatPr defaultRowHeight="12.75" x14ac:dyDescent="0.2"/>
  <cols>
    <col min="1" max="3" width="9.140625" style="243"/>
    <col min="4" max="4" width="18.7109375" style="243" customWidth="1"/>
    <col min="5" max="16384" width="9.140625" style="243"/>
  </cols>
  <sheetData>
    <row r="1" spans="2:5" ht="6.75" customHeight="1" x14ac:dyDescent="0.2"/>
    <row r="2" spans="2:5" s="244" customFormat="1" ht="15" x14ac:dyDescent="0.25">
      <c r="B2" s="243"/>
      <c r="C2" s="243"/>
      <c r="D2" s="243"/>
      <c r="E2" s="243"/>
    </row>
    <row r="3" spans="2:5" s="244" customFormat="1" ht="15" x14ac:dyDescent="0.25">
      <c r="B3" s="243"/>
      <c r="C3" s="243"/>
      <c r="D3" s="243"/>
      <c r="E3" s="243"/>
    </row>
    <row r="4" spans="2:5" s="244" customFormat="1" ht="15" x14ac:dyDescent="0.25">
      <c r="B4" s="243"/>
      <c r="C4" s="243"/>
      <c r="D4" s="243"/>
      <c r="E4" s="243"/>
    </row>
    <row r="5" spans="2:5" s="244" customFormat="1" ht="15" x14ac:dyDescent="0.25">
      <c r="B5" s="243"/>
      <c r="C5" s="243"/>
      <c r="D5" s="243"/>
      <c r="E5" s="243"/>
    </row>
    <row r="6" spans="2:5" s="244" customFormat="1" ht="15" x14ac:dyDescent="0.25">
      <c r="B6" s="243"/>
      <c r="C6" s="243"/>
      <c r="D6" s="243"/>
      <c r="E6" s="243"/>
    </row>
    <row r="7" spans="2:5" s="244" customFormat="1" ht="15" x14ac:dyDescent="0.25">
      <c r="B7" s="243"/>
      <c r="C7" s="243"/>
      <c r="D7" s="243"/>
      <c r="E7" s="243"/>
    </row>
    <row r="8" spans="2:5" s="244" customFormat="1" ht="15" x14ac:dyDescent="0.25">
      <c r="B8" s="243"/>
      <c r="C8" s="243"/>
      <c r="D8" s="243"/>
      <c r="E8" s="243"/>
    </row>
    <row r="9" spans="2:5" s="244" customFormat="1" ht="15" x14ac:dyDescent="0.25">
      <c r="B9" s="243"/>
      <c r="C9" s="243"/>
      <c r="D9" s="243"/>
      <c r="E9" s="243"/>
    </row>
    <row r="10" spans="2:5" s="244" customFormat="1" ht="15" x14ac:dyDescent="0.25">
      <c r="B10" s="243"/>
      <c r="C10" s="243"/>
      <c r="D10" s="243"/>
      <c r="E10" s="243"/>
    </row>
    <row r="11" spans="2:5" s="244" customFormat="1" ht="15" x14ac:dyDescent="0.25">
      <c r="B11" s="243"/>
      <c r="C11" s="243"/>
      <c r="D11" s="243"/>
      <c r="E11" s="243"/>
    </row>
    <row r="12" spans="2:5" s="244" customFormat="1" ht="15" x14ac:dyDescent="0.25">
      <c r="B12" s="243"/>
      <c r="C12" s="243"/>
      <c r="D12" s="243"/>
      <c r="E12" s="243"/>
    </row>
    <row r="13" spans="2:5" s="244" customFormat="1" ht="15" x14ac:dyDescent="0.25">
      <c r="B13" s="243"/>
      <c r="C13" s="243"/>
      <c r="D13" s="243"/>
      <c r="E13" s="243"/>
    </row>
    <row r="14" spans="2:5" s="244" customFormat="1" ht="7.5" customHeight="1" x14ac:dyDescent="0.25">
      <c r="B14" s="243"/>
      <c r="C14" s="243"/>
      <c r="D14" s="243"/>
      <c r="E14" s="243"/>
    </row>
    <row r="15" spans="2:5" s="244" customFormat="1" ht="15" x14ac:dyDescent="0.25">
      <c r="B15" s="243"/>
      <c r="C15" s="243"/>
      <c r="D15" s="243"/>
      <c r="E15" s="243"/>
    </row>
    <row r="16" spans="2:5" s="244" customFormat="1" ht="15" x14ac:dyDescent="0.25">
      <c r="B16" s="243"/>
      <c r="C16" s="243"/>
      <c r="D16" s="243"/>
      <c r="E16" s="243"/>
    </row>
    <row r="18" spans="2:5" s="244" customFormat="1" ht="15" hidden="1" x14ac:dyDescent="0.25">
      <c r="B18" s="243"/>
      <c r="C18" s="243"/>
      <c r="D18" s="243"/>
      <c r="E18" s="243"/>
    </row>
    <row r="19" spans="2:5" s="244" customFormat="1" ht="15" hidden="1" x14ac:dyDescent="0.25">
      <c r="B19" s="243"/>
      <c r="C19" s="243"/>
      <c r="D19" s="243"/>
      <c r="E19" s="243"/>
    </row>
    <row r="20" spans="2:5" s="244" customFormat="1" ht="15" hidden="1" x14ac:dyDescent="0.25">
      <c r="B20" s="243"/>
      <c r="C20" s="243"/>
      <c r="D20" s="243"/>
      <c r="E20" s="243"/>
    </row>
    <row r="21" spans="2:5" s="244" customFormat="1" ht="15" hidden="1" x14ac:dyDescent="0.25">
      <c r="B21" s="243"/>
      <c r="C21" s="243"/>
      <c r="D21" s="243"/>
      <c r="E21" s="243"/>
    </row>
    <row r="22" spans="2:5" s="244" customFormat="1" ht="15" hidden="1" x14ac:dyDescent="0.25">
      <c r="B22" s="243"/>
      <c r="C22" s="243"/>
      <c r="D22" s="243"/>
      <c r="E22" s="243"/>
    </row>
    <row r="23" spans="2:5" s="244" customFormat="1" ht="15" hidden="1" x14ac:dyDescent="0.25">
      <c r="B23" s="243"/>
      <c r="C23" s="243"/>
      <c r="D23" s="243"/>
      <c r="E23" s="243"/>
    </row>
    <row r="24" spans="2:5" s="244" customFormat="1" ht="15" hidden="1" x14ac:dyDescent="0.25">
      <c r="B24" s="243"/>
      <c r="C24" s="243"/>
      <c r="D24" s="243"/>
      <c r="E24" s="243"/>
    </row>
    <row r="25" spans="2:5" s="244" customFormat="1" ht="15" x14ac:dyDescent="0.25">
      <c r="B25" s="243"/>
      <c r="C25" s="243"/>
      <c r="D25" s="243"/>
      <c r="E25" s="243"/>
    </row>
  </sheetData>
  <sheetProtection pivotTables="0"/>
  <pageMargins left="0.511811024" right="0.511811024" top="0.78740157499999996" bottom="0.78740157499999996" header="0.31496062000000002" footer="0.31496062000000002"/>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D1A7FE-39D9-4DD1-8430-C84320E2A54F}">
  <sheetPr codeName="Planilha1">
    <tabColor theme="0" tint="-0.499984740745262"/>
  </sheetPr>
  <dimension ref="A1:N31"/>
  <sheetViews>
    <sheetView showGridLines="0" showRowColHeaders="0" topLeftCell="A6" workbookViewId="0">
      <selection activeCell="P16" sqref="P16"/>
    </sheetView>
  </sheetViews>
  <sheetFormatPr defaultRowHeight="12.75" x14ac:dyDescent="0.2"/>
  <cols>
    <col min="2" max="2" width="10.7109375" customWidth="1"/>
    <col min="3" max="3" width="12.7109375" customWidth="1"/>
    <col min="4" max="4" width="12.28515625" customWidth="1"/>
    <col min="5" max="5" width="12.42578125" customWidth="1"/>
    <col min="6" max="6" width="10.28515625" customWidth="1"/>
    <col min="11" max="11" width="10" customWidth="1"/>
  </cols>
  <sheetData>
    <row r="1" spans="1:14" x14ac:dyDescent="0.2">
      <c r="A1" s="1280" t="s">
        <v>66</v>
      </c>
      <c r="B1" s="1281"/>
      <c r="C1" s="1284" t="s">
        <v>67</v>
      </c>
      <c r="D1" s="1285"/>
      <c r="E1" s="1285"/>
      <c r="F1" s="1285"/>
      <c r="G1" s="1285"/>
      <c r="H1" s="1285"/>
      <c r="I1" s="1285"/>
      <c r="J1" s="1285"/>
      <c r="K1" s="1285"/>
      <c r="L1" s="1285"/>
      <c r="M1" s="1285"/>
      <c r="N1" s="1286"/>
    </row>
    <row r="2" spans="1:14" x14ac:dyDescent="0.2">
      <c r="A2" s="1282"/>
      <c r="B2" s="1283"/>
      <c r="C2" s="1287" t="s">
        <v>37</v>
      </c>
      <c r="D2" s="1288"/>
      <c r="E2" s="1289"/>
      <c r="F2" s="1287" t="s">
        <v>68</v>
      </c>
      <c r="G2" s="1288"/>
      <c r="H2" s="1289"/>
      <c r="I2" s="1287" t="s">
        <v>69</v>
      </c>
      <c r="J2" s="1288"/>
      <c r="K2" s="1289"/>
      <c r="L2" s="1287" t="s">
        <v>70</v>
      </c>
      <c r="M2" s="1288"/>
      <c r="N2" s="1289"/>
    </row>
    <row r="3" spans="1:14" x14ac:dyDescent="0.2">
      <c r="A3" s="24">
        <v>1</v>
      </c>
      <c r="B3" s="25" t="s">
        <v>71</v>
      </c>
      <c r="C3" s="9">
        <v>0</v>
      </c>
      <c r="D3" s="7" t="s">
        <v>82</v>
      </c>
      <c r="E3" s="10">
        <v>50000</v>
      </c>
      <c r="F3" s="9">
        <v>0</v>
      </c>
      <c r="G3" s="7" t="s">
        <v>83</v>
      </c>
      <c r="H3" s="10">
        <v>5000</v>
      </c>
      <c r="I3" s="9">
        <v>0</v>
      </c>
      <c r="J3" s="7" t="s">
        <v>82</v>
      </c>
      <c r="K3" s="10">
        <v>500</v>
      </c>
      <c r="L3" s="9">
        <v>0</v>
      </c>
      <c r="M3" s="7" t="s">
        <v>82</v>
      </c>
      <c r="N3" s="10">
        <v>50</v>
      </c>
    </row>
    <row r="4" spans="1:14" x14ac:dyDescent="0.2">
      <c r="A4" s="24">
        <v>2</v>
      </c>
      <c r="B4" s="25" t="s">
        <v>71</v>
      </c>
      <c r="C4" s="9">
        <v>50000</v>
      </c>
      <c r="D4" s="7" t="s">
        <v>84</v>
      </c>
      <c r="E4" s="10">
        <v>200000</v>
      </c>
      <c r="F4" s="9">
        <v>5000</v>
      </c>
      <c r="G4" s="7" t="s">
        <v>84</v>
      </c>
      <c r="H4" s="10">
        <v>20000</v>
      </c>
      <c r="I4" s="9">
        <v>500</v>
      </c>
      <c r="J4" s="7" t="s">
        <v>84</v>
      </c>
      <c r="K4" s="10">
        <v>2000</v>
      </c>
      <c r="L4" s="9">
        <v>50</v>
      </c>
      <c r="M4" s="7" t="s">
        <v>84</v>
      </c>
      <c r="N4" s="10">
        <v>200</v>
      </c>
    </row>
    <row r="5" spans="1:14" x14ac:dyDescent="0.2">
      <c r="A5" s="26">
        <v>3</v>
      </c>
      <c r="B5" s="27" t="s">
        <v>71</v>
      </c>
      <c r="C5" s="11">
        <v>200000</v>
      </c>
      <c r="D5" s="14" t="s">
        <v>85</v>
      </c>
      <c r="E5" s="12">
        <v>1000000000</v>
      </c>
      <c r="F5" s="11">
        <v>20000</v>
      </c>
      <c r="G5" s="14" t="s">
        <v>84</v>
      </c>
      <c r="H5" s="13">
        <v>100000</v>
      </c>
      <c r="I5" s="11">
        <v>2000</v>
      </c>
      <c r="J5" s="14" t="s">
        <v>84</v>
      </c>
      <c r="K5" s="13">
        <v>10000</v>
      </c>
      <c r="L5" s="11">
        <v>200</v>
      </c>
      <c r="M5" s="14" t="s">
        <v>84</v>
      </c>
      <c r="N5" s="13">
        <v>1000</v>
      </c>
    </row>
    <row r="6" spans="1:14" x14ac:dyDescent="0.2">
      <c r="A6" s="8"/>
      <c r="B6" s="6"/>
    </row>
    <row r="7" spans="1:14" ht="25.5" x14ac:dyDescent="0.2">
      <c r="A7" s="48" t="s">
        <v>77</v>
      </c>
      <c r="B7" s="358" t="s">
        <v>78</v>
      </c>
      <c r="C7" s="1273" t="s">
        <v>88</v>
      </c>
      <c r="D7" s="1274"/>
    </row>
    <row r="8" spans="1:14" x14ac:dyDescent="0.2">
      <c r="A8" s="15" t="s">
        <v>74</v>
      </c>
      <c r="B8" s="53">
        <f>IF(OR('Sem ajuste+Declaração'!$R$16="Selecionar",'Sem ajuste+Declaração'!$R$16=""),"-",IF('Sem ajuste+Declaração'!$R$16="I",E3*'Entrada de Dados'!$R$10,IF('Sem ajuste+Declaração'!R16="II",H3*'Entrada de Dados'!$R$10,IF('Sem ajuste+Declaração'!R16="III",K3*'Entrada de Dados'!$R$10,N3*'Entrada de Dados'!$R$10))))</f>
        <v>10000</v>
      </c>
      <c r="C8" s="1275" t="str">
        <f>IF('Entrada de Dados'!$R$9="","-",IF('Entrada de Dados'!$R$9&lt;1,FIXED(A3*'Entrada de Dados'!$R$10,LEN('Entrada de Dados'!$R$9)-SEARCH(",",'Entrada de Dados'!$R$9)),FIXED(A3*'Entrada de Dados'!$R$10,LEN('Entrada de Dados'!$R$9))))</f>
        <v>20,00</v>
      </c>
      <c r="D8" s="1276"/>
    </row>
    <row r="9" spans="1:14" x14ac:dyDescent="0.2">
      <c r="A9" s="16" t="s">
        <v>75</v>
      </c>
      <c r="B9" s="54">
        <f>IF(OR('Sem ajuste+Declaração'!R16="Selecionar",'Sem ajuste+Declaração'!R16=""),"-",IF('Sem ajuste+Declaração'!R16="I",E4*'Entrada de Dados'!$R$10,IF('Sem ajuste+Declaração'!R16="II",H4*'Entrada de Dados'!$R$10,IF('Sem ajuste+Declaração'!R16="III",K4*'Entrada de Dados'!$R$10,N4*'Entrada de Dados'!$R$10))))</f>
        <v>40000</v>
      </c>
      <c r="C9" s="1277" t="str">
        <f>IF('Entrada de Dados'!$R$9="","-",IF('Entrada de Dados'!$R$9&lt;1,FIXED(A4*'Entrada de Dados'!$R$10,LEN('Entrada de Dados'!$R$9)-SEARCH(",",'Entrada de Dados'!$R$9)),FIXED(A4*'Entrada de Dados'!$R$10,LEN('Entrada de Dados'!$R$9))))</f>
        <v>40,00</v>
      </c>
      <c r="D9" s="1276"/>
    </row>
    <row r="10" spans="1:14" x14ac:dyDescent="0.2">
      <c r="A10" s="17" t="s">
        <v>76</v>
      </c>
      <c r="B10" s="55">
        <f>IF(OR('Sem ajuste+Declaração'!R16="Selecionar",'Sem ajuste+Declaração'!R16=""),"-",IF('Sem ajuste+Declaração'!R16="I",E5*'Entrada de Dados'!$R$10,IF('Sem ajuste+Declaração'!R16="II",H5*'Entrada de Dados'!$R$10,IF('Sem ajuste+Declaração'!R16="III",K5*'Entrada de Dados'!$R$10,N5*'Entrada de Dados'!$R$10))))</f>
        <v>200000</v>
      </c>
      <c r="C10" s="1278" t="str">
        <f>IF('Entrada de Dados'!$R$9="","-",IF('Entrada de Dados'!$R$9&lt;1,FIXED(A5*'Entrada de Dados'!$R$10,LEN('Entrada de Dados'!$R$9)-SEARCH(",",'Entrada de Dados'!$R$9)),FIXED(A5*'Entrada de Dados'!$R$10,LEN('Entrada de Dados'!$R$9))))</f>
        <v>60,00</v>
      </c>
      <c r="D10" s="1279"/>
      <c r="H10" s="1267" t="s">
        <v>80</v>
      </c>
      <c r="I10" s="1267"/>
      <c r="J10" s="1272" t="s">
        <v>88</v>
      </c>
      <c r="K10" s="1267" t="s">
        <v>81</v>
      </c>
    </row>
    <row r="11" spans="1:14" x14ac:dyDescent="0.2">
      <c r="H11" s="1267"/>
      <c r="I11" s="1267"/>
      <c r="J11" s="1272"/>
      <c r="K11" s="1267"/>
    </row>
    <row r="12" spans="1:14" x14ac:dyDescent="0.2">
      <c r="A12" s="1262" t="s">
        <v>72</v>
      </c>
      <c r="B12" s="1256" t="s">
        <v>73</v>
      </c>
      <c r="C12" s="1256" t="s">
        <v>80</v>
      </c>
      <c r="D12" s="1256"/>
      <c r="E12" s="1264" t="s">
        <v>88</v>
      </c>
      <c r="F12" s="1265" t="s">
        <v>81</v>
      </c>
      <c r="H12" s="355" t="s">
        <v>87</v>
      </c>
      <c r="I12" s="60">
        <f ca="1">C14</f>
        <v>20</v>
      </c>
      <c r="J12" s="61" t="str">
        <f ca="1">E14</f>
        <v>20,00</v>
      </c>
      <c r="K12" s="63" t="str">
        <f ca="1">F14</f>
        <v>Aprovado</v>
      </c>
    </row>
    <row r="13" spans="1:14" ht="14.25" customHeight="1" x14ac:dyDescent="0.2">
      <c r="A13" s="1268"/>
      <c r="B13" s="1269"/>
      <c r="C13" s="357" t="s">
        <v>87</v>
      </c>
      <c r="D13" s="357" t="s">
        <v>86</v>
      </c>
      <c r="E13" s="1270"/>
      <c r="F13" s="1271"/>
      <c r="H13" s="355" t="s">
        <v>86</v>
      </c>
      <c r="I13" s="62">
        <f ca="1">D14</f>
        <v>-20</v>
      </c>
      <c r="J13" s="61" t="str">
        <f ca="1">J12</f>
        <v>20,00</v>
      </c>
      <c r="K13" s="63" t="str">
        <f ca="1">K12</f>
        <v>Aprovado</v>
      </c>
    </row>
    <row r="14" spans="1:14" x14ac:dyDescent="0.2">
      <c r="A14" s="15">
        <v>1</v>
      </c>
      <c r="B14" s="19">
        <f ca="1">IF('Sem ajuste+Declaração'!D44="-","-",VALUE('Sem ajuste+Declaração'!D44))</f>
        <v>400</v>
      </c>
      <c r="C14" s="50">
        <f ca="1">IF(B14="-","-",(IF('Sem ajuste+Declaração'!K44="-",-1*(ROUND('Sem ajuste+Declaração'!J44+'Sem ajuste+Declaração'!M44,IF('Entrada de Dados'!$R$9&lt;1,(LEN('Entrada de Dados'!$R$9)-SEARCH(",",'Entrada de Dados'!$R$9)),LEN('Entrada de Dados'!$R$9)))),ROUND('Sem ajuste+Declaração'!J44+'Sem ajuste+Declaração'!M44,IF('Entrada de Dados'!$R$9&lt;1,(LEN('Entrada de Dados'!$R$9)-SEARCH(",",'Entrada de Dados'!$R$9)),LEN('Entrada de Dados'!$R$9))))))</f>
        <v>20</v>
      </c>
      <c r="D14" s="21">
        <f ca="1">IF(B14="-","-",(IF('Sem ajuste+Declaração'!K44="-",-1*(ROUND('Sem ajuste+Declaração'!J44-'Sem ajuste+Declaração'!M44,IF('Entrada de Dados'!$R$9&lt;1,(LEN('Entrada de Dados'!$R$9)-SEARCH(",",'Entrada de Dados'!$R$9)),LEN('Entrada de Dados'!$R$9)))),ROUND('Sem ajuste+Declaração'!J44-'Sem ajuste+Declaração'!M44,IF('Entrada de Dados'!$R$9&lt;1,(LEN('Entrada de Dados'!$R$9)-SEARCH(",",'Entrada de Dados'!$R$9)),LEN('Entrada de Dados'!$R$9))))))</f>
        <v>-20</v>
      </c>
      <c r="E14" s="56" t="str">
        <f ca="1">IF(B14="-","-",IF(B14&lt;=$B$8,$C$8,IF(B14&lt;=$B$9,$C$9,IF(B14&lt;=$B$10,$C$10))))</f>
        <v>20,00</v>
      </c>
      <c r="F14" s="18" t="str">
        <f ca="1">IF(B14="-","-",IF(OR(VALUE(ABS(C14))&gt;VALUE(E14),VALUE(ABS(D14))&gt;VALUE(E14)),"Reprovado","Aprovado"))</f>
        <v>Aprovado</v>
      </c>
      <c r="H14" s="355" t="s">
        <v>87</v>
      </c>
      <c r="I14" s="60">
        <f ca="1">C15</f>
        <v>20</v>
      </c>
      <c r="J14" s="61" t="str">
        <f ca="1">E15</f>
        <v>20,00</v>
      </c>
      <c r="K14" s="63" t="str">
        <f ca="1">F15</f>
        <v>Aprovado</v>
      </c>
    </row>
    <row r="15" spans="1:14" x14ac:dyDescent="0.2">
      <c r="A15" s="16">
        <v>2</v>
      </c>
      <c r="B15" s="20">
        <f ca="1">IF('Sem ajuste+Declaração'!D45="-","-",VALUE('Sem ajuste+Declaração'!D45))</f>
        <v>5000</v>
      </c>
      <c r="C15" s="50">
        <f ca="1">IF(B15="-","-",(IF('Sem ajuste+Declaração'!K45="-",-1*(ROUND('Sem ajuste+Declaração'!J45+'Sem ajuste+Declaração'!M45,IF('Entrada de Dados'!$R$9&lt;1,(LEN('Entrada de Dados'!$R$9)-SEARCH(",",'Entrada de Dados'!$R$9)),LEN('Entrada de Dados'!$R$9)))),ROUND('Sem ajuste+Declaração'!J45+'Sem ajuste+Declaração'!M45,IF('Entrada de Dados'!$R$9&lt;1,(LEN('Entrada de Dados'!$R$9)-SEARCH(",",'Entrada de Dados'!$R$9)),LEN('Entrada de Dados'!$R$9))))))</f>
        <v>20</v>
      </c>
      <c r="D15" s="21">
        <f ca="1">IF(B15="-","-",(IF('Sem ajuste+Declaração'!K45="-",-1*(ROUND('Sem ajuste+Declaração'!J45-'Sem ajuste+Declaração'!M45,IF('Entrada de Dados'!$R$9&lt;1,(LEN('Entrada de Dados'!$R$9)-SEARCH(",",'Entrada de Dados'!$R$9)),LEN('Entrada de Dados'!$R$9)))),ROUND('Sem ajuste+Declaração'!J45-'Sem ajuste+Declaração'!M45,IF('Entrada de Dados'!$R$9&lt;1,(LEN('Entrada de Dados'!$R$9)-SEARCH(",",'Entrada de Dados'!$R$9)),LEN('Entrada de Dados'!$R$9))))))</f>
        <v>-20</v>
      </c>
      <c r="E15" s="54" t="str">
        <f ca="1">IF(B15="-","-",IF(B15&lt;=$B$8,$C$8,IF(B15&lt;=$B$9,$C$9,IF(B15&lt;=$B$10,$C$10))))</f>
        <v>20,00</v>
      </c>
      <c r="F15" s="18" t="str">
        <f ca="1">IF(B15="-","-",IF(OR(VALUE(ABS(C15))&gt;VALUE(E15),VALUE(ABS(D15))&gt;VALUE(E15)),"Reprovado","Aprovado"))</f>
        <v>Aprovado</v>
      </c>
      <c r="H15" s="355" t="s">
        <v>86</v>
      </c>
      <c r="I15" s="62">
        <f ca="1">D15</f>
        <v>-20</v>
      </c>
      <c r="J15" s="61" t="str">
        <f ca="1">J14</f>
        <v>20,00</v>
      </c>
      <c r="K15" s="63" t="str">
        <f ca="1">K14</f>
        <v>Aprovado</v>
      </c>
    </row>
    <row r="16" spans="1:14" x14ac:dyDescent="0.2">
      <c r="A16" s="16">
        <v>3</v>
      </c>
      <c r="B16" s="20">
        <f ca="1">IF('Sem ajuste+Declaração'!D46="-","-",VALUE('Sem ajuste+Declaração'!D46))</f>
        <v>10000</v>
      </c>
      <c r="C16" s="50">
        <f ca="1">IF(B16="-","-",(IF('Sem ajuste+Declaração'!K46="-",-1*(ROUND('Sem ajuste+Declaração'!J46+'Sem ajuste+Declaração'!M46,IF('Entrada de Dados'!$R$9&lt;1,(LEN('Entrada de Dados'!$R$9)-SEARCH(",",'Entrada de Dados'!$R$9)),LEN('Entrada de Dados'!$R$9)))),ROUND('Sem ajuste+Declaração'!J46+'Sem ajuste+Declaração'!M46,IF('Entrada de Dados'!$R$9&lt;1,(LEN('Entrada de Dados'!$R$9)-SEARCH(",",'Entrada de Dados'!$R$9)),LEN('Entrada de Dados'!$R$9))))))</f>
        <v>20</v>
      </c>
      <c r="D16" s="21">
        <f ca="1">IF(B16="-","-",(IF('Sem ajuste+Declaração'!K46="-",-1*(ROUND('Sem ajuste+Declaração'!J46-'Sem ajuste+Declaração'!M46,IF('Entrada de Dados'!$R$9&lt;1,(LEN('Entrada de Dados'!$R$9)-SEARCH(",",'Entrada de Dados'!$R$9)),LEN('Entrada de Dados'!$R$9)))),ROUND('Sem ajuste+Declaração'!J46-'Sem ajuste+Declaração'!M46,IF('Entrada de Dados'!$R$9&lt;1,(LEN('Entrada de Dados'!$R$9)-SEARCH(",",'Entrada de Dados'!$R$9)),LEN('Entrada de Dados'!$R$9))))))</f>
        <v>-20</v>
      </c>
      <c r="E16" s="54" t="str">
        <f ca="1">IF(B16="-","-",IF(B16&lt;=$B$8,$C$8,IF(B16&lt;=$B$9,$C$9,IF(B16&lt;=$B$10,$C$10))))</f>
        <v>20,00</v>
      </c>
      <c r="F16" s="18" t="str">
        <f ca="1">IF(B16="-","-",IF(OR(VALUE(ABS(C16))&gt;VALUE(E16),VALUE(ABS(D16))&gt;VALUE(E16)),"Reprovado","Aprovado"))</f>
        <v>Aprovado</v>
      </c>
      <c r="H16" s="355" t="s">
        <v>87</v>
      </c>
      <c r="I16" s="60">
        <f ca="1">C16</f>
        <v>20</v>
      </c>
      <c r="J16" s="61" t="str">
        <f ca="1">E16</f>
        <v>20,00</v>
      </c>
      <c r="K16" s="63" t="str">
        <f ca="1">F16</f>
        <v>Aprovado</v>
      </c>
    </row>
    <row r="17" spans="1:11" x14ac:dyDescent="0.2">
      <c r="A17" s="40">
        <v>4</v>
      </c>
      <c r="B17" s="41">
        <f ca="1">IF('Sem ajuste+Declaração'!D47="-","-",VALUE('Sem ajuste+Declaração'!D47))</f>
        <v>11000</v>
      </c>
      <c r="C17" s="51">
        <f ca="1">IF(B17="-","-",(IF('Sem ajuste+Declaração'!K47="-",-1*(ROUND('Sem ajuste+Declaração'!J47+'Sem ajuste+Declaração'!M47,IF('Entrada de Dados'!$R$9&lt;1,(LEN('Entrada de Dados'!$R$9)-SEARCH(",",'Entrada de Dados'!$R$9)),LEN('Entrada de Dados'!$R$9)))),ROUND('Sem ajuste+Declaração'!J47+'Sem ajuste+Declaração'!M47,IF('Entrada de Dados'!$R$9&lt;1,(LEN('Entrada de Dados'!$R$9)-SEARCH(",",'Entrada de Dados'!$R$9)),LEN('Entrada de Dados'!$R$9))))))</f>
        <v>20</v>
      </c>
      <c r="D17" s="42">
        <f ca="1">IF(B17="-","-",(IF('Sem ajuste+Declaração'!K47="-",-1*(ROUND('Sem ajuste+Declaração'!J47-'Sem ajuste+Declaração'!M47,IF('Entrada de Dados'!$R$9&lt;1,(LEN('Entrada de Dados'!$R$9)-SEARCH(",",'Entrada de Dados'!$R$9)),LEN('Entrada de Dados'!$R$9)))),ROUND('Sem ajuste+Declaração'!J47-'Sem ajuste+Declaração'!M47,IF('Entrada de Dados'!$R$9&lt;1,(LEN('Entrada de Dados'!$R$9)-SEARCH(",",'Entrada de Dados'!$R$9)),LEN('Entrada de Dados'!$R$9))))))</f>
        <v>-20</v>
      </c>
      <c r="E17" s="57" t="str">
        <f ca="1">IF(B17="-","-",IF(B17&lt;=$B$8,$C$8,IF(B17&lt;=$B$9,$C$9,IF(B17&lt;=$B$10,$C$10))))</f>
        <v>40,00</v>
      </c>
      <c r="F17" s="43" t="str">
        <f ca="1">IF(B17="-","-",IF(OR(VALUE(ABS(C17))&gt;VALUE(E17),VALUE(ABS(D17))&gt;VALUE(E17)),"Reprovado","Aprovado"))</f>
        <v>Aprovado</v>
      </c>
      <c r="H17" s="355" t="s">
        <v>86</v>
      </c>
      <c r="I17" s="62">
        <f ca="1">D16</f>
        <v>-20</v>
      </c>
      <c r="J17" s="61" t="str">
        <f ca="1">J16</f>
        <v>20,00</v>
      </c>
      <c r="K17" s="63" t="str">
        <f ca="1">K16</f>
        <v>Aprovado</v>
      </c>
    </row>
    <row r="18" spans="1:11" x14ac:dyDescent="0.2">
      <c r="H18" s="355" t="s">
        <v>87</v>
      </c>
      <c r="I18" s="60">
        <f ca="1">C17</f>
        <v>20</v>
      </c>
      <c r="J18" s="61" t="str">
        <f ca="1">E17</f>
        <v>40,00</v>
      </c>
      <c r="K18" s="63" t="str">
        <f ca="1">F17</f>
        <v>Aprovado</v>
      </c>
    </row>
    <row r="19" spans="1:11" ht="23.25" customHeight="1" x14ac:dyDescent="0.2">
      <c r="A19" s="1254" t="s">
        <v>72</v>
      </c>
      <c r="B19" s="1256" t="s">
        <v>73</v>
      </c>
      <c r="C19" s="360" t="s">
        <v>80</v>
      </c>
      <c r="D19" s="1258" t="s">
        <v>88</v>
      </c>
      <c r="E19" s="1260" t="s">
        <v>81</v>
      </c>
      <c r="H19" s="355" t="s">
        <v>86</v>
      </c>
      <c r="I19" s="62">
        <f ca="1">D17</f>
        <v>-20</v>
      </c>
      <c r="J19" s="61" t="str">
        <f ca="1">J18</f>
        <v>40,00</v>
      </c>
      <c r="K19" s="63" t="str">
        <f ca="1">K18</f>
        <v>Aprovado</v>
      </c>
    </row>
    <row r="20" spans="1:11" x14ac:dyDescent="0.2">
      <c r="A20" s="1255"/>
      <c r="B20" s="1257"/>
      <c r="C20" s="359" t="s">
        <v>87</v>
      </c>
      <c r="D20" s="1259"/>
      <c r="E20" s="1261"/>
    </row>
    <row r="21" spans="1:11" x14ac:dyDescent="0.2">
      <c r="A21" s="22">
        <v>1</v>
      </c>
      <c r="B21" s="5">
        <f ca="1">IF(C21="-","-",INDEX($A$14:$F$17,MATCH(C21,$C$14:$C$17,0),1))</f>
        <v>1</v>
      </c>
      <c r="C21" s="28">
        <f ca="1">IF(C14="-","-",LARGE($C$14:$C$17,A21))</f>
        <v>20</v>
      </c>
      <c r="D21" s="49" t="str">
        <f ca="1">INDEX($A$14:$F$17,MATCH(C21,$C$14:$C$17,0),5)</f>
        <v>20,00</v>
      </c>
      <c r="E21" s="23" t="str">
        <f ca="1">IF(B14="-","-",IF((VALUE(ABS(C21))&gt;VALUE(D21)),"Reprovado","Aprovado"))</f>
        <v>Aprovado</v>
      </c>
    </row>
    <row r="22" spans="1:11" x14ac:dyDescent="0.2">
      <c r="A22" s="22">
        <v>2</v>
      </c>
      <c r="B22" s="5">
        <f ca="1">IF(C22="-","-",INDEX($A$14:$F$17,MATCH(C22,$C$14:$C$17,0),1))</f>
        <v>1</v>
      </c>
      <c r="C22" s="28">
        <f ca="1">IF(C15="-","-",LARGE($C$14:$C$17,A22))</f>
        <v>20</v>
      </c>
      <c r="D22" s="49" t="str">
        <f ca="1">INDEX($A$14:$F$17,MATCH(C22,$C$14:$C$17,0),5)</f>
        <v>20,00</v>
      </c>
      <c r="E22" s="23" t="str">
        <f ca="1">IF(B15="-","-",IF((VALUE(ABS(C22))&gt;VALUE(D22)),"Reprovado","Aprovado"))</f>
        <v>Aprovado</v>
      </c>
    </row>
    <row r="23" spans="1:11" x14ac:dyDescent="0.2">
      <c r="A23" s="22">
        <v>3</v>
      </c>
      <c r="B23" s="5">
        <f ca="1">IF(C23="-","-",INDEX($A$14:$F$17,MATCH(C23,$C$14:$C$17,0),1))</f>
        <v>1</v>
      </c>
      <c r="C23" s="28">
        <f ca="1">IF(C16="-","-",LARGE($C$14:$C$17,A23))</f>
        <v>20</v>
      </c>
      <c r="D23" s="5" t="str">
        <f ca="1">INDEX($A$14:$F$17,MATCH(C23,$C$14:$C$17,0),5)</f>
        <v>20,00</v>
      </c>
      <c r="E23" s="23" t="str">
        <f ca="1">IF(B16="-","-",IF((VALUE(ABS(C23))&gt;VALUE(D23)),"Reprovado","Aprovado"))</f>
        <v>Aprovado</v>
      </c>
    </row>
    <row r="24" spans="1:11" x14ac:dyDescent="0.2">
      <c r="A24" s="44">
        <v>4</v>
      </c>
      <c r="B24" s="45">
        <f ca="1">IF(C24="-","-",INDEX($A$14:$F$17,MATCH(C24,$C$14:$C$17,0),1))</f>
        <v>1</v>
      </c>
      <c r="C24" s="46">
        <f ca="1">IF(C17="-","-",LARGE($C$14:$C$17,A24))</f>
        <v>20</v>
      </c>
      <c r="D24" s="45" t="str">
        <f ca="1">INDEX($A$14:$F$17,MATCH(C24,$C$14:$C$17,0),5)</f>
        <v>20,00</v>
      </c>
      <c r="E24" s="47" t="str">
        <f ca="1">IF(B17="-","-",IF((VALUE(ABS(C24))&gt;VALUE(D24)),"Reprovado","Aprovado"))</f>
        <v>Aprovado</v>
      </c>
    </row>
    <row r="26" spans="1:11" ht="24" customHeight="1" x14ac:dyDescent="0.2">
      <c r="A26" s="1262" t="s">
        <v>72</v>
      </c>
      <c r="B26" s="1256" t="s">
        <v>73</v>
      </c>
      <c r="C26" s="356" t="s">
        <v>80</v>
      </c>
      <c r="D26" s="1264" t="s">
        <v>88</v>
      </c>
      <c r="E26" s="1265" t="s">
        <v>81</v>
      </c>
    </row>
    <row r="27" spans="1:11" x14ac:dyDescent="0.2">
      <c r="A27" s="1263"/>
      <c r="B27" s="1257"/>
      <c r="C27" s="359" t="s">
        <v>86</v>
      </c>
      <c r="D27" s="1259"/>
      <c r="E27" s="1266"/>
    </row>
    <row r="28" spans="1:11" x14ac:dyDescent="0.2">
      <c r="A28" s="22">
        <v>1</v>
      </c>
      <c r="B28" s="5">
        <f ca="1">IF(C28="-","-",INDEX($A$14:$F$17,MATCH(C28,$D$14:$D$17,0),1))</f>
        <v>1</v>
      </c>
      <c r="C28" s="28">
        <f ca="1">IF(D14="-","-",SMALL($D$14:$D$17,A21))</f>
        <v>-20</v>
      </c>
      <c r="D28" s="5" t="str">
        <f ca="1">INDEX($A$14:$F$17,MATCH(C28,$D$14:$D$17,0),5)</f>
        <v>20,00</v>
      </c>
      <c r="E28" s="23" t="str">
        <f ca="1">IF(B14="-","-",IF(VALUE(ABS(C28))&gt;VALUE(D28),"Reprovado","Aprovado"))</f>
        <v>Aprovado</v>
      </c>
    </row>
    <row r="29" spans="1:11" x14ac:dyDescent="0.2">
      <c r="A29" s="22">
        <v>2</v>
      </c>
      <c r="B29" s="5">
        <f ca="1">IF(C29="-","-",INDEX($A$14:$F$17,MATCH(C29,$D$14:$D$17,0),1))</f>
        <v>1</v>
      </c>
      <c r="C29" s="28">
        <f ca="1">IF(D15="-","-",SMALL($D$14:$D$17,A22))</f>
        <v>-20</v>
      </c>
      <c r="D29" s="49" t="str">
        <f ca="1">INDEX($A$14:$F$17,MATCH(C29,$D$14:$D$17,0),5)</f>
        <v>20,00</v>
      </c>
      <c r="E29" s="23" t="str">
        <f ca="1">IF(B15="-","-",IF(VALUE(ABS(C29))&gt;VALUE(D29),"Reprovado","Aprovado"))</f>
        <v>Aprovado</v>
      </c>
    </row>
    <row r="30" spans="1:11" x14ac:dyDescent="0.2">
      <c r="A30" s="22">
        <v>3</v>
      </c>
      <c r="B30" s="5">
        <f ca="1">IF(C30="-","-",INDEX($A$14:$F$17,MATCH(C30,$D$14:$D$17,0),1))</f>
        <v>1</v>
      </c>
      <c r="C30" s="28">
        <f ca="1">IF(D16="-","-",SMALL($D$14:$D$17,A23))</f>
        <v>-20</v>
      </c>
      <c r="D30" s="5" t="str">
        <f ca="1">INDEX($A$14:$F$17,MATCH(C30,$D$14:$D$17,0),5)</f>
        <v>20,00</v>
      </c>
      <c r="E30" s="23" t="str">
        <f ca="1">IF(B16="-","-",IF(VALUE(ABS(C30))&gt;VALUE(D30),"Reprovado","Aprovado"))</f>
        <v>Aprovado</v>
      </c>
    </row>
    <row r="31" spans="1:11" x14ac:dyDescent="0.2">
      <c r="A31" s="44">
        <v>4</v>
      </c>
      <c r="B31" s="45">
        <f ca="1">IF(C31="-","-",INDEX($A$14:$F$17,MATCH(C31,$D$14:$D$17,0),1))</f>
        <v>1</v>
      </c>
      <c r="C31" s="46">
        <f ca="1">IF(D17="-","-",SMALL($D$14:$D$17,A24))</f>
        <v>-20</v>
      </c>
      <c r="D31" s="45" t="str">
        <f ca="1">INDEX($A$14:$F$17,MATCH(C31,$D$14:$D$17,0),5)</f>
        <v>20,00</v>
      </c>
      <c r="E31" s="47" t="str">
        <f ca="1">IF(B17="-","-",IF(VALUE(ABS(C31))&gt;VALUE(D31),"Reprovado","Aprovado"))</f>
        <v>Aprovado</v>
      </c>
    </row>
  </sheetData>
  <sheetProtection sheet="1" objects="1" scenarios="1"/>
  <mergeCells count="26">
    <mergeCell ref="A1:B2"/>
    <mergeCell ref="C1:N1"/>
    <mergeCell ref="C2:E2"/>
    <mergeCell ref="F2:H2"/>
    <mergeCell ref="I2:K2"/>
    <mergeCell ref="L2:N2"/>
    <mergeCell ref="C7:D7"/>
    <mergeCell ref="C8:D8"/>
    <mergeCell ref="C9:D9"/>
    <mergeCell ref="C10:D10"/>
    <mergeCell ref="H10:I11"/>
    <mergeCell ref="K10:K11"/>
    <mergeCell ref="A12:A13"/>
    <mergeCell ref="B12:B13"/>
    <mergeCell ref="C12:D12"/>
    <mergeCell ref="E12:E13"/>
    <mergeCell ref="F12:F13"/>
    <mergeCell ref="J10:J11"/>
    <mergeCell ref="A19:A20"/>
    <mergeCell ref="B19:B20"/>
    <mergeCell ref="D19:D20"/>
    <mergeCell ref="E19:E20"/>
    <mergeCell ref="A26:A27"/>
    <mergeCell ref="B26:B27"/>
    <mergeCell ref="D26:D27"/>
    <mergeCell ref="E26:E27"/>
  </mergeCells>
  <conditionalFormatting sqref="F14:F17">
    <cfRule type="cellIs" dxfId="5" priority="5" stopIfTrue="1" operator="equal">
      <formula>"Reprovado"</formula>
    </cfRule>
    <cfRule type="cellIs" dxfId="4" priority="6" stopIfTrue="1" operator="equal">
      <formula>"Aprovado"</formula>
    </cfRule>
  </conditionalFormatting>
  <conditionalFormatting sqref="E21:E24 E28:E31">
    <cfRule type="cellIs" dxfId="3" priority="3" stopIfTrue="1" operator="equal">
      <formula>"Reprovado"</formula>
    </cfRule>
    <cfRule type="cellIs" dxfId="2" priority="4" stopIfTrue="1" operator="equal">
      <formula>"Aprovado"</formula>
    </cfRule>
  </conditionalFormatting>
  <conditionalFormatting sqref="K12:K19">
    <cfRule type="cellIs" dxfId="1" priority="1" stopIfTrue="1" operator="equal">
      <formula>"Reprovado"</formula>
    </cfRule>
    <cfRule type="cellIs" dxfId="0" priority="2" stopIfTrue="1" operator="equal">
      <formula>"Aprovado"</formula>
    </cfRule>
  </conditionalFormatting>
  <pageMargins left="0.511811024" right="0.511811024" top="0.78740157499999996" bottom="0.78740157499999996" header="0.31496062000000002" footer="0.3149606200000000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6">
    <tabColor theme="4"/>
  </sheetPr>
  <dimension ref="A1:I1143"/>
  <sheetViews>
    <sheetView showGridLines="0" showRowColHeaders="0" workbookViewId="0">
      <selection activeCell="A11" sqref="A11"/>
    </sheetView>
  </sheetViews>
  <sheetFormatPr defaultRowHeight="14.25" x14ac:dyDescent="0.2"/>
  <cols>
    <col min="1" max="1" width="69.85546875" style="83" bestFit="1" customWidth="1"/>
    <col min="2" max="2" width="49.7109375" style="83" bestFit="1" customWidth="1"/>
    <col min="3" max="3" width="16.42578125" style="83" bestFit="1" customWidth="1"/>
    <col min="4" max="4" width="53.140625" style="83" bestFit="1" customWidth="1"/>
    <col min="5" max="5" width="32" style="83" bestFit="1" customWidth="1"/>
    <col min="6" max="6" width="9" style="83" bestFit="1" customWidth="1"/>
    <col min="7" max="7" width="20.28515625" style="83" bestFit="1" customWidth="1"/>
    <col min="8" max="8" width="18.42578125" style="83" bestFit="1" customWidth="1"/>
    <col min="9" max="9" width="54.28515625" style="83" customWidth="1"/>
    <col min="10" max="16384" width="9.140625" style="83"/>
  </cols>
  <sheetData>
    <row r="1" spans="1:9" ht="16.5" thickBot="1" x14ac:dyDescent="0.25">
      <c r="A1" s="82" t="s">
        <v>124</v>
      </c>
      <c r="B1" s="82" t="s">
        <v>125</v>
      </c>
      <c r="C1" s="82" t="s">
        <v>126</v>
      </c>
      <c r="D1" s="82" t="s">
        <v>127</v>
      </c>
      <c r="E1" s="82" t="s">
        <v>128</v>
      </c>
      <c r="F1" s="82" t="s">
        <v>129</v>
      </c>
      <c r="G1" s="82" t="s">
        <v>130</v>
      </c>
      <c r="H1" s="82" t="s">
        <v>131</v>
      </c>
      <c r="I1" s="310" t="s">
        <v>132</v>
      </c>
    </row>
    <row r="2" spans="1:9" x14ac:dyDescent="0.2">
      <c r="A2" s="84" t="s">
        <v>293</v>
      </c>
      <c r="B2" s="85" t="s">
        <v>342</v>
      </c>
      <c r="C2" s="85" t="s">
        <v>294</v>
      </c>
      <c r="D2" s="85" t="s">
        <v>295</v>
      </c>
      <c r="E2" s="85" t="s">
        <v>296</v>
      </c>
      <c r="F2" s="85" t="s">
        <v>297</v>
      </c>
      <c r="G2" s="86" t="s">
        <v>341</v>
      </c>
      <c r="H2" s="87">
        <v>67</v>
      </c>
      <c r="I2" s="362" t="s">
        <v>298</v>
      </c>
    </row>
    <row r="3" spans="1:9" x14ac:dyDescent="0.2">
      <c r="A3" s="84" t="s">
        <v>343</v>
      </c>
      <c r="B3" s="84" t="s">
        <v>343</v>
      </c>
      <c r="C3" s="85"/>
      <c r="D3" s="85" t="s">
        <v>344</v>
      </c>
      <c r="E3" s="85" t="s">
        <v>345</v>
      </c>
      <c r="F3" s="85" t="s">
        <v>297</v>
      </c>
      <c r="G3" s="86" t="s">
        <v>346</v>
      </c>
      <c r="H3" s="87"/>
      <c r="I3" s="88"/>
    </row>
    <row r="4" spans="1:9" x14ac:dyDescent="0.2">
      <c r="A4" s="84" t="s">
        <v>350</v>
      </c>
      <c r="B4" s="85" t="s">
        <v>350</v>
      </c>
      <c r="C4" s="85" t="s">
        <v>351</v>
      </c>
      <c r="D4" s="85" t="s">
        <v>352</v>
      </c>
      <c r="E4" s="85" t="s">
        <v>296</v>
      </c>
      <c r="F4" s="85" t="s">
        <v>297</v>
      </c>
      <c r="G4" s="86" t="s">
        <v>353</v>
      </c>
      <c r="H4" s="87"/>
      <c r="I4" s="88"/>
    </row>
    <row r="5" spans="1:9" x14ac:dyDescent="0.2">
      <c r="A5" s="84" t="s">
        <v>355</v>
      </c>
      <c r="B5" s="85" t="s">
        <v>355</v>
      </c>
      <c r="C5" s="85" t="s">
        <v>356</v>
      </c>
      <c r="D5" s="85" t="s">
        <v>357</v>
      </c>
      <c r="E5" s="85" t="s">
        <v>356</v>
      </c>
      <c r="F5" s="85" t="s">
        <v>358</v>
      </c>
      <c r="G5" s="86" t="s">
        <v>359</v>
      </c>
      <c r="H5" s="87"/>
      <c r="I5" s="88"/>
    </row>
    <row r="6" spans="1:9" x14ac:dyDescent="0.2">
      <c r="A6" s="84" t="s">
        <v>360</v>
      </c>
      <c r="B6" s="84" t="s">
        <v>360</v>
      </c>
      <c r="C6" s="85" t="s">
        <v>361</v>
      </c>
      <c r="D6" s="85" t="s">
        <v>362</v>
      </c>
      <c r="E6" s="85" t="s">
        <v>361</v>
      </c>
      <c r="F6" s="85" t="s">
        <v>358</v>
      </c>
      <c r="G6" s="86" t="s">
        <v>363</v>
      </c>
      <c r="H6" s="87"/>
      <c r="I6" s="88"/>
    </row>
    <row r="7" spans="1:9" x14ac:dyDescent="0.2">
      <c r="A7" s="363" t="s">
        <v>364</v>
      </c>
      <c r="B7" s="363" t="s">
        <v>368</v>
      </c>
      <c r="C7" s="85" t="s">
        <v>351</v>
      </c>
      <c r="D7" s="85" t="s">
        <v>365</v>
      </c>
      <c r="E7" s="85" t="s">
        <v>296</v>
      </c>
      <c r="F7" s="85" t="s">
        <v>297</v>
      </c>
      <c r="G7" s="86" t="s">
        <v>366</v>
      </c>
      <c r="H7" s="87"/>
      <c r="I7" s="88"/>
    </row>
    <row r="8" spans="1:9" x14ac:dyDescent="0.2">
      <c r="A8" s="84" t="s">
        <v>369</v>
      </c>
      <c r="B8" s="84" t="s">
        <v>369</v>
      </c>
      <c r="C8" s="85" t="s">
        <v>370</v>
      </c>
      <c r="D8" s="85" t="s">
        <v>371</v>
      </c>
      <c r="E8" s="85" t="s">
        <v>370</v>
      </c>
      <c r="F8" s="85" t="s">
        <v>358</v>
      </c>
      <c r="G8" s="86" t="s">
        <v>372</v>
      </c>
      <c r="H8" s="87" t="s">
        <v>373</v>
      </c>
      <c r="I8" s="88"/>
    </row>
    <row r="9" spans="1:9" x14ac:dyDescent="0.2">
      <c r="A9" s="84" t="s">
        <v>374</v>
      </c>
      <c r="B9" s="85" t="s">
        <v>374</v>
      </c>
      <c r="C9" s="85" t="s">
        <v>375</v>
      </c>
      <c r="D9" s="85" t="s">
        <v>376</v>
      </c>
      <c r="E9" s="85" t="s">
        <v>375</v>
      </c>
      <c r="F9" s="85" t="s">
        <v>358</v>
      </c>
      <c r="G9" s="86" t="s">
        <v>377</v>
      </c>
      <c r="H9" s="87"/>
      <c r="I9" s="88"/>
    </row>
    <row r="10" spans="1:9" x14ac:dyDescent="0.2">
      <c r="A10" s="84" t="s">
        <v>378</v>
      </c>
      <c r="B10" s="84" t="s">
        <v>378</v>
      </c>
      <c r="C10" s="85" t="s">
        <v>379</v>
      </c>
      <c r="D10" s="85" t="s">
        <v>380</v>
      </c>
      <c r="E10" s="85" t="s">
        <v>361</v>
      </c>
      <c r="F10" s="85" t="s">
        <v>358</v>
      </c>
      <c r="G10" s="86" t="s">
        <v>381</v>
      </c>
      <c r="H10" s="87"/>
      <c r="I10" s="88"/>
    </row>
    <row r="11" spans="1:9" x14ac:dyDescent="0.2">
      <c r="A11" s="84" t="s">
        <v>384</v>
      </c>
      <c r="B11" s="85" t="s">
        <v>384</v>
      </c>
      <c r="C11" s="85" t="s">
        <v>387</v>
      </c>
      <c r="D11" s="85" t="s">
        <v>385</v>
      </c>
      <c r="E11" s="85" t="s">
        <v>386</v>
      </c>
      <c r="F11" s="85" t="s">
        <v>388</v>
      </c>
      <c r="G11" s="86" t="s">
        <v>389</v>
      </c>
      <c r="H11" s="87"/>
      <c r="I11" s="88"/>
    </row>
    <row r="12" spans="1:9" x14ac:dyDescent="0.2">
      <c r="A12" s="84"/>
      <c r="B12" s="85"/>
      <c r="C12" s="85"/>
      <c r="D12" s="85"/>
      <c r="E12" s="85"/>
      <c r="F12" s="85"/>
      <c r="G12" s="86"/>
      <c r="H12" s="87"/>
      <c r="I12" s="88"/>
    </row>
    <row r="13" spans="1:9" x14ac:dyDescent="0.2">
      <c r="A13" s="84"/>
      <c r="B13" s="85"/>
      <c r="C13" s="85"/>
      <c r="D13" s="85"/>
      <c r="E13" s="85"/>
      <c r="F13" s="85"/>
      <c r="G13" s="86"/>
      <c r="H13" s="87"/>
      <c r="I13" s="88"/>
    </row>
    <row r="14" spans="1:9" x14ac:dyDescent="0.2">
      <c r="A14" s="84"/>
      <c r="B14" s="85"/>
      <c r="C14" s="85"/>
      <c r="D14" s="85"/>
      <c r="E14" s="85"/>
      <c r="F14" s="85"/>
      <c r="G14" s="86"/>
      <c r="H14" s="87"/>
      <c r="I14" s="88"/>
    </row>
    <row r="15" spans="1:9" x14ac:dyDescent="0.2">
      <c r="A15" s="84"/>
      <c r="B15" s="85"/>
      <c r="C15" s="85"/>
      <c r="D15" s="85"/>
      <c r="E15" s="85"/>
      <c r="F15" s="85"/>
      <c r="G15" s="86"/>
      <c r="H15" s="87"/>
      <c r="I15" s="88"/>
    </row>
    <row r="16" spans="1:9" x14ac:dyDescent="0.2">
      <c r="A16" s="84"/>
      <c r="B16" s="85"/>
      <c r="C16" s="85"/>
      <c r="D16" s="85"/>
      <c r="E16" s="85"/>
      <c r="F16" s="85"/>
      <c r="G16" s="86"/>
      <c r="H16" s="87"/>
      <c r="I16" s="88"/>
    </row>
    <row r="17" spans="1:9" x14ac:dyDescent="0.2">
      <c r="A17" s="84"/>
      <c r="B17" s="85"/>
      <c r="C17" s="85"/>
      <c r="D17" s="85"/>
      <c r="E17" s="85"/>
      <c r="F17" s="85"/>
      <c r="G17" s="86"/>
      <c r="H17" s="87"/>
      <c r="I17" s="88"/>
    </row>
    <row r="18" spans="1:9" x14ac:dyDescent="0.2">
      <c r="A18" s="84"/>
      <c r="B18" s="85"/>
      <c r="C18" s="85"/>
      <c r="D18" s="85"/>
      <c r="E18" s="85"/>
      <c r="F18" s="85"/>
      <c r="G18" s="86"/>
      <c r="H18" s="87"/>
      <c r="I18" s="88"/>
    </row>
    <row r="19" spans="1:9" x14ac:dyDescent="0.2">
      <c r="A19" s="84"/>
      <c r="B19" s="85"/>
      <c r="C19" s="85"/>
      <c r="D19" s="85"/>
      <c r="E19" s="85"/>
      <c r="F19" s="85"/>
      <c r="G19" s="86"/>
      <c r="H19" s="87"/>
      <c r="I19" s="88"/>
    </row>
    <row r="20" spans="1:9" x14ac:dyDescent="0.2">
      <c r="A20" s="84"/>
      <c r="B20" s="85"/>
      <c r="C20" s="85"/>
      <c r="D20" s="85"/>
      <c r="E20" s="85"/>
      <c r="F20" s="85"/>
      <c r="G20" s="86"/>
      <c r="H20" s="87"/>
      <c r="I20" s="88"/>
    </row>
    <row r="21" spans="1:9" x14ac:dyDescent="0.2">
      <c r="A21" s="84"/>
      <c r="B21" s="85"/>
      <c r="C21" s="85"/>
      <c r="D21" s="85"/>
      <c r="E21" s="85"/>
      <c r="F21" s="85"/>
      <c r="G21" s="86"/>
      <c r="H21" s="87"/>
      <c r="I21" s="88"/>
    </row>
    <row r="22" spans="1:9" x14ac:dyDescent="0.2">
      <c r="A22" s="84"/>
      <c r="B22" s="85"/>
      <c r="C22" s="85"/>
      <c r="D22" s="85"/>
      <c r="E22" s="85"/>
      <c r="F22" s="85"/>
      <c r="G22" s="86"/>
      <c r="H22" s="309"/>
      <c r="I22" s="88"/>
    </row>
    <row r="23" spans="1:9" x14ac:dyDescent="0.2">
      <c r="A23" s="84"/>
      <c r="B23" s="85"/>
      <c r="C23" s="85"/>
      <c r="D23" s="85"/>
      <c r="E23" s="85"/>
      <c r="F23" s="85"/>
      <c r="G23" s="86"/>
      <c r="H23" s="309"/>
      <c r="I23" s="88"/>
    </row>
    <row r="24" spans="1:9" x14ac:dyDescent="0.2">
      <c r="A24" s="84"/>
      <c r="B24" s="85"/>
      <c r="C24" s="85"/>
      <c r="D24" s="85"/>
      <c r="E24" s="85"/>
      <c r="F24" s="85"/>
      <c r="G24" s="86"/>
      <c r="H24" s="87"/>
      <c r="I24" s="88"/>
    </row>
    <row r="25" spans="1:9" x14ac:dyDescent="0.2">
      <c r="A25" s="84"/>
      <c r="B25" s="85"/>
      <c r="C25" s="85"/>
      <c r="D25" s="85"/>
      <c r="E25" s="85"/>
      <c r="F25" s="85"/>
      <c r="G25" s="86"/>
      <c r="H25" s="87"/>
      <c r="I25" s="88"/>
    </row>
    <row r="26" spans="1:9" x14ac:dyDescent="0.2">
      <c r="A26" s="84"/>
      <c r="B26" s="85"/>
      <c r="C26" s="85"/>
      <c r="D26" s="85"/>
      <c r="E26" s="85"/>
      <c r="F26" s="85"/>
      <c r="G26" s="86"/>
      <c r="H26" s="87"/>
      <c r="I26" s="88"/>
    </row>
    <row r="27" spans="1:9" x14ac:dyDescent="0.2">
      <c r="A27" s="84"/>
      <c r="B27" s="85"/>
      <c r="C27" s="85"/>
      <c r="D27" s="85"/>
      <c r="E27" s="85"/>
      <c r="F27" s="85"/>
      <c r="G27" s="86"/>
      <c r="H27" s="87"/>
      <c r="I27" s="88"/>
    </row>
    <row r="28" spans="1:9" x14ac:dyDescent="0.2">
      <c r="A28" s="84"/>
      <c r="B28" s="85"/>
      <c r="C28" s="85"/>
      <c r="D28" s="85"/>
      <c r="E28" s="85"/>
      <c r="F28" s="85"/>
      <c r="G28" s="86"/>
      <c r="H28" s="87"/>
      <c r="I28" s="88"/>
    </row>
    <row r="29" spans="1:9" x14ac:dyDescent="0.2">
      <c r="A29" s="84"/>
      <c r="B29" s="85"/>
      <c r="C29" s="85"/>
      <c r="D29" s="85"/>
      <c r="E29" s="85"/>
      <c r="F29" s="85"/>
      <c r="G29" s="86"/>
      <c r="H29" s="87"/>
      <c r="I29" s="88"/>
    </row>
    <row r="30" spans="1:9" x14ac:dyDescent="0.2">
      <c r="A30" s="84"/>
      <c r="B30" s="85"/>
      <c r="C30" s="85"/>
      <c r="D30" s="85"/>
      <c r="E30" s="85"/>
      <c r="F30" s="85"/>
      <c r="G30" s="86"/>
      <c r="H30" s="87"/>
      <c r="I30" s="88"/>
    </row>
    <row r="31" spans="1:9" x14ac:dyDescent="0.2">
      <c r="A31" s="84"/>
      <c r="B31" s="85"/>
      <c r="C31" s="85"/>
      <c r="D31" s="85"/>
      <c r="E31" s="85"/>
      <c r="F31" s="85"/>
      <c r="G31" s="86"/>
      <c r="H31" s="87"/>
      <c r="I31" s="88"/>
    </row>
    <row r="32" spans="1:9" x14ac:dyDescent="0.2">
      <c r="A32" s="84"/>
      <c r="B32" s="85"/>
      <c r="C32" s="85"/>
      <c r="D32" s="85"/>
      <c r="E32" s="85"/>
      <c r="F32" s="85"/>
      <c r="G32" s="86"/>
      <c r="H32" s="87"/>
      <c r="I32" s="88"/>
    </row>
    <row r="33" spans="1:9" x14ac:dyDescent="0.2">
      <c r="A33" s="84"/>
      <c r="B33" s="85"/>
      <c r="C33" s="85"/>
      <c r="D33" s="85"/>
      <c r="E33" s="85"/>
      <c r="F33" s="85"/>
      <c r="G33" s="86"/>
      <c r="H33" s="87"/>
      <c r="I33" s="88"/>
    </row>
    <row r="34" spans="1:9" x14ac:dyDescent="0.2">
      <c r="A34" s="84"/>
      <c r="B34" s="85"/>
      <c r="C34" s="85"/>
      <c r="D34" s="85"/>
      <c r="E34" s="85"/>
      <c r="F34" s="85"/>
      <c r="G34" s="86"/>
      <c r="H34" s="87"/>
      <c r="I34" s="88"/>
    </row>
    <row r="35" spans="1:9" x14ac:dyDescent="0.2">
      <c r="A35" s="84"/>
      <c r="B35" s="85"/>
      <c r="C35" s="85"/>
      <c r="D35" s="85"/>
      <c r="E35" s="85"/>
      <c r="F35" s="85"/>
      <c r="G35" s="86"/>
      <c r="H35" s="87"/>
      <c r="I35" s="88"/>
    </row>
    <row r="36" spans="1:9" x14ac:dyDescent="0.2">
      <c r="A36" s="84"/>
      <c r="B36" s="85"/>
      <c r="C36" s="85"/>
      <c r="D36" s="85"/>
      <c r="E36" s="85"/>
      <c r="F36" s="85"/>
      <c r="G36" s="86"/>
      <c r="H36" s="87"/>
      <c r="I36" s="88"/>
    </row>
    <row r="37" spans="1:9" x14ac:dyDescent="0.2">
      <c r="A37" s="84"/>
      <c r="B37" s="85"/>
      <c r="C37" s="85"/>
      <c r="D37" s="85"/>
      <c r="E37" s="85"/>
      <c r="F37" s="85"/>
      <c r="G37" s="86"/>
      <c r="H37" s="87"/>
      <c r="I37" s="88"/>
    </row>
    <row r="38" spans="1:9" x14ac:dyDescent="0.2">
      <c r="A38" s="84"/>
      <c r="B38" s="85"/>
      <c r="C38" s="85"/>
      <c r="D38" s="85"/>
      <c r="E38" s="85"/>
      <c r="F38" s="85"/>
      <c r="G38" s="86"/>
      <c r="H38" s="87"/>
      <c r="I38" s="88"/>
    </row>
    <row r="39" spans="1:9" x14ac:dyDescent="0.2">
      <c r="A39" s="84"/>
      <c r="B39" s="85"/>
      <c r="C39" s="85"/>
      <c r="D39" s="85"/>
      <c r="E39" s="85"/>
      <c r="F39" s="85"/>
      <c r="G39" s="86"/>
      <c r="H39" s="87"/>
      <c r="I39" s="88"/>
    </row>
    <row r="40" spans="1:9" x14ac:dyDescent="0.2">
      <c r="A40" s="84"/>
      <c r="B40" s="85"/>
      <c r="C40" s="85"/>
      <c r="D40" s="85"/>
      <c r="E40" s="85"/>
      <c r="F40" s="85"/>
      <c r="G40" s="86"/>
      <c r="H40" s="87"/>
      <c r="I40" s="88"/>
    </row>
    <row r="41" spans="1:9" x14ac:dyDescent="0.2">
      <c r="A41" s="84"/>
      <c r="B41" s="85"/>
      <c r="C41" s="85"/>
      <c r="D41" s="85"/>
      <c r="E41" s="85"/>
      <c r="F41" s="85"/>
      <c r="G41" s="86"/>
      <c r="H41" s="87"/>
      <c r="I41" s="88"/>
    </row>
    <row r="42" spans="1:9" x14ac:dyDescent="0.2">
      <c r="A42" s="84"/>
      <c r="B42" s="85"/>
      <c r="C42" s="85"/>
      <c r="D42" s="85"/>
      <c r="E42" s="85"/>
      <c r="F42" s="85"/>
      <c r="G42" s="86"/>
      <c r="H42" s="87"/>
      <c r="I42" s="88"/>
    </row>
    <row r="43" spans="1:9" x14ac:dyDescent="0.2">
      <c r="A43" s="84"/>
      <c r="B43" s="85"/>
      <c r="C43" s="85"/>
      <c r="D43" s="85"/>
      <c r="E43" s="85"/>
      <c r="F43" s="85"/>
      <c r="G43" s="86"/>
      <c r="H43" s="87"/>
      <c r="I43" s="88"/>
    </row>
    <row r="44" spans="1:9" x14ac:dyDescent="0.2">
      <c r="A44" s="84"/>
      <c r="B44" s="85"/>
      <c r="C44" s="85"/>
      <c r="D44" s="85"/>
      <c r="E44" s="85"/>
      <c r="F44" s="85"/>
      <c r="G44" s="86"/>
      <c r="H44" s="87"/>
      <c r="I44" s="88"/>
    </row>
    <row r="45" spans="1:9" x14ac:dyDescent="0.2">
      <c r="A45" s="84"/>
      <c r="B45" s="85"/>
      <c r="C45" s="85"/>
      <c r="D45" s="85"/>
      <c r="E45" s="85"/>
      <c r="F45" s="85"/>
      <c r="G45" s="86"/>
      <c r="H45" s="87"/>
      <c r="I45" s="88"/>
    </row>
    <row r="46" spans="1:9" x14ac:dyDescent="0.2">
      <c r="A46" s="84"/>
      <c r="B46" s="85"/>
      <c r="C46" s="85"/>
      <c r="D46" s="85"/>
      <c r="E46" s="85"/>
      <c r="F46" s="85"/>
      <c r="G46" s="86"/>
      <c r="H46" s="87"/>
      <c r="I46" s="88"/>
    </row>
    <row r="47" spans="1:9" x14ac:dyDescent="0.2">
      <c r="A47" s="84"/>
      <c r="B47" s="85"/>
      <c r="C47" s="85"/>
      <c r="D47" s="85"/>
      <c r="E47" s="85"/>
      <c r="F47" s="85"/>
      <c r="G47" s="86"/>
      <c r="H47" s="87"/>
      <c r="I47" s="88"/>
    </row>
    <row r="48" spans="1:9" x14ac:dyDescent="0.2">
      <c r="A48" s="84"/>
      <c r="B48" s="85"/>
      <c r="C48" s="85"/>
      <c r="D48" s="85"/>
      <c r="E48" s="85"/>
      <c r="F48" s="85"/>
      <c r="G48" s="86"/>
      <c r="H48" s="87"/>
      <c r="I48" s="88"/>
    </row>
    <row r="49" spans="1:9" x14ac:dyDescent="0.2">
      <c r="A49" s="84"/>
      <c r="B49" s="85"/>
      <c r="C49" s="85"/>
      <c r="D49" s="85"/>
      <c r="E49" s="85"/>
      <c r="F49" s="85"/>
      <c r="G49" s="86"/>
      <c r="H49" s="87"/>
      <c r="I49" s="88"/>
    </row>
    <row r="50" spans="1:9" x14ac:dyDescent="0.2">
      <c r="A50" s="84"/>
      <c r="B50" s="85"/>
      <c r="C50" s="85"/>
      <c r="D50" s="85"/>
      <c r="E50" s="85"/>
      <c r="F50" s="85"/>
      <c r="G50" s="86"/>
      <c r="H50" s="87"/>
      <c r="I50" s="88"/>
    </row>
    <row r="51" spans="1:9" x14ac:dyDescent="0.2">
      <c r="A51" s="84"/>
      <c r="B51" s="85"/>
      <c r="C51" s="85"/>
      <c r="D51" s="85"/>
      <c r="E51" s="85"/>
      <c r="F51" s="85"/>
      <c r="G51" s="86"/>
      <c r="H51" s="87"/>
      <c r="I51" s="88"/>
    </row>
    <row r="52" spans="1:9" x14ac:dyDescent="0.2">
      <c r="A52" s="84"/>
      <c r="B52" s="85"/>
      <c r="C52" s="85"/>
      <c r="D52" s="85"/>
      <c r="E52" s="85"/>
      <c r="F52" s="85"/>
      <c r="G52" s="86"/>
      <c r="H52" s="87"/>
      <c r="I52" s="88"/>
    </row>
    <row r="53" spans="1:9" x14ac:dyDescent="0.2">
      <c r="A53" s="84"/>
      <c r="B53" s="85"/>
      <c r="C53" s="85"/>
      <c r="D53" s="85"/>
      <c r="E53" s="85"/>
      <c r="F53" s="85"/>
      <c r="G53" s="86"/>
      <c r="H53" s="87"/>
      <c r="I53" s="88"/>
    </row>
    <row r="54" spans="1:9" x14ac:dyDescent="0.2">
      <c r="A54" s="84"/>
      <c r="B54" s="85"/>
      <c r="C54" s="85"/>
      <c r="D54" s="85"/>
      <c r="E54" s="85"/>
      <c r="F54" s="85"/>
      <c r="G54" s="86"/>
      <c r="H54" s="87"/>
      <c r="I54" s="88"/>
    </row>
    <row r="55" spans="1:9" x14ac:dyDescent="0.2">
      <c r="A55" s="84"/>
      <c r="B55" s="85"/>
      <c r="C55" s="85"/>
      <c r="D55" s="85"/>
      <c r="E55" s="85"/>
      <c r="F55" s="85"/>
      <c r="G55" s="86"/>
      <c r="H55" s="87"/>
      <c r="I55" s="88"/>
    </row>
    <row r="56" spans="1:9" x14ac:dyDescent="0.2">
      <c r="A56" s="84"/>
      <c r="B56" s="85"/>
      <c r="C56" s="85"/>
      <c r="D56" s="85"/>
      <c r="E56" s="85"/>
      <c r="F56" s="85"/>
      <c r="G56" s="86"/>
      <c r="H56" s="87"/>
      <c r="I56" s="88"/>
    </row>
    <row r="57" spans="1:9" x14ac:dyDescent="0.2">
      <c r="A57" s="84"/>
      <c r="B57" s="85"/>
      <c r="C57" s="85"/>
      <c r="D57" s="85"/>
      <c r="E57" s="85"/>
      <c r="F57" s="85"/>
      <c r="G57" s="86"/>
      <c r="H57" s="87"/>
      <c r="I57" s="88"/>
    </row>
    <row r="58" spans="1:9" x14ac:dyDescent="0.2">
      <c r="A58" s="84"/>
      <c r="B58" s="85"/>
      <c r="C58" s="85"/>
      <c r="D58" s="85"/>
      <c r="E58" s="85"/>
      <c r="F58" s="85"/>
      <c r="G58" s="86"/>
      <c r="H58" s="87"/>
      <c r="I58" s="88"/>
    </row>
    <row r="59" spans="1:9" x14ac:dyDescent="0.2">
      <c r="A59" s="84"/>
      <c r="B59" s="85"/>
      <c r="C59" s="85"/>
      <c r="D59" s="85"/>
      <c r="E59" s="85"/>
      <c r="F59" s="85"/>
      <c r="G59" s="86"/>
      <c r="H59" s="87"/>
      <c r="I59" s="88"/>
    </row>
    <row r="60" spans="1:9" ht="15" thickBot="1" x14ac:dyDescent="0.25">
      <c r="A60" s="84"/>
      <c r="B60" s="85"/>
      <c r="C60" s="85"/>
      <c r="D60" s="85"/>
      <c r="E60" s="85"/>
      <c r="F60" s="85"/>
      <c r="G60" s="86"/>
      <c r="H60" s="87"/>
      <c r="I60" s="89"/>
    </row>
    <row r="61" spans="1:9" x14ac:dyDescent="0.2">
      <c r="A61" s="84"/>
      <c r="B61" s="85"/>
      <c r="C61" s="85"/>
      <c r="D61" s="85"/>
      <c r="E61" s="85"/>
      <c r="F61" s="85"/>
      <c r="G61" s="86"/>
      <c r="H61" s="87"/>
    </row>
    <row r="62" spans="1:9" x14ac:dyDescent="0.2">
      <c r="A62" s="84"/>
      <c r="B62" s="85"/>
      <c r="C62" s="85"/>
      <c r="D62" s="85"/>
      <c r="E62" s="85"/>
      <c r="F62" s="85"/>
      <c r="G62" s="86"/>
      <c r="H62" s="87"/>
    </row>
    <row r="63" spans="1:9" x14ac:dyDescent="0.2">
      <c r="A63" s="84"/>
      <c r="B63" s="85"/>
      <c r="C63" s="85"/>
      <c r="D63" s="85"/>
      <c r="E63" s="85"/>
      <c r="F63" s="85"/>
      <c r="G63" s="86"/>
      <c r="H63" s="87"/>
    </row>
    <row r="64" spans="1:9" x14ac:dyDescent="0.2">
      <c r="A64" s="84"/>
      <c r="B64" s="85"/>
      <c r="C64" s="85"/>
      <c r="D64" s="85"/>
      <c r="E64" s="85"/>
      <c r="F64" s="85"/>
      <c r="G64" s="86"/>
      <c r="H64" s="87"/>
    </row>
    <row r="65" spans="1:8" x14ac:dyDescent="0.2">
      <c r="A65" s="84"/>
      <c r="B65" s="85"/>
      <c r="C65" s="85"/>
      <c r="D65" s="85"/>
      <c r="E65" s="85"/>
      <c r="F65" s="85"/>
      <c r="G65" s="86"/>
      <c r="H65" s="87"/>
    </row>
    <row r="66" spans="1:8" x14ac:dyDescent="0.2">
      <c r="A66" s="84"/>
      <c r="B66" s="85"/>
      <c r="C66" s="85"/>
      <c r="D66" s="85"/>
      <c r="E66" s="85"/>
      <c r="F66" s="85"/>
      <c r="G66" s="86"/>
      <c r="H66" s="87"/>
    </row>
    <row r="67" spans="1:8" x14ac:dyDescent="0.2">
      <c r="A67" s="84"/>
      <c r="B67" s="85"/>
      <c r="C67" s="85"/>
      <c r="D67" s="85"/>
      <c r="E67" s="85"/>
      <c r="F67" s="85"/>
      <c r="G67" s="86"/>
      <c r="H67" s="87"/>
    </row>
    <row r="68" spans="1:8" x14ac:dyDescent="0.2">
      <c r="A68" s="84"/>
      <c r="B68" s="85"/>
      <c r="C68" s="85"/>
      <c r="D68" s="85"/>
      <c r="E68" s="85"/>
      <c r="F68" s="85"/>
      <c r="G68" s="86"/>
      <c r="H68" s="87"/>
    </row>
    <row r="69" spans="1:8" x14ac:dyDescent="0.2">
      <c r="A69" s="84"/>
      <c r="B69" s="85"/>
      <c r="C69" s="85"/>
      <c r="D69" s="85"/>
      <c r="E69" s="85"/>
      <c r="F69" s="85"/>
      <c r="G69" s="86"/>
      <c r="H69" s="87"/>
    </row>
    <row r="70" spans="1:8" x14ac:dyDescent="0.2">
      <c r="A70" s="84"/>
      <c r="B70" s="85"/>
      <c r="C70" s="85"/>
      <c r="D70" s="85"/>
      <c r="E70" s="85"/>
      <c r="F70" s="85"/>
      <c r="G70" s="86"/>
      <c r="H70" s="87"/>
    </row>
    <row r="71" spans="1:8" x14ac:dyDescent="0.2">
      <c r="A71" s="84"/>
      <c r="B71" s="85"/>
      <c r="C71" s="85"/>
      <c r="D71" s="85"/>
      <c r="E71" s="85"/>
      <c r="F71" s="85"/>
      <c r="G71" s="86"/>
      <c r="H71" s="87"/>
    </row>
    <row r="72" spans="1:8" x14ac:dyDescent="0.2">
      <c r="A72" s="84"/>
      <c r="B72" s="85"/>
      <c r="C72" s="85"/>
      <c r="D72" s="85"/>
      <c r="E72" s="85"/>
      <c r="F72" s="85"/>
      <c r="G72" s="86"/>
      <c r="H72" s="87"/>
    </row>
    <row r="73" spans="1:8" x14ac:dyDescent="0.2">
      <c r="A73" s="84"/>
      <c r="B73" s="85"/>
      <c r="C73" s="85"/>
      <c r="D73" s="85"/>
      <c r="E73" s="85"/>
      <c r="F73" s="85"/>
      <c r="G73" s="86"/>
      <c r="H73" s="87"/>
    </row>
    <row r="74" spans="1:8" x14ac:dyDescent="0.2">
      <c r="A74" s="84"/>
      <c r="B74" s="85"/>
      <c r="C74" s="85"/>
      <c r="D74" s="85"/>
      <c r="E74" s="85"/>
      <c r="F74" s="85"/>
      <c r="G74" s="86"/>
      <c r="H74" s="87"/>
    </row>
    <row r="75" spans="1:8" x14ac:dyDescent="0.2">
      <c r="A75" s="84"/>
      <c r="B75" s="85"/>
      <c r="C75" s="85"/>
      <c r="D75" s="85"/>
      <c r="E75" s="85"/>
      <c r="F75" s="85"/>
      <c r="G75" s="86"/>
      <c r="H75" s="87"/>
    </row>
    <row r="76" spans="1:8" x14ac:dyDescent="0.2">
      <c r="A76" s="84"/>
      <c r="B76" s="85"/>
      <c r="C76" s="85"/>
      <c r="D76" s="85"/>
      <c r="E76" s="85"/>
      <c r="F76" s="85"/>
      <c r="G76" s="86"/>
      <c r="H76" s="87"/>
    </row>
    <row r="77" spans="1:8" x14ac:dyDescent="0.2">
      <c r="A77" s="84"/>
      <c r="B77" s="85"/>
      <c r="C77" s="85"/>
      <c r="D77" s="85"/>
      <c r="E77" s="85"/>
      <c r="F77" s="85"/>
      <c r="G77" s="86"/>
      <c r="H77" s="87"/>
    </row>
    <row r="78" spans="1:8" x14ac:dyDescent="0.2">
      <c r="A78" s="84"/>
      <c r="B78" s="85"/>
      <c r="C78" s="85"/>
      <c r="D78" s="85"/>
      <c r="E78" s="85"/>
      <c r="F78" s="85"/>
      <c r="G78" s="86"/>
      <c r="H78" s="87"/>
    </row>
    <row r="79" spans="1:8" x14ac:dyDescent="0.2">
      <c r="A79" s="84"/>
      <c r="B79" s="85"/>
      <c r="C79" s="85"/>
      <c r="D79" s="85"/>
      <c r="E79" s="85"/>
      <c r="F79" s="85"/>
      <c r="G79" s="86"/>
      <c r="H79" s="87"/>
    </row>
    <row r="80" spans="1:8" x14ac:dyDescent="0.2">
      <c r="A80" s="84"/>
      <c r="B80" s="85"/>
      <c r="C80" s="85"/>
      <c r="D80" s="85"/>
      <c r="E80" s="85"/>
      <c r="F80" s="85"/>
      <c r="G80" s="86"/>
      <c r="H80" s="87"/>
    </row>
    <row r="81" spans="1:8" x14ac:dyDescent="0.2">
      <c r="A81" s="84"/>
      <c r="B81" s="85"/>
      <c r="C81" s="85"/>
      <c r="D81" s="85"/>
      <c r="E81" s="85"/>
      <c r="F81" s="85"/>
      <c r="G81" s="86"/>
      <c r="H81" s="87"/>
    </row>
    <row r="82" spans="1:8" x14ac:dyDescent="0.2">
      <c r="A82" s="84"/>
      <c r="B82" s="85"/>
      <c r="C82" s="85"/>
      <c r="D82" s="85"/>
      <c r="E82" s="85"/>
      <c r="F82" s="85"/>
      <c r="G82" s="86"/>
      <c r="H82" s="87"/>
    </row>
    <row r="83" spans="1:8" x14ac:dyDescent="0.2">
      <c r="A83" s="84"/>
      <c r="B83" s="85"/>
      <c r="C83" s="85"/>
      <c r="D83" s="85"/>
      <c r="E83" s="85"/>
      <c r="F83" s="85"/>
      <c r="G83" s="86"/>
      <c r="H83" s="87"/>
    </row>
    <row r="84" spans="1:8" x14ac:dyDescent="0.2">
      <c r="A84" s="84"/>
      <c r="B84" s="85"/>
      <c r="C84" s="85"/>
      <c r="D84" s="85"/>
      <c r="E84" s="85"/>
      <c r="F84" s="85"/>
      <c r="G84" s="86"/>
      <c r="H84" s="87"/>
    </row>
    <row r="85" spans="1:8" x14ac:dyDescent="0.2">
      <c r="A85" s="84"/>
      <c r="B85" s="85"/>
      <c r="C85" s="85"/>
      <c r="D85" s="85"/>
      <c r="E85" s="85"/>
      <c r="F85" s="85"/>
      <c r="G85" s="86"/>
      <c r="H85" s="87"/>
    </row>
    <row r="86" spans="1:8" x14ac:dyDescent="0.2">
      <c r="A86" s="84"/>
      <c r="B86" s="85"/>
      <c r="C86" s="85"/>
      <c r="D86" s="85"/>
      <c r="E86" s="85"/>
      <c r="F86" s="85"/>
      <c r="G86" s="86"/>
      <c r="H86" s="87"/>
    </row>
    <row r="87" spans="1:8" x14ac:dyDescent="0.2">
      <c r="A87" s="84"/>
      <c r="B87" s="85"/>
      <c r="C87" s="85"/>
      <c r="D87" s="85"/>
      <c r="E87" s="85"/>
      <c r="F87" s="85"/>
      <c r="G87" s="86"/>
      <c r="H87" s="87"/>
    </row>
    <row r="88" spans="1:8" x14ac:dyDescent="0.2">
      <c r="A88" s="84"/>
      <c r="B88" s="85"/>
      <c r="C88" s="85"/>
      <c r="D88" s="85"/>
      <c r="E88" s="85"/>
      <c r="F88" s="85"/>
      <c r="G88" s="86"/>
      <c r="H88" s="87"/>
    </row>
    <row r="89" spans="1:8" x14ac:dyDescent="0.2">
      <c r="A89" s="84"/>
      <c r="B89" s="85"/>
      <c r="C89" s="85"/>
      <c r="D89" s="85"/>
      <c r="E89" s="85"/>
      <c r="F89" s="85"/>
      <c r="G89" s="86"/>
      <c r="H89" s="87"/>
    </row>
    <row r="90" spans="1:8" x14ac:dyDescent="0.2">
      <c r="A90" s="84"/>
      <c r="B90" s="85"/>
      <c r="C90" s="85"/>
      <c r="D90" s="85"/>
      <c r="E90" s="85"/>
      <c r="F90" s="85"/>
      <c r="G90" s="86"/>
      <c r="H90" s="87"/>
    </row>
    <row r="91" spans="1:8" x14ac:dyDescent="0.2">
      <c r="A91" s="84"/>
      <c r="B91" s="85"/>
      <c r="C91" s="85"/>
      <c r="D91" s="85"/>
      <c r="E91" s="85"/>
      <c r="F91" s="85"/>
      <c r="G91" s="86"/>
      <c r="H91" s="87"/>
    </row>
    <row r="92" spans="1:8" x14ac:dyDescent="0.2">
      <c r="A92" s="84"/>
      <c r="B92" s="85"/>
      <c r="C92" s="85"/>
      <c r="D92" s="85"/>
      <c r="E92" s="85"/>
      <c r="F92" s="85"/>
      <c r="G92" s="86"/>
      <c r="H92" s="87"/>
    </row>
    <row r="93" spans="1:8" x14ac:dyDescent="0.2">
      <c r="A93" s="84"/>
      <c r="B93" s="85"/>
      <c r="C93" s="85"/>
      <c r="D93" s="85"/>
      <c r="E93" s="85"/>
      <c r="F93" s="85"/>
      <c r="G93" s="86"/>
      <c r="H93" s="87"/>
    </row>
    <row r="94" spans="1:8" x14ac:dyDescent="0.2">
      <c r="A94" s="84"/>
      <c r="B94" s="85"/>
      <c r="C94" s="85"/>
      <c r="D94" s="85"/>
      <c r="E94" s="85"/>
      <c r="F94" s="85"/>
      <c r="G94" s="86"/>
      <c r="H94" s="87"/>
    </row>
    <row r="95" spans="1:8" x14ac:dyDescent="0.2">
      <c r="A95" s="84"/>
      <c r="B95" s="85"/>
      <c r="C95" s="85"/>
      <c r="D95" s="85"/>
      <c r="E95" s="85"/>
      <c r="F95" s="85"/>
      <c r="G95" s="86"/>
      <c r="H95" s="87"/>
    </row>
    <row r="96" spans="1:8" x14ac:dyDescent="0.2">
      <c r="A96" s="84"/>
      <c r="B96" s="85"/>
      <c r="C96" s="85"/>
      <c r="D96" s="85"/>
      <c r="E96" s="85"/>
      <c r="F96" s="85"/>
      <c r="G96" s="86"/>
      <c r="H96" s="87"/>
    </row>
    <row r="97" spans="1:8" x14ac:dyDescent="0.2">
      <c r="A97" s="84"/>
      <c r="B97" s="85"/>
      <c r="C97" s="85"/>
      <c r="D97" s="85"/>
      <c r="E97" s="85"/>
      <c r="F97" s="85"/>
      <c r="G97" s="86"/>
      <c r="H97" s="87"/>
    </row>
    <row r="98" spans="1:8" x14ac:dyDescent="0.2">
      <c r="A98" s="84"/>
      <c r="B98" s="85"/>
      <c r="C98" s="85"/>
      <c r="D98" s="85"/>
      <c r="E98" s="85"/>
      <c r="F98" s="85"/>
      <c r="G98" s="86"/>
      <c r="H98" s="87"/>
    </row>
    <row r="99" spans="1:8" x14ac:dyDescent="0.2">
      <c r="A99" s="84"/>
      <c r="B99" s="85"/>
      <c r="C99" s="85"/>
      <c r="D99" s="85"/>
      <c r="E99" s="85"/>
      <c r="F99" s="85"/>
      <c r="G99" s="86"/>
      <c r="H99" s="87"/>
    </row>
    <row r="100" spans="1:8" x14ac:dyDescent="0.2">
      <c r="A100" s="84"/>
      <c r="B100" s="85"/>
      <c r="C100" s="85"/>
      <c r="D100" s="85"/>
      <c r="E100" s="85"/>
      <c r="F100" s="85"/>
      <c r="G100" s="86"/>
      <c r="H100" s="87"/>
    </row>
    <row r="101" spans="1:8" x14ac:dyDescent="0.2">
      <c r="A101" s="84"/>
      <c r="B101" s="85"/>
      <c r="C101" s="85"/>
      <c r="D101" s="85"/>
      <c r="E101" s="85"/>
      <c r="F101" s="85"/>
      <c r="G101" s="86"/>
      <c r="H101" s="87"/>
    </row>
    <row r="102" spans="1:8" x14ac:dyDescent="0.2">
      <c r="A102" s="84"/>
      <c r="B102" s="85"/>
      <c r="C102" s="85"/>
      <c r="D102" s="85"/>
      <c r="E102" s="85"/>
      <c r="F102" s="85"/>
      <c r="G102" s="86"/>
      <c r="H102" s="87"/>
    </row>
    <row r="103" spans="1:8" x14ac:dyDescent="0.2">
      <c r="A103" s="84"/>
      <c r="B103" s="85"/>
      <c r="C103" s="85"/>
      <c r="D103" s="85"/>
      <c r="E103" s="85"/>
      <c r="F103" s="85"/>
      <c r="G103" s="86"/>
      <c r="H103" s="87"/>
    </row>
    <row r="104" spans="1:8" x14ac:dyDescent="0.2">
      <c r="A104" s="84"/>
      <c r="B104" s="85"/>
      <c r="C104" s="85"/>
      <c r="D104" s="85"/>
      <c r="E104" s="85"/>
      <c r="F104" s="85"/>
      <c r="G104" s="86"/>
      <c r="H104" s="87"/>
    </row>
    <row r="105" spans="1:8" x14ac:dyDescent="0.2">
      <c r="A105" s="84"/>
      <c r="B105" s="85"/>
      <c r="C105" s="85"/>
      <c r="D105" s="85"/>
      <c r="E105" s="85"/>
      <c r="F105" s="85"/>
      <c r="G105" s="86"/>
      <c r="H105" s="87"/>
    </row>
    <row r="106" spans="1:8" x14ac:dyDescent="0.2">
      <c r="A106" s="84"/>
      <c r="B106" s="85"/>
      <c r="C106" s="85"/>
      <c r="D106" s="85"/>
      <c r="E106" s="85"/>
      <c r="F106" s="85"/>
      <c r="G106" s="86"/>
      <c r="H106" s="87"/>
    </row>
    <row r="107" spans="1:8" x14ac:dyDescent="0.2">
      <c r="A107" s="84"/>
      <c r="B107" s="85"/>
      <c r="C107" s="85"/>
      <c r="D107" s="85"/>
      <c r="E107" s="85"/>
      <c r="F107" s="85"/>
      <c r="G107" s="86"/>
      <c r="H107" s="87"/>
    </row>
    <row r="108" spans="1:8" x14ac:dyDescent="0.2">
      <c r="A108" s="84"/>
      <c r="B108" s="85"/>
      <c r="C108" s="85"/>
      <c r="D108" s="85"/>
      <c r="E108" s="85"/>
      <c r="F108" s="85"/>
      <c r="G108" s="86"/>
      <c r="H108" s="87"/>
    </row>
    <row r="109" spans="1:8" x14ac:dyDescent="0.2">
      <c r="A109" s="84"/>
      <c r="B109" s="85"/>
      <c r="C109" s="85"/>
      <c r="D109" s="85"/>
      <c r="E109" s="85"/>
      <c r="F109" s="85"/>
      <c r="G109" s="86"/>
      <c r="H109" s="87"/>
    </row>
    <row r="110" spans="1:8" x14ac:dyDescent="0.2">
      <c r="A110" s="84"/>
      <c r="B110" s="85"/>
      <c r="C110" s="85"/>
      <c r="D110" s="85"/>
      <c r="E110" s="85"/>
      <c r="F110" s="85"/>
      <c r="G110" s="86"/>
      <c r="H110" s="87"/>
    </row>
    <row r="111" spans="1:8" x14ac:dyDescent="0.2">
      <c r="A111" s="84"/>
      <c r="B111" s="85"/>
      <c r="C111" s="85"/>
      <c r="D111" s="85"/>
      <c r="E111" s="85"/>
      <c r="F111" s="85"/>
      <c r="G111" s="86"/>
      <c r="H111" s="87"/>
    </row>
    <row r="112" spans="1:8" x14ac:dyDescent="0.2">
      <c r="A112" s="84"/>
      <c r="B112" s="85"/>
      <c r="C112" s="85"/>
      <c r="D112" s="85"/>
      <c r="E112" s="85"/>
      <c r="F112" s="85"/>
      <c r="G112" s="86"/>
      <c r="H112" s="87"/>
    </row>
    <row r="113" spans="1:8" x14ac:dyDescent="0.2">
      <c r="A113" s="84"/>
      <c r="B113" s="85"/>
      <c r="C113" s="85"/>
      <c r="D113" s="85"/>
      <c r="E113" s="85"/>
      <c r="F113" s="85"/>
      <c r="G113" s="86"/>
      <c r="H113" s="87"/>
    </row>
    <row r="114" spans="1:8" x14ac:dyDescent="0.2">
      <c r="A114" s="84"/>
      <c r="B114" s="85"/>
      <c r="C114" s="85"/>
      <c r="D114" s="85"/>
      <c r="E114" s="85"/>
      <c r="F114" s="85"/>
      <c r="G114" s="86"/>
      <c r="H114" s="87"/>
    </row>
    <row r="115" spans="1:8" x14ac:dyDescent="0.2">
      <c r="A115" s="84"/>
      <c r="B115" s="85"/>
      <c r="C115" s="85"/>
      <c r="D115" s="85"/>
      <c r="E115" s="85"/>
      <c r="F115" s="85"/>
      <c r="G115" s="86"/>
      <c r="H115" s="87"/>
    </row>
    <row r="116" spans="1:8" x14ac:dyDescent="0.2">
      <c r="A116" s="84"/>
      <c r="B116" s="85"/>
      <c r="C116" s="85"/>
      <c r="D116" s="85"/>
      <c r="E116" s="85"/>
      <c r="F116" s="85"/>
      <c r="G116" s="86"/>
      <c r="H116" s="87"/>
    </row>
    <row r="117" spans="1:8" x14ac:dyDescent="0.2">
      <c r="A117" s="84"/>
      <c r="B117" s="85"/>
      <c r="C117" s="85"/>
      <c r="D117" s="85"/>
      <c r="E117" s="85"/>
      <c r="F117" s="85"/>
      <c r="G117" s="86"/>
      <c r="H117" s="87"/>
    </row>
    <row r="118" spans="1:8" x14ac:dyDescent="0.2">
      <c r="A118" s="84"/>
      <c r="B118" s="85"/>
      <c r="C118" s="85"/>
      <c r="D118" s="85"/>
      <c r="E118" s="85"/>
      <c r="F118" s="85"/>
      <c r="G118" s="86"/>
      <c r="H118" s="87"/>
    </row>
    <row r="119" spans="1:8" x14ac:dyDescent="0.2">
      <c r="A119" s="84"/>
      <c r="B119" s="85"/>
      <c r="C119" s="85"/>
      <c r="D119" s="85"/>
      <c r="E119" s="85"/>
      <c r="F119" s="85"/>
      <c r="G119" s="86"/>
      <c r="H119" s="87"/>
    </row>
    <row r="120" spans="1:8" x14ac:dyDescent="0.2">
      <c r="A120" s="84"/>
      <c r="B120" s="85"/>
      <c r="C120" s="85"/>
      <c r="D120" s="85"/>
      <c r="E120" s="85"/>
      <c r="F120" s="85"/>
      <c r="G120" s="86"/>
      <c r="H120" s="87"/>
    </row>
    <row r="121" spans="1:8" x14ac:dyDescent="0.2">
      <c r="A121" s="84"/>
      <c r="B121" s="85"/>
      <c r="C121" s="85"/>
      <c r="D121" s="85"/>
      <c r="E121" s="85"/>
      <c r="F121" s="85"/>
      <c r="G121" s="86"/>
      <c r="H121" s="87"/>
    </row>
    <row r="122" spans="1:8" x14ac:dyDescent="0.2">
      <c r="A122" s="84"/>
      <c r="B122" s="85"/>
      <c r="C122" s="85"/>
      <c r="D122" s="85"/>
      <c r="E122" s="85"/>
      <c r="F122" s="85"/>
      <c r="G122" s="86"/>
      <c r="H122" s="87"/>
    </row>
    <row r="123" spans="1:8" x14ac:dyDescent="0.2">
      <c r="A123" s="84"/>
      <c r="B123" s="85"/>
      <c r="C123" s="85"/>
      <c r="D123" s="85"/>
      <c r="E123" s="85"/>
      <c r="F123" s="85"/>
      <c r="G123" s="86"/>
      <c r="H123" s="87"/>
    </row>
    <row r="124" spans="1:8" x14ac:dyDescent="0.2">
      <c r="A124" s="84"/>
      <c r="B124" s="85"/>
      <c r="C124" s="85"/>
      <c r="D124" s="85"/>
      <c r="E124" s="85"/>
      <c r="F124" s="85"/>
      <c r="G124" s="86"/>
      <c r="H124" s="87"/>
    </row>
    <row r="125" spans="1:8" x14ac:dyDescent="0.2">
      <c r="A125" s="84"/>
      <c r="B125" s="85"/>
      <c r="C125" s="85"/>
      <c r="D125" s="85"/>
      <c r="E125" s="85"/>
      <c r="F125" s="85"/>
      <c r="G125" s="86"/>
      <c r="H125" s="87"/>
    </row>
    <row r="126" spans="1:8" x14ac:dyDescent="0.2">
      <c r="A126" s="84"/>
      <c r="B126" s="85"/>
      <c r="C126" s="85"/>
      <c r="D126" s="85"/>
      <c r="E126" s="85"/>
      <c r="F126" s="85"/>
      <c r="G126" s="86"/>
      <c r="H126" s="87"/>
    </row>
    <row r="127" spans="1:8" x14ac:dyDescent="0.2">
      <c r="A127" s="84"/>
      <c r="B127" s="85"/>
      <c r="C127" s="85"/>
      <c r="D127" s="85"/>
      <c r="E127" s="85"/>
      <c r="F127" s="85"/>
      <c r="G127" s="86"/>
      <c r="H127" s="87"/>
    </row>
    <row r="128" spans="1:8" x14ac:dyDescent="0.2">
      <c r="A128" s="84"/>
      <c r="B128" s="85"/>
      <c r="C128" s="85"/>
      <c r="D128" s="85"/>
      <c r="E128" s="85"/>
      <c r="F128" s="85"/>
      <c r="G128" s="86"/>
      <c r="H128" s="87"/>
    </row>
    <row r="129" spans="1:8" x14ac:dyDescent="0.2">
      <c r="A129" s="84"/>
      <c r="B129" s="85"/>
      <c r="C129" s="85"/>
      <c r="D129" s="85"/>
      <c r="E129" s="85"/>
      <c r="F129" s="85"/>
      <c r="G129" s="86"/>
      <c r="H129" s="87"/>
    </row>
    <row r="130" spans="1:8" x14ac:dyDescent="0.2">
      <c r="A130" s="84"/>
      <c r="B130" s="85"/>
      <c r="C130" s="85"/>
      <c r="D130" s="85"/>
      <c r="E130" s="85"/>
      <c r="F130" s="85"/>
      <c r="G130" s="86"/>
      <c r="H130" s="87"/>
    </row>
    <row r="131" spans="1:8" x14ac:dyDescent="0.2">
      <c r="A131" s="84"/>
      <c r="B131" s="85"/>
      <c r="C131" s="85"/>
      <c r="D131" s="85"/>
      <c r="E131" s="85"/>
      <c r="F131" s="85"/>
      <c r="G131" s="86"/>
      <c r="H131" s="87"/>
    </row>
    <row r="132" spans="1:8" x14ac:dyDescent="0.2">
      <c r="A132" s="84"/>
      <c r="B132" s="85"/>
      <c r="C132" s="85"/>
      <c r="D132" s="85"/>
      <c r="E132" s="85"/>
      <c r="F132" s="85"/>
      <c r="G132" s="86"/>
      <c r="H132" s="87"/>
    </row>
    <row r="133" spans="1:8" x14ac:dyDescent="0.2">
      <c r="A133" s="84"/>
      <c r="B133" s="85"/>
      <c r="C133" s="85"/>
      <c r="D133" s="85"/>
      <c r="E133" s="85"/>
      <c r="F133" s="85"/>
      <c r="G133" s="86"/>
      <c r="H133" s="87"/>
    </row>
    <row r="134" spans="1:8" x14ac:dyDescent="0.2">
      <c r="A134" s="84"/>
      <c r="B134" s="85"/>
      <c r="C134" s="85"/>
      <c r="D134" s="85"/>
      <c r="E134" s="85"/>
      <c r="F134" s="85"/>
      <c r="G134" s="86"/>
      <c r="H134" s="87"/>
    </row>
    <row r="135" spans="1:8" x14ac:dyDescent="0.2">
      <c r="A135" s="84"/>
      <c r="B135" s="85"/>
      <c r="C135" s="85"/>
      <c r="D135" s="85"/>
      <c r="E135" s="85"/>
      <c r="F135" s="85"/>
      <c r="G135" s="86"/>
      <c r="H135" s="87"/>
    </row>
    <row r="136" spans="1:8" x14ac:dyDescent="0.2">
      <c r="A136" s="84"/>
      <c r="B136" s="85"/>
      <c r="C136" s="85"/>
      <c r="D136" s="85"/>
      <c r="E136" s="85"/>
      <c r="F136" s="85"/>
      <c r="G136" s="86"/>
      <c r="H136" s="87"/>
    </row>
    <row r="137" spans="1:8" x14ac:dyDescent="0.2">
      <c r="A137" s="84"/>
      <c r="B137" s="85"/>
      <c r="C137" s="85"/>
      <c r="D137" s="85"/>
      <c r="E137" s="85"/>
      <c r="F137" s="85"/>
      <c r="G137" s="86"/>
      <c r="H137" s="87"/>
    </row>
    <row r="138" spans="1:8" x14ac:dyDescent="0.2">
      <c r="A138" s="84"/>
      <c r="B138" s="85"/>
      <c r="C138" s="85"/>
      <c r="D138" s="85"/>
      <c r="E138" s="85"/>
      <c r="F138" s="85"/>
      <c r="G138" s="86"/>
      <c r="H138" s="87"/>
    </row>
    <row r="139" spans="1:8" x14ac:dyDescent="0.2">
      <c r="A139" s="84"/>
      <c r="B139" s="85"/>
      <c r="C139" s="85"/>
      <c r="D139" s="85"/>
      <c r="E139" s="85"/>
      <c r="F139" s="85"/>
      <c r="G139" s="86"/>
      <c r="H139" s="87"/>
    </row>
    <row r="140" spans="1:8" x14ac:dyDescent="0.2">
      <c r="A140" s="84"/>
      <c r="B140" s="85"/>
      <c r="C140" s="85"/>
      <c r="D140" s="85"/>
      <c r="E140" s="85"/>
      <c r="F140" s="85"/>
      <c r="G140" s="86"/>
      <c r="H140" s="87"/>
    </row>
    <row r="141" spans="1:8" x14ac:dyDescent="0.2">
      <c r="A141" s="84"/>
      <c r="B141" s="85"/>
      <c r="C141" s="85"/>
      <c r="D141" s="85"/>
      <c r="E141" s="85"/>
      <c r="F141" s="85"/>
      <c r="G141" s="86"/>
      <c r="H141" s="87"/>
    </row>
    <row r="142" spans="1:8" x14ac:dyDescent="0.2">
      <c r="A142" s="84"/>
      <c r="B142" s="85"/>
      <c r="C142" s="85"/>
      <c r="D142" s="85"/>
      <c r="E142" s="85"/>
      <c r="F142" s="85"/>
      <c r="G142" s="86"/>
      <c r="H142" s="87"/>
    </row>
    <row r="143" spans="1:8" x14ac:dyDescent="0.2">
      <c r="A143" s="84"/>
      <c r="B143" s="85"/>
      <c r="C143" s="85"/>
      <c r="D143" s="85"/>
      <c r="E143" s="85"/>
      <c r="F143" s="85"/>
      <c r="G143" s="86"/>
      <c r="H143" s="87"/>
    </row>
    <row r="144" spans="1:8" x14ac:dyDescent="0.2">
      <c r="A144" s="84"/>
      <c r="B144" s="85"/>
      <c r="C144" s="85"/>
      <c r="D144" s="85"/>
      <c r="E144" s="85"/>
      <c r="F144" s="85"/>
      <c r="G144" s="86"/>
      <c r="H144" s="87"/>
    </row>
    <row r="145" spans="1:8" x14ac:dyDescent="0.2">
      <c r="A145" s="84"/>
      <c r="B145" s="85"/>
      <c r="C145" s="85"/>
      <c r="D145" s="85"/>
      <c r="E145" s="85"/>
      <c r="F145" s="85"/>
      <c r="G145" s="86"/>
      <c r="H145" s="87"/>
    </row>
    <row r="146" spans="1:8" x14ac:dyDescent="0.2">
      <c r="A146" s="84"/>
      <c r="B146" s="85"/>
      <c r="C146" s="85"/>
      <c r="D146" s="85"/>
      <c r="E146" s="85"/>
      <c r="F146" s="85"/>
      <c r="G146" s="86"/>
      <c r="H146" s="87"/>
    </row>
    <row r="147" spans="1:8" x14ac:dyDescent="0.2">
      <c r="A147" s="84"/>
      <c r="B147" s="85"/>
      <c r="C147" s="85"/>
      <c r="D147" s="85"/>
      <c r="E147" s="85"/>
      <c r="F147" s="85"/>
      <c r="G147" s="86"/>
      <c r="H147" s="87"/>
    </row>
    <row r="148" spans="1:8" x14ac:dyDescent="0.2">
      <c r="A148" s="84"/>
      <c r="B148" s="85"/>
      <c r="C148" s="85"/>
      <c r="D148" s="85"/>
      <c r="E148" s="85"/>
      <c r="F148" s="85"/>
      <c r="G148" s="86"/>
      <c r="H148" s="87"/>
    </row>
    <row r="149" spans="1:8" x14ac:dyDescent="0.2">
      <c r="A149" s="84"/>
      <c r="B149" s="85"/>
      <c r="C149" s="85"/>
      <c r="D149" s="85"/>
      <c r="E149" s="85"/>
      <c r="F149" s="85"/>
      <c r="G149" s="86"/>
      <c r="H149" s="87"/>
    </row>
    <row r="150" spans="1:8" x14ac:dyDescent="0.2">
      <c r="A150" s="84"/>
      <c r="B150" s="85"/>
      <c r="C150" s="85"/>
      <c r="D150" s="85"/>
      <c r="E150" s="85"/>
      <c r="F150" s="85"/>
      <c r="G150" s="86"/>
      <c r="H150" s="87"/>
    </row>
    <row r="151" spans="1:8" x14ac:dyDescent="0.2">
      <c r="A151" s="84"/>
      <c r="B151" s="85"/>
      <c r="C151" s="85"/>
      <c r="D151" s="85"/>
      <c r="E151" s="85"/>
      <c r="F151" s="85"/>
      <c r="G151" s="86"/>
      <c r="H151" s="87"/>
    </row>
    <row r="152" spans="1:8" x14ac:dyDescent="0.2">
      <c r="A152" s="84"/>
      <c r="B152" s="85"/>
      <c r="C152" s="85"/>
      <c r="D152" s="85"/>
      <c r="E152" s="85"/>
      <c r="F152" s="85"/>
      <c r="G152" s="86"/>
      <c r="H152" s="87"/>
    </row>
    <row r="153" spans="1:8" x14ac:dyDescent="0.2">
      <c r="A153" s="84"/>
      <c r="B153" s="85"/>
      <c r="C153" s="85"/>
      <c r="D153" s="85"/>
      <c r="E153" s="85"/>
      <c r="F153" s="85"/>
      <c r="G153" s="86"/>
      <c r="H153" s="87"/>
    </row>
    <row r="154" spans="1:8" x14ac:dyDescent="0.2">
      <c r="A154" s="84"/>
      <c r="B154" s="85"/>
      <c r="C154" s="85"/>
      <c r="D154" s="85"/>
      <c r="E154" s="85"/>
      <c r="F154" s="85"/>
      <c r="G154" s="86"/>
      <c r="H154" s="87"/>
    </row>
    <row r="155" spans="1:8" x14ac:dyDescent="0.2">
      <c r="A155" s="84"/>
      <c r="B155" s="85"/>
      <c r="C155" s="85"/>
      <c r="D155" s="85"/>
      <c r="E155" s="85"/>
      <c r="F155" s="85"/>
      <c r="G155" s="86"/>
      <c r="H155" s="87"/>
    </row>
    <row r="156" spans="1:8" x14ac:dyDescent="0.2">
      <c r="A156" s="84"/>
      <c r="B156" s="85"/>
      <c r="C156" s="85"/>
      <c r="D156" s="85"/>
      <c r="E156" s="85"/>
      <c r="F156" s="85"/>
      <c r="G156" s="86"/>
      <c r="H156" s="87"/>
    </row>
    <row r="157" spans="1:8" x14ac:dyDescent="0.2">
      <c r="A157" s="84"/>
      <c r="B157" s="85"/>
      <c r="C157" s="85"/>
      <c r="D157" s="85"/>
      <c r="E157" s="85"/>
      <c r="F157" s="85"/>
      <c r="G157" s="86"/>
      <c r="H157" s="87"/>
    </row>
    <row r="158" spans="1:8" x14ac:dyDescent="0.2">
      <c r="A158" s="84"/>
      <c r="B158" s="85"/>
      <c r="C158" s="85"/>
      <c r="D158" s="85"/>
      <c r="E158" s="85"/>
      <c r="F158" s="85"/>
      <c r="G158" s="86"/>
      <c r="H158" s="87"/>
    </row>
    <row r="159" spans="1:8" x14ac:dyDescent="0.2">
      <c r="A159" s="84"/>
      <c r="B159" s="85"/>
      <c r="C159" s="85"/>
      <c r="D159" s="85"/>
      <c r="E159" s="85"/>
      <c r="F159" s="85"/>
      <c r="G159" s="86"/>
      <c r="H159" s="87"/>
    </row>
    <row r="160" spans="1:8" x14ac:dyDescent="0.2">
      <c r="A160" s="84"/>
      <c r="B160" s="85"/>
      <c r="C160" s="85"/>
      <c r="D160" s="85"/>
      <c r="E160" s="85"/>
      <c r="F160" s="85"/>
      <c r="G160" s="86"/>
      <c r="H160" s="87"/>
    </row>
    <row r="161" spans="1:8" x14ac:dyDescent="0.2">
      <c r="A161" s="84"/>
      <c r="B161" s="85"/>
      <c r="C161" s="85"/>
      <c r="D161" s="85"/>
      <c r="E161" s="85"/>
      <c r="F161" s="85"/>
      <c r="G161" s="86"/>
      <c r="H161" s="87"/>
    </row>
    <row r="162" spans="1:8" x14ac:dyDescent="0.2">
      <c r="A162" s="84"/>
      <c r="B162" s="85"/>
      <c r="C162" s="85"/>
      <c r="D162" s="85"/>
      <c r="E162" s="85"/>
      <c r="F162" s="85"/>
      <c r="G162" s="86"/>
      <c r="H162" s="87"/>
    </row>
    <row r="163" spans="1:8" x14ac:dyDescent="0.2">
      <c r="A163" s="84"/>
      <c r="B163" s="85"/>
      <c r="C163" s="85"/>
      <c r="D163" s="85"/>
      <c r="E163" s="85"/>
      <c r="F163" s="85"/>
      <c r="G163" s="86"/>
      <c r="H163" s="87"/>
    </row>
    <row r="164" spans="1:8" x14ac:dyDescent="0.2">
      <c r="A164" s="84"/>
      <c r="B164" s="85"/>
      <c r="C164" s="85"/>
      <c r="D164" s="85"/>
      <c r="E164" s="85"/>
      <c r="F164" s="85"/>
      <c r="G164" s="86"/>
      <c r="H164" s="87"/>
    </row>
    <row r="165" spans="1:8" x14ac:dyDescent="0.2">
      <c r="A165" s="84"/>
      <c r="B165" s="85"/>
      <c r="C165" s="85"/>
      <c r="D165" s="85"/>
      <c r="E165" s="85"/>
      <c r="F165" s="85"/>
      <c r="G165" s="86"/>
      <c r="H165" s="87"/>
    </row>
    <row r="166" spans="1:8" x14ac:dyDescent="0.2">
      <c r="A166" s="84"/>
      <c r="B166" s="85"/>
      <c r="C166" s="85"/>
      <c r="D166" s="85"/>
      <c r="E166" s="85"/>
      <c r="F166" s="85"/>
      <c r="G166" s="86"/>
      <c r="H166" s="87"/>
    </row>
    <row r="167" spans="1:8" x14ac:dyDescent="0.2">
      <c r="A167" s="84"/>
      <c r="B167" s="85"/>
      <c r="C167" s="85"/>
      <c r="D167" s="85"/>
      <c r="E167" s="85"/>
      <c r="F167" s="85"/>
      <c r="G167" s="86"/>
      <c r="H167" s="87"/>
    </row>
    <row r="168" spans="1:8" x14ac:dyDescent="0.2">
      <c r="A168" s="84"/>
      <c r="B168" s="85"/>
      <c r="C168" s="85"/>
      <c r="D168" s="85"/>
      <c r="E168" s="85"/>
      <c r="F168" s="85"/>
      <c r="G168" s="86"/>
      <c r="H168" s="87"/>
    </row>
    <row r="169" spans="1:8" x14ac:dyDescent="0.2">
      <c r="A169" s="84"/>
      <c r="B169" s="85"/>
      <c r="C169" s="85"/>
      <c r="D169" s="85"/>
      <c r="E169" s="85"/>
      <c r="F169" s="85"/>
      <c r="G169" s="86"/>
      <c r="H169" s="87"/>
    </row>
    <row r="170" spans="1:8" x14ac:dyDescent="0.2">
      <c r="A170" s="84"/>
      <c r="B170" s="85"/>
      <c r="C170" s="85"/>
      <c r="D170" s="85"/>
      <c r="E170" s="85"/>
      <c r="F170" s="85"/>
      <c r="G170" s="86"/>
      <c r="H170" s="87"/>
    </row>
    <row r="171" spans="1:8" x14ac:dyDescent="0.2">
      <c r="A171" s="84"/>
      <c r="B171" s="85"/>
      <c r="C171" s="85"/>
      <c r="D171" s="85"/>
      <c r="E171" s="85"/>
      <c r="F171" s="85"/>
      <c r="G171" s="86"/>
      <c r="H171" s="87"/>
    </row>
    <row r="172" spans="1:8" x14ac:dyDescent="0.2">
      <c r="A172" s="84"/>
      <c r="B172" s="85"/>
      <c r="C172" s="85"/>
      <c r="D172" s="85"/>
      <c r="E172" s="85"/>
      <c r="F172" s="85"/>
      <c r="G172" s="86"/>
      <c r="H172" s="87"/>
    </row>
    <row r="173" spans="1:8" x14ac:dyDescent="0.2">
      <c r="A173" s="84"/>
      <c r="B173" s="85"/>
      <c r="C173" s="85"/>
      <c r="D173" s="85"/>
      <c r="E173" s="85"/>
      <c r="F173" s="85"/>
      <c r="G173" s="86"/>
      <c r="H173" s="87"/>
    </row>
    <row r="174" spans="1:8" x14ac:dyDescent="0.2">
      <c r="A174" s="84"/>
      <c r="B174" s="85"/>
      <c r="C174" s="85"/>
      <c r="D174" s="85"/>
      <c r="E174" s="85"/>
      <c r="F174" s="85"/>
      <c r="G174" s="86"/>
      <c r="H174" s="87"/>
    </row>
    <row r="175" spans="1:8" x14ac:dyDescent="0.2">
      <c r="A175" s="84"/>
      <c r="B175" s="85"/>
      <c r="C175" s="85"/>
      <c r="D175" s="85"/>
      <c r="E175" s="85"/>
      <c r="F175" s="85"/>
      <c r="G175" s="86"/>
      <c r="H175" s="87"/>
    </row>
    <row r="176" spans="1:8" x14ac:dyDescent="0.2">
      <c r="A176" s="84"/>
      <c r="B176" s="85"/>
      <c r="C176" s="85"/>
      <c r="D176" s="85"/>
      <c r="E176" s="85"/>
      <c r="F176" s="85"/>
      <c r="G176" s="86"/>
      <c r="H176" s="87"/>
    </row>
    <row r="177" spans="1:8" x14ac:dyDescent="0.2">
      <c r="A177" s="84"/>
      <c r="B177" s="85"/>
      <c r="C177" s="85"/>
      <c r="D177" s="85"/>
      <c r="E177" s="85"/>
      <c r="F177" s="85"/>
      <c r="G177" s="86"/>
      <c r="H177" s="87"/>
    </row>
    <row r="178" spans="1:8" x14ac:dyDescent="0.2">
      <c r="A178" s="84"/>
      <c r="B178" s="85"/>
      <c r="C178" s="85"/>
      <c r="D178" s="85"/>
      <c r="E178" s="85"/>
      <c r="F178" s="85"/>
      <c r="G178" s="86"/>
      <c r="H178" s="87"/>
    </row>
    <row r="179" spans="1:8" x14ac:dyDescent="0.2">
      <c r="A179" s="84"/>
      <c r="B179" s="85"/>
      <c r="C179" s="85"/>
      <c r="D179" s="85"/>
      <c r="E179" s="85"/>
      <c r="F179" s="85"/>
      <c r="G179" s="86"/>
      <c r="H179" s="87"/>
    </row>
    <row r="180" spans="1:8" x14ac:dyDescent="0.2">
      <c r="A180" s="84"/>
      <c r="B180" s="85"/>
      <c r="C180" s="85"/>
      <c r="D180" s="85"/>
      <c r="E180" s="85"/>
      <c r="F180" s="85"/>
      <c r="G180" s="86"/>
      <c r="H180" s="87"/>
    </row>
    <row r="181" spans="1:8" x14ac:dyDescent="0.2">
      <c r="A181" s="84"/>
      <c r="B181" s="85"/>
      <c r="C181" s="85"/>
      <c r="D181" s="85"/>
      <c r="E181" s="85"/>
      <c r="F181" s="85"/>
      <c r="G181" s="86"/>
      <c r="H181" s="87"/>
    </row>
    <row r="182" spans="1:8" x14ac:dyDescent="0.2">
      <c r="A182" s="84"/>
      <c r="B182" s="85"/>
      <c r="C182" s="85"/>
      <c r="D182" s="85"/>
      <c r="E182" s="85"/>
      <c r="F182" s="85"/>
      <c r="G182" s="86"/>
      <c r="H182" s="87"/>
    </row>
    <row r="183" spans="1:8" x14ac:dyDescent="0.2">
      <c r="A183" s="84"/>
      <c r="B183" s="85"/>
      <c r="C183" s="85"/>
      <c r="D183" s="85"/>
      <c r="E183" s="85"/>
      <c r="F183" s="85"/>
      <c r="G183" s="86"/>
      <c r="H183" s="87"/>
    </row>
    <row r="184" spans="1:8" x14ac:dyDescent="0.2">
      <c r="A184" s="84"/>
      <c r="B184" s="85"/>
      <c r="C184" s="85"/>
      <c r="D184" s="85"/>
      <c r="E184" s="85"/>
      <c r="F184" s="85"/>
      <c r="G184" s="86"/>
      <c r="H184" s="87"/>
    </row>
    <row r="185" spans="1:8" x14ac:dyDescent="0.2">
      <c r="A185" s="84"/>
      <c r="B185" s="85"/>
      <c r="C185" s="85"/>
      <c r="D185" s="85"/>
      <c r="E185" s="85"/>
      <c r="F185" s="85"/>
      <c r="G185" s="86"/>
      <c r="H185" s="87"/>
    </row>
    <row r="186" spans="1:8" x14ac:dyDescent="0.2">
      <c r="A186" s="84"/>
      <c r="B186" s="85"/>
      <c r="C186" s="85"/>
      <c r="D186" s="85"/>
      <c r="E186" s="85"/>
      <c r="F186" s="85"/>
      <c r="G186" s="86"/>
      <c r="H186" s="87"/>
    </row>
    <row r="187" spans="1:8" x14ac:dyDescent="0.2">
      <c r="A187" s="84"/>
      <c r="B187" s="85"/>
      <c r="C187" s="85"/>
      <c r="D187" s="85"/>
      <c r="E187" s="85"/>
      <c r="F187" s="85"/>
      <c r="G187" s="86"/>
      <c r="H187" s="87"/>
    </row>
    <row r="188" spans="1:8" x14ac:dyDescent="0.2">
      <c r="A188" s="84"/>
      <c r="B188" s="85"/>
      <c r="C188" s="85"/>
      <c r="D188" s="85"/>
      <c r="E188" s="85"/>
      <c r="F188" s="85"/>
      <c r="G188" s="86"/>
      <c r="H188" s="87"/>
    </row>
    <row r="189" spans="1:8" x14ac:dyDescent="0.2">
      <c r="A189" s="84"/>
      <c r="B189" s="85"/>
      <c r="C189" s="85"/>
      <c r="D189" s="85"/>
      <c r="E189" s="85"/>
      <c r="F189" s="85"/>
      <c r="G189" s="86"/>
      <c r="H189" s="87"/>
    </row>
    <row r="190" spans="1:8" x14ac:dyDescent="0.2">
      <c r="A190" s="84"/>
      <c r="B190" s="85"/>
      <c r="C190" s="85"/>
      <c r="D190" s="85"/>
      <c r="E190" s="85"/>
      <c r="F190" s="85"/>
      <c r="G190" s="86"/>
      <c r="H190" s="87"/>
    </row>
    <row r="191" spans="1:8" x14ac:dyDescent="0.2">
      <c r="A191" s="84"/>
      <c r="B191" s="85"/>
      <c r="C191" s="85"/>
      <c r="D191" s="85"/>
      <c r="E191" s="85"/>
      <c r="F191" s="85"/>
      <c r="G191" s="86"/>
      <c r="H191" s="87"/>
    </row>
    <row r="192" spans="1:8" x14ac:dyDescent="0.2">
      <c r="A192" s="84"/>
      <c r="B192" s="85"/>
      <c r="C192" s="85"/>
      <c r="D192" s="85"/>
      <c r="E192" s="85"/>
      <c r="F192" s="85"/>
      <c r="G192" s="86"/>
      <c r="H192" s="87"/>
    </row>
    <row r="193" spans="1:8" x14ac:dyDescent="0.2">
      <c r="A193" s="84"/>
      <c r="B193" s="85"/>
      <c r="C193" s="85"/>
      <c r="D193" s="85"/>
      <c r="E193" s="85"/>
      <c r="F193" s="85"/>
      <c r="G193" s="86"/>
      <c r="H193" s="87"/>
    </row>
    <row r="194" spans="1:8" x14ac:dyDescent="0.2">
      <c r="A194" s="84"/>
      <c r="B194" s="85"/>
      <c r="C194" s="85"/>
      <c r="D194" s="85"/>
      <c r="E194" s="85"/>
      <c r="F194" s="85"/>
      <c r="G194" s="86"/>
      <c r="H194" s="87"/>
    </row>
    <row r="195" spans="1:8" x14ac:dyDescent="0.2">
      <c r="A195" s="84"/>
      <c r="B195" s="85"/>
      <c r="C195" s="85"/>
      <c r="D195" s="85"/>
      <c r="E195" s="85"/>
      <c r="F195" s="85"/>
      <c r="G195" s="86"/>
      <c r="H195" s="87"/>
    </row>
    <row r="196" spans="1:8" x14ac:dyDescent="0.2">
      <c r="A196" s="84"/>
      <c r="B196" s="85"/>
      <c r="C196" s="85"/>
      <c r="D196" s="85"/>
      <c r="E196" s="85"/>
      <c r="F196" s="85"/>
      <c r="G196" s="86"/>
      <c r="H196" s="87"/>
    </row>
    <row r="197" spans="1:8" x14ac:dyDescent="0.2">
      <c r="A197" s="84"/>
      <c r="B197" s="85"/>
      <c r="C197" s="85"/>
      <c r="D197" s="85"/>
      <c r="E197" s="85"/>
      <c r="F197" s="85"/>
      <c r="G197" s="86"/>
      <c r="H197" s="87"/>
    </row>
    <row r="198" spans="1:8" x14ac:dyDescent="0.2">
      <c r="A198" s="84"/>
      <c r="B198" s="85"/>
      <c r="C198" s="85"/>
      <c r="D198" s="85"/>
      <c r="E198" s="85"/>
      <c r="F198" s="85"/>
      <c r="G198" s="86"/>
      <c r="H198" s="87"/>
    </row>
    <row r="199" spans="1:8" x14ac:dyDescent="0.2">
      <c r="A199" s="84"/>
      <c r="B199" s="85"/>
      <c r="C199" s="85"/>
      <c r="D199" s="85"/>
      <c r="E199" s="85"/>
      <c r="F199" s="85"/>
      <c r="G199" s="86"/>
      <c r="H199" s="87"/>
    </row>
    <row r="200" spans="1:8" x14ac:dyDescent="0.2">
      <c r="A200" s="84"/>
      <c r="B200" s="85"/>
      <c r="C200" s="85"/>
      <c r="D200" s="85"/>
      <c r="E200" s="85"/>
      <c r="F200" s="85"/>
      <c r="G200" s="86"/>
      <c r="H200" s="87"/>
    </row>
    <row r="201" spans="1:8" x14ac:dyDescent="0.2">
      <c r="A201" s="84"/>
      <c r="B201" s="85"/>
      <c r="C201" s="85"/>
      <c r="D201" s="85"/>
      <c r="E201" s="85"/>
      <c r="F201" s="85"/>
      <c r="G201" s="86"/>
      <c r="H201" s="87"/>
    </row>
    <row r="202" spans="1:8" x14ac:dyDescent="0.2">
      <c r="A202" s="84"/>
      <c r="B202" s="85"/>
      <c r="C202" s="85"/>
      <c r="D202" s="85"/>
      <c r="E202" s="85"/>
      <c r="F202" s="85"/>
      <c r="G202" s="86"/>
      <c r="H202" s="87"/>
    </row>
    <row r="203" spans="1:8" x14ac:dyDescent="0.2">
      <c r="A203" s="84"/>
      <c r="B203" s="85"/>
      <c r="C203" s="85"/>
      <c r="D203" s="85"/>
      <c r="E203" s="85"/>
      <c r="F203" s="85"/>
      <c r="G203" s="86"/>
      <c r="H203" s="87"/>
    </row>
    <row r="204" spans="1:8" x14ac:dyDescent="0.2">
      <c r="A204" s="84"/>
      <c r="B204" s="85"/>
      <c r="C204" s="85"/>
      <c r="D204" s="85"/>
      <c r="E204" s="85"/>
      <c r="F204" s="85"/>
      <c r="G204" s="86"/>
      <c r="H204" s="87"/>
    </row>
    <row r="205" spans="1:8" x14ac:dyDescent="0.2">
      <c r="A205" s="84"/>
      <c r="B205" s="85"/>
      <c r="C205" s="85"/>
      <c r="D205" s="85"/>
      <c r="E205" s="85"/>
      <c r="F205" s="85"/>
      <c r="G205" s="86"/>
      <c r="H205" s="87"/>
    </row>
    <row r="206" spans="1:8" x14ac:dyDescent="0.2">
      <c r="A206" s="84"/>
      <c r="B206" s="85"/>
      <c r="C206" s="85"/>
      <c r="D206" s="85"/>
      <c r="E206" s="85"/>
      <c r="F206" s="85"/>
      <c r="G206" s="86"/>
      <c r="H206" s="87"/>
    </row>
    <row r="207" spans="1:8" x14ac:dyDescent="0.2">
      <c r="A207" s="84"/>
      <c r="B207" s="85"/>
      <c r="C207" s="85"/>
      <c r="D207" s="85"/>
      <c r="E207" s="85"/>
      <c r="F207" s="85"/>
      <c r="G207" s="86"/>
      <c r="H207" s="87"/>
    </row>
    <row r="208" spans="1:8" x14ac:dyDescent="0.2">
      <c r="A208" s="84"/>
      <c r="B208" s="85"/>
      <c r="C208" s="85"/>
      <c r="D208" s="85"/>
      <c r="E208" s="85"/>
      <c r="F208" s="85"/>
      <c r="G208" s="86"/>
      <c r="H208" s="87"/>
    </row>
    <row r="209" spans="1:8" x14ac:dyDescent="0.2">
      <c r="A209" s="84"/>
      <c r="B209" s="85"/>
      <c r="C209" s="85"/>
      <c r="D209" s="85"/>
      <c r="E209" s="85"/>
      <c r="F209" s="85"/>
      <c r="G209" s="86"/>
      <c r="H209" s="87"/>
    </row>
    <row r="210" spans="1:8" x14ac:dyDescent="0.2">
      <c r="A210" s="84"/>
      <c r="B210" s="85"/>
      <c r="C210" s="85"/>
      <c r="D210" s="85"/>
      <c r="E210" s="85"/>
      <c r="F210" s="85"/>
      <c r="G210" s="86"/>
      <c r="H210" s="87"/>
    </row>
    <row r="211" spans="1:8" x14ac:dyDescent="0.2">
      <c r="A211" s="84"/>
      <c r="B211" s="85"/>
      <c r="C211" s="85"/>
      <c r="D211" s="85"/>
      <c r="E211" s="85"/>
      <c r="F211" s="85"/>
      <c r="G211" s="86"/>
      <c r="H211" s="87"/>
    </row>
    <row r="212" spans="1:8" x14ac:dyDescent="0.2">
      <c r="A212" s="84"/>
      <c r="B212" s="85"/>
      <c r="C212" s="85"/>
      <c r="D212" s="85"/>
      <c r="E212" s="85"/>
      <c r="F212" s="85"/>
      <c r="G212" s="86"/>
      <c r="H212" s="87"/>
    </row>
    <row r="213" spans="1:8" x14ac:dyDescent="0.2">
      <c r="A213" s="84"/>
      <c r="B213" s="85"/>
      <c r="C213" s="85"/>
      <c r="D213" s="85"/>
      <c r="E213" s="85"/>
      <c r="F213" s="85"/>
      <c r="G213" s="86"/>
      <c r="H213" s="87"/>
    </row>
    <row r="214" spans="1:8" x14ac:dyDescent="0.2">
      <c r="A214" s="84"/>
      <c r="B214" s="85"/>
      <c r="C214" s="85"/>
      <c r="D214" s="85"/>
      <c r="E214" s="85"/>
      <c r="F214" s="85"/>
      <c r="G214" s="86"/>
      <c r="H214" s="87"/>
    </row>
    <row r="215" spans="1:8" x14ac:dyDescent="0.2">
      <c r="A215" s="84"/>
      <c r="B215" s="85"/>
      <c r="C215" s="85"/>
      <c r="D215" s="85"/>
      <c r="E215" s="85"/>
      <c r="F215" s="85"/>
      <c r="G215" s="86"/>
      <c r="H215" s="87"/>
    </row>
    <row r="216" spans="1:8" x14ac:dyDescent="0.2">
      <c r="A216" s="84"/>
      <c r="B216" s="85"/>
      <c r="C216" s="85"/>
      <c r="D216" s="85"/>
      <c r="E216" s="85"/>
      <c r="F216" s="85"/>
      <c r="G216" s="86"/>
      <c r="H216" s="87"/>
    </row>
    <row r="217" spans="1:8" x14ac:dyDescent="0.2">
      <c r="A217" s="84"/>
      <c r="B217" s="85"/>
      <c r="C217" s="85"/>
      <c r="D217" s="85"/>
      <c r="E217" s="85"/>
      <c r="F217" s="85"/>
      <c r="G217" s="86"/>
      <c r="H217" s="87"/>
    </row>
    <row r="218" spans="1:8" x14ac:dyDescent="0.2">
      <c r="A218" s="84"/>
      <c r="B218" s="85"/>
      <c r="C218" s="85"/>
      <c r="D218" s="85"/>
      <c r="E218" s="85"/>
      <c r="F218" s="85"/>
      <c r="G218" s="86"/>
      <c r="H218" s="87"/>
    </row>
    <row r="219" spans="1:8" x14ac:dyDescent="0.2">
      <c r="A219" s="84"/>
      <c r="B219" s="85"/>
      <c r="C219" s="85"/>
      <c r="D219" s="85"/>
      <c r="E219" s="85"/>
      <c r="F219" s="85"/>
      <c r="G219" s="86"/>
      <c r="H219" s="87"/>
    </row>
    <row r="220" spans="1:8" x14ac:dyDescent="0.2">
      <c r="A220" s="84"/>
      <c r="B220" s="85"/>
      <c r="C220" s="85"/>
      <c r="D220" s="85"/>
      <c r="E220" s="85"/>
      <c r="F220" s="85"/>
      <c r="G220" s="86"/>
      <c r="H220" s="87"/>
    </row>
    <row r="221" spans="1:8" x14ac:dyDescent="0.2">
      <c r="A221" s="84"/>
      <c r="B221" s="85"/>
      <c r="C221" s="85"/>
      <c r="D221" s="85"/>
      <c r="E221" s="85"/>
      <c r="F221" s="85"/>
      <c r="G221" s="86"/>
      <c r="H221" s="87"/>
    </row>
    <row r="222" spans="1:8" x14ac:dyDescent="0.2">
      <c r="A222" s="84"/>
      <c r="B222" s="85"/>
      <c r="C222" s="85"/>
      <c r="D222" s="85"/>
      <c r="E222" s="85"/>
      <c r="F222" s="85"/>
      <c r="G222" s="86"/>
      <c r="H222" s="87"/>
    </row>
    <row r="223" spans="1:8" x14ac:dyDescent="0.2">
      <c r="A223" s="84"/>
      <c r="B223" s="85"/>
      <c r="C223" s="85"/>
      <c r="D223" s="85"/>
      <c r="E223" s="85"/>
      <c r="F223" s="85"/>
      <c r="G223" s="86"/>
      <c r="H223" s="87"/>
    </row>
    <row r="224" spans="1:8" x14ac:dyDescent="0.2">
      <c r="A224" s="84"/>
      <c r="B224" s="85"/>
      <c r="C224" s="85"/>
      <c r="D224" s="85"/>
      <c r="E224" s="85"/>
      <c r="F224" s="85"/>
      <c r="G224" s="86"/>
      <c r="H224" s="87"/>
    </row>
    <row r="225" spans="1:8" x14ac:dyDescent="0.2">
      <c r="A225" s="84"/>
      <c r="B225" s="85"/>
      <c r="C225" s="85"/>
      <c r="D225" s="85"/>
      <c r="E225" s="85"/>
      <c r="F225" s="85"/>
      <c r="G225" s="86"/>
      <c r="H225" s="87"/>
    </row>
    <row r="226" spans="1:8" x14ac:dyDescent="0.2">
      <c r="A226" s="84"/>
      <c r="B226" s="85"/>
      <c r="C226" s="85"/>
      <c r="D226" s="85"/>
      <c r="E226" s="85"/>
      <c r="F226" s="85"/>
      <c r="G226" s="86"/>
      <c r="H226" s="87"/>
    </row>
    <row r="227" spans="1:8" x14ac:dyDescent="0.2">
      <c r="A227" s="84"/>
      <c r="B227" s="85"/>
      <c r="C227" s="85"/>
      <c r="D227" s="85"/>
      <c r="E227" s="85"/>
      <c r="F227" s="85"/>
      <c r="G227" s="86"/>
      <c r="H227" s="87"/>
    </row>
    <row r="228" spans="1:8" x14ac:dyDescent="0.2">
      <c r="A228" s="84"/>
      <c r="B228" s="85"/>
      <c r="C228" s="85"/>
      <c r="D228" s="85"/>
      <c r="E228" s="85"/>
      <c r="F228" s="85"/>
      <c r="G228" s="86"/>
      <c r="H228" s="87"/>
    </row>
    <row r="229" spans="1:8" x14ac:dyDescent="0.2">
      <c r="A229" s="84"/>
      <c r="B229" s="85"/>
      <c r="C229" s="85"/>
      <c r="D229" s="85"/>
      <c r="E229" s="85"/>
      <c r="F229" s="85"/>
      <c r="G229" s="86"/>
      <c r="H229" s="87"/>
    </row>
    <row r="230" spans="1:8" x14ac:dyDescent="0.2">
      <c r="A230" s="84"/>
      <c r="B230" s="85"/>
      <c r="C230" s="85"/>
      <c r="D230" s="85"/>
      <c r="E230" s="85"/>
      <c r="F230" s="85"/>
      <c r="G230" s="86"/>
      <c r="H230" s="87"/>
    </row>
    <row r="231" spans="1:8" x14ac:dyDescent="0.2">
      <c r="A231" s="84"/>
      <c r="B231" s="85"/>
      <c r="C231" s="85"/>
      <c r="D231" s="85"/>
      <c r="E231" s="85"/>
      <c r="F231" s="85"/>
      <c r="G231" s="86"/>
      <c r="H231" s="87"/>
    </row>
    <row r="232" spans="1:8" x14ac:dyDescent="0.2">
      <c r="A232" s="84"/>
      <c r="B232" s="85"/>
      <c r="C232" s="85"/>
      <c r="D232" s="85"/>
      <c r="E232" s="85"/>
      <c r="F232" s="85"/>
      <c r="G232" s="86"/>
      <c r="H232" s="87"/>
    </row>
    <row r="233" spans="1:8" x14ac:dyDescent="0.2">
      <c r="A233" s="84"/>
      <c r="B233" s="85"/>
      <c r="C233" s="85"/>
      <c r="D233" s="85"/>
      <c r="E233" s="85"/>
      <c r="F233" s="85"/>
      <c r="G233" s="86"/>
      <c r="H233" s="87"/>
    </row>
    <row r="234" spans="1:8" x14ac:dyDescent="0.2">
      <c r="A234" s="84"/>
      <c r="B234" s="85"/>
      <c r="C234" s="85"/>
      <c r="D234" s="85"/>
      <c r="E234" s="85"/>
      <c r="F234" s="85"/>
      <c r="G234" s="86"/>
      <c r="H234" s="87"/>
    </row>
    <row r="235" spans="1:8" x14ac:dyDescent="0.2">
      <c r="A235" s="84"/>
      <c r="B235" s="85"/>
      <c r="C235" s="85"/>
      <c r="D235" s="85"/>
      <c r="E235" s="85"/>
      <c r="F235" s="85"/>
      <c r="G235" s="86"/>
      <c r="H235" s="87"/>
    </row>
    <row r="236" spans="1:8" x14ac:dyDescent="0.2">
      <c r="A236" s="84"/>
      <c r="B236" s="85"/>
      <c r="C236" s="85"/>
      <c r="D236" s="85"/>
      <c r="E236" s="85"/>
      <c r="F236" s="85"/>
      <c r="G236" s="86"/>
      <c r="H236" s="87"/>
    </row>
    <row r="237" spans="1:8" x14ac:dyDescent="0.2">
      <c r="A237" s="84"/>
      <c r="B237" s="85"/>
      <c r="C237" s="85"/>
      <c r="D237" s="85"/>
      <c r="E237" s="85"/>
      <c r="F237" s="85"/>
      <c r="G237" s="86"/>
      <c r="H237" s="87"/>
    </row>
    <row r="238" spans="1:8" x14ac:dyDescent="0.2">
      <c r="A238" s="84"/>
      <c r="B238" s="85"/>
      <c r="C238" s="85"/>
      <c r="D238" s="85"/>
      <c r="E238" s="85"/>
      <c r="F238" s="85"/>
      <c r="G238" s="86"/>
      <c r="H238" s="87"/>
    </row>
    <row r="239" spans="1:8" x14ac:dyDescent="0.2">
      <c r="A239" s="84"/>
      <c r="B239" s="85"/>
      <c r="C239" s="85"/>
      <c r="D239" s="85"/>
      <c r="E239" s="85"/>
      <c r="F239" s="85"/>
      <c r="G239" s="86"/>
      <c r="H239" s="87"/>
    </row>
    <row r="240" spans="1:8" x14ac:dyDescent="0.2">
      <c r="A240" s="84"/>
      <c r="B240" s="85"/>
      <c r="C240" s="85"/>
      <c r="D240" s="85"/>
      <c r="E240" s="85"/>
      <c r="F240" s="85"/>
      <c r="G240" s="86"/>
      <c r="H240" s="87"/>
    </row>
    <row r="241" spans="1:8" x14ac:dyDescent="0.2">
      <c r="A241" s="84"/>
      <c r="B241" s="85"/>
      <c r="C241" s="85"/>
      <c r="D241" s="85"/>
      <c r="E241" s="85"/>
      <c r="F241" s="85"/>
      <c r="G241" s="86"/>
      <c r="H241" s="87"/>
    </row>
    <row r="242" spans="1:8" x14ac:dyDescent="0.2">
      <c r="A242" s="84"/>
      <c r="B242" s="85"/>
      <c r="C242" s="85"/>
      <c r="D242" s="85"/>
      <c r="E242" s="85"/>
      <c r="F242" s="85"/>
      <c r="G242" s="86"/>
      <c r="H242" s="87"/>
    </row>
    <row r="243" spans="1:8" x14ac:dyDescent="0.2">
      <c r="A243" s="84"/>
      <c r="B243" s="85"/>
      <c r="C243" s="85"/>
      <c r="D243" s="85"/>
      <c r="E243" s="85"/>
      <c r="F243" s="85"/>
      <c r="G243" s="86"/>
      <c r="H243" s="87"/>
    </row>
    <row r="244" spans="1:8" x14ac:dyDescent="0.2">
      <c r="A244" s="84"/>
      <c r="B244" s="85"/>
      <c r="C244" s="85"/>
      <c r="D244" s="85"/>
      <c r="E244" s="85"/>
      <c r="F244" s="85"/>
      <c r="G244" s="86"/>
      <c r="H244" s="87"/>
    </row>
    <row r="245" spans="1:8" x14ac:dyDescent="0.2">
      <c r="A245" s="84"/>
      <c r="B245" s="85"/>
      <c r="C245" s="85"/>
      <c r="D245" s="85"/>
      <c r="E245" s="85"/>
      <c r="F245" s="85"/>
      <c r="G245" s="86"/>
      <c r="H245" s="87"/>
    </row>
    <row r="246" spans="1:8" x14ac:dyDescent="0.2">
      <c r="A246" s="84"/>
      <c r="B246" s="85"/>
      <c r="C246" s="85"/>
      <c r="D246" s="85"/>
      <c r="E246" s="85"/>
      <c r="F246" s="85"/>
      <c r="G246" s="86"/>
      <c r="H246" s="87"/>
    </row>
    <row r="247" spans="1:8" x14ac:dyDescent="0.2">
      <c r="A247" s="84"/>
      <c r="B247" s="85"/>
      <c r="C247" s="85"/>
      <c r="D247" s="85"/>
      <c r="E247" s="85"/>
      <c r="F247" s="85"/>
      <c r="G247" s="86"/>
      <c r="H247" s="87"/>
    </row>
    <row r="248" spans="1:8" x14ac:dyDescent="0.2">
      <c r="A248" s="84"/>
      <c r="B248" s="85"/>
      <c r="C248" s="85"/>
      <c r="D248" s="85"/>
      <c r="E248" s="85"/>
      <c r="F248" s="85"/>
      <c r="G248" s="86"/>
      <c r="H248" s="87"/>
    </row>
    <row r="249" spans="1:8" x14ac:dyDescent="0.2">
      <c r="A249" s="84"/>
      <c r="B249" s="85"/>
      <c r="C249" s="85"/>
      <c r="D249" s="85"/>
      <c r="E249" s="85"/>
      <c r="F249" s="85"/>
      <c r="G249" s="86"/>
      <c r="H249" s="87"/>
    </row>
    <row r="250" spans="1:8" x14ac:dyDescent="0.2">
      <c r="A250" s="84"/>
      <c r="B250" s="85"/>
      <c r="C250" s="85"/>
      <c r="D250" s="85"/>
      <c r="E250" s="85"/>
      <c r="F250" s="85"/>
      <c r="G250" s="86"/>
      <c r="H250" s="87"/>
    </row>
    <row r="251" spans="1:8" x14ac:dyDescent="0.2">
      <c r="A251" s="84"/>
      <c r="B251" s="85"/>
      <c r="C251" s="85"/>
      <c r="D251" s="85"/>
      <c r="E251" s="85"/>
      <c r="F251" s="85"/>
      <c r="G251" s="86"/>
      <c r="H251" s="87"/>
    </row>
    <row r="252" spans="1:8" x14ac:dyDescent="0.2">
      <c r="A252" s="84"/>
      <c r="B252" s="85"/>
      <c r="C252" s="85"/>
      <c r="D252" s="85"/>
      <c r="E252" s="85"/>
      <c r="F252" s="85"/>
      <c r="G252" s="86"/>
      <c r="H252" s="87"/>
    </row>
    <row r="253" spans="1:8" x14ac:dyDescent="0.2">
      <c r="A253" s="84"/>
      <c r="B253" s="85"/>
      <c r="C253" s="85"/>
      <c r="D253" s="85"/>
      <c r="E253" s="85"/>
      <c r="F253" s="85"/>
      <c r="G253" s="86"/>
      <c r="H253" s="87"/>
    </row>
    <row r="254" spans="1:8" x14ac:dyDescent="0.2">
      <c r="A254" s="84"/>
      <c r="B254" s="85"/>
      <c r="C254" s="85"/>
      <c r="D254" s="85"/>
      <c r="E254" s="85"/>
      <c r="F254" s="85"/>
      <c r="G254" s="86"/>
      <c r="H254" s="87"/>
    </row>
    <row r="255" spans="1:8" x14ac:dyDescent="0.2">
      <c r="A255" s="84"/>
      <c r="B255" s="85"/>
      <c r="C255" s="85"/>
      <c r="D255" s="85"/>
      <c r="E255" s="85"/>
      <c r="F255" s="85"/>
      <c r="G255" s="86"/>
      <c r="H255" s="87"/>
    </row>
    <row r="256" spans="1:8" x14ac:dyDescent="0.2">
      <c r="A256" s="84"/>
      <c r="B256" s="85"/>
      <c r="C256" s="85"/>
      <c r="D256" s="85"/>
      <c r="E256" s="85"/>
      <c r="F256" s="85"/>
      <c r="G256" s="86"/>
      <c r="H256" s="87"/>
    </row>
    <row r="257" spans="1:8" x14ac:dyDescent="0.2">
      <c r="A257" s="84"/>
      <c r="B257" s="85"/>
      <c r="C257" s="85"/>
      <c r="D257" s="85"/>
      <c r="E257" s="85"/>
      <c r="F257" s="85"/>
      <c r="G257" s="86"/>
      <c r="H257" s="87"/>
    </row>
    <row r="258" spans="1:8" x14ac:dyDescent="0.2">
      <c r="A258" s="84"/>
      <c r="B258" s="85"/>
      <c r="C258" s="85"/>
      <c r="D258" s="85"/>
      <c r="E258" s="85"/>
      <c r="F258" s="85"/>
      <c r="G258" s="86"/>
      <c r="H258" s="87"/>
    </row>
    <row r="259" spans="1:8" x14ac:dyDescent="0.2">
      <c r="A259" s="84"/>
      <c r="B259" s="85"/>
      <c r="C259" s="85"/>
      <c r="D259" s="85"/>
      <c r="E259" s="85"/>
      <c r="F259" s="85"/>
      <c r="G259" s="86"/>
      <c r="H259" s="87"/>
    </row>
    <row r="260" spans="1:8" x14ac:dyDescent="0.2">
      <c r="A260" s="84"/>
      <c r="B260" s="85"/>
      <c r="C260" s="85"/>
      <c r="D260" s="85"/>
      <c r="E260" s="85"/>
      <c r="F260" s="85"/>
      <c r="G260" s="86"/>
      <c r="H260" s="87"/>
    </row>
    <row r="261" spans="1:8" x14ac:dyDescent="0.2">
      <c r="A261" s="84"/>
      <c r="B261" s="85"/>
      <c r="C261" s="85"/>
      <c r="D261" s="85"/>
      <c r="E261" s="85"/>
      <c r="F261" s="85"/>
      <c r="G261" s="86"/>
      <c r="H261" s="87"/>
    </row>
    <row r="262" spans="1:8" x14ac:dyDescent="0.2">
      <c r="A262" s="84"/>
      <c r="B262" s="85"/>
      <c r="C262" s="85"/>
      <c r="D262" s="85"/>
      <c r="E262" s="85"/>
      <c r="F262" s="85"/>
      <c r="G262" s="86"/>
      <c r="H262" s="87"/>
    </row>
    <row r="263" spans="1:8" x14ac:dyDescent="0.2">
      <c r="A263" s="84"/>
      <c r="B263" s="85"/>
      <c r="C263" s="85"/>
      <c r="D263" s="85"/>
      <c r="E263" s="85"/>
      <c r="F263" s="85"/>
      <c r="G263" s="86"/>
      <c r="H263" s="87"/>
    </row>
    <row r="264" spans="1:8" x14ac:dyDescent="0.2">
      <c r="A264" s="84"/>
      <c r="B264" s="85"/>
      <c r="C264" s="85"/>
      <c r="D264" s="85"/>
      <c r="E264" s="85"/>
      <c r="F264" s="85"/>
      <c r="G264" s="86"/>
      <c r="H264" s="87"/>
    </row>
    <row r="265" spans="1:8" x14ac:dyDescent="0.2">
      <c r="A265" s="84"/>
      <c r="B265" s="85"/>
      <c r="C265" s="85"/>
      <c r="D265" s="85"/>
      <c r="E265" s="85"/>
      <c r="F265" s="85"/>
      <c r="G265" s="86"/>
      <c r="H265" s="87"/>
    </row>
    <row r="266" spans="1:8" x14ac:dyDescent="0.2">
      <c r="A266" s="84"/>
      <c r="B266" s="85"/>
      <c r="C266" s="85"/>
      <c r="D266" s="85"/>
      <c r="E266" s="85"/>
      <c r="F266" s="85"/>
      <c r="G266" s="86"/>
      <c r="H266" s="87"/>
    </row>
    <row r="267" spans="1:8" x14ac:dyDescent="0.2">
      <c r="A267" s="84"/>
      <c r="B267" s="85"/>
      <c r="C267" s="85"/>
      <c r="D267" s="85"/>
      <c r="E267" s="85"/>
      <c r="F267" s="85"/>
      <c r="G267" s="86"/>
      <c r="H267" s="87"/>
    </row>
    <row r="268" spans="1:8" x14ac:dyDescent="0.2">
      <c r="A268" s="84"/>
      <c r="B268" s="85"/>
      <c r="C268" s="85"/>
      <c r="D268" s="85"/>
      <c r="E268" s="85"/>
      <c r="F268" s="85"/>
      <c r="G268" s="86"/>
      <c r="H268" s="87"/>
    </row>
    <row r="269" spans="1:8" x14ac:dyDescent="0.2">
      <c r="A269" s="84"/>
      <c r="B269" s="85"/>
      <c r="C269" s="85"/>
      <c r="D269" s="85"/>
      <c r="E269" s="85"/>
      <c r="F269" s="85"/>
      <c r="G269" s="86"/>
      <c r="H269" s="87"/>
    </row>
    <row r="270" spans="1:8" x14ac:dyDescent="0.2">
      <c r="A270" s="84"/>
      <c r="B270" s="85"/>
      <c r="C270" s="85"/>
      <c r="D270" s="85"/>
      <c r="E270" s="85"/>
      <c r="F270" s="85"/>
      <c r="G270" s="86"/>
      <c r="H270" s="87"/>
    </row>
    <row r="271" spans="1:8" x14ac:dyDescent="0.2">
      <c r="A271" s="84"/>
      <c r="B271" s="85"/>
      <c r="C271" s="85"/>
      <c r="D271" s="85"/>
      <c r="E271" s="85"/>
      <c r="F271" s="85"/>
      <c r="G271" s="86"/>
      <c r="H271" s="87"/>
    </row>
    <row r="272" spans="1:8" x14ac:dyDescent="0.2">
      <c r="A272" s="84"/>
      <c r="B272" s="85"/>
      <c r="C272" s="85"/>
      <c r="D272" s="85"/>
      <c r="E272" s="85"/>
      <c r="F272" s="85"/>
      <c r="G272" s="86"/>
      <c r="H272" s="87"/>
    </row>
    <row r="273" spans="1:8" x14ac:dyDescent="0.2">
      <c r="A273" s="84"/>
      <c r="B273" s="85"/>
      <c r="C273" s="85"/>
      <c r="D273" s="85"/>
      <c r="E273" s="85"/>
      <c r="F273" s="85"/>
      <c r="G273" s="86"/>
      <c r="H273" s="87"/>
    </row>
    <row r="274" spans="1:8" x14ac:dyDescent="0.2">
      <c r="A274" s="84"/>
      <c r="B274" s="85"/>
      <c r="C274" s="85"/>
      <c r="D274" s="85"/>
      <c r="E274" s="85"/>
      <c r="F274" s="85"/>
      <c r="G274" s="86"/>
      <c r="H274" s="87"/>
    </row>
    <row r="275" spans="1:8" x14ac:dyDescent="0.2">
      <c r="A275" s="84"/>
      <c r="B275" s="85"/>
      <c r="C275" s="85"/>
      <c r="D275" s="85"/>
      <c r="E275" s="85"/>
      <c r="F275" s="85"/>
      <c r="G275" s="86"/>
      <c r="H275" s="87"/>
    </row>
    <row r="276" spans="1:8" x14ac:dyDescent="0.2">
      <c r="A276" s="84"/>
      <c r="B276" s="85"/>
      <c r="C276" s="85"/>
      <c r="D276" s="85"/>
      <c r="E276" s="85"/>
      <c r="F276" s="85"/>
      <c r="G276" s="86"/>
      <c r="H276" s="87"/>
    </row>
    <row r="277" spans="1:8" x14ac:dyDescent="0.2">
      <c r="A277" s="84"/>
      <c r="B277" s="85"/>
      <c r="C277" s="85"/>
      <c r="D277" s="85"/>
      <c r="E277" s="85"/>
      <c r="F277" s="85"/>
      <c r="G277" s="86"/>
      <c r="H277" s="87"/>
    </row>
    <row r="278" spans="1:8" x14ac:dyDescent="0.2">
      <c r="A278" s="84"/>
      <c r="B278" s="85"/>
      <c r="C278" s="85"/>
      <c r="D278" s="85"/>
      <c r="E278" s="85"/>
      <c r="F278" s="85"/>
      <c r="G278" s="86"/>
      <c r="H278" s="87"/>
    </row>
    <row r="279" spans="1:8" x14ac:dyDescent="0.2">
      <c r="A279" s="84"/>
      <c r="B279" s="85"/>
      <c r="C279" s="85"/>
      <c r="D279" s="85"/>
      <c r="E279" s="85"/>
      <c r="F279" s="85"/>
      <c r="G279" s="86"/>
      <c r="H279" s="87"/>
    </row>
    <row r="280" spans="1:8" x14ac:dyDescent="0.2">
      <c r="A280" s="84"/>
      <c r="B280" s="85"/>
      <c r="C280" s="85"/>
      <c r="D280" s="85"/>
      <c r="E280" s="85"/>
      <c r="F280" s="85"/>
      <c r="G280" s="86"/>
      <c r="H280" s="87"/>
    </row>
    <row r="281" spans="1:8" x14ac:dyDescent="0.2">
      <c r="A281" s="84"/>
      <c r="B281" s="85"/>
      <c r="C281" s="85"/>
      <c r="D281" s="85"/>
      <c r="E281" s="85"/>
      <c r="F281" s="85"/>
      <c r="G281" s="86"/>
      <c r="H281" s="87"/>
    </row>
    <row r="282" spans="1:8" x14ac:dyDescent="0.2">
      <c r="A282" s="84"/>
      <c r="B282" s="85"/>
      <c r="C282" s="85"/>
      <c r="D282" s="85"/>
      <c r="E282" s="85"/>
      <c r="F282" s="85"/>
      <c r="G282" s="86"/>
      <c r="H282" s="87"/>
    </row>
    <row r="283" spans="1:8" x14ac:dyDescent="0.2">
      <c r="A283" s="84"/>
      <c r="B283" s="85"/>
      <c r="C283" s="85"/>
      <c r="D283" s="85"/>
      <c r="E283" s="85"/>
      <c r="F283" s="85"/>
      <c r="G283" s="86"/>
      <c r="H283" s="87"/>
    </row>
    <row r="284" spans="1:8" x14ac:dyDescent="0.2">
      <c r="A284" s="84"/>
      <c r="B284" s="85"/>
      <c r="C284" s="85"/>
      <c r="D284" s="85"/>
      <c r="E284" s="85"/>
      <c r="F284" s="85"/>
      <c r="G284" s="86"/>
      <c r="H284" s="87"/>
    </row>
    <row r="285" spans="1:8" x14ac:dyDescent="0.2">
      <c r="A285" s="84"/>
      <c r="B285" s="85"/>
      <c r="C285" s="85"/>
      <c r="D285" s="85"/>
      <c r="E285" s="85"/>
      <c r="F285" s="85"/>
      <c r="G285" s="86"/>
      <c r="H285" s="87"/>
    </row>
    <row r="286" spans="1:8" x14ac:dyDescent="0.2">
      <c r="A286" s="84"/>
      <c r="B286" s="85"/>
      <c r="C286" s="85"/>
      <c r="D286" s="85"/>
      <c r="E286" s="85"/>
      <c r="F286" s="85"/>
      <c r="G286" s="86"/>
      <c r="H286" s="87"/>
    </row>
    <row r="287" spans="1:8" x14ac:dyDescent="0.2">
      <c r="A287" s="84"/>
      <c r="B287" s="85"/>
      <c r="C287" s="85"/>
      <c r="D287" s="85"/>
      <c r="E287" s="85"/>
      <c r="F287" s="85"/>
      <c r="G287" s="86"/>
      <c r="H287" s="87"/>
    </row>
    <row r="288" spans="1:8" x14ac:dyDescent="0.2">
      <c r="A288" s="84"/>
      <c r="B288" s="85"/>
      <c r="C288" s="85"/>
      <c r="D288" s="85"/>
      <c r="E288" s="85"/>
      <c r="F288" s="85"/>
      <c r="G288" s="86"/>
      <c r="H288" s="87"/>
    </row>
    <row r="289" spans="1:8" x14ac:dyDescent="0.2">
      <c r="A289" s="84"/>
      <c r="B289" s="85"/>
      <c r="C289" s="85"/>
      <c r="D289" s="85"/>
      <c r="E289" s="85"/>
      <c r="F289" s="85"/>
      <c r="G289" s="86"/>
      <c r="H289" s="87"/>
    </row>
    <row r="290" spans="1:8" x14ac:dyDescent="0.2">
      <c r="A290" s="84"/>
      <c r="B290" s="85"/>
      <c r="C290" s="85"/>
      <c r="D290" s="85"/>
      <c r="E290" s="85"/>
      <c r="F290" s="85"/>
      <c r="G290" s="86"/>
      <c r="H290" s="87"/>
    </row>
    <row r="291" spans="1:8" x14ac:dyDescent="0.2">
      <c r="A291" s="84"/>
      <c r="B291" s="85"/>
      <c r="C291" s="85"/>
      <c r="D291" s="85"/>
      <c r="E291" s="85"/>
      <c r="F291" s="85"/>
      <c r="G291" s="86"/>
      <c r="H291" s="87"/>
    </row>
    <row r="292" spans="1:8" x14ac:dyDescent="0.2">
      <c r="A292" s="84"/>
      <c r="B292" s="85"/>
      <c r="C292" s="85"/>
      <c r="D292" s="85"/>
      <c r="E292" s="85"/>
      <c r="F292" s="85"/>
      <c r="G292" s="86"/>
      <c r="H292" s="87"/>
    </row>
    <row r="293" spans="1:8" x14ac:dyDescent="0.2">
      <c r="A293" s="84"/>
      <c r="B293" s="85"/>
      <c r="C293" s="85"/>
      <c r="D293" s="85"/>
      <c r="E293" s="85"/>
      <c r="F293" s="85"/>
      <c r="G293" s="86"/>
      <c r="H293" s="87"/>
    </row>
    <row r="294" spans="1:8" x14ac:dyDescent="0.2">
      <c r="A294" s="84"/>
      <c r="B294" s="85"/>
      <c r="C294" s="85"/>
      <c r="D294" s="85"/>
      <c r="E294" s="85"/>
      <c r="F294" s="85"/>
      <c r="G294" s="86"/>
      <c r="H294" s="87"/>
    </row>
    <row r="295" spans="1:8" x14ac:dyDescent="0.2">
      <c r="A295" s="84"/>
      <c r="B295" s="85"/>
      <c r="C295" s="85"/>
      <c r="D295" s="85"/>
      <c r="E295" s="85"/>
      <c r="F295" s="85"/>
      <c r="G295" s="86"/>
      <c r="H295" s="87"/>
    </row>
    <row r="296" spans="1:8" x14ac:dyDescent="0.2">
      <c r="A296" s="84"/>
      <c r="B296" s="85"/>
      <c r="C296" s="85"/>
      <c r="D296" s="85"/>
      <c r="E296" s="85"/>
      <c r="F296" s="85"/>
      <c r="G296" s="86"/>
      <c r="H296" s="87"/>
    </row>
    <row r="297" spans="1:8" x14ac:dyDescent="0.2">
      <c r="A297" s="84"/>
      <c r="B297" s="85"/>
      <c r="C297" s="85"/>
      <c r="D297" s="85"/>
      <c r="E297" s="85"/>
      <c r="F297" s="85"/>
      <c r="G297" s="86"/>
      <c r="H297" s="87"/>
    </row>
    <row r="298" spans="1:8" x14ac:dyDescent="0.2">
      <c r="A298" s="84"/>
      <c r="B298" s="85"/>
      <c r="C298" s="85"/>
      <c r="D298" s="85"/>
      <c r="E298" s="85"/>
      <c r="F298" s="85"/>
      <c r="G298" s="86"/>
      <c r="H298" s="87"/>
    </row>
    <row r="299" spans="1:8" x14ac:dyDescent="0.2">
      <c r="A299" s="84"/>
      <c r="B299" s="85"/>
      <c r="C299" s="85"/>
      <c r="D299" s="85"/>
      <c r="E299" s="85"/>
      <c r="F299" s="85"/>
      <c r="G299" s="86"/>
      <c r="H299" s="87"/>
    </row>
    <row r="300" spans="1:8" x14ac:dyDescent="0.2">
      <c r="A300" s="84"/>
      <c r="B300" s="85"/>
      <c r="C300" s="85"/>
      <c r="D300" s="85"/>
      <c r="E300" s="85"/>
      <c r="F300" s="85"/>
      <c r="G300" s="86"/>
      <c r="H300" s="87"/>
    </row>
    <row r="301" spans="1:8" x14ac:dyDescent="0.2">
      <c r="A301" s="84"/>
      <c r="B301" s="85"/>
      <c r="C301" s="85"/>
      <c r="D301" s="85"/>
      <c r="E301" s="85"/>
      <c r="F301" s="85"/>
      <c r="G301" s="86"/>
      <c r="H301" s="87"/>
    </row>
    <row r="302" spans="1:8" x14ac:dyDescent="0.2">
      <c r="A302" s="84"/>
      <c r="B302" s="85"/>
      <c r="C302" s="85"/>
      <c r="D302" s="85"/>
      <c r="E302" s="85"/>
      <c r="F302" s="85"/>
      <c r="G302" s="86"/>
      <c r="H302" s="87"/>
    </row>
    <row r="303" spans="1:8" x14ac:dyDescent="0.2">
      <c r="A303" s="84"/>
      <c r="B303" s="85"/>
      <c r="C303" s="85"/>
      <c r="D303" s="85"/>
      <c r="E303" s="85"/>
      <c r="F303" s="85"/>
      <c r="G303" s="86"/>
      <c r="H303" s="87"/>
    </row>
    <row r="304" spans="1:8" x14ac:dyDescent="0.2">
      <c r="A304" s="84"/>
      <c r="B304" s="85"/>
      <c r="C304" s="85"/>
      <c r="D304" s="85"/>
      <c r="E304" s="85"/>
      <c r="F304" s="85"/>
      <c r="G304" s="86"/>
      <c r="H304" s="87"/>
    </row>
    <row r="305" spans="1:8" x14ac:dyDescent="0.2">
      <c r="A305" s="84"/>
      <c r="B305" s="85"/>
      <c r="C305" s="85"/>
      <c r="D305" s="85"/>
      <c r="E305" s="85"/>
      <c r="F305" s="85"/>
      <c r="G305" s="86"/>
      <c r="H305" s="87"/>
    </row>
    <row r="306" spans="1:8" x14ac:dyDescent="0.2">
      <c r="A306" s="84"/>
      <c r="B306" s="85"/>
      <c r="C306" s="85"/>
      <c r="D306" s="85"/>
      <c r="E306" s="85"/>
      <c r="F306" s="85"/>
      <c r="G306" s="86"/>
      <c r="H306" s="87"/>
    </row>
    <row r="307" spans="1:8" x14ac:dyDescent="0.2">
      <c r="A307" s="84"/>
      <c r="B307" s="85"/>
      <c r="C307" s="85"/>
      <c r="D307" s="85"/>
      <c r="E307" s="85"/>
      <c r="F307" s="85"/>
      <c r="G307" s="86"/>
      <c r="H307" s="87"/>
    </row>
    <row r="308" spans="1:8" x14ac:dyDescent="0.2">
      <c r="A308" s="84"/>
      <c r="B308" s="85"/>
      <c r="C308" s="85"/>
      <c r="D308" s="85"/>
      <c r="E308" s="85"/>
      <c r="F308" s="85"/>
      <c r="G308" s="86"/>
      <c r="H308" s="87"/>
    </row>
    <row r="309" spans="1:8" x14ac:dyDescent="0.2">
      <c r="A309" s="84"/>
      <c r="B309" s="85"/>
      <c r="C309" s="85"/>
      <c r="D309" s="85"/>
      <c r="E309" s="85"/>
      <c r="F309" s="85"/>
      <c r="G309" s="86"/>
      <c r="H309" s="87"/>
    </row>
    <row r="310" spans="1:8" x14ac:dyDescent="0.2">
      <c r="A310" s="84"/>
      <c r="B310" s="85"/>
      <c r="C310" s="85"/>
      <c r="D310" s="85"/>
      <c r="E310" s="85"/>
      <c r="F310" s="85"/>
      <c r="G310" s="86"/>
      <c r="H310" s="87"/>
    </row>
    <row r="311" spans="1:8" x14ac:dyDescent="0.2">
      <c r="A311" s="84"/>
      <c r="B311" s="85"/>
      <c r="C311" s="85"/>
      <c r="D311" s="85"/>
      <c r="E311" s="85"/>
      <c r="F311" s="85"/>
      <c r="G311" s="86"/>
      <c r="H311" s="87"/>
    </row>
    <row r="312" spans="1:8" x14ac:dyDescent="0.2">
      <c r="A312" s="84"/>
      <c r="B312" s="85"/>
      <c r="C312" s="85"/>
      <c r="D312" s="85"/>
      <c r="E312" s="85"/>
      <c r="F312" s="85"/>
      <c r="G312" s="86"/>
      <c r="H312" s="87"/>
    </row>
    <row r="313" spans="1:8" x14ac:dyDescent="0.2">
      <c r="A313" s="84"/>
      <c r="B313" s="85"/>
      <c r="C313" s="85"/>
      <c r="D313" s="85"/>
      <c r="E313" s="85"/>
      <c r="F313" s="85"/>
      <c r="G313" s="86"/>
      <c r="H313" s="87"/>
    </row>
    <row r="314" spans="1:8" x14ac:dyDescent="0.2">
      <c r="A314" s="84"/>
      <c r="B314" s="85"/>
      <c r="C314" s="85"/>
      <c r="D314" s="85"/>
      <c r="E314" s="85"/>
      <c r="F314" s="85"/>
      <c r="G314" s="86"/>
      <c r="H314" s="87"/>
    </row>
    <row r="315" spans="1:8" x14ac:dyDescent="0.2">
      <c r="A315" s="84"/>
      <c r="B315" s="85"/>
      <c r="C315" s="85"/>
      <c r="D315" s="85"/>
      <c r="E315" s="85"/>
      <c r="F315" s="85"/>
      <c r="G315" s="86"/>
      <c r="H315" s="87"/>
    </row>
    <row r="316" spans="1:8" x14ac:dyDescent="0.2">
      <c r="A316" s="84"/>
      <c r="B316" s="85"/>
      <c r="C316" s="85"/>
      <c r="D316" s="85"/>
      <c r="E316" s="85"/>
      <c r="F316" s="85"/>
      <c r="G316" s="86"/>
      <c r="H316" s="87"/>
    </row>
    <row r="317" spans="1:8" x14ac:dyDescent="0.2">
      <c r="A317" s="84"/>
      <c r="B317" s="85"/>
      <c r="C317" s="85"/>
      <c r="D317" s="85"/>
      <c r="E317" s="85"/>
      <c r="F317" s="85"/>
      <c r="G317" s="86"/>
      <c r="H317" s="87"/>
    </row>
    <row r="318" spans="1:8" x14ac:dyDescent="0.2">
      <c r="A318" s="84"/>
      <c r="B318" s="85"/>
      <c r="C318" s="85"/>
      <c r="D318" s="85"/>
      <c r="E318" s="85"/>
      <c r="F318" s="85"/>
      <c r="G318" s="86"/>
      <c r="H318" s="87"/>
    </row>
    <row r="319" spans="1:8" x14ac:dyDescent="0.2">
      <c r="A319" s="84"/>
      <c r="B319" s="85"/>
      <c r="C319" s="85"/>
      <c r="D319" s="85"/>
      <c r="E319" s="85"/>
      <c r="F319" s="85"/>
      <c r="G319" s="86"/>
      <c r="H319" s="87"/>
    </row>
    <row r="320" spans="1:8" x14ac:dyDescent="0.2">
      <c r="A320" s="84"/>
      <c r="B320" s="85"/>
      <c r="C320" s="85"/>
      <c r="D320" s="85"/>
      <c r="E320" s="85"/>
      <c r="F320" s="85"/>
      <c r="G320" s="86"/>
      <c r="H320" s="87"/>
    </row>
    <row r="321" spans="1:8" x14ac:dyDescent="0.2">
      <c r="A321" s="84"/>
      <c r="B321" s="85"/>
      <c r="C321" s="85"/>
      <c r="D321" s="85"/>
      <c r="E321" s="85"/>
      <c r="F321" s="85"/>
      <c r="G321" s="86"/>
      <c r="H321" s="87"/>
    </row>
    <row r="322" spans="1:8" x14ac:dyDescent="0.2">
      <c r="A322" s="84"/>
      <c r="B322" s="85"/>
      <c r="C322" s="85"/>
      <c r="D322" s="85"/>
      <c r="E322" s="85"/>
      <c r="F322" s="85"/>
      <c r="G322" s="86"/>
      <c r="H322" s="87"/>
    </row>
    <row r="323" spans="1:8" x14ac:dyDescent="0.2">
      <c r="A323" s="84"/>
      <c r="B323" s="85"/>
      <c r="C323" s="85"/>
      <c r="D323" s="85"/>
      <c r="E323" s="85"/>
      <c r="F323" s="85"/>
      <c r="G323" s="86"/>
      <c r="H323" s="87"/>
    </row>
    <row r="324" spans="1:8" x14ac:dyDescent="0.2">
      <c r="A324" s="84"/>
      <c r="B324" s="85"/>
      <c r="C324" s="85"/>
      <c r="D324" s="85"/>
      <c r="E324" s="85"/>
      <c r="F324" s="85"/>
      <c r="G324" s="86"/>
      <c r="H324" s="87"/>
    </row>
    <row r="325" spans="1:8" x14ac:dyDescent="0.2">
      <c r="A325" s="84"/>
      <c r="B325" s="85"/>
      <c r="C325" s="85"/>
      <c r="D325" s="85"/>
      <c r="E325" s="85"/>
      <c r="F325" s="85"/>
      <c r="G325" s="86"/>
      <c r="H325" s="87"/>
    </row>
    <row r="326" spans="1:8" x14ac:dyDescent="0.2">
      <c r="A326" s="84"/>
      <c r="B326" s="85"/>
      <c r="C326" s="85"/>
      <c r="D326" s="85"/>
      <c r="E326" s="85"/>
      <c r="F326" s="85"/>
      <c r="G326" s="86"/>
      <c r="H326" s="87"/>
    </row>
    <row r="327" spans="1:8" x14ac:dyDescent="0.2">
      <c r="A327" s="84"/>
      <c r="B327" s="85"/>
      <c r="C327" s="85"/>
      <c r="D327" s="85"/>
      <c r="E327" s="85"/>
      <c r="F327" s="85"/>
      <c r="G327" s="86"/>
      <c r="H327" s="87"/>
    </row>
    <row r="328" spans="1:8" x14ac:dyDescent="0.2">
      <c r="A328" s="84"/>
      <c r="B328" s="85"/>
      <c r="C328" s="85"/>
      <c r="D328" s="85"/>
      <c r="E328" s="85"/>
      <c r="F328" s="85"/>
      <c r="G328" s="86"/>
      <c r="H328" s="87"/>
    </row>
    <row r="329" spans="1:8" x14ac:dyDescent="0.2">
      <c r="A329" s="84"/>
      <c r="B329" s="85"/>
      <c r="C329" s="85"/>
      <c r="D329" s="85"/>
      <c r="E329" s="85"/>
      <c r="F329" s="85"/>
      <c r="G329" s="86"/>
      <c r="H329" s="87"/>
    </row>
    <row r="330" spans="1:8" x14ac:dyDescent="0.2">
      <c r="A330" s="84"/>
      <c r="B330" s="85"/>
      <c r="C330" s="85"/>
      <c r="D330" s="85"/>
      <c r="E330" s="85"/>
      <c r="F330" s="85"/>
      <c r="G330" s="86"/>
      <c r="H330" s="87"/>
    </row>
    <row r="331" spans="1:8" x14ac:dyDescent="0.2">
      <c r="A331" s="84"/>
      <c r="B331" s="85"/>
      <c r="C331" s="85"/>
      <c r="D331" s="85"/>
      <c r="E331" s="85"/>
      <c r="F331" s="85"/>
      <c r="G331" s="86"/>
      <c r="H331" s="87"/>
    </row>
    <row r="332" spans="1:8" x14ac:dyDescent="0.2">
      <c r="A332" s="84"/>
      <c r="B332" s="85"/>
      <c r="C332" s="85"/>
      <c r="D332" s="85"/>
      <c r="E332" s="85"/>
      <c r="F332" s="85"/>
      <c r="G332" s="86"/>
      <c r="H332" s="87"/>
    </row>
    <row r="333" spans="1:8" x14ac:dyDescent="0.2">
      <c r="A333" s="84"/>
      <c r="B333" s="85"/>
      <c r="C333" s="85"/>
      <c r="D333" s="85"/>
      <c r="E333" s="85"/>
      <c r="F333" s="85"/>
      <c r="G333" s="86"/>
      <c r="H333" s="87"/>
    </row>
    <row r="334" spans="1:8" x14ac:dyDescent="0.2">
      <c r="A334" s="84"/>
      <c r="B334" s="85"/>
      <c r="C334" s="85"/>
      <c r="D334" s="85"/>
      <c r="E334" s="85"/>
      <c r="F334" s="85"/>
      <c r="G334" s="86"/>
      <c r="H334" s="87"/>
    </row>
    <row r="335" spans="1:8" x14ac:dyDescent="0.2">
      <c r="A335" s="84"/>
      <c r="B335" s="85"/>
      <c r="C335" s="85"/>
      <c r="D335" s="85"/>
      <c r="E335" s="85"/>
      <c r="F335" s="85"/>
      <c r="G335" s="86"/>
      <c r="H335" s="87"/>
    </row>
    <row r="336" spans="1:8" x14ac:dyDescent="0.2">
      <c r="A336" s="84"/>
      <c r="B336" s="85"/>
      <c r="C336" s="85"/>
      <c r="D336" s="85"/>
      <c r="E336" s="85"/>
      <c r="F336" s="85"/>
      <c r="G336" s="86"/>
      <c r="H336" s="87"/>
    </row>
    <row r="337" spans="1:8" x14ac:dyDescent="0.2">
      <c r="A337" s="84"/>
      <c r="B337" s="85"/>
      <c r="C337" s="85"/>
      <c r="D337" s="85"/>
      <c r="E337" s="85"/>
      <c r="F337" s="85"/>
      <c r="G337" s="86"/>
      <c r="H337" s="87"/>
    </row>
    <row r="338" spans="1:8" x14ac:dyDescent="0.2">
      <c r="A338" s="84"/>
      <c r="B338" s="85"/>
      <c r="C338" s="85"/>
      <c r="D338" s="85"/>
      <c r="E338" s="85"/>
      <c r="F338" s="85"/>
      <c r="G338" s="86"/>
      <c r="H338" s="87"/>
    </row>
    <row r="339" spans="1:8" x14ac:dyDescent="0.2">
      <c r="A339" s="84"/>
      <c r="B339" s="85"/>
      <c r="C339" s="85"/>
      <c r="D339" s="85"/>
      <c r="E339" s="85"/>
      <c r="F339" s="85"/>
      <c r="G339" s="86"/>
      <c r="H339" s="87"/>
    </row>
    <row r="340" spans="1:8" x14ac:dyDescent="0.2">
      <c r="A340" s="84"/>
      <c r="B340" s="85"/>
      <c r="C340" s="85"/>
      <c r="D340" s="85"/>
      <c r="E340" s="85"/>
      <c r="F340" s="85"/>
      <c r="G340" s="86"/>
      <c r="H340" s="87"/>
    </row>
    <row r="341" spans="1:8" x14ac:dyDescent="0.2">
      <c r="A341" s="84"/>
      <c r="B341" s="85"/>
      <c r="C341" s="85"/>
      <c r="D341" s="85"/>
      <c r="E341" s="85"/>
      <c r="F341" s="85"/>
      <c r="G341" s="86"/>
      <c r="H341" s="87"/>
    </row>
    <row r="342" spans="1:8" x14ac:dyDescent="0.2">
      <c r="A342" s="84"/>
      <c r="B342" s="85"/>
      <c r="C342" s="85"/>
      <c r="D342" s="85"/>
      <c r="E342" s="85"/>
      <c r="F342" s="85"/>
      <c r="G342" s="86"/>
      <c r="H342" s="87"/>
    </row>
    <row r="343" spans="1:8" x14ac:dyDescent="0.2">
      <c r="A343" s="84"/>
      <c r="B343" s="85"/>
      <c r="C343" s="85"/>
      <c r="D343" s="85"/>
      <c r="E343" s="85"/>
      <c r="F343" s="85"/>
      <c r="G343" s="86"/>
      <c r="H343" s="87"/>
    </row>
    <row r="344" spans="1:8" x14ac:dyDescent="0.2">
      <c r="A344" s="84"/>
      <c r="B344" s="85"/>
      <c r="C344" s="85"/>
      <c r="D344" s="85"/>
      <c r="E344" s="85"/>
      <c r="F344" s="85"/>
      <c r="G344" s="86"/>
      <c r="H344" s="87"/>
    </row>
    <row r="345" spans="1:8" x14ac:dyDescent="0.2">
      <c r="A345" s="84"/>
      <c r="B345" s="85"/>
      <c r="C345" s="85"/>
      <c r="D345" s="85"/>
      <c r="E345" s="85"/>
      <c r="F345" s="85"/>
      <c r="G345" s="86"/>
      <c r="H345" s="87"/>
    </row>
    <row r="346" spans="1:8" x14ac:dyDescent="0.2">
      <c r="A346" s="84"/>
      <c r="B346" s="85"/>
      <c r="C346" s="85"/>
      <c r="D346" s="85"/>
      <c r="E346" s="85"/>
      <c r="F346" s="85"/>
      <c r="G346" s="86"/>
      <c r="H346" s="87"/>
    </row>
    <row r="347" spans="1:8" x14ac:dyDescent="0.2">
      <c r="A347" s="84"/>
      <c r="B347" s="85"/>
      <c r="C347" s="85"/>
      <c r="D347" s="85"/>
      <c r="E347" s="85"/>
      <c r="F347" s="85"/>
      <c r="G347" s="86"/>
      <c r="H347" s="87"/>
    </row>
    <row r="348" spans="1:8" x14ac:dyDescent="0.2">
      <c r="A348" s="84"/>
      <c r="B348" s="85"/>
      <c r="C348" s="85"/>
      <c r="D348" s="85"/>
      <c r="E348" s="85"/>
      <c r="F348" s="85"/>
      <c r="G348" s="86"/>
      <c r="H348" s="87"/>
    </row>
    <row r="349" spans="1:8" x14ac:dyDescent="0.2">
      <c r="A349" s="84"/>
      <c r="B349" s="85"/>
      <c r="C349" s="85"/>
      <c r="D349" s="85"/>
      <c r="E349" s="85"/>
      <c r="F349" s="85"/>
      <c r="G349" s="86"/>
      <c r="H349" s="87"/>
    </row>
    <row r="350" spans="1:8" x14ac:dyDescent="0.2">
      <c r="A350" s="84"/>
      <c r="B350" s="85"/>
      <c r="C350" s="85"/>
      <c r="D350" s="85"/>
      <c r="E350" s="85"/>
      <c r="F350" s="85"/>
      <c r="G350" s="86"/>
      <c r="H350" s="87"/>
    </row>
    <row r="351" spans="1:8" x14ac:dyDescent="0.2">
      <c r="A351" s="84"/>
      <c r="B351" s="85"/>
      <c r="C351" s="85"/>
      <c r="D351" s="85"/>
      <c r="E351" s="85"/>
      <c r="F351" s="85"/>
      <c r="G351" s="86"/>
      <c r="H351" s="87"/>
    </row>
    <row r="352" spans="1:8" x14ac:dyDescent="0.2">
      <c r="A352" s="84"/>
      <c r="B352" s="85"/>
      <c r="C352" s="85"/>
      <c r="D352" s="85"/>
      <c r="E352" s="85"/>
      <c r="F352" s="85"/>
      <c r="G352" s="86"/>
      <c r="H352" s="87"/>
    </row>
    <row r="353" spans="1:8" x14ac:dyDescent="0.2">
      <c r="A353" s="84"/>
      <c r="B353" s="85"/>
      <c r="C353" s="85"/>
      <c r="D353" s="85"/>
      <c r="E353" s="85"/>
      <c r="F353" s="85"/>
      <c r="G353" s="86"/>
      <c r="H353" s="87"/>
    </row>
    <row r="354" spans="1:8" x14ac:dyDescent="0.2">
      <c r="A354" s="84"/>
      <c r="B354" s="85"/>
      <c r="C354" s="85"/>
      <c r="D354" s="85"/>
      <c r="E354" s="85"/>
      <c r="F354" s="85"/>
      <c r="G354" s="86"/>
      <c r="H354" s="87"/>
    </row>
    <row r="355" spans="1:8" x14ac:dyDescent="0.2">
      <c r="A355" s="84"/>
      <c r="B355" s="85"/>
      <c r="C355" s="85"/>
      <c r="D355" s="85"/>
      <c r="E355" s="85"/>
      <c r="F355" s="85"/>
      <c r="G355" s="86"/>
      <c r="H355" s="87"/>
    </row>
    <row r="356" spans="1:8" x14ac:dyDescent="0.2">
      <c r="A356" s="84"/>
      <c r="B356" s="85"/>
      <c r="C356" s="85"/>
      <c r="D356" s="85"/>
      <c r="E356" s="85"/>
      <c r="F356" s="85"/>
      <c r="G356" s="86"/>
      <c r="H356" s="87"/>
    </row>
    <row r="357" spans="1:8" x14ac:dyDescent="0.2">
      <c r="A357" s="84"/>
      <c r="B357" s="85"/>
      <c r="C357" s="85"/>
      <c r="D357" s="85"/>
      <c r="E357" s="85"/>
      <c r="F357" s="85"/>
      <c r="G357" s="86"/>
      <c r="H357" s="87"/>
    </row>
    <row r="358" spans="1:8" x14ac:dyDescent="0.2">
      <c r="A358" s="84"/>
      <c r="B358" s="85"/>
      <c r="C358" s="85"/>
      <c r="D358" s="85"/>
      <c r="E358" s="85"/>
      <c r="F358" s="85"/>
      <c r="G358" s="86"/>
      <c r="H358" s="87"/>
    </row>
    <row r="359" spans="1:8" x14ac:dyDescent="0.2">
      <c r="A359" s="84"/>
      <c r="B359" s="85"/>
      <c r="C359" s="85"/>
      <c r="D359" s="85"/>
      <c r="E359" s="85"/>
      <c r="F359" s="85"/>
      <c r="G359" s="86"/>
      <c r="H359" s="87"/>
    </row>
    <row r="360" spans="1:8" x14ac:dyDescent="0.2">
      <c r="A360" s="84"/>
      <c r="B360" s="85"/>
      <c r="C360" s="85"/>
      <c r="D360" s="85"/>
      <c r="E360" s="85"/>
      <c r="F360" s="85"/>
      <c r="G360" s="86"/>
      <c r="H360" s="87"/>
    </row>
    <row r="361" spans="1:8" x14ac:dyDescent="0.2">
      <c r="A361" s="84"/>
      <c r="B361" s="85"/>
      <c r="C361" s="85"/>
      <c r="D361" s="85"/>
      <c r="E361" s="85"/>
      <c r="F361" s="85"/>
      <c r="G361" s="86"/>
      <c r="H361" s="87"/>
    </row>
    <row r="362" spans="1:8" x14ac:dyDescent="0.2">
      <c r="A362" s="84"/>
      <c r="B362" s="85"/>
      <c r="C362" s="85"/>
      <c r="D362" s="85"/>
      <c r="E362" s="85"/>
      <c r="F362" s="85"/>
      <c r="G362" s="86"/>
      <c r="H362" s="87"/>
    </row>
    <row r="363" spans="1:8" x14ac:dyDescent="0.2">
      <c r="A363" s="84"/>
      <c r="B363" s="85"/>
      <c r="C363" s="85"/>
      <c r="D363" s="85"/>
      <c r="E363" s="85"/>
      <c r="F363" s="85"/>
      <c r="G363" s="86"/>
      <c r="H363" s="87"/>
    </row>
    <row r="364" spans="1:8" x14ac:dyDescent="0.2">
      <c r="A364" s="84"/>
      <c r="B364" s="85"/>
      <c r="C364" s="85"/>
      <c r="D364" s="85"/>
      <c r="E364" s="85"/>
      <c r="F364" s="85"/>
      <c r="G364" s="86"/>
      <c r="H364" s="87"/>
    </row>
    <row r="365" spans="1:8" x14ac:dyDescent="0.2">
      <c r="A365" s="84"/>
      <c r="B365" s="85"/>
      <c r="C365" s="85"/>
      <c r="D365" s="85"/>
      <c r="E365" s="85"/>
      <c r="F365" s="85"/>
      <c r="G365" s="86"/>
      <c r="H365" s="87"/>
    </row>
    <row r="366" spans="1:8" x14ac:dyDescent="0.2">
      <c r="A366" s="84"/>
      <c r="B366" s="85"/>
      <c r="C366" s="85"/>
      <c r="D366" s="85"/>
      <c r="E366" s="85"/>
      <c r="F366" s="85"/>
      <c r="G366" s="86"/>
      <c r="H366" s="87"/>
    </row>
    <row r="367" spans="1:8" x14ac:dyDescent="0.2">
      <c r="A367" s="84"/>
      <c r="B367" s="85"/>
      <c r="C367" s="85"/>
      <c r="D367" s="85"/>
      <c r="E367" s="85"/>
      <c r="F367" s="85"/>
      <c r="G367" s="86"/>
      <c r="H367" s="87"/>
    </row>
    <row r="368" spans="1:8" x14ac:dyDescent="0.2">
      <c r="A368" s="84"/>
      <c r="B368" s="85"/>
      <c r="C368" s="85"/>
      <c r="D368" s="85"/>
      <c r="E368" s="85"/>
      <c r="F368" s="85"/>
      <c r="G368" s="86"/>
      <c r="H368" s="87"/>
    </row>
    <row r="369" spans="1:8" x14ac:dyDescent="0.2">
      <c r="A369" s="84"/>
      <c r="B369" s="85"/>
      <c r="C369" s="85"/>
      <c r="D369" s="85"/>
      <c r="E369" s="85"/>
      <c r="F369" s="85"/>
      <c r="G369" s="86"/>
      <c r="H369" s="87"/>
    </row>
    <row r="370" spans="1:8" x14ac:dyDescent="0.2">
      <c r="A370" s="84"/>
      <c r="B370" s="85"/>
      <c r="C370" s="85"/>
      <c r="D370" s="85"/>
      <c r="E370" s="85"/>
      <c r="F370" s="85"/>
      <c r="G370" s="86"/>
      <c r="H370" s="87"/>
    </row>
    <row r="371" spans="1:8" x14ac:dyDescent="0.2">
      <c r="A371" s="84"/>
      <c r="B371" s="85"/>
      <c r="C371" s="85"/>
      <c r="D371" s="85"/>
      <c r="E371" s="85"/>
      <c r="F371" s="85"/>
      <c r="G371" s="86"/>
      <c r="H371" s="87"/>
    </row>
    <row r="372" spans="1:8" x14ac:dyDescent="0.2">
      <c r="A372" s="84"/>
      <c r="B372" s="85"/>
      <c r="C372" s="85"/>
      <c r="D372" s="85"/>
      <c r="E372" s="85"/>
      <c r="F372" s="85"/>
      <c r="G372" s="86"/>
      <c r="H372" s="87"/>
    </row>
    <row r="373" spans="1:8" x14ac:dyDescent="0.2">
      <c r="A373" s="84"/>
      <c r="B373" s="85"/>
      <c r="C373" s="85"/>
      <c r="D373" s="85"/>
      <c r="E373" s="85"/>
      <c r="F373" s="85"/>
      <c r="G373" s="86"/>
      <c r="H373" s="87"/>
    </row>
    <row r="374" spans="1:8" x14ac:dyDescent="0.2">
      <c r="A374" s="84"/>
      <c r="B374" s="85"/>
      <c r="C374" s="85"/>
      <c r="D374" s="85"/>
      <c r="E374" s="85"/>
      <c r="F374" s="85"/>
      <c r="G374" s="86"/>
      <c r="H374" s="87"/>
    </row>
    <row r="375" spans="1:8" x14ac:dyDescent="0.2">
      <c r="A375" s="84"/>
      <c r="B375" s="85"/>
      <c r="C375" s="85"/>
      <c r="D375" s="85"/>
      <c r="E375" s="85"/>
      <c r="F375" s="85"/>
      <c r="G375" s="86"/>
      <c r="H375" s="87"/>
    </row>
    <row r="376" spans="1:8" x14ac:dyDescent="0.2">
      <c r="A376" s="84"/>
      <c r="B376" s="85"/>
      <c r="C376" s="85"/>
      <c r="D376" s="85"/>
      <c r="E376" s="85"/>
      <c r="F376" s="85"/>
      <c r="G376" s="86"/>
      <c r="H376" s="87"/>
    </row>
    <row r="377" spans="1:8" x14ac:dyDescent="0.2">
      <c r="A377" s="84"/>
      <c r="B377" s="85"/>
      <c r="C377" s="85"/>
      <c r="D377" s="85"/>
      <c r="E377" s="85"/>
      <c r="F377" s="85"/>
      <c r="G377" s="86"/>
      <c r="H377" s="87"/>
    </row>
    <row r="378" spans="1:8" x14ac:dyDescent="0.2">
      <c r="A378" s="84"/>
      <c r="B378" s="85"/>
      <c r="C378" s="85"/>
      <c r="D378" s="85"/>
      <c r="E378" s="85"/>
      <c r="F378" s="85"/>
      <c r="G378" s="86"/>
      <c r="H378" s="87"/>
    </row>
    <row r="379" spans="1:8" x14ac:dyDescent="0.2">
      <c r="A379" s="84"/>
      <c r="B379" s="85"/>
      <c r="C379" s="85"/>
      <c r="D379" s="85"/>
      <c r="E379" s="85"/>
      <c r="F379" s="85"/>
      <c r="G379" s="86"/>
      <c r="H379" s="87"/>
    </row>
    <row r="380" spans="1:8" x14ac:dyDescent="0.2">
      <c r="A380" s="84"/>
      <c r="B380" s="85"/>
      <c r="C380" s="85"/>
      <c r="D380" s="85"/>
      <c r="E380" s="85"/>
      <c r="F380" s="85"/>
      <c r="G380" s="86"/>
      <c r="H380" s="87"/>
    </row>
    <row r="381" spans="1:8" x14ac:dyDescent="0.2">
      <c r="A381" s="84"/>
      <c r="B381" s="85"/>
      <c r="C381" s="85"/>
      <c r="D381" s="85"/>
      <c r="E381" s="85"/>
      <c r="F381" s="85"/>
      <c r="G381" s="86"/>
      <c r="H381" s="87"/>
    </row>
    <row r="382" spans="1:8" x14ac:dyDescent="0.2">
      <c r="A382" s="84"/>
      <c r="B382" s="85"/>
      <c r="C382" s="85"/>
      <c r="D382" s="85"/>
      <c r="E382" s="85"/>
      <c r="F382" s="85"/>
      <c r="G382" s="86"/>
      <c r="H382" s="87"/>
    </row>
    <row r="383" spans="1:8" x14ac:dyDescent="0.2">
      <c r="A383" s="84"/>
      <c r="B383" s="85"/>
      <c r="C383" s="85"/>
      <c r="D383" s="85"/>
      <c r="E383" s="85"/>
      <c r="F383" s="85"/>
      <c r="G383" s="86"/>
      <c r="H383" s="87"/>
    </row>
    <row r="384" spans="1:8" x14ac:dyDescent="0.2">
      <c r="A384" s="84"/>
      <c r="B384" s="85"/>
      <c r="C384" s="85"/>
      <c r="D384" s="85"/>
      <c r="E384" s="85"/>
      <c r="F384" s="85"/>
      <c r="G384" s="86"/>
      <c r="H384" s="87"/>
    </row>
    <row r="385" spans="1:8" x14ac:dyDescent="0.2">
      <c r="A385" s="84"/>
      <c r="B385" s="85"/>
      <c r="C385" s="85"/>
      <c r="D385" s="85"/>
      <c r="E385" s="85"/>
      <c r="F385" s="85"/>
      <c r="G385" s="86"/>
      <c r="H385" s="87"/>
    </row>
    <row r="386" spans="1:8" x14ac:dyDescent="0.2">
      <c r="A386" s="84"/>
      <c r="B386" s="85"/>
      <c r="C386" s="85"/>
      <c r="D386" s="85"/>
      <c r="E386" s="85"/>
      <c r="F386" s="85"/>
      <c r="G386" s="86"/>
      <c r="H386" s="87"/>
    </row>
    <row r="387" spans="1:8" x14ac:dyDescent="0.2">
      <c r="A387" s="84"/>
      <c r="B387" s="85"/>
      <c r="C387" s="85"/>
      <c r="D387" s="85"/>
      <c r="E387" s="85"/>
      <c r="F387" s="85"/>
      <c r="G387" s="86"/>
      <c r="H387" s="87"/>
    </row>
    <row r="388" spans="1:8" x14ac:dyDescent="0.2">
      <c r="A388" s="84"/>
      <c r="B388" s="85"/>
      <c r="C388" s="85"/>
      <c r="D388" s="85"/>
      <c r="E388" s="85"/>
      <c r="F388" s="85"/>
      <c r="G388" s="86"/>
      <c r="H388" s="87"/>
    </row>
    <row r="389" spans="1:8" x14ac:dyDescent="0.2">
      <c r="A389" s="84"/>
      <c r="B389" s="85"/>
      <c r="C389" s="85"/>
      <c r="D389" s="85"/>
      <c r="E389" s="85"/>
      <c r="F389" s="85"/>
      <c r="G389" s="86"/>
      <c r="H389" s="87"/>
    </row>
    <row r="390" spans="1:8" x14ac:dyDescent="0.2">
      <c r="A390" s="84"/>
      <c r="B390" s="85"/>
      <c r="C390" s="85"/>
      <c r="D390" s="85"/>
      <c r="E390" s="85"/>
      <c r="F390" s="85"/>
      <c r="G390" s="86"/>
      <c r="H390" s="87"/>
    </row>
    <row r="391" spans="1:8" x14ac:dyDescent="0.2">
      <c r="A391" s="84"/>
      <c r="B391" s="85"/>
      <c r="C391" s="85"/>
      <c r="D391" s="85"/>
      <c r="E391" s="85"/>
      <c r="F391" s="85"/>
      <c r="G391" s="86"/>
      <c r="H391" s="87"/>
    </row>
    <row r="392" spans="1:8" x14ac:dyDescent="0.2">
      <c r="A392" s="84"/>
      <c r="B392" s="85"/>
      <c r="C392" s="85"/>
      <c r="D392" s="85"/>
      <c r="E392" s="85"/>
      <c r="F392" s="85"/>
      <c r="G392" s="86"/>
      <c r="H392" s="87"/>
    </row>
    <row r="393" spans="1:8" x14ac:dyDescent="0.2">
      <c r="A393" s="84"/>
      <c r="B393" s="85"/>
      <c r="C393" s="85"/>
      <c r="D393" s="85"/>
      <c r="E393" s="85"/>
      <c r="F393" s="85"/>
      <c r="G393" s="86"/>
      <c r="H393" s="87"/>
    </row>
    <row r="394" spans="1:8" x14ac:dyDescent="0.2">
      <c r="A394" s="84"/>
      <c r="B394" s="85"/>
      <c r="C394" s="85"/>
      <c r="D394" s="85"/>
      <c r="E394" s="85"/>
      <c r="F394" s="85"/>
      <c r="G394" s="86"/>
      <c r="H394" s="87"/>
    </row>
    <row r="395" spans="1:8" x14ac:dyDescent="0.2">
      <c r="A395" s="84"/>
      <c r="B395" s="85"/>
      <c r="C395" s="85"/>
      <c r="D395" s="85"/>
      <c r="E395" s="85"/>
      <c r="F395" s="85"/>
      <c r="G395" s="86"/>
      <c r="H395" s="87"/>
    </row>
    <row r="396" spans="1:8" x14ac:dyDescent="0.2">
      <c r="A396" s="84"/>
      <c r="B396" s="85"/>
      <c r="C396" s="85"/>
      <c r="D396" s="85"/>
      <c r="E396" s="85"/>
      <c r="F396" s="85"/>
      <c r="G396" s="86"/>
      <c r="H396" s="87"/>
    </row>
    <row r="397" spans="1:8" x14ac:dyDescent="0.2">
      <c r="A397" s="84"/>
      <c r="B397" s="85"/>
      <c r="C397" s="85"/>
      <c r="D397" s="85"/>
      <c r="E397" s="85"/>
      <c r="F397" s="85"/>
      <c r="G397" s="86"/>
      <c r="H397" s="87"/>
    </row>
    <row r="398" spans="1:8" x14ac:dyDescent="0.2">
      <c r="A398" s="84"/>
      <c r="B398" s="85"/>
      <c r="C398" s="85"/>
      <c r="D398" s="85"/>
      <c r="E398" s="85"/>
      <c r="F398" s="85"/>
      <c r="G398" s="86"/>
      <c r="H398" s="87"/>
    </row>
    <row r="399" spans="1:8" x14ac:dyDescent="0.2">
      <c r="A399" s="84"/>
      <c r="B399" s="85"/>
      <c r="C399" s="85"/>
      <c r="D399" s="85"/>
      <c r="E399" s="85"/>
      <c r="F399" s="85"/>
      <c r="G399" s="86"/>
      <c r="H399" s="87"/>
    </row>
    <row r="400" spans="1:8" x14ac:dyDescent="0.2">
      <c r="A400" s="84"/>
      <c r="B400" s="85"/>
      <c r="C400" s="85"/>
      <c r="D400" s="85"/>
      <c r="E400" s="85"/>
      <c r="F400" s="85"/>
      <c r="G400" s="86"/>
      <c r="H400" s="87"/>
    </row>
    <row r="401" spans="1:8" x14ac:dyDescent="0.2">
      <c r="A401" s="84"/>
      <c r="B401" s="85"/>
      <c r="C401" s="85"/>
      <c r="D401" s="85"/>
      <c r="E401" s="85"/>
      <c r="F401" s="85"/>
      <c r="G401" s="86"/>
      <c r="H401" s="87"/>
    </row>
    <row r="402" spans="1:8" x14ac:dyDescent="0.2">
      <c r="A402" s="84"/>
      <c r="B402" s="85"/>
      <c r="C402" s="85"/>
      <c r="D402" s="85"/>
      <c r="E402" s="85"/>
      <c r="F402" s="85"/>
      <c r="G402" s="86"/>
      <c r="H402" s="87"/>
    </row>
    <row r="403" spans="1:8" x14ac:dyDescent="0.2">
      <c r="A403" s="84"/>
      <c r="B403" s="85"/>
      <c r="C403" s="85"/>
      <c r="D403" s="85"/>
      <c r="E403" s="85"/>
      <c r="F403" s="85"/>
      <c r="G403" s="86"/>
      <c r="H403" s="87"/>
    </row>
    <row r="404" spans="1:8" x14ac:dyDescent="0.2">
      <c r="A404" s="84"/>
      <c r="B404" s="85"/>
      <c r="C404" s="85"/>
      <c r="D404" s="85"/>
      <c r="E404" s="85"/>
      <c r="F404" s="85"/>
      <c r="G404" s="86"/>
      <c r="H404" s="87"/>
    </row>
    <row r="405" spans="1:8" x14ac:dyDescent="0.2">
      <c r="A405" s="84"/>
      <c r="B405" s="85"/>
      <c r="C405" s="85"/>
      <c r="D405" s="85"/>
      <c r="E405" s="85"/>
      <c r="F405" s="85"/>
      <c r="G405" s="86"/>
      <c r="H405" s="87"/>
    </row>
    <row r="406" spans="1:8" x14ac:dyDescent="0.2">
      <c r="A406" s="84"/>
      <c r="B406" s="85"/>
      <c r="C406" s="85"/>
      <c r="D406" s="85"/>
      <c r="E406" s="85"/>
      <c r="F406" s="85"/>
      <c r="G406" s="86"/>
      <c r="H406" s="87"/>
    </row>
    <row r="407" spans="1:8" x14ac:dyDescent="0.2">
      <c r="A407" s="84"/>
      <c r="B407" s="85"/>
      <c r="C407" s="85"/>
      <c r="D407" s="85"/>
      <c r="E407" s="85"/>
      <c r="F407" s="85"/>
      <c r="G407" s="86"/>
      <c r="H407" s="87"/>
    </row>
    <row r="408" spans="1:8" x14ac:dyDescent="0.2">
      <c r="A408" s="84"/>
      <c r="B408" s="85"/>
      <c r="C408" s="85"/>
      <c r="D408" s="85"/>
      <c r="E408" s="85"/>
      <c r="F408" s="85"/>
      <c r="G408" s="86"/>
      <c r="H408" s="87"/>
    </row>
    <row r="409" spans="1:8" x14ac:dyDescent="0.2">
      <c r="A409" s="84"/>
      <c r="B409" s="85"/>
      <c r="C409" s="85"/>
      <c r="D409" s="85"/>
      <c r="E409" s="85"/>
      <c r="F409" s="85"/>
      <c r="G409" s="86"/>
      <c r="H409" s="87"/>
    </row>
    <row r="410" spans="1:8" x14ac:dyDescent="0.2">
      <c r="A410" s="84"/>
      <c r="B410" s="85"/>
      <c r="C410" s="85"/>
      <c r="D410" s="85"/>
      <c r="E410" s="85"/>
      <c r="F410" s="85"/>
      <c r="G410" s="86"/>
      <c r="H410" s="87"/>
    </row>
    <row r="411" spans="1:8" x14ac:dyDescent="0.2">
      <c r="A411" s="84"/>
      <c r="B411" s="85"/>
      <c r="C411" s="85"/>
      <c r="D411" s="85"/>
      <c r="E411" s="85"/>
      <c r="F411" s="85"/>
      <c r="G411" s="86"/>
      <c r="H411" s="87"/>
    </row>
    <row r="412" spans="1:8" x14ac:dyDescent="0.2">
      <c r="A412" s="84"/>
      <c r="B412" s="85"/>
      <c r="C412" s="85"/>
      <c r="D412" s="85"/>
      <c r="E412" s="85"/>
      <c r="F412" s="85"/>
      <c r="G412" s="86"/>
      <c r="H412" s="87"/>
    </row>
    <row r="413" spans="1:8" x14ac:dyDescent="0.2">
      <c r="A413" s="84"/>
      <c r="B413" s="85"/>
      <c r="C413" s="85"/>
      <c r="D413" s="85"/>
      <c r="E413" s="85"/>
      <c r="F413" s="85"/>
      <c r="G413" s="86"/>
      <c r="H413" s="87"/>
    </row>
    <row r="414" spans="1:8" x14ac:dyDescent="0.2">
      <c r="A414" s="84"/>
      <c r="B414" s="85"/>
      <c r="C414" s="85"/>
      <c r="D414" s="85"/>
      <c r="E414" s="85"/>
      <c r="F414" s="85"/>
      <c r="G414" s="86"/>
      <c r="H414" s="87"/>
    </row>
    <row r="415" spans="1:8" x14ac:dyDescent="0.2">
      <c r="A415" s="84"/>
      <c r="B415" s="85"/>
      <c r="C415" s="85"/>
      <c r="D415" s="85"/>
      <c r="E415" s="85"/>
      <c r="F415" s="85"/>
      <c r="G415" s="86"/>
      <c r="H415" s="87"/>
    </row>
    <row r="416" spans="1:8" x14ac:dyDescent="0.2">
      <c r="A416" s="84"/>
      <c r="B416" s="85"/>
      <c r="C416" s="85"/>
      <c r="D416" s="85"/>
      <c r="E416" s="85"/>
      <c r="F416" s="85"/>
      <c r="G416" s="86"/>
      <c r="H416" s="87"/>
    </row>
    <row r="417" spans="1:8" x14ac:dyDescent="0.2">
      <c r="A417" s="84"/>
      <c r="B417" s="85"/>
      <c r="C417" s="85"/>
      <c r="D417" s="85"/>
      <c r="E417" s="85"/>
      <c r="F417" s="85"/>
      <c r="G417" s="86"/>
      <c r="H417" s="87"/>
    </row>
    <row r="418" spans="1:8" x14ac:dyDescent="0.2">
      <c r="A418" s="84"/>
      <c r="B418" s="85"/>
      <c r="C418" s="85"/>
      <c r="D418" s="85"/>
      <c r="E418" s="85"/>
      <c r="F418" s="85"/>
      <c r="G418" s="86"/>
      <c r="H418" s="87"/>
    </row>
    <row r="419" spans="1:8" x14ac:dyDescent="0.2">
      <c r="A419" s="84"/>
      <c r="B419" s="85"/>
      <c r="C419" s="85"/>
      <c r="D419" s="85"/>
      <c r="E419" s="85"/>
      <c r="F419" s="85"/>
      <c r="G419" s="86"/>
      <c r="H419" s="87"/>
    </row>
    <row r="420" spans="1:8" x14ac:dyDescent="0.2">
      <c r="A420" s="84"/>
      <c r="B420" s="85"/>
      <c r="C420" s="85"/>
      <c r="D420" s="85"/>
      <c r="E420" s="85"/>
      <c r="F420" s="85"/>
      <c r="G420" s="86"/>
      <c r="H420" s="87"/>
    </row>
    <row r="421" spans="1:8" x14ac:dyDescent="0.2">
      <c r="A421" s="84"/>
      <c r="B421" s="85"/>
      <c r="C421" s="85"/>
      <c r="D421" s="85"/>
      <c r="E421" s="85"/>
      <c r="F421" s="85"/>
      <c r="G421" s="86"/>
      <c r="H421" s="87"/>
    </row>
    <row r="422" spans="1:8" x14ac:dyDescent="0.2">
      <c r="A422" s="84"/>
      <c r="B422" s="85"/>
      <c r="C422" s="85"/>
      <c r="D422" s="85"/>
      <c r="E422" s="85"/>
      <c r="F422" s="85"/>
      <c r="G422" s="86"/>
      <c r="H422" s="87"/>
    </row>
    <row r="423" spans="1:8" x14ac:dyDescent="0.2">
      <c r="A423" s="84"/>
      <c r="B423" s="85"/>
      <c r="C423" s="85"/>
      <c r="D423" s="85"/>
      <c r="E423" s="85"/>
      <c r="F423" s="85"/>
      <c r="G423" s="86"/>
      <c r="H423" s="87"/>
    </row>
    <row r="424" spans="1:8" x14ac:dyDescent="0.2">
      <c r="A424" s="84"/>
      <c r="B424" s="85"/>
      <c r="C424" s="85"/>
      <c r="D424" s="85"/>
      <c r="E424" s="85"/>
      <c r="F424" s="85"/>
      <c r="G424" s="86"/>
      <c r="H424" s="87"/>
    </row>
    <row r="425" spans="1:8" x14ac:dyDescent="0.2">
      <c r="A425" s="84"/>
      <c r="B425" s="85"/>
      <c r="C425" s="85"/>
      <c r="D425" s="85"/>
      <c r="E425" s="85"/>
      <c r="F425" s="85"/>
      <c r="G425" s="86"/>
      <c r="H425" s="87"/>
    </row>
    <row r="426" spans="1:8" x14ac:dyDescent="0.2">
      <c r="A426" s="84"/>
      <c r="B426" s="85"/>
      <c r="C426" s="85"/>
      <c r="D426" s="85"/>
      <c r="E426" s="85"/>
      <c r="F426" s="85"/>
      <c r="G426" s="86"/>
      <c r="H426" s="87"/>
    </row>
    <row r="427" spans="1:8" x14ac:dyDescent="0.2">
      <c r="A427" s="84"/>
      <c r="B427" s="85"/>
      <c r="C427" s="85"/>
      <c r="D427" s="85"/>
      <c r="E427" s="85"/>
      <c r="F427" s="85"/>
      <c r="G427" s="86"/>
      <c r="H427" s="87"/>
    </row>
    <row r="428" spans="1:8" x14ac:dyDescent="0.2">
      <c r="A428" s="84"/>
      <c r="B428" s="85"/>
      <c r="C428" s="85"/>
      <c r="D428" s="85"/>
      <c r="E428" s="85"/>
      <c r="F428" s="85"/>
      <c r="G428" s="86"/>
      <c r="H428" s="87"/>
    </row>
    <row r="429" spans="1:8" x14ac:dyDescent="0.2">
      <c r="A429" s="84"/>
      <c r="B429" s="85"/>
      <c r="C429" s="85"/>
      <c r="D429" s="85"/>
      <c r="E429" s="85"/>
      <c r="F429" s="85"/>
      <c r="G429" s="86"/>
      <c r="H429" s="87"/>
    </row>
    <row r="430" spans="1:8" x14ac:dyDescent="0.2">
      <c r="A430" s="84"/>
      <c r="B430" s="85"/>
      <c r="C430" s="85"/>
      <c r="D430" s="85"/>
      <c r="E430" s="85"/>
      <c r="F430" s="85"/>
      <c r="G430" s="86"/>
      <c r="H430" s="87"/>
    </row>
    <row r="431" spans="1:8" x14ac:dyDescent="0.2">
      <c r="A431" s="84"/>
      <c r="B431" s="85"/>
      <c r="C431" s="85"/>
      <c r="D431" s="85"/>
      <c r="E431" s="85"/>
      <c r="F431" s="85"/>
      <c r="G431" s="86"/>
      <c r="H431" s="87"/>
    </row>
    <row r="432" spans="1:8" x14ac:dyDescent="0.2">
      <c r="A432" s="84"/>
      <c r="B432" s="85"/>
      <c r="C432" s="85"/>
      <c r="D432" s="85"/>
      <c r="E432" s="85"/>
      <c r="F432" s="85"/>
      <c r="G432" s="86"/>
      <c r="H432" s="87"/>
    </row>
    <row r="433" spans="1:8" x14ac:dyDescent="0.2">
      <c r="A433" s="84"/>
      <c r="B433" s="85"/>
      <c r="C433" s="85"/>
      <c r="D433" s="85"/>
      <c r="E433" s="85"/>
      <c r="F433" s="85"/>
      <c r="G433" s="86"/>
      <c r="H433" s="87"/>
    </row>
    <row r="434" spans="1:8" x14ac:dyDescent="0.2">
      <c r="A434" s="84"/>
      <c r="B434" s="85"/>
      <c r="C434" s="85"/>
      <c r="D434" s="85"/>
      <c r="E434" s="85"/>
      <c r="F434" s="85"/>
      <c r="G434" s="86"/>
      <c r="H434" s="87"/>
    </row>
    <row r="435" spans="1:8" x14ac:dyDescent="0.2">
      <c r="A435" s="84"/>
      <c r="B435" s="85"/>
      <c r="C435" s="85"/>
      <c r="D435" s="85"/>
      <c r="E435" s="85"/>
      <c r="F435" s="85"/>
      <c r="G435" s="86"/>
      <c r="H435" s="87"/>
    </row>
    <row r="436" spans="1:8" x14ac:dyDescent="0.2">
      <c r="A436" s="84"/>
      <c r="B436" s="85"/>
      <c r="C436" s="85"/>
      <c r="D436" s="85"/>
      <c r="E436" s="85"/>
      <c r="F436" s="85"/>
      <c r="G436" s="86"/>
      <c r="H436" s="87"/>
    </row>
    <row r="437" spans="1:8" x14ac:dyDescent="0.2">
      <c r="A437" s="84"/>
      <c r="B437" s="85"/>
      <c r="C437" s="85"/>
      <c r="D437" s="85"/>
      <c r="E437" s="85"/>
      <c r="F437" s="85"/>
      <c r="G437" s="86"/>
      <c r="H437" s="87"/>
    </row>
    <row r="438" spans="1:8" x14ac:dyDescent="0.2">
      <c r="A438" s="84"/>
      <c r="B438" s="85"/>
      <c r="C438" s="85"/>
      <c r="D438" s="85"/>
      <c r="E438" s="85"/>
      <c r="F438" s="85"/>
      <c r="G438" s="86"/>
      <c r="H438" s="87"/>
    </row>
    <row r="439" spans="1:8" x14ac:dyDescent="0.2">
      <c r="A439" s="84"/>
      <c r="B439" s="85"/>
      <c r="C439" s="85"/>
      <c r="D439" s="85"/>
      <c r="E439" s="85"/>
      <c r="F439" s="85"/>
      <c r="G439" s="86"/>
      <c r="H439" s="87"/>
    </row>
    <row r="440" spans="1:8" x14ac:dyDescent="0.2">
      <c r="A440" s="84"/>
      <c r="B440" s="85"/>
      <c r="C440" s="85"/>
      <c r="D440" s="85"/>
      <c r="E440" s="85"/>
      <c r="F440" s="85"/>
      <c r="G440" s="86"/>
      <c r="H440" s="87"/>
    </row>
    <row r="441" spans="1:8" x14ac:dyDescent="0.2">
      <c r="A441" s="84"/>
      <c r="B441" s="85"/>
      <c r="C441" s="85"/>
      <c r="D441" s="85"/>
      <c r="E441" s="85"/>
      <c r="F441" s="85"/>
      <c r="G441" s="86"/>
      <c r="H441" s="87"/>
    </row>
    <row r="442" spans="1:8" x14ac:dyDescent="0.2">
      <c r="A442" s="84"/>
      <c r="B442" s="85"/>
      <c r="C442" s="85"/>
      <c r="D442" s="85"/>
      <c r="E442" s="85"/>
      <c r="F442" s="85"/>
      <c r="G442" s="86"/>
      <c r="H442" s="87"/>
    </row>
    <row r="443" spans="1:8" x14ac:dyDescent="0.2">
      <c r="A443" s="84"/>
      <c r="B443" s="85"/>
      <c r="C443" s="85"/>
      <c r="D443" s="85"/>
      <c r="E443" s="85"/>
      <c r="F443" s="85"/>
      <c r="G443" s="86"/>
      <c r="H443" s="87"/>
    </row>
    <row r="444" spans="1:8" x14ac:dyDescent="0.2">
      <c r="A444" s="84"/>
      <c r="B444" s="85"/>
      <c r="C444" s="85"/>
      <c r="D444" s="85"/>
      <c r="E444" s="85"/>
      <c r="F444" s="85"/>
      <c r="G444" s="86"/>
      <c r="H444" s="87"/>
    </row>
    <row r="445" spans="1:8" x14ac:dyDescent="0.2">
      <c r="A445" s="84"/>
      <c r="B445" s="85"/>
      <c r="C445" s="85"/>
      <c r="D445" s="85"/>
      <c r="E445" s="85"/>
      <c r="F445" s="85"/>
      <c r="G445" s="86"/>
      <c r="H445" s="87"/>
    </row>
    <row r="446" spans="1:8" x14ac:dyDescent="0.2">
      <c r="A446" s="84"/>
      <c r="B446" s="85"/>
      <c r="C446" s="85"/>
      <c r="D446" s="85"/>
      <c r="E446" s="85"/>
      <c r="F446" s="85"/>
      <c r="G446" s="86"/>
      <c r="H446" s="87"/>
    </row>
    <row r="447" spans="1:8" x14ac:dyDescent="0.2">
      <c r="A447" s="84"/>
      <c r="B447" s="85"/>
      <c r="C447" s="85"/>
      <c r="D447" s="85"/>
      <c r="E447" s="85"/>
      <c r="F447" s="85"/>
      <c r="G447" s="86"/>
      <c r="H447" s="87"/>
    </row>
    <row r="448" spans="1:8" x14ac:dyDescent="0.2">
      <c r="A448" s="84"/>
      <c r="B448" s="85"/>
      <c r="C448" s="85"/>
      <c r="D448" s="85"/>
      <c r="E448" s="85"/>
      <c r="F448" s="85"/>
      <c r="G448" s="86"/>
      <c r="H448" s="87"/>
    </row>
    <row r="449" spans="1:8" x14ac:dyDescent="0.2">
      <c r="A449" s="84"/>
      <c r="B449" s="85"/>
      <c r="C449" s="85"/>
      <c r="D449" s="85"/>
      <c r="E449" s="85"/>
      <c r="F449" s="85"/>
      <c r="G449" s="86"/>
      <c r="H449" s="87"/>
    </row>
    <row r="450" spans="1:8" x14ac:dyDescent="0.2">
      <c r="A450" s="84"/>
      <c r="B450" s="85"/>
      <c r="C450" s="85"/>
      <c r="D450" s="85"/>
      <c r="E450" s="85"/>
      <c r="F450" s="85"/>
      <c r="G450" s="86"/>
      <c r="H450" s="87"/>
    </row>
    <row r="451" spans="1:8" x14ac:dyDescent="0.2">
      <c r="A451" s="84"/>
      <c r="B451" s="85"/>
      <c r="C451" s="85"/>
      <c r="D451" s="85"/>
      <c r="E451" s="85"/>
      <c r="F451" s="85"/>
      <c r="G451" s="86"/>
      <c r="H451" s="87"/>
    </row>
    <row r="452" spans="1:8" x14ac:dyDescent="0.2">
      <c r="A452" s="84"/>
      <c r="B452" s="85"/>
      <c r="C452" s="85"/>
      <c r="D452" s="85"/>
      <c r="E452" s="85"/>
      <c r="F452" s="85"/>
      <c r="G452" s="86"/>
      <c r="H452" s="87"/>
    </row>
    <row r="453" spans="1:8" x14ac:dyDescent="0.2">
      <c r="A453" s="84"/>
      <c r="B453" s="85"/>
      <c r="C453" s="85"/>
      <c r="D453" s="85"/>
      <c r="E453" s="85"/>
      <c r="F453" s="85"/>
      <c r="G453" s="86"/>
      <c r="H453" s="87"/>
    </row>
    <row r="454" spans="1:8" x14ac:dyDescent="0.2">
      <c r="A454" s="84"/>
      <c r="B454" s="85"/>
      <c r="C454" s="85"/>
      <c r="D454" s="85"/>
      <c r="E454" s="85"/>
      <c r="F454" s="85"/>
      <c r="G454" s="86"/>
      <c r="H454" s="87"/>
    </row>
    <row r="455" spans="1:8" x14ac:dyDescent="0.2">
      <c r="A455" s="84"/>
      <c r="B455" s="85"/>
      <c r="C455" s="85"/>
      <c r="D455" s="85"/>
      <c r="E455" s="85"/>
      <c r="F455" s="85"/>
      <c r="G455" s="86"/>
      <c r="H455" s="87"/>
    </row>
    <row r="456" spans="1:8" x14ac:dyDescent="0.2">
      <c r="A456" s="84"/>
      <c r="B456" s="85"/>
      <c r="C456" s="85"/>
      <c r="D456" s="85"/>
      <c r="E456" s="85"/>
      <c r="F456" s="85"/>
      <c r="G456" s="86"/>
      <c r="H456" s="87"/>
    </row>
    <row r="457" spans="1:8" x14ac:dyDescent="0.2">
      <c r="A457" s="84"/>
      <c r="B457" s="85"/>
      <c r="C457" s="85"/>
      <c r="D457" s="85"/>
      <c r="E457" s="85"/>
      <c r="F457" s="85"/>
      <c r="G457" s="86"/>
      <c r="H457" s="87"/>
    </row>
    <row r="458" spans="1:8" x14ac:dyDescent="0.2">
      <c r="A458" s="84"/>
      <c r="B458" s="85"/>
      <c r="C458" s="85"/>
      <c r="D458" s="85"/>
      <c r="E458" s="85"/>
      <c r="F458" s="85"/>
      <c r="G458" s="86"/>
      <c r="H458" s="87"/>
    </row>
    <row r="459" spans="1:8" x14ac:dyDescent="0.2">
      <c r="A459" s="84"/>
      <c r="B459" s="85"/>
      <c r="C459" s="85"/>
      <c r="D459" s="85"/>
      <c r="E459" s="85"/>
      <c r="F459" s="85"/>
      <c r="G459" s="86"/>
      <c r="H459" s="87"/>
    </row>
    <row r="460" spans="1:8" x14ac:dyDescent="0.2">
      <c r="A460" s="84"/>
      <c r="B460" s="85"/>
      <c r="C460" s="85"/>
      <c r="D460" s="85"/>
      <c r="E460" s="85"/>
      <c r="F460" s="85"/>
      <c r="G460" s="86"/>
      <c r="H460" s="87"/>
    </row>
    <row r="461" spans="1:8" x14ac:dyDescent="0.2">
      <c r="A461" s="84"/>
      <c r="B461" s="85"/>
      <c r="C461" s="85"/>
      <c r="D461" s="85"/>
      <c r="E461" s="85"/>
      <c r="F461" s="85"/>
      <c r="G461" s="86"/>
      <c r="H461" s="87"/>
    </row>
    <row r="462" spans="1:8" x14ac:dyDescent="0.2">
      <c r="A462" s="84"/>
      <c r="B462" s="85"/>
      <c r="C462" s="85"/>
      <c r="D462" s="85"/>
      <c r="E462" s="85"/>
      <c r="F462" s="85"/>
      <c r="G462" s="86"/>
      <c r="H462" s="87"/>
    </row>
    <row r="463" spans="1:8" x14ac:dyDescent="0.2">
      <c r="A463" s="84"/>
      <c r="B463" s="85"/>
      <c r="C463" s="85"/>
      <c r="D463" s="85"/>
      <c r="E463" s="85"/>
      <c r="F463" s="85"/>
      <c r="G463" s="86"/>
      <c r="H463" s="87"/>
    </row>
    <row r="464" spans="1:8" x14ac:dyDescent="0.2">
      <c r="A464" s="84"/>
      <c r="B464" s="85"/>
      <c r="C464" s="85"/>
      <c r="D464" s="85"/>
      <c r="E464" s="85"/>
      <c r="F464" s="85"/>
      <c r="G464" s="86"/>
      <c r="H464" s="87"/>
    </row>
    <row r="465" spans="1:8" x14ac:dyDescent="0.2">
      <c r="A465" s="84"/>
      <c r="B465" s="85"/>
      <c r="C465" s="85"/>
      <c r="D465" s="85"/>
      <c r="E465" s="85"/>
      <c r="F465" s="85"/>
      <c r="G465" s="86"/>
      <c r="H465" s="87"/>
    </row>
    <row r="466" spans="1:8" x14ac:dyDescent="0.2">
      <c r="A466" s="84"/>
      <c r="B466" s="85"/>
      <c r="C466" s="85"/>
      <c r="D466" s="85"/>
      <c r="E466" s="85"/>
      <c r="F466" s="85"/>
      <c r="G466" s="86"/>
      <c r="H466" s="87"/>
    </row>
    <row r="467" spans="1:8" x14ac:dyDescent="0.2">
      <c r="A467" s="84"/>
      <c r="B467" s="85"/>
      <c r="C467" s="85"/>
      <c r="D467" s="85"/>
      <c r="E467" s="85"/>
      <c r="F467" s="85"/>
      <c r="G467" s="86"/>
      <c r="H467" s="87"/>
    </row>
    <row r="468" spans="1:8" x14ac:dyDescent="0.2">
      <c r="A468" s="84"/>
      <c r="B468" s="85"/>
      <c r="C468" s="85"/>
      <c r="D468" s="85"/>
      <c r="E468" s="85"/>
      <c r="F468" s="85"/>
      <c r="G468" s="86"/>
      <c r="H468" s="87"/>
    </row>
    <row r="469" spans="1:8" x14ac:dyDescent="0.2">
      <c r="A469" s="84"/>
      <c r="B469" s="85"/>
      <c r="C469" s="85"/>
      <c r="D469" s="85"/>
      <c r="E469" s="85"/>
      <c r="F469" s="85"/>
      <c r="G469" s="86"/>
      <c r="H469" s="87"/>
    </row>
    <row r="470" spans="1:8" x14ac:dyDescent="0.2">
      <c r="A470" s="84"/>
      <c r="B470" s="85"/>
      <c r="C470" s="85"/>
      <c r="D470" s="85"/>
      <c r="E470" s="85"/>
      <c r="F470" s="85"/>
      <c r="G470" s="86"/>
      <c r="H470" s="87"/>
    </row>
    <row r="471" spans="1:8" x14ac:dyDescent="0.2">
      <c r="A471" s="84"/>
      <c r="B471" s="85"/>
      <c r="C471" s="85"/>
      <c r="D471" s="85"/>
      <c r="E471" s="85"/>
      <c r="F471" s="85"/>
      <c r="G471" s="86"/>
      <c r="H471" s="87"/>
    </row>
    <row r="472" spans="1:8" x14ac:dyDescent="0.2">
      <c r="A472" s="84"/>
      <c r="B472" s="85"/>
      <c r="C472" s="85"/>
      <c r="D472" s="85"/>
      <c r="E472" s="85"/>
      <c r="F472" s="85"/>
      <c r="G472" s="86"/>
      <c r="H472" s="87"/>
    </row>
    <row r="473" spans="1:8" x14ac:dyDescent="0.2">
      <c r="A473" s="84"/>
      <c r="B473" s="85"/>
      <c r="C473" s="85"/>
      <c r="D473" s="85"/>
      <c r="E473" s="85"/>
      <c r="F473" s="85"/>
      <c r="G473" s="86"/>
      <c r="H473" s="87"/>
    </row>
    <row r="474" spans="1:8" x14ac:dyDescent="0.2">
      <c r="A474" s="84"/>
      <c r="B474" s="85"/>
      <c r="C474" s="85"/>
      <c r="D474" s="85"/>
      <c r="E474" s="85"/>
      <c r="F474" s="85"/>
      <c r="G474" s="86"/>
      <c r="H474" s="87"/>
    </row>
    <row r="475" spans="1:8" x14ac:dyDescent="0.2">
      <c r="A475" s="84"/>
      <c r="B475" s="85"/>
      <c r="C475" s="85"/>
      <c r="D475" s="85"/>
      <c r="E475" s="85"/>
      <c r="F475" s="85"/>
      <c r="G475" s="86"/>
      <c r="H475" s="87"/>
    </row>
    <row r="476" spans="1:8" x14ac:dyDescent="0.2">
      <c r="A476" s="84"/>
      <c r="B476" s="85"/>
      <c r="C476" s="85"/>
      <c r="D476" s="85"/>
      <c r="E476" s="85"/>
      <c r="F476" s="85"/>
      <c r="G476" s="86"/>
      <c r="H476" s="87"/>
    </row>
    <row r="477" spans="1:8" x14ac:dyDescent="0.2">
      <c r="A477" s="84"/>
      <c r="B477" s="85"/>
      <c r="C477" s="85"/>
      <c r="D477" s="85"/>
      <c r="E477" s="85"/>
      <c r="F477" s="85"/>
      <c r="G477" s="86"/>
      <c r="H477" s="87"/>
    </row>
    <row r="478" spans="1:8" x14ac:dyDescent="0.2">
      <c r="A478" s="84"/>
      <c r="B478" s="85"/>
      <c r="C478" s="85"/>
      <c r="D478" s="85"/>
      <c r="E478" s="85"/>
      <c r="F478" s="85"/>
      <c r="G478" s="86"/>
      <c r="H478" s="87"/>
    </row>
    <row r="479" spans="1:8" x14ac:dyDescent="0.2">
      <c r="A479" s="84"/>
      <c r="B479" s="85"/>
      <c r="C479" s="85"/>
      <c r="D479" s="85"/>
      <c r="E479" s="85"/>
      <c r="F479" s="85"/>
      <c r="G479" s="86"/>
      <c r="H479" s="87"/>
    </row>
    <row r="480" spans="1:8" x14ac:dyDescent="0.2">
      <c r="A480" s="84"/>
      <c r="B480" s="85"/>
      <c r="C480" s="85"/>
      <c r="D480" s="85"/>
      <c r="E480" s="85"/>
      <c r="F480" s="85"/>
      <c r="G480" s="86"/>
      <c r="H480" s="87"/>
    </row>
    <row r="481" spans="1:8" x14ac:dyDescent="0.2">
      <c r="A481" s="84"/>
      <c r="B481" s="85"/>
      <c r="C481" s="85"/>
      <c r="D481" s="85"/>
      <c r="E481" s="85"/>
      <c r="F481" s="85"/>
      <c r="G481" s="86"/>
      <c r="H481" s="87"/>
    </row>
    <row r="482" spans="1:8" x14ac:dyDescent="0.2">
      <c r="A482" s="84"/>
      <c r="B482" s="85"/>
      <c r="C482" s="85"/>
      <c r="D482" s="85"/>
      <c r="E482" s="85"/>
      <c r="F482" s="85"/>
      <c r="G482" s="86"/>
      <c r="H482" s="87"/>
    </row>
    <row r="483" spans="1:8" x14ac:dyDescent="0.2">
      <c r="A483" s="84"/>
      <c r="B483" s="85"/>
      <c r="C483" s="85"/>
      <c r="D483" s="85"/>
      <c r="E483" s="85"/>
      <c r="F483" s="85"/>
      <c r="G483" s="86"/>
      <c r="H483" s="87"/>
    </row>
    <row r="484" spans="1:8" x14ac:dyDescent="0.2">
      <c r="A484" s="84"/>
      <c r="B484" s="85"/>
      <c r="C484" s="85"/>
      <c r="D484" s="85"/>
      <c r="E484" s="85"/>
      <c r="F484" s="85"/>
      <c r="G484" s="86"/>
      <c r="H484" s="87"/>
    </row>
    <row r="485" spans="1:8" x14ac:dyDescent="0.2">
      <c r="A485" s="84"/>
      <c r="B485" s="85"/>
      <c r="C485" s="85"/>
      <c r="D485" s="85"/>
      <c r="E485" s="85"/>
      <c r="F485" s="85"/>
      <c r="G485" s="86"/>
      <c r="H485" s="87"/>
    </row>
    <row r="486" spans="1:8" x14ac:dyDescent="0.2">
      <c r="A486" s="84"/>
      <c r="B486" s="85"/>
      <c r="C486" s="85"/>
      <c r="D486" s="85"/>
      <c r="E486" s="85"/>
      <c r="F486" s="85"/>
      <c r="G486" s="86"/>
      <c r="H486" s="87"/>
    </row>
    <row r="487" spans="1:8" x14ac:dyDescent="0.2">
      <c r="A487" s="84"/>
      <c r="B487" s="85"/>
      <c r="C487" s="85"/>
      <c r="D487" s="85"/>
      <c r="E487" s="85"/>
      <c r="F487" s="85"/>
      <c r="G487" s="86"/>
      <c r="H487" s="87"/>
    </row>
    <row r="488" spans="1:8" x14ac:dyDescent="0.2">
      <c r="A488" s="84"/>
      <c r="B488" s="85"/>
      <c r="C488" s="85"/>
      <c r="D488" s="85"/>
      <c r="E488" s="85"/>
      <c r="F488" s="85"/>
      <c r="G488" s="86"/>
      <c r="H488" s="87"/>
    </row>
    <row r="489" spans="1:8" x14ac:dyDescent="0.2">
      <c r="A489" s="84"/>
      <c r="B489" s="85"/>
      <c r="C489" s="85"/>
      <c r="D489" s="85"/>
      <c r="E489" s="85"/>
      <c r="F489" s="85"/>
      <c r="G489" s="86"/>
      <c r="H489" s="87"/>
    </row>
    <row r="490" spans="1:8" x14ac:dyDescent="0.2">
      <c r="A490" s="84"/>
      <c r="B490" s="85"/>
      <c r="C490" s="85"/>
      <c r="D490" s="85"/>
      <c r="E490" s="85"/>
      <c r="F490" s="85"/>
      <c r="G490" s="86"/>
      <c r="H490" s="87"/>
    </row>
    <row r="491" spans="1:8" x14ac:dyDescent="0.2">
      <c r="A491" s="84"/>
      <c r="B491" s="85"/>
      <c r="C491" s="85"/>
      <c r="D491" s="85"/>
      <c r="E491" s="85"/>
      <c r="F491" s="85"/>
      <c r="G491" s="86"/>
      <c r="H491" s="87"/>
    </row>
    <row r="492" spans="1:8" x14ac:dyDescent="0.2">
      <c r="A492" s="84"/>
      <c r="B492" s="85"/>
      <c r="C492" s="85"/>
      <c r="D492" s="85"/>
      <c r="E492" s="85"/>
      <c r="F492" s="85"/>
      <c r="G492" s="86"/>
      <c r="H492" s="87"/>
    </row>
    <row r="493" spans="1:8" x14ac:dyDescent="0.2">
      <c r="A493" s="84"/>
      <c r="B493" s="85"/>
      <c r="C493" s="85"/>
      <c r="D493" s="85"/>
      <c r="E493" s="85"/>
      <c r="F493" s="85"/>
      <c r="G493" s="86"/>
      <c r="H493" s="87"/>
    </row>
    <row r="494" spans="1:8" x14ac:dyDescent="0.2">
      <c r="A494" s="84"/>
      <c r="B494" s="85"/>
      <c r="C494" s="85"/>
      <c r="D494" s="85"/>
      <c r="E494" s="85"/>
      <c r="F494" s="85"/>
      <c r="G494" s="86"/>
      <c r="H494" s="87"/>
    </row>
    <row r="495" spans="1:8" x14ac:dyDescent="0.2">
      <c r="A495" s="84"/>
      <c r="B495" s="85"/>
      <c r="C495" s="85"/>
      <c r="D495" s="85"/>
      <c r="E495" s="85"/>
      <c r="F495" s="85"/>
      <c r="G495" s="86"/>
      <c r="H495" s="87"/>
    </row>
    <row r="496" spans="1:8" x14ac:dyDescent="0.2">
      <c r="A496" s="84"/>
      <c r="B496" s="85"/>
      <c r="C496" s="85"/>
      <c r="D496" s="85"/>
      <c r="E496" s="85"/>
      <c r="F496" s="85"/>
      <c r="G496" s="86"/>
      <c r="H496" s="87"/>
    </row>
    <row r="497" spans="1:8" x14ac:dyDescent="0.2">
      <c r="A497" s="84"/>
      <c r="B497" s="85"/>
      <c r="C497" s="85"/>
      <c r="D497" s="85"/>
      <c r="E497" s="85"/>
      <c r="F497" s="85"/>
      <c r="G497" s="86"/>
      <c r="H497" s="87"/>
    </row>
    <row r="498" spans="1:8" x14ac:dyDescent="0.2">
      <c r="A498" s="84"/>
      <c r="B498" s="85"/>
      <c r="C498" s="85"/>
      <c r="D498" s="85"/>
      <c r="E498" s="85"/>
      <c r="F498" s="85"/>
      <c r="G498" s="86"/>
      <c r="H498" s="87"/>
    </row>
    <row r="499" spans="1:8" x14ac:dyDescent="0.2">
      <c r="A499" s="84"/>
      <c r="B499" s="85"/>
      <c r="C499" s="85"/>
      <c r="D499" s="85"/>
      <c r="E499" s="85"/>
      <c r="F499" s="85"/>
      <c r="G499" s="86"/>
      <c r="H499" s="87"/>
    </row>
    <row r="500" spans="1:8" x14ac:dyDescent="0.2">
      <c r="A500" s="84"/>
      <c r="B500" s="85"/>
      <c r="C500" s="85"/>
      <c r="D500" s="85"/>
      <c r="E500" s="85"/>
      <c r="F500" s="85"/>
      <c r="G500" s="86"/>
      <c r="H500" s="87"/>
    </row>
    <row r="501" spans="1:8" x14ac:dyDescent="0.2">
      <c r="A501" s="84"/>
      <c r="B501" s="85"/>
      <c r="C501" s="85"/>
      <c r="D501" s="85"/>
      <c r="E501" s="85"/>
      <c r="F501" s="85"/>
      <c r="G501" s="86"/>
      <c r="H501" s="87"/>
    </row>
    <row r="502" spans="1:8" x14ac:dyDescent="0.2">
      <c r="A502" s="84"/>
      <c r="B502" s="85"/>
      <c r="C502" s="85"/>
      <c r="D502" s="85"/>
      <c r="E502" s="85"/>
      <c r="F502" s="85"/>
      <c r="G502" s="86"/>
      <c r="H502" s="87"/>
    </row>
    <row r="503" spans="1:8" x14ac:dyDescent="0.2">
      <c r="A503" s="84"/>
      <c r="B503" s="85"/>
      <c r="C503" s="85"/>
      <c r="D503" s="85"/>
      <c r="E503" s="85"/>
      <c r="F503" s="85"/>
      <c r="G503" s="86"/>
      <c r="H503" s="87"/>
    </row>
    <row r="504" spans="1:8" x14ac:dyDescent="0.2">
      <c r="A504" s="84"/>
      <c r="B504" s="85"/>
      <c r="C504" s="85"/>
      <c r="D504" s="85"/>
      <c r="E504" s="85"/>
      <c r="F504" s="85"/>
      <c r="G504" s="86"/>
      <c r="H504" s="87"/>
    </row>
    <row r="505" spans="1:8" x14ac:dyDescent="0.2">
      <c r="A505" s="84"/>
      <c r="B505" s="85"/>
      <c r="C505" s="85"/>
      <c r="D505" s="85"/>
      <c r="E505" s="85"/>
      <c r="F505" s="85"/>
      <c r="G505" s="86"/>
      <c r="H505" s="87"/>
    </row>
    <row r="506" spans="1:8" x14ac:dyDescent="0.2">
      <c r="A506" s="84"/>
      <c r="B506" s="85"/>
      <c r="C506" s="85"/>
      <c r="D506" s="85"/>
      <c r="E506" s="85"/>
      <c r="F506" s="85"/>
      <c r="G506" s="86"/>
      <c r="H506" s="87"/>
    </row>
    <row r="507" spans="1:8" x14ac:dyDescent="0.2">
      <c r="A507" s="84"/>
      <c r="B507" s="85"/>
      <c r="C507" s="85"/>
      <c r="D507" s="85"/>
      <c r="E507" s="85"/>
      <c r="F507" s="85"/>
      <c r="G507" s="86"/>
      <c r="H507" s="87"/>
    </row>
    <row r="508" spans="1:8" x14ac:dyDescent="0.2">
      <c r="A508" s="84"/>
      <c r="B508" s="85"/>
      <c r="C508" s="85"/>
      <c r="D508" s="85"/>
      <c r="E508" s="85"/>
      <c r="F508" s="85"/>
      <c r="G508" s="86"/>
      <c r="H508" s="87"/>
    </row>
    <row r="509" spans="1:8" x14ac:dyDescent="0.2">
      <c r="A509" s="84"/>
      <c r="B509" s="85"/>
      <c r="C509" s="85"/>
      <c r="D509" s="85"/>
      <c r="E509" s="85"/>
      <c r="F509" s="85"/>
      <c r="G509" s="86"/>
      <c r="H509" s="87"/>
    </row>
    <row r="510" spans="1:8" x14ac:dyDescent="0.2">
      <c r="A510" s="84"/>
      <c r="B510" s="85"/>
      <c r="C510" s="85"/>
      <c r="D510" s="85"/>
      <c r="E510" s="85"/>
      <c r="F510" s="85"/>
      <c r="G510" s="86"/>
      <c r="H510" s="87"/>
    </row>
    <row r="511" spans="1:8" x14ac:dyDescent="0.2">
      <c r="A511" s="84"/>
      <c r="B511" s="85"/>
      <c r="C511" s="85"/>
      <c r="D511" s="85"/>
      <c r="E511" s="85"/>
      <c r="F511" s="85"/>
      <c r="G511" s="86"/>
      <c r="H511" s="87"/>
    </row>
    <row r="512" spans="1:8" x14ac:dyDescent="0.2">
      <c r="A512" s="84"/>
      <c r="B512" s="85"/>
      <c r="C512" s="85"/>
      <c r="D512" s="85"/>
      <c r="E512" s="85"/>
      <c r="F512" s="85"/>
      <c r="G512" s="86"/>
      <c r="H512" s="87"/>
    </row>
    <row r="513" spans="1:8" x14ac:dyDescent="0.2">
      <c r="A513" s="84"/>
      <c r="B513" s="85"/>
      <c r="C513" s="85"/>
      <c r="D513" s="85"/>
      <c r="E513" s="85"/>
      <c r="F513" s="85"/>
      <c r="G513" s="86"/>
      <c r="H513" s="87"/>
    </row>
    <row r="514" spans="1:8" x14ac:dyDescent="0.2">
      <c r="A514" s="84"/>
      <c r="B514" s="85"/>
      <c r="C514" s="85"/>
      <c r="D514" s="85"/>
      <c r="E514" s="85"/>
      <c r="F514" s="85"/>
      <c r="G514" s="86"/>
      <c r="H514" s="87"/>
    </row>
    <row r="515" spans="1:8" x14ac:dyDescent="0.2">
      <c r="A515" s="84"/>
      <c r="B515" s="85"/>
      <c r="C515" s="85"/>
      <c r="D515" s="85"/>
      <c r="E515" s="85"/>
      <c r="F515" s="85"/>
      <c r="G515" s="86"/>
      <c r="H515" s="87"/>
    </row>
    <row r="516" spans="1:8" x14ac:dyDescent="0.2">
      <c r="A516" s="84"/>
      <c r="B516" s="85"/>
      <c r="C516" s="85"/>
      <c r="D516" s="85"/>
      <c r="E516" s="85"/>
      <c r="F516" s="85"/>
      <c r="G516" s="86"/>
      <c r="H516" s="87"/>
    </row>
    <row r="517" spans="1:8" x14ac:dyDescent="0.2">
      <c r="A517" s="84"/>
      <c r="B517" s="85"/>
      <c r="C517" s="85"/>
      <c r="D517" s="85"/>
      <c r="E517" s="85"/>
      <c r="F517" s="85"/>
      <c r="G517" s="86"/>
      <c r="H517" s="87"/>
    </row>
    <row r="518" spans="1:8" x14ac:dyDescent="0.2">
      <c r="A518" s="84"/>
      <c r="B518" s="85"/>
      <c r="C518" s="85"/>
      <c r="D518" s="85"/>
      <c r="E518" s="85"/>
      <c r="F518" s="85"/>
      <c r="G518" s="86"/>
      <c r="H518" s="87"/>
    </row>
    <row r="519" spans="1:8" x14ac:dyDescent="0.2">
      <c r="A519" s="84"/>
      <c r="B519" s="85"/>
      <c r="C519" s="85"/>
      <c r="D519" s="85"/>
      <c r="E519" s="85"/>
      <c r="F519" s="85"/>
      <c r="G519" s="86"/>
      <c r="H519" s="87"/>
    </row>
    <row r="520" spans="1:8" x14ac:dyDescent="0.2">
      <c r="A520" s="84"/>
      <c r="B520" s="85"/>
      <c r="C520" s="85"/>
      <c r="D520" s="85"/>
      <c r="E520" s="85"/>
      <c r="F520" s="85"/>
      <c r="G520" s="86"/>
      <c r="H520" s="87"/>
    </row>
    <row r="521" spans="1:8" x14ac:dyDescent="0.2">
      <c r="A521" s="84"/>
      <c r="B521" s="85"/>
      <c r="C521" s="85"/>
      <c r="D521" s="85"/>
      <c r="E521" s="85"/>
      <c r="F521" s="85"/>
      <c r="G521" s="86"/>
      <c r="H521" s="87"/>
    </row>
    <row r="522" spans="1:8" x14ac:dyDescent="0.2">
      <c r="A522" s="84"/>
      <c r="B522" s="85"/>
      <c r="C522" s="85"/>
      <c r="D522" s="85"/>
      <c r="E522" s="85"/>
      <c r="F522" s="85"/>
      <c r="G522" s="86"/>
      <c r="H522" s="87"/>
    </row>
    <row r="523" spans="1:8" x14ac:dyDescent="0.2">
      <c r="A523" s="84"/>
      <c r="B523" s="85"/>
      <c r="C523" s="85"/>
      <c r="D523" s="85"/>
      <c r="E523" s="85"/>
      <c r="F523" s="85"/>
      <c r="G523" s="86"/>
      <c r="H523" s="87"/>
    </row>
    <row r="524" spans="1:8" x14ac:dyDescent="0.2">
      <c r="A524" s="84"/>
      <c r="B524" s="85"/>
      <c r="C524" s="85"/>
      <c r="D524" s="85"/>
      <c r="E524" s="85"/>
      <c r="F524" s="85"/>
      <c r="G524" s="86"/>
      <c r="H524" s="87"/>
    </row>
    <row r="525" spans="1:8" x14ac:dyDescent="0.2">
      <c r="A525" s="84"/>
      <c r="B525" s="85"/>
      <c r="C525" s="85"/>
      <c r="D525" s="85"/>
      <c r="E525" s="85"/>
      <c r="F525" s="85"/>
      <c r="G525" s="86"/>
      <c r="H525" s="87"/>
    </row>
    <row r="526" spans="1:8" x14ac:dyDescent="0.2">
      <c r="A526" s="84"/>
      <c r="B526" s="85"/>
      <c r="C526" s="85"/>
      <c r="D526" s="85"/>
      <c r="E526" s="85"/>
      <c r="F526" s="85"/>
      <c r="G526" s="86"/>
      <c r="H526" s="87"/>
    </row>
    <row r="527" spans="1:8" x14ac:dyDescent="0.2">
      <c r="A527" s="84"/>
      <c r="B527" s="85"/>
      <c r="C527" s="85"/>
      <c r="D527" s="85"/>
      <c r="E527" s="85"/>
      <c r="F527" s="85"/>
      <c r="G527" s="86"/>
      <c r="H527" s="87"/>
    </row>
    <row r="528" spans="1:8" x14ac:dyDescent="0.2">
      <c r="A528" s="84"/>
      <c r="B528" s="85"/>
      <c r="C528" s="85"/>
      <c r="D528" s="85"/>
      <c r="E528" s="85"/>
      <c r="F528" s="85"/>
      <c r="G528" s="86"/>
      <c r="H528" s="87"/>
    </row>
    <row r="529" spans="1:8" x14ac:dyDescent="0.2">
      <c r="A529" s="84"/>
      <c r="B529" s="85"/>
      <c r="C529" s="85"/>
      <c r="D529" s="85"/>
      <c r="E529" s="85"/>
      <c r="F529" s="85"/>
      <c r="G529" s="86"/>
      <c r="H529" s="87"/>
    </row>
    <row r="530" spans="1:8" x14ac:dyDescent="0.2">
      <c r="A530" s="84"/>
      <c r="B530" s="85"/>
      <c r="C530" s="85"/>
      <c r="D530" s="85"/>
      <c r="E530" s="85"/>
      <c r="F530" s="85"/>
      <c r="G530" s="86"/>
      <c r="H530" s="87"/>
    </row>
    <row r="531" spans="1:8" x14ac:dyDescent="0.2">
      <c r="A531" s="84"/>
      <c r="B531" s="85"/>
      <c r="C531" s="85"/>
      <c r="D531" s="85"/>
      <c r="E531" s="85"/>
      <c r="F531" s="85"/>
      <c r="G531" s="86"/>
      <c r="H531" s="87"/>
    </row>
    <row r="532" spans="1:8" x14ac:dyDescent="0.2">
      <c r="A532" s="84"/>
      <c r="B532" s="85"/>
      <c r="C532" s="85"/>
      <c r="D532" s="85"/>
      <c r="E532" s="85"/>
      <c r="F532" s="85"/>
      <c r="G532" s="86"/>
      <c r="H532" s="87"/>
    </row>
    <row r="533" spans="1:8" x14ac:dyDescent="0.2">
      <c r="A533" s="84"/>
      <c r="B533" s="85"/>
      <c r="C533" s="85"/>
      <c r="D533" s="85"/>
      <c r="E533" s="85"/>
      <c r="F533" s="85"/>
      <c r="G533" s="86"/>
      <c r="H533" s="87"/>
    </row>
    <row r="534" spans="1:8" x14ac:dyDescent="0.2">
      <c r="A534" s="84"/>
      <c r="B534" s="85"/>
      <c r="C534" s="85"/>
      <c r="D534" s="85"/>
      <c r="E534" s="85"/>
      <c r="F534" s="85"/>
      <c r="G534" s="86"/>
      <c r="H534" s="87"/>
    </row>
    <row r="535" spans="1:8" x14ac:dyDescent="0.2">
      <c r="A535" s="84"/>
      <c r="B535" s="85"/>
      <c r="C535" s="85"/>
      <c r="D535" s="85"/>
      <c r="E535" s="85"/>
      <c r="F535" s="85"/>
      <c r="G535" s="86"/>
      <c r="H535" s="87"/>
    </row>
    <row r="536" spans="1:8" x14ac:dyDescent="0.2">
      <c r="A536" s="84"/>
      <c r="B536" s="85"/>
      <c r="C536" s="85"/>
      <c r="D536" s="85"/>
      <c r="E536" s="85"/>
      <c r="F536" s="85"/>
      <c r="G536" s="86"/>
      <c r="H536" s="87"/>
    </row>
    <row r="537" spans="1:8" x14ac:dyDescent="0.2">
      <c r="A537" s="84"/>
      <c r="B537" s="85"/>
      <c r="C537" s="85"/>
      <c r="D537" s="85"/>
      <c r="E537" s="85"/>
      <c r="F537" s="85"/>
      <c r="G537" s="86"/>
      <c r="H537" s="87"/>
    </row>
    <row r="538" spans="1:8" x14ac:dyDescent="0.2">
      <c r="A538" s="84"/>
      <c r="B538" s="85"/>
      <c r="C538" s="85"/>
      <c r="D538" s="85"/>
      <c r="E538" s="85"/>
      <c r="F538" s="85"/>
      <c r="G538" s="86"/>
      <c r="H538" s="87"/>
    </row>
    <row r="539" spans="1:8" x14ac:dyDescent="0.2">
      <c r="A539" s="84"/>
      <c r="B539" s="85"/>
      <c r="C539" s="85"/>
      <c r="D539" s="85"/>
      <c r="E539" s="85"/>
      <c r="F539" s="85"/>
      <c r="G539" s="86"/>
      <c r="H539" s="87"/>
    </row>
    <row r="540" spans="1:8" x14ac:dyDescent="0.2">
      <c r="A540" s="84"/>
      <c r="B540" s="85"/>
      <c r="C540" s="85"/>
      <c r="D540" s="85"/>
      <c r="E540" s="85"/>
      <c r="F540" s="85"/>
      <c r="G540" s="86"/>
      <c r="H540" s="87"/>
    </row>
    <row r="541" spans="1:8" x14ac:dyDescent="0.2">
      <c r="A541" s="84"/>
      <c r="B541" s="85"/>
      <c r="C541" s="85"/>
      <c r="D541" s="85"/>
      <c r="E541" s="85"/>
      <c r="F541" s="85"/>
      <c r="G541" s="86"/>
      <c r="H541" s="87"/>
    </row>
    <row r="542" spans="1:8" x14ac:dyDescent="0.2">
      <c r="A542" s="84"/>
      <c r="B542" s="85"/>
      <c r="C542" s="85"/>
      <c r="D542" s="85"/>
      <c r="E542" s="85"/>
      <c r="F542" s="85"/>
      <c r="G542" s="86"/>
      <c r="H542" s="87"/>
    </row>
    <row r="543" spans="1:8" x14ac:dyDescent="0.2">
      <c r="A543" s="84"/>
      <c r="B543" s="85"/>
      <c r="C543" s="85"/>
      <c r="D543" s="85"/>
      <c r="E543" s="85"/>
      <c r="F543" s="85"/>
      <c r="G543" s="86"/>
      <c r="H543" s="87"/>
    </row>
    <row r="544" spans="1:8" x14ac:dyDescent="0.2">
      <c r="A544" s="84"/>
      <c r="B544" s="85"/>
      <c r="C544" s="85"/>
      <c r="D544" s="85"/>
      <c r="E544" s="85"/>
      <c r="F544" s="85"/>
      <c r="G544" s="86"/>
      <c r="H544" s="87"/>
    </row>
    <row r="545" spans="1:8" x14ac:dyDescent="0.2">
      <c r="A545" s="84"/>
      <c r="B545" s="85"/>
      <c r="C545" s="85"/>
      <c r="D545" s="85"/>
      <c r="E545" s="85"/>
      <c r="F545" s="85"/>
      <c r="G545" s="86"/>
      <c r="H545" s="87"/>
    </row>
    <row r="546" spans="1:8" x14ac:dyDescent="0.2">
      <c r="A546" s="84"/>
      <c r="B546" s="85"/>
      <c r="C546" s="85"/>
      <c r="D546" s="85"/>
      <c r="E546" s="85"/>
      <c r="F546" s="85"/>
      <c r="G546" s="86"/>
      <c r="H546" s="87"/>
    </row>
    <row r="547" spans="1:8" x14ac:dyDescent="0.2">
      <c r="A547" s="84"/>
      <c r="B547" s="85"/>
      <c r="C547" s="85"/>
      <c r="D547" s="85"/>
      <c r="E547" s="85"/>
      <c r="F547" s="85"/>
      <c r="G547" s="86"/>
      <c r="H547" s="87"/>
    </row>
    <row r="548" spans="1:8" x14ac:dyDescent="0.2">
      <c r="A548" s="84"/>
      <c r="B548" s="85"/>
      <c r="C548" s="85"/>
      <c r="D548" s="85"/>
      <c r="E548" s="85"/>
      <c r="F548" s="85"/>
      <c r="G548" s="86"/>
      <c r="H548" s="87"/>
    </row>
    <row r="549" spans="1:8" x14ac:dyDescent="0.2">
      <c r="A549" s="84"/>
      <c r="B549" s="85"/>
      <c r="C549" s="85"/>
      <c r="D549" s="85"/>
      <c r="E549" s="85"/>
      <c r="F549" s="85"/>
      <c r="G549" s="86"/>
      <c r="H549" s="87"/>
    </row>
    <row r="550" spans="1:8" x14ac:dyDescent="0.2">
      <c r="A550" s="84"/>
      <c r="B550" s="85"/>
      <c r="C550" s="85"/>
      <c r="D550" s="85"/>
      <c r="E550" s="85"/>
      <c r="F550" s="85"/>
      <c r="G550" s="86"/>
      <c r="H550" s="87"/>
    </row>
    <row r="551" spans="1:8" x14ac:dyDescent="0.2">
      <c r="A551" s="84"/>
      <c r="B551" s="85"/>
      <c r="C551" s="85"/>
      <c r="D551" s="85"/>
      <c r="E551" s="85"/>
      <c r="F551" s="85"/>
      <c r="G551" s="86"/>
      <c r="H551" s="87"/>
    </row>
    <row r="552" spans="1:8" x14ac:dyDescent="0.2">
      <c r="A552" s="84"/>
      <c r="B552" s="85"/>
      <c r="C552" s="85"/>
      <c r="D552" s="85"/>
      <c r="E552" s="85"/>
      <c r="F552" s="85"/>
      <c r="G552" s="86"/>
      <c r="H552" s="87"/>
    </row>
    <row r="553" spans="1:8" x14ac:dyDescent="0.2">
      <c r="A553" s="84"/>
      <c r="B553" s="85"/>
      <c r="C553" s="85"/>
      <c r="D553" s="85"/>
      <c r="E553" s="85"/>
      <c r="F553" s="85"/>
      <c r="G553" s="86"/>
      <c r="H553" s="87"/>
    </row>
    <row r="554" spans="1:8" x14ac:dyDescent="0.2">
      <c r="A554" s="84"/>
      <c r="B554" s="85"/>
      <c r="C554" s="85"/>
      <c r="D554" s="85"/>
      <c r="E554" s="85"/>
      <c r="F554" s="85"/>
      <c r="G554" s="86"/>
      <c r="H554" s="87"/>
    </row>
    <row r="555" spans="1:8" x14ac:dyDescent="0.2">
      <c r="A555" s="84"/>
      <c r="B555" s="85"/>
      <c r="C555" s="85"/>
      <c r="D555" s="85"/>
      <c r="E555" s="85"/>
      <c r="F555" s="85"/>
      <c r="G555" s="86"/>
      <c r="H555" s="87"/>
    </row>
    <row r="556" spans="1:8" x14ac:dyDescent="0.2">
      <c r="A556" s="84"/>
      <c r="B556" s="85"/>
      <c r="C556" s="85"/>
      <c r="D556" s="85"/>
      <c r="E556" s="85"/>
      <c r="F556" s="85"/>
      <c r="G556" s="86"/>
      <c r="H556" s="87"/>
    </row>
    <row r="557" spans="1:8" x14ac:dyDescent="0.2">
      <c r="A557" s="84"/>
      <c r="B557" s="85"/>
      <c r="C557" s="85"/>
      <c r="D557" s="85"/>
      <c r="E557" s="85"/>
      <c r="F557" s="85"/>
      <c r="G557" s="86"/>
      <c r="H557" s="87"/>
    </row>
    <row r="558" spans="1:8" x14ac:dyDescent="0.2">
      <c r="A558" s="84"/>
      <c r="B558" s="85"/>
      <c r="C558" s="85"/>
      <c r="D558" s="85"/>
      <c r="E558" s="85"/>
      <c r="F558" s="85"/>
      <c r="G558" s="86"/>
      <c r="H558" s="87"/>
    </row>
    <row r="559" spans="1:8" x14ac:dyDescent="0.2">
      <c r="A559" s="84"/>
      <c r="B559" s="85"/>
      <c r="C559" s="85"/>
      <c r="D559" s="85"/>
      <c r="E559" s="85"/>
      <c r="F559" s="85"/>
      <c r="G559" s="86"/>
      <c r="H559" s="87"/>
    </row>
    <row r="560" spans="1:8" x14ac:dyDescent="0.2">
      <c r="A560" s="84"/>
      <c r="B560" s="85"/>
      <c r="C560" s="85"/>
      <c r="D560" s="85"/>
      <c r="E560" s="85"/>
      <c r="F560" s="85"/>
      <c r="G560" s="86"/>
      <c r="H560" s="87"/>
    </row>
    <row r="561" spans="1:8" x14ac:dyDescent="0.2">
      <c r="A561" s="84"/>
      <c r="B561" s="85"/>
      <c r="C561" s="85"/>
      <c r="D561" s="85"/>
      <c r="E561" s="85"/>
      <c r="F561" s="85"/>
      <c r="G561" s="86"/>
      <c r="H561" s="87"/>
    </row>
    <row r="562" spans="1:8" x14ac:dyDescent="0.2">
      <c r="A562" s="84"/>
      <c r="B562" s="85"/>
      <c r="C562" s="85"/>
      <c r="D562" s="85"/>
      <c r="E562" s="85"/>
      <c r="F562" s="85"/>
      <c r="G562" s="86"/>
      <c r="H562" s="87"/>
    </row>
    <row r="563" spans="1:8" x14ac:dyDescent="0.2">
      <c r="A563" s="84"/>
      <c r="B563" s="85"/>
      <c r="C563" s="85"/>
      <c r="D563" s="85"/>
      <c r="E563" s="85"/>
      <c r="F563" s="85"/>
      <c r="G563" s="86"/>
      <c r="H563" s="87"/>
    </row>
    <row r="564" spans="1:8" x14ac:dyDescent="0.2">
      <c r="A564" s="84"/>
      <c r="B564" s="85"/>
      <c r="C564" s="85"/>
      <c r="D564" s="85"/>
      <c r="E564" s="85"/>
      <c r="F564" s="85"/>
      <c r="G564" s="86"/>
      <c r="H564" s="87"/>
    </row>
    <row r="565" spans="1:8" x14ac:dyDescent="0.2">
      <c r="A565" s="84"/>
      <c r="B565" s="85"/>
      <c r="C565" s="85"/>
      <c r="D565" s="85"/>
      <c r="E565" s="85"/>
      <c r="F565" s="85"/>
      <c r="G565" s="86"/>
      <c r="H565" s="87"/>
    </row>
    <row r="566" spans="1:8" x14ac:dyDescent="0.2">
      <c r="A566" s="84"/>
      <c r="B566" s="85"/>
      <c r="C566" s="85"/>
      <c r="D566" s="85"/>
      <c r="E566" s="85"/>
      <c r="F566" s="85"/>
      <c r="G566" s="86"/>
      <c r="H566" s="87"/>
    </row>
    <row r="567" spans="1:8" x14ac:dyDescent="0.2">
      <c r="A567" s="84"/>
      <c r="B567" s="85"/>
      <c r="C567" s="85"/>
      <c r="D567" s="85"/>
      <c r="E567" s="85"/>
      <c r="F567" s="85"/>
      <c r="G567" s="86"/>
      <c r="H567" s="87"/>
    </row>
    <row r="568" spans="1:8" x14ac:dyDescent="0.2">
      <c r="A568" s="84"/>
      <c r="B568" s="85"/>
      <c r="C568" s="85"/>
      <c r="D568" s="85"/>
      <c r="E568" s="85"/>
      <c r="F568" s="85"/>
      <c r="G568" s="86"/>
      <c r="H568" s="87"/>
    </row>
    <row r="569" spans="1:8" x14ac:dyDescent="0.2">
      <c r="A569" s="84"/>
      <c r="B569" s="85"/>
      <c r="C569" s="85"/>
      <c r="D569" s="85"/>
      <c r="E569" s="85"/>
      <c r="F569" s="85"/>
      <c r="G569" s="86"/>
      <c r="H569" s="87"/>
    </row>
    <row r="570" spans="1:8" x14ac:dyDescent="0.2">
      <c r="A570" s="84"/>
      <c r="B570" s="85"/>
      <c r="C570" s="85"/>
      <c r="D570" s="85"/>
      <c r="E570" s="85"/>
      <c r="F570" s="85"/>
      <c r="G570" s="86"/>
      <c r="H570" s="87"/>
    </row>
    <row r="571" spans="1:8" x14ac:dyDescent="0.2">
      <c r="A571" s="84"/>
      <c r="B571" s="85"/>
      <c r="C571" s="85"/>
      <c r="D571" s="85"/>
      <c r="E571" s="85"/>
      <c r="F571" s="85"/>
      <c r="G571" s="86"/>
      <c r="H571" s="87"/>
    </row>
    <row r="572" spans="1:8" x14ac:dyDescent="0.2">
      <c r="A572" s="84"/>
      <c r="B572" s="85"/>
      <c r="C572" s="85"/>
      <c r="D572" s="85"/>
      <c r="E572" s="85"/>
      <c r="F572" s="85"/>
      <c r="G572" s="86"/>
      <c r="H572" s="87"/>
    </row>
    <row r="573" spans="1:8" x14ac:dyDescent="0.2">
      <c r="A573" s="84"/>
      <c r="B573" s="85"/>
      <c r="C573" s="85"/>
      <c r="D573" s="85"/>
      <c r="E573" s="85"/>
      <c r="F573" s="85"/>
      <c r="G573" s="86"/>
      <c r="H573" s="87"/>
    </row>
    <row r="574" spans="1:8" x14ac:dyDescent="0.2">
      <c r="A574" s="84"/>
      <c r="B574" s="85"/>
      <c r="C574" s="85"/>
      <c r="D574" s="85"/>
      <c r="E574" s="85"/>
      <c r="F574" s="85"/>
      <c r="G574" s="86"/>
      <c r="H574" s="87"/>
    </row>
    <row r="575" spans="1:8" x14ac:dyDescent="0.2">
      <c r="A575" s="84"/>
      <c r="B575" s="85"/>
      <c r="C575" s="85"/>
      <c r="D575" s="85"/>
      <c r="E575" s="85"/>
      <c r="F575" s="85"/>
      <c r="G575" s="86"/>
      <c r="H575" s="87"/>
    </row>
    <row r="576" spans="1:8" x14ac:dyDescent="0.2">
      <c r="A576" s="84"/>
      <c r="B576" s="85"/>
      <c r="C576" s="85"/>
      <c r="D576" s="85"/>
      <c r="E576" s="85"/>
      <c r="F576" s="85"/>
      <c r="G576" s="86"/>
      <c r="H576" s="87"/>
    </row>
    <row r="577" spans="1:8" x14ac:dyDescent="0.2">
      <c r="A577" s="84"/>
      <c r="B577" s="85"/>
      <c r="C577" s="85"/>
      <c r="D577" s="85"/>
      <c r="E577" s="85"/>
      <c r="F577" s="85"/>
      <c r="G577" s="86"/>
      <c r="H577" s="87"/>
    </row>
    <row r="578" spans="1:8" x14ac:dyDescent="0.2">
      <c r="A578" s="84"/>
      <c r="B578" s="85"/>
      <c r="C578" s="85"/>
      <c r="D578" s="85"/>
      <c r="E578" s="85"/>
      <c r="F578" s="85"/>
      <c r="G578" s="86"/>
      <c r="H578" s="87"/>
    </row>
    <row r="579" spans="1:8" x14ac:dyDescent="0.2">
      <c r="A579" s="84"/>
      <c r="B579" s="85"/>
      <c r="C579" s="85"/>
      <c r="D579" s="85"/>
      <c r="E579" s="85"/>
      <c r="F579" s="85"/>
      <c r="G579" s="86"/>
      <c r="H579" s="87"/>
    </row>
    <row r="580" spans="1:8" x14ac:dyDescent="0.2">
      <c r="A580" s="84"/>
      <c r="B580" s="85"/>
      <c r="C580" s="85"/>
      <c r="D580" s="85"/>
      <c r="E580" s="85"/>
      <c r="F580" s="85"/>
      <c r="G580" s="86"/>
      <c r="H580" s="87"/>
    </row>
    <row r="581" spans="1:8" x14ac:dyDescent="0.2">
      <c r="A581" s="84"/>
      <c r="B581" s="85"/>
      <c r="C581" s="85"/>
      <c r="D581" s="85"/>
      <c r="E581" s="85"/>
      <c r="F581" s="85"/>
      <c r="G581" s="86"/>
      <c r="H581" s="87"/>
    </row>
    <row r="582" spans="1:8" x14ac:dyDescent="0.2">
      <c r="A582" s="84"/>
      <c r="B582" s="85"/>
      <c r="C582" s="85"/>
      <c r="D582" s="85"/>
      <c r="E582" s="85"/>
      <c r="F582" s="85"/>
      <c r="G582" s="86"/>
      <c r="H582" s="87"/>
    </row>
    <row r="583" spans="1:8" x14ac:dyDescent="0.2">
      <c r="A583" s="84"/>
      <c r="B583" s="85"/>
      <c r="C583" s="85"/>
      <c r="D583" s="85"/>
      <c r="E583" s="85"/>
      <c r="F583" s="85"/>
      <c r="G583" s="86"/>
      <c r="H583" s="87"/>
    </row>
    <row r="584" spans="1:8" x14ac:dyDescent="0.2">
      <c r="A584" s="84"/>
      <c r="B584" s="85"/>
      <c r="C584" s="85"/>
      <c r="D584" s="85"/>
      <c r="E584" s="85"/>
      <c r="F584" s="85"/>
      <c r="G584" s="86"/>
      <c r="H584" s="87"/>
    </row>
    <row r="585" spans="1:8" x14ac:dyDescent="0.2">
      <c r="A585" s="84"/>
      <c r="B585" s="85"/>
      <c r="C585" s="85"/>
      <c r="D585" s="85"/>
      <c r="E585" s="85"/>
      <c r="F585" s="85"/>
      <c r="G585" s="86"/>
      <c r="H585" s="87"/>
    </row>
    <row r="586" spans="1:8" x14ac:dyDescent="0.2">
      <c r="A586" s="84"/>
      <c r="B586" s="85"/>
      <c r="C586" s="85"/>
      <c r="D586" s="85"/>
      <c r="E586" s="85"/>
      <c r="F586" s="85"/>
      <c r="G586" s="86"/>
      <c r="H586" s="87"/>
    </row>
    <row r="587" spans="1:8" x14ac:dyDescent="0.2">
      <c r="A587" s="84"/>
      <c r="B587" s="85"/>
      <c r="C587" s="85"/>
      <c r="D587" s="85"/>
      <c r="E587" s="85"/>
      <c r="F587" s="85"/>
      <c r="G587" s="86"/>
      <c r="H587" s="87"/>
    </row>
    <row r="588" spans="1:8" x14ac:dyDescent="0.2">
      <c r="A588" s="84"/>
      <c r="B588" s="85"/>
      <c r="C588" s="85"/>
      <c r="D588" s="85"/>
      <c r="E588" s="85"/>
      <c r="F588" s="85"/>
      <c r="G588" s="86"/>
      <c r="H588" s="87"/>
    </row>
    <row r="589" spans="1:8" x14ac:dyDescent="0.2">
      <c r="A589" s="84"/>
      <c r="B589" s="85"/>
      <c r="C589" s="85"/>
      <c r="D589" s="85"/>
      <c r="E589" s="85"/>
      <c r="F589" s="85"/>
      <c r="G589" s="86"/>
      <c r="H589" s="87"/>
    </row>
    <row r="590" spans="1:8" x14ac:dyDescent="0.2">
      <c r="A590" s="84"/>
      <c r="B590" s="85"/>
      <c r="C590" s="85"/>
      <c r="D590" s="85"/>
      <c r="E590" s="85"/>
      <c r="F590" s="85"/>
      <c r="G590" s="86"/>
      <c r="H590" s="87"/>
    </row>
    <row r="591" spans="1:8" x14ac:dyDescent="0.2">
      <c r="A591" s="84"/>
      <c r="B591" s="85"/>
      <c r="C591" s="85"/>
      <c r="D591" s="85"/>
      <c r="E591" s="85"/>
      <c r="F591" s="85"/>
      <c r="G591" s="86"/>
      <c r="H591" s="87"/>
    </row>
    <row r="592" spans="1:8" x14ac:dyDescent="0.2">
      <c r="A592" s="84"/>
      <c r="B592" s="85"/>
      <c r="C592" s="85"/>
      <c r="D592" s="85"/>
      <c r="E592" s="85"/>
      <c r="F592" s="85"/>
      <c r="G592" s="86"/>
      <c r="H592" s="87"/>
    </row>
    <row r="593" spans="1:8" x14ac:dyDescent="0.2">
      <c r="A593" s="84"/>
      <c r="B593" s="85"/>
      <c r="C593" s="85"/>
      <c r="D593" s="85"/>
      <c r="E593" s="85"/>
      <c r="F593" s="85"/>
      <c r="G593" s="86"/>
      <c r="H593" s="87"/>
    </row>
    <row r="594" spans="1:8" x14ac:dyDescent="0.2">
      <c r="A594" s="84"/>
      <c r="B594" s="85"/>
      <c r="C594" s="85"/>
      <c r="D594" s="85"/>
      <c r="E594" s="85"/>
      <c r="F594" s="85"/>
      <c r="G594" s="86"/>
      <c r="H594" s="87"/>
    </row>
    <row r="595" spans="1:8" x14ac:dyDescent="0.2">
      <c r="A595" s="84"/>
      <c r="B595" s="85"/>
      <c r="C595" s="85"/>
      <c r="D595" s="85"/>
      <c r="E595" s="85"/>
      <c r="F595" s="85"/>
      <c r="G595" s="86"/>
      <c r="H595" s="87"/>
    </row>
    <row r="596" spans="1:8" x14ac:dyDescent="0.2">
      <c r="A596" s="84"/>
      <c r="B596" s="85"/>
      <c r="C596" s="85"/>
      <c r="D596" s="85"/>
      <c r="E596" s="85"/>
      <c r="F596" s="85"/>
      <c r="G596" s="86"/>
      <c r="H596" s="87"/>
    </row>
    <row r="597" spans="1:8" x14ac:dyDescent="0.2">
      <c r="A597" s="84"/>
      <c r="B597" s="85"/>
      <c r="C597" s="85"/>
      <c r="D597" s="85"/>
      <c r="E597" s="85"/>
      <c r="F597" s="85"/>
      <c r="G597" s="86"/>
      <c r="H597" s="87"/>
    </row>
    <row r="598" spans="1:8" x14ac:dyDescent="0.2">
      <c r="A598" s="84"/>
      <c r="B598" s="85"/>
      <c r="C598" s="85"/>
      <c r="D598" s="85"/>
      <c r="E598" s="85"/>
      <c r="F598" s="85"/>
      <c r="G598" s="86"/>
      <c r="H598" s="87"/>
    </row>
    <row r="599" spans="1:8" x14ac:dyDescent="0.2">
      <c r="A599" s="84"/>
      <c r="B599" s="85"/>
      <c r="C599" s="85"/>
      <c r="D599" s="85"/>
      <c r="E599" s="85"/>
      <c r="F599" s="85"/>
      <c r="G599" s="86"/>
      <c r="H599" s="87"/>
    </row>
    <row r="600" spans="1:8" x14ac:dyDescent="0.2">
      <c r="A600" s="84"/>
      <c r="B600" s="85"/>
      <c r="C600" s="85"/>
      <c r="D600" s="85"/>
      <c r="E600" s="85"/>
      <c r="F600" s="85"/>
      <c r="G600" s="86"/>
      <c r="H600" s="87"/>
    </row>
    <row r="601" spans="1:8" x14ac:dyDescent="0.2">
      <c r="A601" s="84"/>
      <c r="B601" s="85"/>
      <c r="C601" s="85"/>
      <c r="D601" s="85"/>
      <c r="E601" s="85"/>
      <c r="F601" s="85"/>
      <c r="G601" s="86"/>
      <c r="H601" s="87"/>
    </row>
    <row r="602" spans="1:8" x14ac:dyDescent="0.2">
      <c r="A602" s="84"/>
      <c r="B602" s="85"/>
      <c r="C602" s="85"/>
      <c r="D602" s="85"/>
      <c r="E602" s="85"/>
      <c r="F602" s="85"/>
      <c r="G602" s="86"/>
      <c r="H602" s="87"/>
    </row>
    <row r="603" spans="1:8" x14ac:dyDescent="0.2">
      <c r="A603" s="84"/>
      <c r="B603" s="85"/>
      <c r="C603" s="85"/>
      <c r="D603" s="85"/>
      <c r="E603" s="85"/>
      <c r="F603" s="85"/>
      <c r="G603" s="86"/>
      <c r="H603" s="87"/>
    </row>
    <row r="604" spans="1:8" x14ac:dyDescent="0.2">
      <c r="A604" s="84"/>
      <c r="B604" s="85"/>
      <c r="C604" s="85"/>
      <c r="D604" s="85"/>
      <c r="E604" s="85"/>
      <c r="F604" s="85"/>
      <c r="G604" s="86"/>
      <c r="H604" s="87"/>
    </row>
    <row r="605" spans="1:8" x14ac:dyDescent="0.2">
      <c r="A605" s="84"/>
      <c r="B605" s="85"/>
      <c r="C605" s="85"/>
      <c r="D605" s="85"/>
      <c r="E605" s="85"/>
      <c r="F605" s="85"/>
      <c r="G605" s="86"/>
      <c r="H605" s="87"/>
    </row>
    <row r="606" spans="1:8" x14ac:dyDescent="0.2">
      <c r="A606" s="84"/>
      <c r="B606" s="85"/>
      <c r="C606" s="85"/>
      <c r="D606" s="85"/>
      <c r="E606" s="85"/>
      <c r="F606" s="85"/>
      <c r="G606" s="86"/>
      <c r="H606" s="87"/>
    </row>
    <row r="607" spans="1:8" x14ac:dyDescent="0.2">
      <c r="A607" s="84"/>
      <c r="B607" s="85"/>
      <c r="C607" s="85"/>
      <c r="D607" s="85"/>
      <c r="E607" s="85"/>
      <c r="F607" s="85"/>
      <c r="G607" s="86"/>
      <c r="H607" s="87"/>
    </row>
    <row r="608" spans="1:8" x14ac:dyDescent="0.2">
      <c r="A608" s="84"/>
      <c r="B608" s="85"/>
      <c r="C608" s="85"/>
      <c r="D608" s="85"/>
      <c r="E608" s="85"/>
      <c r="F608" s="85"/>
      <c r="G608" s="86"/>
      <c r="H608" s="87"/>
    </row>
    <row r="609" spans="1:8" x14ac:dyDescent="0.2">
      <c r="A609" s="84"/>
      <c r="B609" s="85"/>
      <c r="C609" s="85"/>
      <c r="D609" s="85"/>
      <c r="E609" s="85"/>
      <c r="F609" s="85"/>
      <c r="G609" s="86"/>
      <c r="H609" s="87"/>
    </row>
    <row r="610" spans="1:8" x14ac:dyDescent="0.2">
      <c r="A610" s="84"/>
      <c r="B610" s="85"/>
      <c r="C610" s="85"/>
      <c r="D610" s="85"/>
      <c r="E610" s="85"/>
      <c r="F610" s="85"/>
      <c r="G610" s="86"/>
      <c r="H610" s="87"/>
    </row>
    <row r="611" spans="1:8" x14ac:dyDescent="0.2">
      <c r="A611" s="84"/>
      <c r="B611" s="85"/>
      <c r="C611" s="85"/>
      <c r="D611" s="85"/>
      <c r="E611" s="85"/>
      <c r="F611" s="85"/>
      <c r="G611" s="86"/>
      <c r="H611" s="87"/>
    </row>
    <row r="612" spans="1:8" x14ac:dyDescent="0.2">
      <c r="A612" s="84"/>
      <c r="B612" s="85"/>
      <c r="C612" s="85"/>
      <c r="D612" s="85"/>
      <c r="E612" s="85"/>
      <c r="F612" s="85"/>
      <c r="G612" s="86"/>
      <c r="H612" s="87"/>
    </row>
    <row r="613" spans="1:8" x14ac:dyDescent="0.2">
      <c r="A613" s="84"/>
      <c r="B613" s="85"/>
      <c r="C613" s="85"/>
      <c r="D613" s="85"/>
      <c r="E613" s="85"/>
      <c r="F613" s="85"/>
      <c r="G613" s="86"/>
      <c r="H613" s="87"/>
    </row>
    <row r="614" spans="1:8" x14ac:dyDescent="0.2">
      <c r="A614" s="84"/>
      <c r="B614" s="85"/>
      <c r="C614" s="85"/>
      <c r="D614" s="85"/>
      <c r="E614" s="85"/>
      <c r="F614" s="85"/>
      <c r="G614" s="86"/>
      <c r="H614" s="87"/>
    </row>
    <row r="615" spans="1:8" x14ac:dyDescent="0.2">
      <c r="A615" s="84"/>
      <c r="B615" s="85"/>
      <c r="C615" s="85"/>
      <c r="D615" s="85"/>
      <c r="E615" s="85"/>
      <c r="F615" s="85"/>
      <c r="G615" s="86"/>
      <c r="H615" s="87"/>
    </row>
    <row r="616" spans="1:8" x14ac:dyDescent="0.2">
      <c r="A616" s="84"/>
      <c r="B616" s="85"/>
      <c r="C616" s="85"/>
      <c r="D616" s="85"/>
      <c r="E616" s="85"/>
      <c r="F616" s="85"/>
      <c r="G616" s="86"/>
      <c r="H616" s="87"/>
    </row>
    <row r="617" spans="1:8" x14ac:dyDescent="0.2">
      <c r="A617" s="84"/>
      <c r="B617" s="85"/>
      <c r="C617" s="85"/>
      <c r="D617" s="85"/>
      <c r="E617" s="85"/>
      <c r="F617" s="85"/>
      <c r="G617" s="86"/>
      <c r="H617" s="87"/>
    </row>
    <row r="618" spans="1:8" x14ac:dyDescent="0.2">
      <c r="A618" s="84"/>
      <c r="B618" s="85"/>
      <c r="C618" s="85"/>
      <c r="D618" s="85"/>
      <c r="E618" s="85"/>
      <c r="F618" s="85"/>
      <c r="G618" s="86"/>
      <c r="H618" s="87"/>
    </row>
    <row r="619" spans="1:8" x14ac:dyDescent="0.2">
      <c r="A619" s="84"/>
      <c r="B619" s="85"/>
      <c r="C619" s="85"/>
      <c r="D619" s="85"/>
      <c r="E619" s="85"/>
      <c r="F619" s="85"/>
      <c r="G619" s="86"/>
      <c r="H619" s="87"/>
    </row>
    <row r="620" spans="1:8" x14ac:dyDescent="0.2">
      <c r="A620" s="84"/>
      <c r="B620" s="85"/>
      <c r="C620" s="85"/>
      <c r="D620" s="85"/>
      <c r="E620" s="85"/>
      <c r="F620" s="85"/>
      <c r="G620" s="86"/>
      <c r="H620" s="87"/>
    </row>
    <row r="621" spans="1:8" x14ac:dyDescent="0.2">
      <c r="A621" s="84"/>
      <c r="B621" s="85"/>
      <c r="C621" s="85"/>
      <c r="D621" s="85"/>
      <c r="E621" s="85"/>
      <c r="F621" s="85"/>
      <c r="G621" s="86"/>
      <c r="H621" s="87"/>
    </row>
    <row r="622" spans="1:8" x14ac:dyDescent="0.2">
      <c r="A622" s="84"/>
      <c r="B622" s="85"/>
      <c r="C622" s="85"/>
      <c r="D622" s="85"/>
      <c r="E622" s="85"/>
      <c r="F622" s="85"/>
      <c r="G622" s="86"/>
      <c r="H622" s="87"/>
    </row>
    <row r="623" spans="1:8" x14ac:dyDescent="0.2">
      <c r="A623" s="84"/>
      <c r="B623" s="85"/>
      <c r="C623" s="85"/>
      <c r="D623" s="85"/>
      <c r="E623" s="85"/>
      <c r="F623" s="85"/>
      <c r="G623" s="86"/>
      <c r="H623" s="87"/>
    </row>
    <row r="624" spans="1:8" x14ac:dyDescent="0.2">
      <c r="A624" s="84"/>
      <c r="B624" s="85"/>
      <c r="C624" s="85"/>
      <c r="D624" s="85"/>
      <c r="E624" s="85"/>
      <c r="F624" s="85"/>
      <c r="G624" s="86"/>
      <c r="H624" s="87"/>
    </row>
    <row r="625" spans="1:8" x14ac:dyDescent="0.2">
      <c r="A625" s="84"/>
      <c r="B625" s="85"/>
      <c r="C625" s="85"/>
      <c r="D625" s="85"/>
      <c r="E625" s="85"/>
      <c r="F625" s="85"/>
      <c r="G625" s="86"/>
      <c r="H625" s="87"/>
    </row>
    <row r="626" spans="1:8" x14ac:dyDescent="0.2">
      <c r="A626" s="84"/>
      <c r="B626" s="85"/>
      <c r="C626" s="85"/>
      <c r="D626" s="85"/>
      <c r="E626" s="85"/>
      <c r="F626" s="85"/>
      <c r="G626" s="86"/>
      <c r="H626" s="87"/>
    </row>
    <row r="627" spans="1:8" x14ac:dyDescent="0.2">
      <c r="A627" s="84"/>
      <c r="B627" s="85"/>
      <c r="C627" s="85"/>
      <c r="D627" s="85"/>
      <c r="E627" s="85"/>
      <c r="F627" s="85"/>
      <c r="G627" s="86"/>
      <c r="H627" s="87"/>
    </row>
    <row r="628" spans="1:8" x14ac:dyDescent="0.2">
      <c r="A628" s="84"/>
      <c r="B628" s="85"/>
      <c r="C628" s="85"/>
      <c r="D628" s="85"/>
      <c r="E628" s="85"/>
      <c r="F628" s="85"/>
      <c r="G628" s="86"/>
      <c r="H628" s="87"/>
    </row>
    <row r="629" spans="1:8" x14ac:dyDescent="0.2">
      <c r="A629" s="84"/>
      <c r="B629" s="85"/>
      <c r="C629" s="85"/>
      <c r="D629" s="85"/>
      <c r="E629" s="85"/>
      <c r="F629" s="85"/>
      <c r="G629" s="86"/>
      <c r="H629" s="87"/>
    </row>
    <row r="630" spans="1:8" x14ac:dyDescent="0.2">
      <c r="A630" s="84"/>
      <c r="B630" s="85"/>
      <c r="C630" s="85"/>
      <c r="D630" s="85"/>
      <c r="E630" s="85"/>
      <c r="F630" s="85"/>
      <c r="G630" s="86"/>
      <c r="H630" s="87"/>
    </row>
    <row r="631" spans="1:8" x14ac:dyDescent="0.2">
      <c r="A631" s="84"/>
      <c r="B631" s="85"/>
      <c r="C631" s="85"/>
      <c r="D631" s="85"/>
      <c r="E631" s="85"/>
      <c r="F631" s="85"/>
      <c r="G631" s="86"/>
      <c r="H631" s="87"/>
    </row>
    <row r="632" spans="1:8" x14ac:dyDescent="0.2">
      <c r="A632" s="84"/>
      <c r="B632" s="85"/>
      <c r="C632" s="85"/>
      <c r="D632" s="85"/>
      <c r="E632" s="85"/>
      <c r="F632" s="85"/>
      <c r="G632" s="86"/>
      <c r="H632" s="87"/>
    </row>
    <row r="633" spans="1:8" x14ac:dyDescent="0.2">
      <c r="A633" s="84"/>
      <c r="B633" s="85"/>
      <c r="C633" s="85"/>
      <c r="D633" s="85"/>
      <c r="E633" s="85"/>
      <c r="F633" s="85"/>
      <c r="G633" s="86"/>
      <c r="H633" s="87"/>
    </row>
    <row r="634" spans="1:8" x14ac:dyDescent="0.2">
      <c r="A634" s="84"/>
      <c r="B634" s="85"/>
      <c r="C634" s="85"/>
      <c r="D634" s="85"/>
      <c r="E634" s="85"/>
      <c r="F634" s="85"/>
      <c r="G634" s="86"/>
      <c r="H634" s="87"/>
    </row>
    <row r="635" spans="1:8" x14ac:dyDescent="0.2">
      <c r="A635" s="84"/>
      <c r="B635" s="85"/>
      <c r="C635" s="85"/>
      <c r="D635" s="85"/>
      <c r="E635" s="85"/>
      <c r="F635" s="85"/>
      <c r="G635" s="86"/>
      <c r="H635" s="87"/>
    </row>
    <row r="636" spans="1:8" x14ac:dyDescent="0.2">
      <c r="A636" s="84"/>
      <c r="B636" s="85"/>
      <c r="C636" s="85"/>
      <c r="D636" s="85"/>
      <c r="E636" s="85"/>
      <c r="F636" s="85"/>
      <c r="G636" s="86"/>
      <c r="H636" s="87"/>
    </row>
    <row r="637" spans="1:8" x14ac:dyDescent="0.2">
      <c r="A637" s="84"/>
      <c r="B637" s="85"/>
      <c r="C637" s="85"/>
      <c r="D637" s="85"/>
      <c r="E637" s="85"/>
      <c r="F637" s="85"/>
      <c r="G637" s="86"/>
      <c r="H637" s="87"/>
    </row>
    <row r="638" spans="1:8" x14ac:dyDescent="0.2">
      <c r="A638" s="84"/>
      <c r="B638" s="85"/>
      <c r="C638" s="85"/>
      <c r="D638" s="85"/>
      <c r="E638" s="85"/>
      <c r="F638" s="85"/>
      <c r="G638" s="86"/>
      <c r="H638" s="87"/>
    </row>
    <row r="639" spans="1:8" x14ac:dyDescent="0.2">
      <c r="A639" s="84"/>
      <c r="B639" s="85"/>
      <c r="C639" s="85"/>
      <c r="D639" s="85"/>
      <c r="E639" s="85"/>
      <c r="F639" s="85"/>
      <c r="G639" s="86"/>
      <c r="H639" s="87"/>
    </row>
    <row r="640" spans="1:8" x14ac:dyDescent="0.2">
      <c r="A640" s="84"/>
      <c r="B640" s="85"/>
      <c r="C640" s="85"/>
      <c r="D640" s="85"/>
      <c r="E640" s="85"/>
      <c r="F640" s="85"/>
      <c r="G640" s="86"/>
      <c r="H640" s="87"/>
    </row>
    <row r="641" spans="1:8" x14ac:dyDescent="0.2">
      <c r="A641" s="84"/>
      <c r="B641" s="85"/>
      <c r="C641" s="85"/>
      <c r="D641" s="85"/>
      <c r="E641" s="85"/>
      <c r="F641" s="85"/>
      <c r="G641" s="86"/>
      <c r="H641" s="87"/>
    </row>
    <row r="642" spans="1:8" x14ac:dyDescent="0.2">
      <c r="A642" s="84"/>
      <c r="B642" s="85"/>
      <c r="C642" s="85"/>
      <c r="D642" s="85"/>
      <c r="E642" s="85"/>
      <c r="F642" s="85"/>
      <c r="G642" s="86"/>
      <c r="H642" s="87"/>
    </row>
    <row r="643" spans="1:8" x14ac:dyDescent="0.2">
      <c r="A643" s="84"/>
      <c r="B643" s="85"/>
      <c r="C643" s="85"/>
      <c r="D643" s="85"/>
      <c r="E643" s="85"/>
      <c r="F643" s="85"/>
      <c r="G643" s="86"/>
      <c r="H643" s="87"/>
    </row>
    <row r="644" spans="1:8" x14ac:dyDescent="0.2">
      <c r="A644" s="84"/>
      <c r="B644" s="85"/>
      <c r="C644" s="85"/>
      <c r="D644" s="85"/>
      <c r="E644" s="85"/>
      <c r="F644" s="85"/>
      <c r="G644" s="86"/>
      <c r="H644" s="87"/>
    </row>
    <row r="645" spans="1:8" x14ac:dyDescent="0.2">
      <c r="A645" s="84"/>
      <c r="B645" s="85"/>
      <c r="C645" s="85"/>
      <c r="D645" s="85"/>
      <c r="E645" s="85"/>
      <c r="F645" s="85"/>
      <c r="G645" s="86"/>
      <c r="H645" s="87"/>
    </row>
    <row r="646" spans="1:8" x14ac:dyDescent="0.2">
      <c r="A646" s="84"/>
      <c r="B646" s="85"/>
      <c r="C646" s="85"/>
      <c r="D646" s="85"/>
      <c r="E646" s="85"/>
      <c r="F646" s="85"/>
      <c r="G646" s="86"/>
      <c r="H646" s="87"/>
    </row>
    <row r="647" spans="1:8" x14ac:dyDescent="0.2">
      <c r="A647" s="84"/>
      <c r="B647" s="85"/>
      <c r="C647" s="85"/>
      <c r="D647" s="85"/>
      <c r="E647" s="85"/>
      <c r="F647" s="85"/>
      <c r="G647" s="86"/>
      <c r="H647" s="87"/>
    </row>
    <row r="648" spans="1:8" x14ac:dyDescent="0.2">
      <c r="A648" s="84"/>
      <c r="B648" s="85"/>
      <c r="C648" s="85"/>
      <c r="D648" s="85"/>
      <c r="E648" s="85"/>
      <c r="F648" s="85"/>
      <c r="G648" s="86"/>
      <c r="H648" s="87"/>
    </row>
    <row r="649" spans="1:8" x14ac:dyDescent="0.2">
      <c r="A649" s="84"/>
      <c r="B649" s="85"/>
      <c r="C649" s="85"/>
      <c r="D649" s="85"/>
      <c r="E649" s="85"/>
      <c r="F649" s="85"/>
      <c r="G649" s="86"/>
      <c r="H649" s="87"/>
    </row>
    <row r="650" spans="1:8" x14ac:dyDescent="0.2">
      <c r="A650" s="84"/>
      <c r="B650" s="85"/>
      <c r="C650" s="85"/>
      <c r="D650" s="85"/>
      <c r="E650" s="85"/>
      <c r="F650" s="85"/>
      <c r="G650" s="86"/>
      <c r="H650" s="87"/>
    </row>
    <row r="651" spans="1:8" x14ac:dyDescent="0.2">
      <c r="A651" s="84"/>
      <c r="B651" s="85"/>
      <c r="C651" s="85"/>
      <c r="D651" s="85"/>
      <c r="E651" s="85"/>
      <c r="F651" s="85"/>
      <c r="G651" s="86"/>
      <c r="H651" s="87"/>
    </row>
    <row r="652" spans="1:8" x14ac:dyDescent="0.2">
      <c r="A652" s="84"/>
      <c r="B652" s="85"/>
      <c r="C652" s="85"/>
      <c r="D652" s="85"/>
      <c r="E652" s="85"/>
      <c r="F652" s="85"/>
      <c r="G652" s="86"/>
      <c r="H652" s="87"/>
    </row>
    <row r="653" spans="1:8" x14ac:dyDescent="0.2">
      <c r="A653" s="84"/>
      <c r="B653" s="85"/>
      <c r="C653" s="85"/>
      <c r="D653" s="85"/>
      <c r="E653" s="85"/>
      <c r="F653" s="85"/>
      <c r="G653" s="86"/>
      <c r="H653" s="87"/>
    </row>
    <row r="654" spans="1:8" x14ac:dyDescent="0.2">
      <c r="A654" s="84"/>
      <c r="B654" s="85"/>
      <c r="C654" s="85"/>
      <c r="D654" s="85"/>
      <c r="E654" s="85"/>
      <c r="F654" s="85"/>
      <c r="G654" s="86"/>
      <c r="H654" s="87"/>
    </row>
    <row r="655" spans="1:8" x14ac:dyDescent="0.2">
      <c r="A655" s="84"/>
      <c r="B655" s="85"/>
      <c r="C655" s="85"/>
      <c r="D655" s="85"/>
      <c r="E655" s="85"/>
      <c r="F655" s="85"/>
      <c r="G655" s="86"/>
      <c r="H655" s="87"/>
    </row>
    <row r="656" spans="1:8" x14ac:dyDescent="0.2">
      <c r="A656" s="84"/>
      <c r="B656" s="85"/>
      <c r="C656" s="85"/>
      <c r="D656" s="85"/>
      <c r="E656" s="85"/>
      <c r="F656" s="85"/>
      <c r="G656" s="86"/>
      <c r="H656" s="87"/>
    </row>
    <row r="657" spans="1:8" x14ac:dyDescent="0.2">
      <c r="A657" s="84"/>
      <c r="B657" s="85"/>
      <c r="C657" s="85"/>
      <c r="D657" s="85"/>
      <c r="E657" s="85"/>
      <c r="F657" s="85"/>
      <c r="G657" s="86"/>
      <c r="H657" s="87"/>
    </row>
    <row r="658" spans="1:8" x14ac:dyDescent="0.2">
      <c r="A658" s="84"/>
      <c r="B658" s="85"/>
      <c r="C658" s="85"/>
      <c r="D658" s="85"/>
      <c r="E658" s="85"/>
      <c r="F658" s="85"/>
      <c r="G658" s="86"/>
      <c r="H658" s="87"/>
    </row>
    <row r="659" spans="1:8" x14ac:dyDescent="0.2">
      <c r="A659" s="84"/>
      <c r="B659" s="85"/>
      <c r="C659" s="85"/>
      <c r="D659" s="85"/>
      <c r="E659" s="85"/>
      <c r="F659" s="85"/>
      <c r="G659" s="86"/>
      <c r="H659" s="87"/>
    </row>
    <row r="660" spans="1:8" x14ac:dyDescent="0.2">
      <c r="A660" s="84"/>
      <c r="B660" s="85"/>
      <c r="C660" s="85"/>
      <c r="D660" s="85"/>
      <c r="E660" s="85"/>
      <c r="F660" s="85"/>
      <c r="G660" s="86"/>
      <c r="H660" s="87"/>
    </row>
    <row r="661" spans="1:8" x14ac:dyDescent="0.2">
      <c r="A661" s="84"/>
      <c r="B661" s="85"/>
      <c r="C661" s="85"/>
      <c r="D661" s="85"/>
      <c r="E661" s="85"/>
      <c r="F661" s="85"/>
      <c r="G661" s="86"/>
      <c r="H661" s="87"/>
    </row>
    <row r="662" spans="1:8" x14ac:dyDescent="0.2">
      <c r="A662" s="84"/>
      <c r="B662" s="85"/>
      <c r="C662" s="85"/>
      <c r="D662" s="85"/>
      <c r="E662" s="85"/>
      <c r="F662" s="85"/>
      <c r="G662" s="86"/>
      <c r="H662" s="87"/>
    </row>
    <row r="663" spans="1:8" x14ac:dyDescent="0.2">
      <c r="A663" s="84"/>
      <c r="B663" s="85"/>
      <c r="C663" s="85"/>
      <c r="D663" s="85"/>
      <c r="E663" s="85"/>
      <c r="F663" s="85"/>
      <c r="G663" s="86"/>
      <c r="H663" s="87"/>
    </row>
    <row r="664" spans="1:8" x14ac:dyDescent="0.2">
      <c r="A664" s="84"/>
      <c r="B664" s="85"/>
      <c r="C664" s="85"/>
      <c r="D664" s="85"/>
      <c r="E664" s="85"/>
      <c r="F664" s="85"/>
      <c r="G664" s="86"/>
      <c r="H664" s="87"/>
    </row>
    <row r="665" spans="1:8" x14ac:dyDescent="0.2">
      <c r="A665" s="84"/>
      <c r="B665" s="85"/>
      <c r="C665" s="85"/>
      <c r="D665" s="85"/>
      <c r="E665" s="85"/>
      <c r="F665" s="85"/>
      <c r="G665" s="86"/>
      <c r="H665" s="87"/>
    </row>
    <row r="666" spans="1:8" x14ac:dyDescent="0.2">
      <c r="A666" s="84"/>
      <c r="B666" s="85"/>
      <c r="C666" s="85"/>
      <c r="D666" s="85"/>
      <c r="E666" s="85"/>
      <c r="F666" s="85"/>
      <c r="G666" s="86"/>
      <c r="H666" s="87"/>
    </row>
    <row r="667" spans="1:8" x14ac:dyDescent="0.2">
      <c r="A667" s="84"/>
      <c r="B667" s="85"/>
      <c r="C667" s="85"/>
      <c r="D667" s="85"/>
      <c r="E667" s="85"/>
      <c r="F667" s="85"/>
      <c r="G667" s="86"/>
      <c r="H667" s="87"/>
    </row>
    <row r="668" spans="1:8" x14ac:dyDescent="0.2">
      <c r="A668" s="84"/>
      <c r="B668" s="85"/>
      <c r="C668" s="85"/>
      <c r="D668" s="85"/>
      <c r="E668" s="85"/>
      <c r="F668" s="85"/>
      <c r="G668" s="86"/>
      <c r="H668" s="87"/>
    </row>
    <row r="669" spans="1:8" x14ac:dyDescent="0.2">
      <c r="A669" s="84"/>
      <c r="B669" s="85"/>
      <c r="C669" s="85"/>
      <c r="D669" s="85"/>
      <c r="E669" s="85"/>
      <c r="F669" s="85"/>
      <c r="G669" s="86"/>
      <c r="H669" s="87"/>
    </row>
    <row r="670" spans="1:8" x14ac:dyDescent="0.2">
      <c r="A670" s="84"/>
      <c r="B670" s="85"/>
      <c r="C670" s="85"/>
      <c r="D670" s="85"/>
      <c r="E670" s="85"/>
      <c r="F670" s="85"/>
      <c r="G670" s="86"/>
      <c r="H670" s="87"/>
    </row>
    <row r="671" spans="1:8" x14ac:dyDescent="0.2">
      <c r="A671" s="84"/>
      <c r="B671" s="85"/>
      <c r="C671" s="85"/>
      <c r="D671" s="85"/>
      <c r="E671" s="85"/>
      <c r="F671" s="85"/>
      <c r="G671" s="86"/>
      <c r="H671" s="87"/>
    </row>
    <row r="672" spans="1:8" x14ac:dyDescent="0.2">
      <c r="A672" s="84"/>
      <c r="B672" s="85"/>
      <c r="C672" s="85"/>
      <c r="D672" s="85"/>
      <c r="E672" s="85"/>
      <c r="F672" s="85"/>
      <c r="G672" s="86"/>
      <c r="H672" s="87"/>
    </row>
    <row r="673" spans="1:8" x14ac:dyDescent="0.2">
      <c r="A673" s="84"/>
      <c r="B673" s="85"/>
      <c r="C673" s="85"/>
      <c r="D673" s="85"/>
      <c r="E673" s="85"/>
      <c r="F673" s="85"/>
      <c r="G673" s="86"/>
      <c r="H673" s="87"/>
    </row>
    <row r="674" spans="1:8" x14ac:dyDescent="0.2">
      <c r="A674" s="84"/>
      <c r="B674" s="85"/>
      <c r="C674" s="85"/>
      <c r="D674" s="85"/>
      <c r="E674" s="85"/>
      <c r="F674" s="85"/>
      <c r="G674" s="86"/>
      <c r="H674" s="87"/>
    </row>
    <row r="675" spans="1:8" x14ac:dyDescent="0.2">
      <c r="A675" s="84"/>
      <c r="B675" s="85"/>
      <c r="C675" s="85"/>
      <c r="D675" s="85"/>
      <c r="E675" s="85"/>
      <c r="F675" s="85"/>
      <c r="G675" s="86"/>
      <c r="H675" s="87"/>
    </row>
    <row r="676" spans="1:8" x14ac:dyDescent="0.2">
      <c r="A676" s="84"/>
      <c r="B676" s="85"/>
      <c r="C676" s="85"/>
      <c r="D676" s="85"/>
      <c r="E676" s="85"/>
      <c r="F676" s="85"/>
      <c r="G676" s="86"/>
      <c r="H676" s="87"/>
    </row>
    <row r="677" spans="1:8" x14ac:dyDescent="0.2">
      <c r="A677" s="84"/>
      <c r="B677" s="85"/>
      <c r="C677" s="85"/>
      <c r="D677" s="85"/>
      <c r="E677" s="85"/>
      <c r="F677" s="85"/>
      <c r="G677" s="86"/>
      <c r="H677" s="87"/>
    </row>
    <row r="678" spans="1:8" x14ac:dyDescent="0.2">
      <c r="A678" s="84"/>
      <c r="B678" s="85"/>
      <c r="C678" s="85"/>
      <c r="D678" s="85"/>
      <c r="E678" s="85"/>
      <c r="F678" s="85"/>
      <c r="G678" s="86"/>
      <c r="H678" s="87"/>
    </row>
    <row r="679" spans="1:8" x14ac:dyDescent="0.2">
      <c r="A679" s="84"/>
      <c r="B679" s="85"/>
      <c r="C679" s="85"/>
      <c r="D679" s="85"/>
      <c r="E679" s="85"/>
      <c r="F679" s="85"/>
      <c r="G679" s="86"/>
      <c r="H679" s="87"/>
    </row>
    <row r="680" spans="1:8" x14ac:dyDescent="0.2">
      <c r="A680" s="84"/>
      <c r="B680" s="85"/>
      <c r="C680" s="85"/>
      <c r="D680" s="85"/>
      <c r="E680" s="85"/>
      <c r="F680" s="85"/>
      <c r="G680" s="86"/>
      <c r="H680" s="87"/>
    </row>
    <row r="681" spans="1:8" x14ac:dyDescent="0.2">
      <c r="A681" s="84"/>
      <c r="B681" s="85"/>
      <c r="C681" s="85"/>
      <c r="D681" s="85"/>
      <c r="E681" s="85"/>
      <c r="F681" s="85"/>
      <c r="G681" s="86"/>
      <c r="H681" s="87"/>
    </row>
    <row r="682" spans="1:8" x14ac:dyDescent="0.2">
      <c r="A682" s="84"/>
      <c r="B682" s="85"/>
      <c r="C682" s="85"/>
      <c r="D682" s="85"/>
      <c r="E682" s="85"/>
      <c r="F682" s="85"/>
      <c r="G682" s="86"/>
      <c r="H682" s="87"/>
    </row>
    <row r="683" spans="1:8" x14ac:dyDescent="0.2">
      <c r="A683" s="84"/>
      <c r="B683" s="85"/>
      <c r="C683" s="85"/>
      <c r="D683" s="85"/>
      <c r="E683" s="85"/>
      <c r="F683" s="85"/>
      <c r="G683" s="86"/>
      <c r="H683" s="87"/>
    </row>
    <row r="684" spans="1:8" x14ac:dyDescent="0.2">
      <c r="A684" s="84"/>
      <c r="B684" s="85"/>
      <c r="C684" s="85"/>
      <c r="D684" s="85"/>
      <c r="E684" s="85"/>
      <c r="F684" s="85"/>
      <c r="G684" s="86"/>
      <c r="H684" s="87"/>
    </row>
    <row r="685" spans="1:8" x14ac:dyDescent="0.2">
      <c r="A685" s="84"/>
      <c r="B685" s="85"/>
      <c r="C685" s="85"/>
      <c r="D685" s="85"/>
      <c r="E685" s="85"/>
      <c r="F685" s="85"/>
      <c r="G685" s="86"/>
      <c r="H685" s="87"/>
    </row>
    <row r="686" spans="1:8" x14ac:dyDescent="0.2">
      <c r="A686" s="84"/>
      <c r="B686" s="85"/>
      <c r="C686" s="85"/>
      <c r="D686" s="85"/>
      <c r="E686" s="85"/>
      <c r="F686" s="85"/>
      <c r="G686" s="86"/>
      <c r="H686" s="87"/>
    </row>
    <row r="687" spans="1:8" x14ac:dyDescent="0.2">
      <c r="A687" s="84"/>
      <c r="B687" s="85"/>
      <c r="C687" s="85"/>
      <c r="D687" s="85"/>
      <c r="E687" s="85"/>
      <c r="F687" s="85"/>
      <c r="G687" s="86"/>
      <c r="H687" s="87"/>
    </row>
    <row r="688" spans="1:8" x14ac:dyDescent="0.2">
      <c r="A688" s="84"/>
      <c r="B688" s="85"/>
      <c r="C688" s="85"/>
      <c r="D688" s="85"/>
      <c r="E688" s="85"/>
      <c r="F688" s="85"/>
      <c r="G688" s="86"/>
      <c r="H688" s="87"/>
    </row>
    <row r="689" spans="1:8" x14ac:dyDescent="0.2">
      <c r="A689" s="84"/>
      <c r="B689" s="85"/>
      <c r="C689" s="85"/>
      <c r="D689" s="85"/>
      <c r="E689" s="85"/>
      <c r="F689" s="85"/>
      <c r="G689" s="86"/>
      <c r="H689" s="87"/>
    </row>
    <row r="690" spans="1:8" x14ac:dyDescent="0.2">
      <c r="A690" s="84"/>
      <c r="B690" s="85"/>
      <c r="C690" s="85"/>
      <c r="D690" s="85"/>
      <c r="E690" s="85"/>
      <c r="F690" s="85"/>
      <c r="G690" s="86"/>
      <c r="H690" s="87"/>
    </row>
    <row r="691" spans="1:8" x14ac:dyDescent="0.2">
      <c r="A691" s="84"/>
      <c r="B691" s="85"/>
      <c r="C691" s="85"/>
      <c r="D691" s="85"/>
      <c r="E691" s="85"/>
      <c r="F691" s="85"/>
      <c r="G691" s="86"/>
      <c r="H691" s="87"/>
    </row>
    <row r="692" spans="1:8" x14ac:dyDescent="0.2">
      <c r="A692" s="84"/>
      <c r="B692" s="85"/>
      <c r="C692" s="85"/>
      <c r="D692" s="85"/>
      <c r="E692" s="85"/>
      <c r="F692" s="85"/>
      <c r="G692" s="86"/>
      <c r="H692" s="87"/>
    </row>
    <row r="693" spans="1:8" x14ac:dyDescent="0.2">
      <c r="A693" s="84"/>
      <c r="B693" s="85"/>
      <c r="C693" s="85"/>
      <c r="D693" s="85"/>
      <c r="E693" s="85"/>
      <c r="F693" s="85"/>
      <c r="G693" s="86"/>
      <c r="H693" s="87"/>
    </row>
    <row r="694" spans="1:8" x14ac:dyDescent="0.2">
      <c r="A694" s="84"/>
      <c r="B694" s="85"/>
      <c r="C694" s="85"/>
      <c r="D694" s="85"/>
      <c r="E694" s="85"/>
      <c r="F694" s="85"/>
      <c r="G694" s="86"/>
      <c r="H694" s="87"/>
    </row>
    <row r="695" spans="1:8" x14ac:dyDescent="0.2">
      <c r="A695" s="84"/>
      <c r="B695" s="85"/>
      <c r="C695" s="85"/>
      <c r="D695" s="85"/>
      <c r="E695" s="85"/>
      <c r="F695" s="85"/>
      <c r="G695" s="86"/>
      <c r="H695" s="87"/>
    </row>
    <row r="696" spans="1:8" x14ac:dyDescent="0.2">
      <c r="A696" s="84"/>
      <c r="B696" s="85"/>
      <c r="C696" s="85"/>
      <c r="D696" s="85"/>
      <c r="E696" s="85"/>
      <c r="F696" s="85"/>
      <c r="G696" s="86"/>
      <c r="H696" s="87"/>
    </row>
    <row r="697" spans="1:8" x14ac:dyDescent="0.2">
      <c r="A697" s="84"/>
      <c r="B697" s="85"/>
      <c r="C697" s="85"/>
      <c r="D697" s="85"/>
      <c r="E697" s="85"/>
      <c r="F697" s="85"/>
      <c r="G697" s="86"/>
      <c r="H697" s="87"/>
    </row>
    <row r="698" spans="1:8" x14ac:dyDescent="0.2">
      <c r="A698" s="84"/>
      <c r="B698" s="85"/>
      <c r="C698" s="85"/>
      <c r="D698" s="85"/>
      <c r="E698" s="85"/>
      <c r="F698" s="85"/>
      <c r="G698" s="86"/>
      <c r="H698" s="87"/>
    </row>
    <row r="699" spans="1:8" x14ac:dyDescent="0.2">
      <c r="A699" s="84"/>
      <c r="B699" s="85"/>
      <c r="C699" s="85"/>
      <c r="D699" s="85"/>
      <c r="E699" s="85"/>
      <c r="F699" s="85"/>
      <c r="G699" s="86"/>
      <c r="H699" s="87"/>
    </row>
    <row r="700" spans="1:8" x14ac:dyDescent="0.2">
      <c r="A700" s="84"/>
      <c r="B700" s="85"/>
      <c r="C700" s="85"/>
      <c r="D700" s="85"/>
      <c r="E700" s="85"/>
      <c r="F700" s="85"/>
      <c r="G700" s="86"/>
      <c r="H700" s="87"/>
    </row>
    <row r="701" spans="1:8" x14ac:dyDescent="0.2">
      <c r="A701" s="84"/>
      <c r="B701" s="85"/>
      <c r="C701" s="85"/>
      <c r="D701" s="85"/>
      <c r="E701" s="85"/>
      <c r="F701" s="85"/>
      <c r="G701" s="86"/>
      <c r="H701" s="87"/>
    </row>
    <row r="702" spans="1:8" x14ac:dyDescent="0.2">
      <c r="A702" s="84"/>
      <c r="B702" s="85"/>
      <c r="C702" s="85"/>
      <c r="D702" s="85"/>
      <c r="E702" s="85"/>
      <c r="F702" s="85"/>
      <c r="G702" s="86"/>
      <c r="H702" s="87"/>
    </row>
    <row r="703" spans="1:8" x14ac:dyDescent="0.2">
      <c r="A703" s="84"/>
      <c r="B703" s="85"/>
      <c r="C703" s="85"/>
      <c r="D703" s="85"/>
      <c r="E703" s="85"/>
      <c r="F703" s="85"/>
      <c r="G703" s="86"/>
      <c r="H703" s="87"/>
    </row>
    <row r="704" spans="1:8" x14ac:dyDescent="0.2">
      <c r="A704" s="84"/>
      <c r="B704" s="85"/>
      <c r="C704" s="85"/>
      <c r="D704" s="85"/>
      <c r="E704" s="85"/>
      <c r="F704" s="85"/>
      <c r="G704" s="86"/>
      <c r="H704" s="87"/>
    </row>
    <row r="705" spans="1:8" x14ac:dyDescent="0.2">
      <c r="A705" s="84"/>
      <c r="B705" s="85"/>
      <c r="C705" s="85"/>
      <c r="D705" s="85"/>
      <c r="E705" s="85"/>
      <c r="F705" s="85"/>
      <c r="G705" s="86"/>
      <c r="H705" s="87"/>
    </row>
    <row r="706" spans="1:8" x14ac:dyDescent="0.2">
      <c r="A706" s="84"/>
      <c r="B706" s="85"/>
      <c r="C706" s="85"/>
      <c r="D706" s="85"/>
      <c r="E706" s="85"/>
      <c r="F706" s="85"/>
      <c r="G706" s="86"/>
      <c r="H706" s="87"/>
    </row>
    <row r="707" spans="1:8" x14ac:dyDescent="0.2">
      <c r="A707" s="84"/>
      <c r="B707" s="85"/>
      <c r="C707" s="85"/>
      <c r="D707" s="85"/>
      <c r="E707" s="85"/>
      <c r="F707" s="85"/>
      <c r="G707" s="86"/>
      <c r="H707" s="87"/>
    </row>
    <row r="708" spans="1:8" x14ac:dyDescent="0.2">
      <c r="A708" s="84"/>
      <c r="B708" s="85"/>
      <c r="C708" s="85"/>
      <c r="D708" s="85"/>
      <c r="E708" s="85"/>
      <c r="F708" s="85"/>
      <c r="G708" s="86"/>
      <c r="H708" s="87"/>
    </row>
    <row r="709" spans="1:8" x14ac:dyDescent="0.2">
      <c r="A709" s="84"/>
      <c r="B709" s="85"/>
      <c r="C709" s="85"/>
      <c r="D709" s="85"/>
      <c r="E709" s="85"/>
      <c r="F709" s="85"/>
      <c r="G709" s="86"/>
      <c r="H709" s="87"/>
    </row>
    <row r="710" spans="1:8" x14ac:dyDescent="0.2">
      <c r="A710" s="84"/>
      <c r="B710" s="85"/>
      <c r="C710" s="85"/>
      <c r="D710" s="85"/>
      <c r="E710" s="85"/>
      <c r="F710" s="85"/>
      <c r="G710" s="86"/>
      <c r="H710" s="87"/>
    </row>
    <row r="711" spans="1:8" x14ac:dyDescent="0.2">
      <c r="A711" s="84"/>
      <c r="B711" s="85"/>
      <c r="C711" s="85"/>
      <c r="D711" s="85"/>
      <c r="E711" s="85"/>
      <c r="F711" s="85"/>
      <c r="G711" s="86"/>
      <c r="H711" s="87"/>
    </row>
    <row r="712" spans="1:8" x14ac:dyDescent="0.2">
      <c r="A712" s="84"/>
      <c r="B712" s="85"/>
      <c r="C712" s="85"/>
      <c r="D712" s="85"/>
      <c r="E712" s="85"/>
      <c r="F712" s="85"/>
      <c r="G712" s="86"/>
      <c r="H712" s="87"/>
    </row>
    <row r="713" spans="1:8" x14ac:dyDescent="0.2">
      <c r="A713" s="84"/>
      <c r="B713" s="85"/>
      <c r="C713" s="85"/>
      <c r="D713" s="85"/>
      <c r="E713" s="85"/>
      <c r="F713" s="85"/>
      <c r="G713" s="86"/>
      <c r="H713" s="87"/>
    </row>
    <row r="714" spans="1:8" x14ac:dyDescent="0.2">
      <c r="A714" s="84"/>
      <c r="B714" s="85"/>
      <c r="C714" s="85"/>
      <c r="D714" s="85"/>
      <c r="E714" s="85"/>
      <c r="F714" s="85"/>
      <c r="G714" s="86"/>
      <c r="H714" s="87"/>
    </row>
    <row r="715" spans="1:8" x14ac:dyDescent="0.2">
      <c r="A715" s="84"/>
      <c r="B715" s="85"/>
      <c r="C715" s="85"/>
      <c r="D715" s="85"/>
      <c r="E715" s="85"/>
      <c r="F715" s="85"/>
      <c r="G715" s="86"/>
      <c r="H715" s="87"/>
    </row>
    <row r="716" spans="1:8" x14ac:dyDescent="0.2">
      <c r="A716" s="84"/>
      <c r="B716" s="85"/>
      <c r="C716" s="85"/>
      <c r="D716" s="85"/>
      <c r="E716" s="85"/>
      <c r="F716" s="85"/>
      <c r="G716" s="86"/>
      <c r="H716" s="87"/>
    </row>
    <row r="717" spans="1:8" x14ac:dyDescent="0.2">
      <c r="A717" s="84"/>
      <c r="B717" s="85"/>
      <c r="C717" s="85"/>
      <c r="D717" s="85"/>
      <c r="E717" s="85"/>
      <c r="F717" s="85"/>
      <c r="G717" s="86"/>
      <c r="H717" s="87"/>
    </row>
    <row r="718" spans="1:8" x14ac:dyDescent="0.2">
      <c r="A718" s="84"/>
      <c r="B718" s="85"/>
      <c r="C718" s="85"/>
      <c r="D718" s="85"/>
      <c r="E718" s="85"/>
      <c r="F718" s="85"/>
      <c r="G718" s="86"/>
      <c r="H718" s="87"/>
    </row>
    <row r="719" spans="1:8" x14ac:dyDescent="0.2">
      <c r="A719" s="84"/>
      <c r="B719" s="85"/>
      <c r="C719" s="85"/>
      <c r="D719" s="85"/>
      <c r="E719" s="85"/>
      <c r="F719" s="85"/>
      <c r="G719" s="86"/>
      <c r="H719" s="87"/>
    </row>
    <row r="720" spans="1:8" x14ac:dyDescent="0.2">
      <c r="A720" s="84"/>
      <c r="B720" s="85"/>
      <c r="C720" s="85"/>
      <c r="D720" s="85"/>
      <c r="E720" s="85"/>
      <c r="F720" s="85"/>
      <c r="G720" s="86"/>
      <c r="H720" s="87"/>
    </row>
    <row r="721" spans="1:8" x14ac:dyDescent="0.2">
      <c r="A721" s="84"/>
      <c r="B721" s="85"/>
      <c r="C721" s="85"/>
      <c r="D721" s="85"/>
      <c r="E721" s="85"/>
      <c r="F721" s="85"/>
      <c r="G721" s="86"/>
      <c r="H721" s="87"/>
    </row>
    <row r="722" spans="1:8" x14ac:dyDescent="0.2">
      <c r="A722" s="84"/>
      <c r="B722" s="85"/>
      <c r="C722" s="85"/>
      <c r="D722" s="85"/>
      <c r="E722" s="85"/>
      <c r="F722" s="85"/>
      <c r="G722" s="86"/>
      <c r="H722" s="87"/>
    </row>
    <row r="723" spans="1:8" x14ac:dyDescent="0.2">
      <c r="A723" s="84"/>
      <c r="B723" s="85"/>
      <c r="C723" s="85"/>
      <c r="D723" s="85"/>
      <c r="E723" s="85"/>
      <c r="F723" s="85"/>
      <c r="G723" s="86"/>
      <c r="H723" s="87"/>
    </row>
    <row r="724" spans="1:8" x14ac:dyDescent="0.2">
      <c r="A724" s="84"/>
      <c r="B724" s="85"/>
      <c r="C724" s="85"/>
      <c r="D724" s="85"/>
      <c r="E724" s="85"/>
      <c r="F724" s="85"/>
      <c r="G724" s="86"/>
      <c r="H724" s="87"/>
    </row>
    <row r="725" spans="1:8" x14ac:dyDescent="0.2">
      <c r="A725" s="84"/>
      <c r="B725" s="85"/>
      <c r="C725" s="85"/>
      <c r="D725" s="85"/>
      <c r="E725" s="85"/>
      <c r="F725" s="85"/>
      <c r="G725" s="86"/>
      <c r="H725" s="87"/>
    </row>
    <row r="726" spans="1:8" x14ac:dyDescent="0.2">
      <c r="A726" s="84"/>
      <c r="B726" s="85"/>
      <c r="C726" s="85"/>
      <c r="D726" s="85"/>
      <c r="E726" s="85"/>
      <c r="F726" s="85"/>
      <c r="G726" s="86"/>
      <c r="H726" s="87"/>
    </row>
    <row r="727" spans="1:8" x14ac:dyDescent="0.2">
      <c r="A727" s="84"/>
      <c r="B727" s="85"/>
      <c r="C727" s="85"/>
      <c r="D727" s="85"/>
      <c r="E727" s="85"/>
      <c r="F727" s="85"/>
      <c r="G727" s="86"/>
      <c r="H727" s="87"/>
    </row>
    <row r="728" spans="1:8" x14ac:dyDescent="0.2">
      <c r="A728" s="84"/>
      <c r="B728" s="85"/>
      <c r="C728" s="85"/>
      <c r="D728" s="85"/>
      <c r="E728" s="85"/>
      <c r="F728" s="85"/>
      <c r="G728" s="86"/>
      <c r="H728" s="87"/>
    </row>
    <row r="729" spans="1:8" x14ac:dyDescent="0.2">
      <c r="A729" s="84"/>
      <c r="B729" s="85"/>
      <c r="C729" s="85"/>
      <c r="D729" s="85"/>
      <c r="E729" s="85"/>
      <c r="F729" s="85"/>
      <c r="G729" s="86"/>
      <c r="H729" s="87"/>
    </row>
    <row r="730" spans="1:8" x14ac:dyDescent="0.2">
      <c r="A730" s="84"/>
      <c r="B730" s="85"/>
      <c r="C730" s="85"/>
      <c r="D730" s="85"/>
      <c r="E730" s="85"/>
      <c r="F730" s="85"/>
      <c r="G730" s="86"/>
      <c r="H730" s="87"/>
    </row>
    <row r="731" spans="1:8" x14ac:dyDescent="0.2">
      <c r="A731" s="84"/>
      <c r="B731" s="85"/>
      <c r="C731" s="85"/>
      <c r="D731" s="85"/>
      <c r="E731" s="85"/>
      <c r="F731" s="85"/>
      <c r="G731" s="86"/>
      <c r="H731" s="87"/>
    </row>
    <row r="732" spans="1:8" x14ac:dyDescent="0.2">
      <c r="A732" s="84"/>
      <c r="B732" s="85"/>
      <c r="C732" s="85"/>
      <c r="D732" s="85"/>
      <c r="E732" s="85"/>
      <c r="F732" s="85"/>
      <c r="G732" s="86"/>
      <c r="H732" s="87"/>
    </row>
    <row r="733" spans="1:8" x14ac:dyDescent="0.2">
      <c r="A733" s="84"/>
      <c r="B733" s="85"/>
      <c r="C733" s="85"/>
      <c r="D733" s="85"/>
      <c r="E733" s="85"/>
      <c r="F733" s="85"/>
      <c r="G733" s="86"/>
      <c r="H733" s="87"/>
    </row>
    <row r="734" spans="1:8" x14ac:dyDescent="0.2">
      <c r="A734" s="84"/>
      <c r="B734" s="85"/>
      <c r="C734" s="85"/>
      <c r="D734" s="85"/>
      <c r="E734" s="85"/>
      <c r="F734" s="85"/>
      <c r="G734" s="86"/>
      <c r="H734" s="87"/>
    </row>
    <row r="735" spans="1:8" x14ac:dyDescent="0.2">
      <c r="A735" s="84"/>
      <c r="B735" s="85"/>
      <c r="C735" s="85"/>
      <c r="D735" s="85"/>
      <c r="E735" s="85"/>
      <c r="F735" s="85"/>
      <c r="G735" s="86"/>
      <c r="H735" s="87"/>
    </row>
    <row r="736" spans="1:8" x14ac:dyDescent="0.2">
      <c r="A736" s="84"/>
      <c r="B736" s="85"/>
      <c r="C736" s="85"/>
      <c r="D736" s="85"/>
      <c r="E736" s="85"/>
      <c r="F736" s="85"/>
      <c r="G736" s="86"/>
      <c r="H736" s="87"/>
    </row>
    <row r="737" spans="1:8" x14ac:dyDescent="0.2">
      <c r="A737" s="84"/>
      <c r="B737" s="85"/>
      <c r="C737" s="85"/>
      <c r="D737" s="85"/>
      <c r="E737" s="85"/>
      <c r="F737" s="85"/>
      <c r="G737" s="86"/>
      <c r="H737" s="87"/>
    </row>
    <row r="738" spans="1:8" x14ac:dyDescent="0.2">
      <c r="A738" s="84"/>
      <c r="B738" s="85"/>
      <c r="C738" s="85"/>
      <c r="D738" s="85"/>
      <c r="E738" s="85"/>
      <c r="F738" s="85"/>
      <c r="G738" s="86"/>
      <c r="H738" s="87"/>
    </row>
    <row r="739" spans="1:8" x14ac:dyDescent="0.2">
      <c r="A739" s="84"/>
      <c r="B739" s="85"/>
      <c r="C739" s="85"/>
      <c r="D739" s="85"/>
      <c r="E739" s="85"/>
      <c r="F739" s="85"/>
      <c r="G739" s="86"/>
      <c r="H739" s="87"/>
    </row>
    <row r="740" spans="1:8" x14ac:dyDescent="0.2">
      <c r="A740" s="84"/>
      <c r="B740" s="85"/>
      <c r="C740" s="85"/>
      <c r="D740" s="85"/>
      <c r="E740" s="85"/>
      <c r="F740" s="85"/>
      <c r="G740" s="86"/>
      <c r="H740" s="87"/>
    </row>
    <row r="741" spans="1:8" x14ac:dyDescent="0.2">
      <c r="A741" s="84"/>
      <c r="B741" s="85"/>
      <c r="C741" s="85"/>
      <c r="D741" s="85"/>
      <c r="E741" s="85"/>
      <c r="F741" s="85"/>
      <c r="G741" s="86"/>
      <c r="H741" s="87"/>
    </row>
    <row r="742" spans="1:8" x14ac:dyDescent="0.2">
      <c r="A742" s="84"/>
      <c r="B742" s="85"/>
      <c r="C742" s="85"/>
      <c r="D742" s="85"/>
      <c r="E742" s="85"/>
      <c r="F742" s="85"/>
      <c r="G742" s="86"/>
      <c r="H742" s="87"/>
    </row>
    <row r="743" spans="1:8" x14ac:dyDescent="0.2">
      <c r="A743" s="84"/>
      <c r="B743" s="85"/>
      <c r="C743" s="85"/>
      <c r="D743" s="85"/>
      <c r="E743" s="85"/>
      <c r="F743" s="85"/>
      <c r="G743" s="86"/>
      <c r="H743" s="87"/>
    </row>
    <row r="744" spans="1:8" x14ac:dyDescent="0.2">
      <c r="A744" s="84"/>
      <c r="B744" s="85"/>
      <c r="C744" s="85"/>
      <c r="D744" s="85"/>
      <c r="E744" s="85"/>
      <c r="F744" s="85"/>
      <c r="G744" s="86"/>
      <c r="H744" s="87"/>
    </row>
    <row r="745" spans="1:8" x14ac:dyDescent="0.2">
      <c r="A745" s="84"/>
      <c r="B745" s="85"/>
      <c r="C745" s="85"/>
      <c r="D745" s="85"/>
      <c r="E745" s="85"/>
      <c r="F745" s="85"/>
      <c r="G745" s="86"/>
      <c r="H745" s="87"/>
    </row>
    <row r="746" spans="1:8" x14ac:dyDescent="0.2">
      <c r="A746" s="84"/>
      <c r="B746" s="85"/>
      <c r="C746" s="85"/>
      <c r="D746" s="85"/>
      <c r="E746" s="85"/>
      <c r="F746" s="85"/>
      <c r="G746" s="86"/>
      <c r="H746" s="87"/>
    </row>
    <row r="747" spans="1:8" x14ac:dyDescent="0.2">
      <c r="A747" s="84"/>
      <c r="B747" s="85"/>
      <c r="C747" s="85"/>
      <c r="D747" s="85"/>
      <c r="E747" s="85"/>
      <c r="F747" s="85"/>
      <c r="G747" s="86"/>
      <c r="H747" s="87"/>
    </row>
    <row r="748" spans="1:8" x14ac:dyDescent="0.2">
      <c r="A748" s="84"/>
      <c r="B748" s="85"/>
      <c r="C748" s="85"/>
      <c r="D748" s="85"/>
      <c r="E748" s="85"/>
      <c r="F748" s="85"/>
      <c r="G748" s="86"/>
      <c r="H748" s="87"/>
    </row>
    <row r="749" spans="1:8" x14ac:dyDescent="0.2">
      <c r="A749" s="84"/>
      <c r="B749" s="85"/>
      <c r="C749" s="85"/>
      <c r="D749" s="85"/>
      <c r="E749" s="85"/>
      <c r="F749" s="85"/>
      <c r="G749" s="86"/>
      <c r="H749" s="87"/>
    </row>
    <row r="750" spans="1:8" x14ac:dyDescent="0.2">
      <c r="A750" s="84"/>
      <c r="B750" s="85"/>
      <c r="C750" s="85"/>
      <c r="D750" s="85"/>
      <c r="E750" s="85"/>
      <c r="F750" s="85"/>
      <c r="G750" s="86"/>
      <c r="H750" s="87"/>
    </row>
    <row r="751" spans="1:8" x14ac:dyDescent="0.2">
      <c r="A751" s="84"/>
      <c r="B751" s="85"/>
      <c r="C751" s="85"/>
      <c r="D751" s="85"/>
      <c r="E751" s="85"/>
      <c r="F751" s="85"/>
      <c r="G751" s="86"/>
      <c r="H751" s="87"/>
    </row>
    <row r="752" spans="1:8" x14ac:dyDescent="0.2">
      <c r="A752" s="84"/>
      <c r="B752" s="85"/>
      <c r="C752" s="85"/>
      <c r="D752" s="85"/>
      <c r="E752" s="85"/>
      <c r="F752" s="85"/>
      <c r="G752" s="86"/>
      <c r="H752" s="87"/>
    </row>
    <row r="753" spans="1:8" x14ac:dyDescent="0.2">
      <c r="A753" s="84"/>
      <c r="B753" s="85"/>
      <c r="C753" s="85"/>
      <c r="D753" s="85"/>
      <c r="E753" s="85"/>
      <c r="F753" s="85"/>
      <c r="G753" s="86"/>
      <c r="H753" s="87"/>
    </row>
    <row r="754" spans="1:8" x14ac:dyDescent="0.2">
      <c r="A754" s="84"/>
      <c r="B754" s="85"/>
      <c r="C754" s="85"/>
      <c r="D754" s="85"/>
      <c r="E754" s="85"/>
      <c r="F754" s="85"/>
      <c r="G754" s="86"/>
      <c r="H754" s="87"/>
    </row>
    <row r="755" spans="1:8" x14ac:dyDescent="0.2">
      <c r="A755" s="84"/>
      <c r="B755" s="85"/>
      <c r="C755" s="85"/>
      <c r="D755" s="85"/>
      <c r="E755" s="85"/>
      <c r="F755" s="85"/>
      <c r="G755" s="86"/>
      <c r="H755" s="87"/>
    </row>
    <row r="756" spans="1:8" x14ac:dyDescent="0.2">
      <c r="A756" s="84"/>
      <c r="B756" s="85"/>
      <c r="C756" s="85"/>
      <c r="D756" s="85"/>
      <c r="E756" s="85"/>
      <c r="F756" s="85"/>
      <c r="G756" s="86"/>
      <c r="H756" s="87"/>
    </row>
    <row r="757" spans="1:8" x14ac:dyDescent="0.2">
      <c r="A757" s="84"/>
      <c r="B757" s="85"/>
      <c r="C757" s="85"/>
      <c r="D757" s="85"/>
      <c r="E757" s="85"/>
      <c r="F757" s="85"/>
      <c r="G757" s="86"/>
      <c r="H757" s="87"/>
    </row>
    <row r="758" spans="1:8" x14ac:dyDescent="0.2">
      <c r="A758" s="84"/>
      <c r="B758" s="85"/>
      <c r="C758" s="85"/>
      <c r="D758" s="85"/>
      <c r="E758" s="85"/>
      <c r="F758" s="85"/>
      <c r="G758" s="86"/>
      <c r="H758" s="87"/>
    </row>
    <row r="759" spans="1:8" x14ac:dyDescent="0.2">
      <c r="A759" s="84"/>
      <c r="B759" s="85"/>
      <c r="C759" s="85"/>
      <c r="D759" s="85"/>
      <c r="E759" s="85"/>
      <c r="F759" s="85"/>
      <c r="G759" s="86"/>
      <c r="H759" s="87"/>
    </row>
    <row r="760" spans="1:8" x14ac:dyDescent="0.2">
      <c r="A760" s="84"/>
      <c r="B760" s="85"/>
      <c r="C760" s="85"/>
      <c r="D760" s="85"/>
      <c r="E760" s="85"/>
      <c r="F760" s="85"/>
      <c r="G760" s="86"/>
      <c r="H760" s="87"/>
    </row>
    <row r="761" spans="1:8" x14ac:dyDescent="0.2">
      <c r="A761" s="84"/>
      <c r="B761" s="85"/>
      <c r="C761" s="85"/>
      <c r="D761" s="85"/>
      <c r="E761" s="85"/>
      <c r="F761" s="85"/>
      <c r="G761" s="86"/>
      <c r="H761" s="87"/>
    </row>
    <row r="762" spans="1:8" x14ac:dyDescent="0.2">
      <c r="A762" s="84"/>
      <c r="B762" s="85"/>
      <c r="C762" s="85"/>
      <c r="D762" s="85"/>
      <c r="E762" s="85"/>
      <c r="F762" s="85"/>
      <c r="G762" s="86"/>
      <c r="H762" s="87"/>
    </row>
    <row r="763" spans="1:8" x14ac:dyDescent="0.2">
      <c r="A763" s="84"/>
      <c r="B763" s="85"/>
      <c r="C763" s="85"/>
      <c r="D763" s="85"/>
      <c r="E763" s="85"/>
      <c r="F763" s="85"/>
      <c r="G763" s="86"/>
      <c r="H763" s="87"/>
    </row>
    <row r="764" spans="1:8" x14ac:dyDescent="0.2">
      <c r="A764" s="84"/>
      <c r="B764" s="85"/>
      <c r="C764" s="85"/>
      <c r="D764" s="85"/>
      <c r="E764" s="85"/>
      <c r="F764" s="85"/>
      <c r="G764" s="86"/>
      <c r="H764" s="87"/>
    </row>
    <row r="765" spans="1:8" x14ac:dyDescent="0.2">
      <c r="A765" s="84"/>
      <c r="B765" s="85"/>
      <c r="C765" s="85"/>
      <c r="D765" s="85"/>
      <c r="E765" s="85"/>
      <c r="F765" s="85"/>
      <c r="G765" s="86"/>
      <c r="H765" s="87"/>
    </row>
    <row r="766" spans="1:8" x14ac:dyDescent="0.2">
      <c r="A766" s="84"/>
      <c r="B766" s="85"/>
      <c r="C766" s="85"/>
      <c r="D766" s="85"/>
      <c r="E766" s="85"/>
      <c r="F766" s="85"/>
      <c r="G766" s="86"/>
      <c r="H766" s="87"/>
    </row>
    <row r="767" spans="1:8" x14ac:dyDescent="0.2">
      <c r="A767" s="84"/>
      <c r="B767" s="85"/>
      <c r="C767" s="85"/>
      <c r="D767" s="85"/>
      <c r="E767" s="85"/>
      <c r="F767" s="85"/>
      <c r="G767" s="86"/>
      <c r="H767" s="87"/>
    </row>
    <row r="768" spans="1:8" x14ac:dyDescent="0.2">
      <c r="A768" s="84"/>
      <c r="B768" s="85"/>
      <c r="C768" s="85"/>
      <c r="D768" s="85"/>
      <c r="E768" s="85"/>
      <c r="F768" s="85"/>
      <c r="G768" s="86"/>
      <c r="H768" s="87"/>
    </row>
    <row r="769" spans="1:8" x14ac:dyDescent="0.2">
      <c r="A769" s="84"/>
      <c r="B769" s="85"/>
      <c r="C769" s="85"/>
      <c r="D769" s="85"/>
      <c r="E769" s="85"/>
      <c r="F769" s="85"/>
      <c r="G769" s="86"/>
      <c r="H769" s="87"/>
    </row>
    <row r="770" spans="1:8" x14ac:dyDescent="0.2">
      <c r="A770" s="84"/>
      <c r="B770" s="85"/>
      <c r="C770" s="85"/>
      <c r="D770" s="85"/>
      <c r="E770" s="85"/>
      <c r="F770" s="85"/>
      <c r="G770" s="86"/>
      <c r="H770" s="87"/>
    </row>
    <row r="771" spans="1:8" x14ac:dyDescent="0.2">
      <c r="A771" s="84"/>
      <c r="B771" s="85"/>
      <c r="C771" s="85"/>
      <c r="D771" s="85"/>
      <c r="E771" s="85"/>
      <c r="F771" s="85"/>
      <c r="G771" s="86"/>
      <c r="H771" s="87"/>
    </row>
    <row r="772" spans="1:8" x14ac:dyDescent="0.2">
      <c r="A772" s="84"/>
      <c r="B772" s="85"/>
      <c r="C772" s="85"/>
      <c r="D772" s="85"/>
      <c r="E772" s="85"/>
      <c r="F772" s="85"/>
      <c r="G772" s="86"/>
      <c r="H772" s="87"/>
    </row>
    <row r="773" spans="1:8" x14ac:dyDescent="0.2">
      <c r="A773" s="84"/>
      <c r="B773" s="85"/>
      <c r="C773" s="85"/>
      <c r="D773" s="85"/>
      <c r="E773" s="85"/>
      <c r="F773" s="85"/>
      <c r="G773" s="86"/>
      <c r="H773" s="87"/>
    </row>
    <row r="774" spans="1:8" x14ac:dyDescent="0.2">
      <c r="A774" s="84"/>
      <c r="B774" s="85"/>
      <c r="C774" s="85"/>
      <c r="D774" s="85"/>
      <c r="E774" s="85"/>
      <c r="F774" s="85"/>
      <c r="G774" s="86"/>
      <c r="H774" s="87"/>
    </row>
    <row r="775" spans="1:8" x14ac:dyDescent="0.2">
      <c r="A775" s="84"/>
      <c r="B775" s="85"/>
      <c r="C775" s="85"/>
      <c r="D775" s="85"/>
      <c r="E775" s="85"/>
      <c r="F775" s="85"/>
      <c r="G775" s="86"/>
      <c r="H775" s="87"/>
    </row>
    <row r="776" spans="1:8" x14ac:dyDescent="0.2">
      <c r="A776" s="84"/>
      <c r="B776" s="85"/>
      <c r="C776" s="85"/>
      <c r="D776" s="85"/>
      <c r="E776" s="85"/>
      <c r="F776" s="85"/>
      <c r="G776" s="86"/>
      <c r="H776" s="87"/>
    </row>
    <row r="777" spans="1:8" x14ac:dyDescent="0.2">
      <c r="A777" s="84"/>
      <c r="B777" s="85"/>
      <c r="C777" s="85"/>
      <c r="D777" s="85"/>
      <c r="E777" s="85"/>
      <c r="F777" s="85"/>
      <c r="G777" s="86"/>
      <c r="H777" s="87"/>
    </row>
    <row r="778" spans="1:8" x14ac:dyDescent="0.2">
      <c r="A778" s="84"/>
      <c r="B778" s="85"/>
      <c r="C778" s="85"/>
      <c r="D778" s="85"/>
      <c r="E778" s="85"/>
      <c r="F778" s="85"/>
      <c r="G778" s="86"/>
      <c r="H778" s="87"/>
    </row>
    <row r="779" spans="1:8" x14ac:dyDescent="0.2">
      <c r="A779" s="84"/>
      <c r="B779" s="85"/>
      <c r="C779" s="85"/>
      <c r="D779" s="85"/>
      <c r="E779" s="85"/>
      <c r="F779" s="85"/>
      <c r="G779" s="86"/>
      <c r="H779" s="87"/>
    </row>
    <row r="780" spans="1:8" x14ac:dyDescent="0.2">
      <c r="A780" s="84"/>
      <c r="B780" s="85"/>
      <c r="C780" s="85"/>
      <c r="D780" s="85"/>
      <c r="E780" s="85"/>
      <c r="F780" s="85"/>
      <c r="G780" s="86"/>
      <c r="H780" s="87"/>
    </row>
    <row r="781" spans="1:8" x14ac:dyDescent="0.2">
      <c r="A781" s="84"/>
      <c r="B781" s="85"/>
      <c r="C781" s="85"/>
      <c r="D781" s="85"/>
      <c r="E781" s="85"/>
      <c r="F781" s="85"/>
      <c r="G781" s="86"/>
      <c r="H781" s="87"/>
    </row>
    <row r="782" spans="1:8" x14ac:dyDescent="0.2">
      <c r="A782" s="84"/>
      <c r="B782" s="85"/>
      <c r="C782" s="85"/>
      <c r="D782" s="85"/>
      <c r="E782" s="85"/>
      <c r="F782" s="85"/>
      <c r="G782" s="86"/>
      <c r="H782" s="87"/>
    </row>
    <row r="783" spans="1:8" x14ac:dyDescent="0.2">
      <c r="A783" s="84"/>
      <c r="B783" s="85"/>
      <c r="C783" s="85"/>
      <c r="D783" s="85"/>
      <c r="E783" s="85"/>
      <c r="F783" s="85"/>
      <c r="G783" s="86"/>
      <c r="H783" s="87"/>
    </row>
    <row r="784" spans="1:8" x14ac:dyDescent="0.2">
      <c r="A784" s="84"/>
      <c r="B784" s="85"/>
      <c r="C784" s="85"/>
      <c r="D784" s="85"/>
      <c r="E784" s="85"/>
      <c r="F784" s="85"/>
      <c r="G784" s="86"/>
      <c r="H784" s="87"/>
    </row>
    <row r="785" spans="1:8" x14ac:dyDescent="0.2">
      <c r="A785" s="84"/>
      <c r="B785" s="85"/>
      <c r="C785" s="85"/>
      <c r="D785" s="85"/>
      <c r="E785" s="85"/>
      <c r="F785" s="85"/>
      <c r="G785" s="86"/>
      <c r="H785" s="87"/>
    </row>
    <row r="786" spans="1:8" x14ac:dyDescent="0.2">
      <c r="A786" s="84"/>
      <c r="B786" s="85"/>
      <c r="C786" s="85"/>
      <c r="D786" s="85"/>
      <c r="E786" s="85"/>
      <c r="F786" s="85"/>
      <c r="G786" s="86"/>
      <c r="H786" s="87"/>
    </row>
    <row r="787" spans="1:8" x14ac:dyDescent="0.2">
      <c r="A787" s="84"/>
      <c r="B787" s="85"/>
      <c r="C787" s="85"/>
      <c r="D787" s="85"/>
      <c r="E787" s="85"/>
      <c r="F787" s="85"/>
      <c r="G787" s="86"/>
      <c r="H787" s="87"/>
    </row>
    <row r="788" spans="1:8" x14ac:dyDescent="0.2">
      <c r="A788" s="84"/>
      <c r="B788" s="85"/>
      <c r="C788" s="85"/>
      <c r="D788" s="85"/>
      <c r="E788" s="85"/>
      <c r="F788" s="85"/>
      <c r="G788" s="86"/>
      <c r="H788" s="87"/>
    </row>
    <row r="789" spans="1:8" x14ac:dyDescent="0.2">
      <c r="A789" s="84"/>
      <c r="B789" s="85"/>
      <c r="C789" s="85"/>
      <c r="D789" s="85"/>
      <c r="E789" s="85"/>
      <c r="F789" s="85"/>
      <c r="G789" s="86"/>
      <c r="H789" s="87"/>
    </row>
    <row r="790" spans="1:8" x14ac:dyDescent="0.2">
      <c r="A790" s="84"/>
      <c r="B790" s="85"/>
      <c r="C790" s="85"/>
      <c r="D790" s="85"/>
      <c r="E790" s="85"/>
      <c r="F790" s="85"/>
      <c r="G790" s="86"/>
      <c r="H790" s="87"/>
    </row>
    <row r="791" spans="1:8" x14ac:dyDescent="0.2">
      <c r="A791" s="84"/>
      <c r="B791" s="85"/>
      <c r="C791" s="85"/>
      <c r="D791" s="85"/>
      <c r="E791" s="85"/>
      <c r="F791" s="85"/>
      <c r="G791" s="86"/>
      <c r="H791" s="87"/>
    </row>
    <row r="792" spans="1:8" x14ac:dyDescent="0.2">
      <c r="A792" s="84"/>
      <c r="B792" s="85"/>
      <c r="C792" s="85"/>
      <c r="D792" s="85"/>
      <c r="E792" s="85"/>
      <c r="F792" s="85"/>
      <c r="G792" s="86"/>
      <c r="H792" s="87"/>
    </row>
    <row r="793" spans="1:8" x14ac:dyDescent="0.2">
      <c r="A793" s="84"/>
      <c r="B793" s="85"/>
      <c r="C793" s="85"/>
      <c r="D793" s="85"/>
      <c r="E793" s="85"/>
      <c r="F793" s="85"/>
      <c r="G793" s="86"/>
      <c r="H793" s="87"/>
    </row>
    <row r="794" spans="1:8" x14ac:dyDescent="0.2">
      <c r="A794" s="84"/>
      <c r="B794" s="85"/>
      <c r="C794" s="85"/>
      <c r="D794" s="85"/>
      <c r="E794" s="85"/>
      <c r="F794" s="85"/>
      <c r="G794" s="86"/>
      <c r="H794" s="87"/>
    </row>
    <row r="795" spans="1:8" x14ac:dyDescent="0.2">
      <c r="A795" s="84"/>
      <c r="B795" s="85"/>
      <c r="C795" s="85"/>
      <c r="D795" s="85"/>
      <c r="E795" s="85"/>
      <c r="F795" s="85"/>
      <c r="G795" s="86"/>
      <c r="H795" s="87"/>
    </row>
    <row r="796" spans="1:8" x14ac:dyDescent="0.2">
      <c r="A796" s="84"/>
      <c r="B796" s="85"/>
      <c r="C796" s="85"/>
      <c r="D796" s="85"/>
      <c r="E796" s="85"/>
      <c r="F796" s="85"/>
      <c r="G796" s="86"/>
      <c r="H796" s="87"/>
    </row>
    <row r="797" spans="1:8" x14ac:dyDescent="0.2">
      <c r="A797" s="84"/>
      <c r="B797" s="85"/>
      <c r="C797" s="85"/>
      <c r="D797" s="85"/>
      <c r="E797" s="85"/>
      <c r="F797" s="85"/>
      <c r="G797" s="86"/>
      <c r="H797" s="87"/>
    </row>
    <row r="798" spans="1:8" x14ac:dyDescent="0.2">
      <c r="A798" s="84"/>
      <c r="B798" s="85"/>
      <c r="C798" s="85"/>
      <c r="D798" s="85"/>
      <c r="E798" s="85"/>
      <c r="F798" s="85"/>
      <c r="G798" s="86"/>
      <c r="H798" s="87"/>
    </row>
    <row r="799" spans="1:8" x14ac:dyDescent="0.2">
      <c r="A799" s="84"/>
      <c r="B799" s="85"/>
      <c r="C799" s="85"/>
      <c r="D799" s="85"/>
      <c r="E799" s="85"/>
      <c r="F799" s="85"/>
      <c r="G799" s="86"/>
      <c r="H799" s="87"/>
    </row>
    <row r="800" spans="1:8" x14ac:dyDescent="0.2">
      <c r="A800" s="84"/>
      <c r="B800" s="85"/>
      <c r="C800" s="85"/>
      <c r="D800" s="85"/>
      <c r="E800" s="85"/>
      <c r="F800" s="85"/>
      <c r="G800" s="86"/>
      <c r="H800" s="87"/>
    </row>
    <row r="801" spans="1:8" x14ac:dyDescent="0.2">
      <c r="A801" s="84"/>
      <c r="B801" s="85"/>
      <c r="C801" s="85"/>
      <c r="D801" s="85"/>
      <c r="E801" s="85"/>
      <c r="F801" s="85"/>
      <c r="G801" s="86"/>
      <c r="H801" s="87"/>
    </row>
    <row r="802" spans="1:8" x14ac:dyDescent="0.2">
      <c r="A802" s="84"/>
      <c r="B802" s="85"/>
      <c r="C802" s="85"/>
      <c r="D802" s="85"/>
      <c r="E802" s="85"/>
      <c r="F802" s="85"/>
      <c r="G802" s="86"/>
      <c r="H802" s="87"/>
    </row>
    <row r="803" spans="1:8" x14ac:dyDescent="0.2">
      <c r="A803" s="84"/>
      <c r="B803" s="85"/>
      <c r="C803" s="85"/>
      <c r="D803" s="85"/>
      <c r="E803" s="85"/>
      <c r="F803" s="85"/>
      <c r="G803" s="86"/>
      <c r="H803" s="87"/>
    </row>
    <row r="804" spans="1:8" x14ac:dyDescent="0.2">
      <c r="A804" s="84"/>
      <c r="B804" s="85"/>
      <c r="C804" s="85"/>
      <c r="D804" s="85"/>
      <c r="E804" s="85"/>
      <c r="F804" s="85"/>
      <c r="G804" s="86"/>
      <c r="H804" s="87"/>
    </row>
    <row r="805" spans="1:8" x14ac:dyDescent="0.2">
      <c r="A805" s="84"/>
      <c r="B805" s="85"/>
      <c r="C805" s="85"/>
      <c r="D805" s="85"/>
      <c r="E805" s="85"/>
      <c r="F805" s="85"/>
      <c r="G805" s="86"/>
      <c r="H805" s="87"/>
    </row>
    <row r="806" spans="1:8" x14ac:dyDescent="0.2">
      <c r="A806" s="84"/>
      <c r="B806" s="85"/>
      <c r="C806" s="85"/>
      <c r="D806" s="85"/>
      <c r="E806" s="85"/>
      <c r="F806" s="85"/>
      <c r="G806" s="86"/>
      <c r="H806" s="87"/>
    </row>
    <row r="807" spans="1:8" x14ac:dyDescent="0.2">
      <c r="A807" s="84"/>
      <c r="B807" s="85"/>
      <c r="C807" s="85"/>
      <c r="D807" s="85"/>
      <c r="E807" s="85"/>
      <c r="F807" s="85"/>
      <c r="G807" s="86"/>
      <c r="H807" s="87"/>
    </row>
    <row r="808" spans="1:8" x14ac:dyDescent="0.2">
      <c r="A808" s="84"/>
      <c r="B808" s="85"/>
      <c r="C808" s="85"/>
      <c r="D808" s="85"/>
      <c r="E808" s="85"/>
      <c r="F808" s="85"/>
      <c r="G808" s="86"/>
      <c r="H808" s="87"/>
    </row>
    <row r="809" spans="1:8" x14ac:dyDescent="0.2">
      <c r="A809" s="84"/>
      <c r="B809" s="85"/>
      <c r="C809" s="85"/>
      <c r="D809" s="85"/>
      <c r="E809" s="85"/>
      <c r="F809" s="85"/>
      <c r="G809" s="86"/>
      <c r="H809" s="87"/>
    </row>
    <row r="810" spans="1:8" x14ac:dyDescent="0.2">
      <c r="A810" s="84"/>
      <c r="B810" s="85"/>
      <c r="C810" s="85"/>
      <c r="D810" s="85"/>
      <c r="E810" s="85"/>
      <c r="F810" s="85"/>
      <c r="G810" s="86"/>
      <c r="H810" s="87"/>
    </row>
    <row r="811" spans="1:8" x14ac:dyDescent="0.2">
      <c r="A811" s="84"/>
      <c r="B811" s="85"/>
      <c r="C811" s="85"/>
      <c r="D811" s="85"/>
      <c r="E811" s="85"/>
      <c r="F811" s="85"/>
      <c r="G811" s="86"/>
      <c r="H811" s="87"/>
    </row>
    <row r="812" spans="1:8" x14ac:dyDescent="0.2">
      <c r="A812" s="84"/>
      <c r="B812" s="85"/>
      <c r="C812" s="85"/>
      <c r="D812" s="85"/>
      <c r="E812" s="85"/>
      <c r="F812" s="85"/>
      <c r="G812" s="86"/>
      <c r="H812" s="87"/>
    </row>
    <row r="813" spans="1:8" x14ac:dyDescent="0.2">
      <c r="A813" s="84"/>
      <c r="B813" s="85"/>
      <c r="C813" s="85"/>
      <c r="D813" s="85"/>
      <c r="E813" s="85"/>
      <c r="F813" s="85"/>
      <c r="G813" s="86"/>
      <c r="H813" s="87"/>
    </row>
    <row r="814" spans="1:8" x14ac:dyDescent="0.2">
      <c r="A814" s="84"/>
      <c r="B814" s="85"/>
      <c r="C814" s="85"/>
      <c r="D814" s="85"/>
      <c r="E814" s="85"/>
      <c r="F814" s="85"/>
      <c r="G814" s="86"/>
      <c r="H814" s="87"/>
    </row>
    <row r="815" spans="1:8" x14ac:dyDescent="0.2">
      <c r="A815" s="84"/>
      <c r="B815" s="85"/>
      <c r="C815" s="85"/>
      <c r="D815" s="85"/>
      <c r="E815" s="85"/>
      <c r="F815" s="85"/>
      <c r="G815" s="86"/>
      <c r="H815" s="87"/>
    </row>
    <row r="816" spans="1:8" x14ac:dyDescent="0.2">
      <c r="A816" s="84"/>
      <c r="B816" s="85"/>
      <c r="C816" s="85"/>
      <c r="D816" s="85"/>
      <c r="E816" s="85"/>
      <c r="F816" s="85"/>
      <c r="G816" s="86"/>
      <c r="H816" s="87"/>
    </row>
    <row r="817" spans="1:8" x14ac:dyDescent="0.2">
      <c r="A817" s="84"/>
      <c r="B817" s="85"/>
      <c r="C817" s="85"/>
      <c r="D817" s="85"/>
      <c r="E817" s="85"/>
      <c r="F817" s="85"/>
      <c r="G817" s="86"/>
      <c r="H817" s="87"/>
    </row>
    <row r="818" spans="1:8" x14ac:dyDescent="0.2">
      <c r="A818" s="84"/>
      <c r="B818" s="85"/>
      <c r="C818" s="85"/>
      <c r="D818" s="85"/>
      <c r="E818" s="85"/>
      <c r="F818" s="85"/>
      <c r="G818" s="86"/>
      <c r="H818" s="87"/>
    </row>
    <row r="819" spans="1:8" x14ac:dyDescent="0.2">
      <c r="A819" s="84"/>
      <c r="B819" s="85"/>
      <c r="C819" s="85"/>
      <c r="D819" s="85"/>
      <c r="E819" s="85"/>
      <c r="F819" s="85"/>
      <c r="G819" s="86"/>
      <c r="H819" s="87"/>
    </row>
    <row r="820" spans="1:8" x14ac:dyDescent="0.2">
      <c r="A820" s="84"/>
      <c r="B820" s="85"/>
      <c r="C820" s="85"/>
      <c r="D820" s="85"/>
      <c r="E820" s="85"/>
      <c r="F820" s="85"/>
      <c r="G820" s="86"/>
      <c r="H820" s="87"/>
    </row>
    <row r="821" spans="1:8" x14ac:dyDescent="0.2">
      <c r="A821" s="84"/>
      <c r="B821" s="85"/>
      <c r="C821" s="85"/>
      <c r="D821" s="85"/>
      <c r="E821" s="85"/>
      <c r="F821" s="85"/>
      <c r="G821" s="86"/>
      <c r="H821" s="87"/>
    </row>
    <row r="822" spans="1:8" x14ac:dyDescent="0.2">
      <c r="A822" s="84"/>
      <c r="B822" s="85"/>
      <c r="C822" s="85"/>
      <c r="D822" s="85"/>
      <c r="E822" s="85"/>
      <c r="F822" s="85"/>
      <c r="G822" s="86"/>
      <c r="H822" s="87"/>
    </row>
    <row r="823" spans="1:8" x14ac:dyDescent="0.2">
      <c r="A823" s="84"/>
      <c r="B823" s="85"/>
      <c r="C823" s="85"/>
      <c r="D823" s="85"/>
      <c r="E823" s="85"/>
      <c r="F823" s="85"/>
      <c r="G823" s="86"/>
      <c r="H823" s="87"/>
    </row>
    <row r="824" spans="1:8" x14ac:dyDescent="0.2">
      <c r="A824" s="84"/>
      <c r="B824" s="85"/>
      <c r="C824" s="85"/>
      <c r="D824" s="85"/>
      <c r="E824" s="85"/>
      <c r="F824" s="85"/>
      <c r="G824" s="86"/>
      <c r="H824" s="87"/>
    </row>
    <row r="825" spans="1:8" x14ac:dyDescent="0.2">
      <c r="A825" s="84"/>
      <c r="B825" s="85"/>
      <c r="C825" s="85"/>
      <c r="D825" s="85"/>
      <c r="E825" s="85"/>
      <c r="F825" s="85"/>
      <c r="G825" s="86"/>
      <c r="H825" s="87"/>
    </row>
    <row r="826" spans="1:8" x14ac:dyDescent="0.2">
      <c r="A826" s="84"/>
      <c r="B826" s="85"/>
      <c r="C826" s="85"/>
      <c r="D826" s="85"/>
      <c r="E826" s="85"/>
      <c r="F826" s="85"/>
      <c r="G826" s="86"/>
      <c r="H826" s="87"/>
    </row>
    <row r="827" spans="1:8" x14ac:dyDescent="0.2">
      <c r="A827" s="84"/>
      <c r="B827" s="85"/>
      <c r="C827" s="85"/>
      <c r="D827" s="85"/>
      <c r="E827" s="85"/>
      <c r="F827" s="85"/>
      <c r="G827" s="86"/>
      <c r="H827" s="87"/>
    </row>
    <row r="828" spans="1:8" x14ac:dyDescent="0.2">
      <c r="A828" s="84"/>
      <c r="B828" s="85"/>
      <c r="C828" s="85"/>
      <c r="D828" s="85"/>
      <c r="E828" s="85"/>
      <c r="F828" s="85"/>
      <c r="G828" s="86"/>
      <c r="H828" s="87"/>
    </row>
    <row r="829" spans="1:8" x14ac:dyDescent="0.2">
      <c r="A829" s="84"/>
      <c r="B829" s="85"/>
      <c r="C829" s="85"/>
      <c r="D829" s="85"/>
      <c r="E829" s="85"/>
      <c r="F829" s="85"/>
      <c r="G829" s="86"/>
      <c r="H829" s="87"/>
    </row>
    <row r="830" spans="1:8" x14ac:dyDescent="0.2">
      <c r="A830" s="84"/>
      <c r="B830" s="85"/>
      <c r="C830" s="85"/>
      <c r="D830" s="85"/>
      <c r="E830" s="85"/>
      <c r="F830" s="85"/>
      <c r="G830" s="86"/>
      <c r="H830" s="87"/>
    </row>
    <row r="831" spans="1:8" x14ac:dyDescent="0.2">
      <c r="A831" s="84"/>
      <c r="B831" s="85"/>
      <c r="C831" s="85"/>
      <c r="D831" s="85"/>
      <c r="E831" s="85"/>
      <c r="F831" s="85"/>
      <c r="G831" s="86"/>
      <c r="H831" s="87"/>
    </row>
    <row r="832" spans="1:8" x14ac:dyDescent="0.2">
      <c r="A832" s="84"/>
      <c r="B832" s="85"/>
      <c r="C832" s="85"/>
      <c r="D832" s="85"/>
      <c r="E832" s="85"/>
      <c r="F832" s="85"/>
      <c r="G832" s="86"/>
      <c r="H832" s="87"/>
    </row>
    <row r="833" spans="1:8" x14ac:dyDescent="0.2">
      <c r="A833" s="84"/>
      <c r="B833" s="85"/>
      <c r="C833" s="85"/>
      <c r="D833" s="85"/>
      <c r="E833" s="85"/>
      <c r="F833" s="85"/>
      <c r="G833" s="86"/>
      <c r="H833" s="87"/>
    </row>
    <row r="834" spans="1:8" x14ac:dyDescent="0.2">
      <c r="A834" s="84"/>
      <c r="B834" s="85"/>
      <c r="C834" s="85"/>
      <c r="D834" s="85"/>
      <c r="E834" s="85"/>
      <c r="F834" s="85"/>
      <c r="G834" s="86"/>
      <c r="H834" s="87"/>
    </row>
    <row r="835" spans="1:8" x14ac:dyDescent="0.2">
      <c r="A835" s="84"/>
      <c r="B835" s="85"/>
      <c r="C835" s="85"/>
      <c r="D835" s="85"/>
      <c r="E835" s="85"/>
      <c r="F835" s="85"/>
      <c r="G835" s="86"/>
      <c r="H835" s="87"/>
    </row>
    <row r="836" spans="1:8" x14ac:dyDescent="0.2">
      <c r="A836" s="84"/>
      <c r="B836" s="85"/>
      <c r="C836" s="85"/>
      <c r="D836" s="85"/>
      <c r="E836" s="85"/>
      <c r="F836" s="85"/>
      <c r="G836" s="86"/>
      <c r="H836" s="87"/>
    </row>
    <row r="837" spans="1:8" x14ac:dyDescent="0.2">
      <c r="A837" s="84"/>
      <c r="B837" s="85"/>
      <c r="C837" s="85"/>
      <c r="D837" s="85"/>
      <c r="E837" s="85"/>
      <c r="F837" s="85"/>
      <c r="G837" s="86"/>
      <c r="H837" s="87"/>
    </row>
    <row r="838" spans="1:8" x14ac:dyDescent="0.2">
      <c r="A838" s="84"/>
      <c r="B838" s="85"/>
      <c r="C838" s="85"/>
      <c r="D838" s="85"/>
      <c r="E838" s="85"/>
      <c r="F838" s="85"/>
      <c r="G838" s="86"/>
      <c r="H838" s="87"/>
    </row>
    <row r="839" spans="1:8" x14ac:dyDescent="0.2">
      <c r="A839" s="84"/>
      <c r="B839" s="85"/>
      <c r="C839" s="85"/>
      <c r="D839" s="85"/>
      <c r="E839" s="85"/>
      <c r="F839" s="85"/>
      <c r="G839" s="86"/>
      <c r="H839" s="87"/>
    </row>
    <row r="840" spans="1:8" x14ac:dyDescent="0.2">
      <c r="A840" s="84"/>
      <c r="B840" s="85"/>
      <c r="C840" s="85"/>
      <c r="D840" s="85"/>
      <c r="E840" s="85"/>
      <c r="F840" s="85"/>
      <c r="G840" s="86"/>
      <c r="H840" s="87"/>
    </row>
    <row r="841" spans="1:8" x14ac:dyDescent="0.2">
      <c r="A841" s="84"/>
      <c r="B841" s="85"/>
      <c r="C841" s="85"/>
      <c r="D841" s="85"/>
      <c r="E841" s="85"/>
      <c r="F841" s="85"/>
      <c r="G841" s="86"/>
      <c r="H841" s="87"/>
    </row>
    <row r="842" spans="1:8" x14ac:dyDescent="0.2">
      <c r="A842" s="84"/>
      <c r="B842" s="85"/>
      <c r="C842" s="85"/>
      <c r="D842" s="85"/>
      <c r="E842" s="85"/>
      <c r="F842" s="85"/>
      <c r="G842" s="86"/>
      <c r="H842" s="87"/>
    </row>
    <row r="843" spans="1:8" x14ac:dyDescent="0.2">
      <c r="A843" s="84"/>
      <c r="B843" s="85"/>
      <c r="C843" s="85"/>
      <c r="D843" s="85"/>
      <c r="E843" s="85"/>
      <c r="F843" s="85"/>
      <c r="G843" s="86"/>
      <c r="H843" s="87"/>
    </row>
    <row r="844" spans="1:8" x14ac:dyDescent="0.2">
      <c r="A844" s="84"/>
      <c r="B844" s="85"/>
      <c r="C844" s="85"/>
      <c r="D844" s="85"/>
      <c r="E844" s="85"/>
      <c r="F844" s="85"/>
      <c r="G844" s="86"/>
      <c r="H844" s="87"/>
    </row>
    <row r="845" spans="1:8" x14ac:dyDescent="0.2">
      <c r="A845" s="84"/>
      <c r="B845" s="85"/>
      <c r="C845" s="85"/>
      <c r="D845" s="85"/>
      <c r="E845" s="85"/>
      <c r="F845" s="85"/>
      <c r="G845" s="86"/>
      <c r="H845" s="87"/>
    </row>
    <row r="846" spans="1:8" x14ac:dyDescent="0.2">
      <c r="A846" s="84"/>
      <c r="B846" s="85"/>
      <c r="C846" s="85"/>
      <c r="D846" s="85"/>
      <c r="E846" s="85"/>
      <c r="F846" s="85"/>
      <c r="G846" s="86"/>
      <c r="H846" s="87"/>
    </row>
    <row r="847" spans="1:8" x14ac:dyDescent="0.2">
      <c r="A847" s="84"/>
      <c r="B847" s="85"/>
      <c r="C847" s="85"/>
      <c r="D847" s="85"/>
      <c r="E847" s="85"/>
      <c r="F847" s="85"/>
      <c r="G847" s="86"/>
      <c r="H847" s="87"/>
    </row>
    <row r="848" spans="1:8" x14ac:dyDescent="0.2">
      <c r="A848" s="84"/>
      <c r="B848" s="85"/>
      <c r="C848" s="85"/>
      <c r="D848" s="85"/>
      <c r="E848" s="85"/>
      <c r="F848" s="85"/>
      <c r="G848" s="86"/>
      <c r="H848" s="87"/>
    </row>
    <row r="849" spans="1:8" x14ac:dyDescent="0.2">
      <c r="A849" s="84"/>
      <c r="B849" s="85"/>
      <c r="C849" s="85"/>
      <c r="D849" s="85"/>
      <c r="E849" s="85"/>
      <c r="F849" s="85"/>
      <c r="G849" s="86"/>
      <c r="H849" s="87"/>
    </row>
    <row r="850" spans="1:8" x14ac:dyDescent="0.2">
      <c r="A850" s="84"/>
      <c r="B850" s="85"/>
      <c r="C850" s="85"/>
      <c r="D850" s="85"/>
      <c r="E850" s="85"/>
      <c r="F850" s="85"/>
      <c r="G850" s="86"/>
      <c r="H850" s="87"/>
    </row>
    <row r="851" spans="1:8" x14ac:dyDescent="0.2">
      <c r="A851" s="84"/>
      <c r="B851" s="85"/>
      <c r="C851" s="85"/>
      <c r="D851" s="85"/>
      <c r="E851" s="85"/>
      <c r="F851" s="85"/>
      <c r="G851" s="86"/>
      <c r="H851" s="87"/>
    </row>
    <row r="852" spans="1:8" x14ac:dyDescent="0.2">
      <c r="A852" s="84"/>
      <c r="B852" s="85"/>
      <c r="C852" s="85"/>
      <c r="D852" s="85"/>
      <c r="E852" s="85"/>
      <c r="F852" s="85"/>
      <c r="G852" s="86"/>
      <c r="H852" s="87"/>
    </row>
    <row r="853" spans="1:8" x14ac:dyDescent="0.2">
      <c r="A853" s="84"/>
      <c r="B853" s="85"/>
      <c r="C853" s="85"/>
      <c r="D853" s="85"/>
      <c r="E853" s="85"/>
      <c r="F853" s="85"/>
      <c r="G853" s="86"/>
      <c r="H853" s="87"/>
    </row>
    <row r="854" spans="1:8" x14ac:dyDescent="0.2">
      <c r="A854" s="84"/>
      <c r="B854" s="85"/>
      <c r="C854" s="85"/>
      <c r="D854" s="85"/>
      <c r="E854" s="85"/>
      <c r="F854" s="85"/>
      <c r="G854" s="86"/>
      <c r="H854" s="87"/>
    </row>
    <row r="855" spans="1:8" x14ac:dyDescent="0.2">
      <c r="A855" s="84"/>
      <c r="B855" s="85"/>
      <c r="C855" s="85"/>
      <c r="D855" s="85"/>
      <c r="E855" s="85"/>
      <c r="F855" s="85"/>
      <c r="G855" s="86"/>
      <c r="H855" s="87"/>
    </row>
    <row r="856" spans="1:8" x14ac:dyDescent="0.2">
      <c r="A856" s="84"/>
      <c r="B856" s="85"/>
      <c r="C856" s="85"/>
      <c r="D856" s="85"/>
      <c r="E856" s="85"/>
      <c r="F856" s="85"/>
      <c r="G856" s="86"/>
      <c r="H856" s="87"/>
    </row>
    <row r="857" spans="1:8" x14ac:dyDescent="0.2">
      <c r="A857" s="84"/>
      <c r="B857" s="85"/>
      <c r="C857" s="85"/>
      <c r="D857" s="85"/>
      <c r="E857" s="85"/>
      <c r="F857" s="85"/>
      <c r="G857" s="86"/>
      <c r="H857" s="87"/>
    </row>
    <row r="858" spans="1:8" x14ac:dyDescent="0.2">
      <c r="A858" s="84"/>
      <c r="B858" s="85"/>
      <c r="C858" s="85"/>
      <c r="D858" s="85"/>
      <c r="E858" s="85"/>
      <c r="F858" s="85"/>
      <c r="G858" s="86"/>
      <c r="H858" s="87"/>
    </row>
    <row r="859" spans="1:8" x14ac:dyDescent="0.2">
      <c r="A859" s="84"/>
      <c r="B859" s="85"/>
      <c r="C859" s="85"/>
      <c r="D859" s="85"/>
      <c r="E859" s="85"/>
      <c r="F859" s="85"/>
      <c r="G859" s="86"/>
      <c r="H859" s="87"/>
    </row>
    <row r="860" spans="1:8" x14ac:dyDescent="0.2">
      <c r="A860" s="84"/>
      <c r="B860" s="85"/>
      <c r="C860" s="85"/>
      <c r="D860" s="85"/>
      <c r="E860" s="85"/>
      <c r="F860" s="85"/>
      <c r="G860" s="86"/>
      <c r="H860" s="87"/>
    </row>
    <row r="861" spans="1:8" x14ac:dyDescent="0.2">
      <c r="A861" s="84"/>
      <c r="B861" s="85"/>
      <c r="C861" s="85"/>
      <c r="D861" s="85"/>
      <c r="E861" s="85"/>
      <c r="F861" s="85"/>
      <c r="G861" s="86"/>
      <c r="H861" s="87"/>
    </row>
    <row r="862" spans="1:8" x14ac:dyDescent="0.2">
      <c r="A862" s="84"/>
      <c r="B862" s="85"/>
      <c r="C862" s="85"/>
      <c r="D862" s="85"/>
      <c r="E862" s="85"/>
      <c r="F862" s="85"/>
      <c r="G862" s="86"/>
      <c r="H862" s="87"/>
    </row>
    <row r="863" spans="1:8" x14ac:dyDescent="0.2">
      <c r="A863" s="84"/>
      <c r="B863" s="85"/>
      <c r="C863" s="85"/>
      <c r="D863" s="85"/>
      <c r="E863" s="85"/>
      <c r="F863" s="85"/>
      <c r="G863" s="86"/>
      <c r="H863" s="87"/>
    </row>
    <row r="864" spans="1:8" x14ac:dyDescent="0.2">
      <c r="A864" s="84"/>
      <c r="B864" s="85"/>
      <c r="C864" s="85"/>
      <c r="D864" s="85"/>
      <c r="E864" s="85"/>
      <c r="F864" s="85"/>
      <c r="G864" s="86"/>
      <c r="H864" s="87"/>
    </row>
    <row r="865" spans="1:8" x14ac:dyDescent="0.2">
      <c r="A865" s="84"/>
      <c r="B865" s="85"/>
      <c r="C865" s="85"/>
      <c r="D865" s="85"/>
      <c r="E865" s="85"/>
      <c r="F865" s="85"/>
      <c r="G865" s="86"/>
      <c r="H865" s="87"/>
    </row>
    <row r="866" spans="1:8" x14ac:dyDescent="0.2">
      <c r="A866" s="84"/>
      <c r="B866" s="85"/>
      <c r="C866" s="85"/>
      <c r="D866" s="85"/>
      <c r="E866" s="85"/>
      <c r="F866" s="85"/>
      <c r="G866" s="86"/>
      <c r="H866" s="87"/>
    </row>
    <row r="867" spans="1:8" x14ac:dyDescent="0.2">
      <c r="A867" s="84"/>
      <c r="B867" s="85"/>
      <c r="C867" s="85"/>
      <c r="D867" s="85"/>
      <c r="E867" s="85"/>
      <c r="F867" s="85"/>
      <c r="G867" s="86"/>
      <c r="H867" s="87"/>
    </row>
    <row r="868" spans="1:8" x14ac:dyDescent="0.2">
      <c r="A868" s="84"/>
      <c r="B868" s="85"/>
      <c r="C868" s="85"/>
      <c r="D868" s="85"/>
      <c r="E868" s="85"/>
      <c r="F868" s="85"/>
      <c r="G868" s="86"/>
      <c r="H868" s="87"/>
    </row>
    <row r="869" spans="1:8" x14ac:dyDescent="0.2">
      <c r="A869" s="84"/>
      <c r="B869" s="85"/>
      <c r="C869" s="85"/>
      <c r="D869" s="85"/>
      <c r="E869" s="85"/>
      <c r="F869" s="85"/>
      <c r="G869" s="86"/>
      <c r="H869" s="87"/>
    </row>
    <row r="870" spans="1:8" x14ac:dyDescent="0.2">
      <c r="A870" s="84"/>
      <c r="B870" s="85"/>
      <c r="C870" s="85"/>
      <c r="D870" s="85"/>
      <c r="E870" s="85"/>
      <c r="F870" s="85"/>
      <c r="G870" s="86"/>
      <c r="H870" s="87"/>
    </row>
    <row r="871" spans="1:8" x14ac:dyDescent="0.2">
      <c r="A871" s="84"/>
      <c r="B871" s="85"/>
      <c r="C871" s="85"/>
      <c r="D871" s="85"/>
      <c r="E871" s="85"/>
      <c r="F871" s="85"/>
      <c r="G871" s="86"/>
      <c r="H871" s="87"/>
    </row>
    <row r="872" spans="1:8" x14ac:dyDescent="0.2">
      <c r="A872" s="84"/>
      <c r="B872" s="85"/>
      <c r="C872" s="85"/>
      <c r="D872" s="85"/>
      <c r="E872" s="85"/>
      <c r="F872" s="85"/>
      <c r="G872" s="86"/>
      <c r="H872" s="87"/>
    </row>
    <row r="873" spans="1:8" x14ac:dyDescent="0.2">
      <c r="A873" s="84"/>
      <c r="B873" s="85"/>
      <c r="C873" s="85"/>
      <c r="D873" s="85"/>
      <c r="E873" s="85"/>
      <c r="F873" s="85"/>
      <c r="G873" s="86"/>
      <c r="H873" s="87"/>
    </row>
    <row r="874" spans="1:8" x14ac:dyDescent="0.2">
      <c r="A874" s="84"/>
      <c r="B874" s="85"/>
      <c r="C874" s="85"/>
      <c r="D874" s="85"/>
      <c r="E874" s="85"/>
      <c r="F874" s="85"/>
      <c r="G874" s="86"/>
      <c r="H874" s="87"/>
    </row>
    <row r="875" spans="1:8" x14ac:dyDescent="0.2">
      <c r="A875" s="84"/>
      <c r="B875" s="85"/>
      <c r="C875" s="85"/>
      <c r="D875" s="85"/>
      <c r="E875" s="85"/>
      <c r="F875" s="85"/>
      <c r="G875" s="86"/>
      <c r="H875" s="87"/>
    </row>
    <row r="876" spans="1:8" x14ac:dyDescent="0.2">
      <c r="A876" s="84"/>
      <c r="B876" s="85"/>
      <c r="C876" s="85"/>
      <c r="D876" s="85"/>
      <c r="E876" s="85"/>
      <c r="F876" s="85"/>
      <c r="G876" s="86"/>
      <c r="H876" s="87"/>
    </row>
    <row r="877" spans="1:8" x14ac:dyDescent="0.2">
      <c r="A877" s="84"/>
      <c r="B877" s="85"/>
      <c r="C877" s="85"/>
      <c r="D877" s="85"/>
      <c r="E877" s="85"/>
      <c r="F877" s="85"/>
      <c r="G877" s="86"/>
      <c r="H877" s="87"/>
    </row>
    <row r="878" spans="1:8" x14ac:dyDescent="0.2">
      <c r="A878" s="84"/>
      <c r="B878" s="85"/>
      <c r="C878" s="85"/>
      <c r="D878" s="85"/>
      <c r="E878" s="85"/>
      <c r="F878" s="85"/>
      <c r="G878" s="86"/>
      <c r="H878" s="87"/>
    </row>
    <row r="879" spans="1:8" x14ac:dyDescent="0.2">
      <c r="A879" s="84"/>
      <c r="B879" s="85"/>
      <c r="C879" s="85"/>
      <c r="D879" s="85"/>
      <c r="E879" s="85"/>
      <c r="F879" s="85"/>
      <c r="G879" s="86"/>
      <c r="H879" s="87"/>
    </row>
    <row r="880" spans="1:8" x14ac:dyDescent="0.2">
      <c r="A880" s="84"/>
      <c r="B880" s="85"/>
      <c r="C880" s="85"/>
      <c r="D880" s="85"/>
      <c r="E880" s="85"/>
      <c r="F880" s="85"/>
      <c r="G880" s="86"/>
      <c r="H880" s="87"/>
    </row>
    <row r="881" spans="1:8" x14ac:dyDescent="0.2">
      <c r="A881" s="84"/>
      <c r="B881" s="85"/>
      <c r="C881" s="85"/>
      <c r="D881" s="85"/>
      <c r="E881" s="85"/>
      <c r="F881" s="85"/>
      <c r="G881" s="86"/>
      <c r="H881" s="87"/>
    </row>
    <row r="882" spans="1:8" x14ac:dyDescent="0.2">
      <c r="A882" s="84"/>
      <c r="B882" s="85"/>
      <c r="C882" s="85"/>
      <c r="D882" s="85"/>
      <c r="E882" s="85"/>
      <c r="F882" s="85"/>
      <c r="G882" s="86"/>
      <c r="H882" s="87"/>
    </row>
    <row r="883" spans="1:8" x14ac:dyDescent="0.2">
      <c r="A883" s="84"/>
      <c r="B883" s="85"/>
      <c r="C883" s="85"/>
      <c r="D883" s="85"/>
      <c r="E883" s="85"/>
      <c r="F883" s="85"/>
      <c r="G883" s="86"/>
      <c r="H883" s="87"/>
    </row>
    <row r="884" spans="1:8" x14ac:dyDescent="0.2">
      <c r="A884" s="84"/>
      <c r="B884" s="85"/>
      <c r="C884" s="85"/>
      <c r="D884" s="85"/>
      <c r="E884" s="85"/>
      <c r="F884" s="85"/>
      <c r="G884" s="86"/>
      <c r="H884" s="87"/>
    </row>
    <row r="885" spans="1:8" x14ac:dyDescent="0.2">
      <c r="A885" s="84"/>
      <c r="B885" s="85"/>
      <c r="C885" s="85"/>
      <c r="D885" s="85"/>
      <c r="E885" s="85"/>
      <c r="F885" s="85"/>
      <c r="G885" s="86"/>
      <c r="H885" s="87"/>
    </row>
    <row r="886" spans="1:8" x14ac:dyDescent="0.2">
      <c r="A886" s="84"/>
      <c r="B886" s="85"/>
      <c r="C886" s="85"/>
      <c r="D886" s="85"/>
      <c r="E886" s="85"/>
      <c r="F886" s="85"/>
      <c r="G886" s="86"/>
      <c r="H886" s="87"/>
    </row>
    <row r="887" spans="1:8" x14ac:dyDescent="0.2">
      <c r="A887" s="84"/>
      <c r="B887" s="85"/>
      <c r="C887" s="85"/>
      <c r="D887" s="85"/>
      <c r="E887" s="85"/>
      <c r="F887" s="85"/>
      <c r="G887" s="86"/>
      <c r="H887" s="87"/>
    </row>
    <row r="888" spans="1:8" x14ac:dyDescent="0.2">
      <c r="A888" s="84"/>
      <c r="B888" s="85"/>
      <c r="C888" s="85"/>
      <c r="D888" s="85"/>
      <c r="E888" s="85"/>
      <c r="F888" s="85"/>
      <c r="G888" s="86"/>
      <c r="H888" s="87"/>
    </row>
    <row r="889" spans="1:8" x14ac:dyDescent="0.2">
      <c r="A889" s="84"/>
      <c r="B889" s="85"/>
      <c r="C889" s="85"/>
      <c r="D889" s="85"/>
      <c r="E889" s="85"/>
      <c r="F889" s="85"/>
      <c r="G889" s="86"/>
      <c r="H889" s="87"/>
    </row>
    <row r="890" spans="1:8" x14ac:dyDescent="0.2">
      <c r="A890" s="84"/>
      <c r="B890" s="85"/>
      <c r="C890" s="85"/>
      <c r="D890" s="85"/>
      <c r="E890" s="85"/>
      <c r="F890" s="85"/>
      <c r="G890" s="86"/>
      <c r="H890" s="87"/>
    </row>
    <row r="891" spans="1:8" x14ac:dyDescent="0.2">
      <c r="A891" s="84"/>
      <c r="B891" s="85"/>
      <c r="C891" s="85"/>
      <c r="D891" s="85"/>
      <c r="E891" s="85"/>
      <c r="F891" s="85"/>
      <c r="G891" s="86"/>
      <c r="H891" s="87"/>
    </row>
    <row r="892" spans="1:8" x14ac:dyDescent="0.2">
      <c r="A892" s="84"/>
      <c r="B892" s="85"/>
      <c r="C892" s="85"/>
      <c r="D892" s="85"/>
      <c r="E892" s="85"/>
      <c r="F892" s="85"/>
      <c r="G892" s="86"/>
      <c r="H892" s="87"/>
    </row>
    <row r="893" spans="1:8" x14ac:dyDescent="0.2">
      <c r="A893" s="84"/>
      <c r="B893" s="85"/>
      <c r="C893" s="85"/>
      <c r="D893" s="85"/>
      <c r="E893" s="85"/>
      <c r="F893" s="85"/>
      <c r="G893" s="86"/>
      <c r="H893" s="87"/>
    </row>
    <row r="894" spans="1:8" x14ac:dyDescent="0.2">
      <c r="A894" s="84"/>
      <c r="B894" s="85"/>
      <c r="C894" s="85"/>
      <c r="D894" s="85"/>
      <c r="E894" s="85"/>
      <c r="F894" s="85"/>
      <c r="G894" s="86"/>
      <c r="H894" s="87"/>
    </row>
    <row r="895" spans="1:8" x14ac:dyDescent="0.2">
      <c r="A895" s="84"/>
      <c r="B895" s="85"/>
      <c r="C895" s="85"/>
      <c r="D895" s="85"/>
      <c r="E895" s="85"/>
      <c r="F895" s="85"/>
      <c r="G895" s="86"/>
      <c r="H895" s="87"/>
    </row>
    <row r="896" spans="1:8" x14ac:dyDescent="0.2">
      <c r="A896" s="84"/>
      <c r="B896" s="85"/>
      <c r="C896" s="85"/>
      <c r="D896" s="85"/>
      <c r="E896" s="85"/>
      <c r="F896" s="85"/>
      <c r="G896" s="86"/>
      <c r="H896" s="87"/>
    </row>
    <row r="897" spans="1:8" x14ac:dyDescent="0.2">
      <c r="A897" s="84"/>
      <c r="B897" s="85"/>
      <c r="C897" s="85"/>
      <c r="D897" s="85"/>
      <c r="E897" s="85"/>
      <c r="F897" s="85"/>
      <c r="G897" s="86"/>
      <c r="H897" s="87"/>
    </row>
    <row r="898" spans="1:8" x14ac:dyDescent="0.2">
      <c r="A898" s="84"/>
      <c r="B898" s="85"/>
      <c r="C898" s="85"/>
      <c r="D898" s="85"/>
      <c r="E898" s="85"/>
      <c r="F898" s="85"/>
      <c r="G898" s="86"/>
      <c r="H898" s="87"/>
    </row>
    <row r="899" spans="1:8" x14ac:dyDescent="0.2">
      <c r="A899" s="84"/>
      <c r="B899" s="85"/>
      <c r="C899" s="85"/>
      <c r="D899" s="85"/>
      <c r="E899" s="85"/>
      <c r="F899" s="85"/>
      <c r="G899" s="86"/>
      <c r="H899" s="87"/>
    </row>
    <row r="900" spans="1:8" x14ac:dyDescent="0.2">
      <c r="A900" s="84"/>
      <c r="B900" s="85"/>
      <c r="C900" s="85"/>
      <c r="D900" s="85"/>
      <c r="E900" s="85"/>
      <c r="F900" s="85"/>
      <c r="G900" s="86"/>
      <c r="H900" s="87"/>
    </row>
    <row r="901" spans="1:8" x14ac:dyDescent="0.2">
      <c r="A901" s="84"/>
      <c r="B901" s="85"/>
      <c r="C901" s="85"/>
      <c r="D901" s="85"/>
      <c r="E901" s="85"/>
      <c r="F901" s="85"/>
      <c r="G901" s="86"/>
      <c r="H901" s="87"/>
    </row>
    <row r="902" spans="1:8" x14ac:dyDescent="0.2">
      <c r="A902" s="84"/>
      <c r="B902" s="85"/>
      <c r="C902" s="85"/>
      <c r="D902" s="85"/>
      <c r="E902" s="85"/>
      <c r="F902" s="85"/>
      <c r="G902" s="86"/>
      <c r="H902" s="87"/>
    </row>
    <row r="903" spans="1:8" x14ac:dyDescent="0.2">
      <c r="A903" s="84"/>
      <c r="B903" s="85"/>
      <c r="C903" s="85"/>
      <c r="D903" s="85"/>
      <c r="E903" s="85"/>
      <c r="F903" s="85"/>
      <c r="G903" s="86"/>
      <c r="H903" s="87"/>
    </row>
    <row r="904" spans="1:8" x14ac:dyDescent="0.2">
      <c r="A904" s="84"/>
      <c r="B904" s="85"/>
      <c r="C904" s="85"/>
      <c r="D904" s="85"/>
      <c r="E904" s="85"/>
      <c r="F904" s="85"/>
      <c r="G904" s="86"/>
      <c r="H904" s="87"/>
    </row>
    <row r="905" spans="1:8" x14ac:dyDescent="0.2">
      <c r="A905" s="84"/>
      <c r="B905" s="85"/>
      <c r="C905" s="85"/>
      <c r="D905" s="85"/>
      <c r="E905" s="85"/>
      <c r="F905" s="85"/>
      <c r="G905" s="86"/>
      <c r="H905" s="87"/>
    </row>
    <row r="906" spans="1:8" x14ac:dyDescent="0.2">
      <c r="A906" s="84"/>
      <c r="B906" s="85"/>
      <c r="C906" s="85"/>
      <c r="D906" s="85"/>
      <c r="E906" s="85"/>
      <c r="F906" s="85"/>
      <c r="G906" s="86"/>
      <c r="H906" s="87"/>
    </row>
    <row r="907" spans="1:8" x14ac:dyDescent="0.2">
      <c r="A907" s="84"/>
      <c r="B907" s="85"/>
      <c r="C907" s="85"/>
      <c r="D907" s="85"/>
      <c r="E907" s="85"/>
      <c r="F907" s="85"/>
      <c r="G907" s="86"/>
      <c r="H907" s="87"/>
    </row>
    <row r="908" spans="1:8" x14ac:dyDescent="0.2">
      <c r="A908" s="84"/>
      <c r="B908" s="85"/>
      <c r="C908" s="85"/>
      <c r="D908" s="85"/>
      <c r="E908" s="85"/>
      <c r="F908" s="85"/>
      <c r="G908" s="86"/>
      <c r="H908" s="87"/>
    </row>
    <row r="909" spans="1:8" x14ac:dyDescent="0.2">
      <c r="A909" s="84"/>
      <c r="B909" s="85"/>
      <c r="C909" s="85"/>
      <c r="D909" s="85"/>
      <c r="E909" s="85"/>
      <c r="F909" s="85"/>
      <c r="G909" s="86"/>
      <c r="H909" s="87"/>
    </row>
    <row r="910" spans="1:8" x14ac:dyDescent="0.2">
      <c r="A910" s="84"/>
      <c r="B910" s="85"/>
      <c r="C910" s="85"/>
      <c r="D910" s="85"/>
      <c r="E910" s="85"/>
      <c r="F910" s="85"/>
      <c r="G910" s="86"/>
      <c r="H910" s="87"/>
    </row>
    <row r="911" spans="1:8" x14ac:dyDescent="0.2">
      <c r="A911" s="84"/>
      <c r="B911" s="85"/>
      <c r="C911" s="85"/>
      <c r="D911" s="85"/>
      <c r="E911" s="85"/>
      <c r="F911" s="85"/>
      <c r="G911" s="86"/>
      <c r="H911" s="87"/>
    </row>
    <row r="912" spans="1:8" x14ac:dyDescent="0.2">
      <c r="A912" s="84"/>
      <c r="B912" s="85"/>
      <c r="C912" s="85"/>
      <c r="D912" s="85"/>
      <c r="E912" s="85"/>
      <c r="F912" s="85"/>
      <c r="G912" s="86"/>
      <c r="H912" s="87"/>
    </row>
    <row r="913" spans="1:8" x14ac:dyDescent="0.2">
      <c r="A913" s="84"/>
      <c r="B913" s="85"/>
      <c r="C913" s="85"/>
      <c r="D913" s="85"/>
      <c r="E913" s="85"/>
      <c r="F913" s="85"/>
      <c r="G913" s="86"/>
      <c r="H913" s="87"/>
    </row>
    <row r="914" spans="1:8" x14ac:dyDescent="0.2">
      <c r="A914" s="84"/>
      <c r="B914" s="85"/>
      <c r="C914" s="85"/>
      <c r="D914" s="85"/>
      <c r="E914" s="85"/>
      <c r="F914" s="85"/>
      <c r="G914" s="86"/>
      <c r="H914" s="87"/>
    </row>
    <row r="915" spans="1:8" x14ac:dyDescent="0.2">
      <c r="A915" s="84"/>
      <c r="B915" s="85"/>
      <c r="C915" s="85"/>
      <c r="D915" s="85"/>
      <c r="E915" s="85"/>
      <c r="F915" s="85"/>
      <c r="G915" s="86"/>
      <c r="H915" s="87"/>
    </row>
    <row r="916" spans="1:8" x14ac:dyDescent="0.2">
      <c r="A916" s="84"/>
      <c r="B916" s="85"/>
      <c r="C916" s="85"/>
      <c r="D916" s="85"/>
      <c r="E916" s="85"/>
      <c r="F916" s="85"/>
      <c r="G916" s="86"/>
      <c r="H916" s="87"/>
    </row>
    <row r="917" spans="1:8" x14ac:dyDescent="0.2">
      <c r="A917" s="84"/>
      <c r="B917" s="85"/>
      <c r="C917" s="85"/>
      <c r="D917" s="85"/>
      <c r="E917" s="85"/>
      <c r="F917" s="85"/>
      <c r="G917" s="86"/>
      <c r="H917" s="87"/>
    </row>
    <row r="918" spans="1:8" x14ac:dyDescent="0.2">
      <c r="A918" s="84"/>
      <c r="B918" s="85"/>
      <c r="C918" s="85"/>
      <c r="D918" s="85"/>
      <c r="E918" s="85"/>
      <c r="F918" s="85"/>
      <c r="G918" s="86"/>
      <c r="H918" s="87"/>
    </row>
    <row r="919" spans="1:8" x14ac:dyDescent="0.2">
      <c r="A919" s="84"/>
      <c r="B919" s="85"/>
      <c r="C919" s="85"/>
      <c r="D919" s="85"/>
      <c r="E919" s="85"/>
      <c r="F919" s="85"/>
      <c r="G919" s="86"/>
      <c r="H919" s="87"/>
    </row>
    <row r="920" spans="1:8" x14ac:dyDescent="0.2">
      <c r="A920" s="84"/>
      <c r="B920" s="85"/>
      <c r="C920" s="85"/>
      <c r="D920" s="85"/>
      <c r="E920" s="85"/>
      <c r="F920" s="85"/>
      <c r="G920" s="86"/>
      <c r="H920" s="87"/>
    </row>
    <row r="921" spans="1:8" x14ac:dyDescent="0.2">
      <c r="A921" s="84"/>
      <c r="B921" s="85"/>
      <c r="C921" s="85"/>
      <c r="D921" s="85"/>
      <c r="E921" s="85"/>
      <c r="F921" s="85"/>
      <c r="G921" s="86"/>
      <c r="H921" s="87"/>
    </row>
    <row r="922" spans="1:8" x14ac:dyDescent="0.2">
      <c r="A922" s="84"/>
      <c r="B922" s="85"/>
      <c r="C922" s="85"/>
      <c r="D922" s="85"/>
      <c r="E922" s="85"/>
      <c r="F922" s="85"/>
      <c r="G922" s="86"/>
      <c r="H922" s="87"/>
    </row>
    <row r="923" spans="1:8" x14ac:dyDescent="0.2">
      <c r="A923" s="84"/>
      <c r="B923" s="85"/>
      <c r="C923" s="85"/>
      <c r="D923" s="85"/>
      <c r="E923" s="85"/>
      <c r="F923" s="85"/>
      <c r="G923" s="86"/>
      <c r="H923" s="87"/>
    </row>
    <row r="924" spans="1:8" x14ac:dyDescent="0.2">
      <c r="A924" s="84"/>
      <c r="B924" s="85"/>
      <c r="C924" s="85"/>
      <c r="D924" s="85"/>
      <c r="E924" s="85"/>
      <c r="F924" s="85"/>
      <c r="G924" s="86"/>
      <c r="H924" s="87"/>
    </row>
    <row r="925" spans="1:8" x14ac:dyDescent="0.2">
      <c r="A925" s="84"/>
      <c r="B925" s="85"/>
      <c r="C925" s="85"/>
      <c r="D925" s="85"/>
      <c r="E925" s="85"/>
      <c r="F925" s="85"/>
      <c r="G925" s="86"/>
      <c r="H925" s="87"/>
    </row>
    <row r="926" spans="1:8" x14ac:dyDescent="0.2">
      <c r="A926" s="84"/>
      <c r="B926" s="85"/>
      <c r="C926" s="85"/>
      <c r="D926" s="85"/>
      <c r="E926" s="85"/>
      <c r="F926" s="85"/>
      <c r="G926" s="86"/>
      <c r="H926" s="87"/>
    </row>
    <row r="927" spans="1:8" x14ac:dyDescent="0.2">
      <c r="A927" s="84"/>
      <c r="B927" s="85"/>
      <c r="C927" s="85"/>
      <c r="D927" s="85"/>
      <c r="E927" s="85"/>
      <c r="F927" s="85"/>
      <c r="G927" s="86"/>
      <c r="H927" s="87"/>
    </row>
    <row r="928" spans="1:8" x14ac:dyDescent="0.2">
      <c r="A928" s="84"/>
      <c r="B928" s="85"/>
      <c r="C928" s="85"/>
      <c r="D928" s="85"/>
      <c r="E928" s="85"/>
      <c r="F928" s="85"/>
      <c r="G928" s="86"/>
      <c r="H928" s="87"/>
    </row>
    <row r="929" spans="1:8" x14ac:dyDescent="0.2">
      <c r="A929" s="84"/>
      <c r="B929" s="85"/>
      <c r="C929" s="85"/>
      <c r="D929" s="85"/>
      <c r="E929" s="85"/>
      <c r="F929" s="85"/>
      <c r="G929" s="86"/>
      <c r="H929" s="87"/>
    </row>
    <row r="930" spans="1:8" x14ac:dyDescent="0.2">
      <c r="A930" s="84"/>
      <c r="B930" s="85"/>
      <c r="C930" s="85"/>
      <c r="D930" s="85"/>
      <c r="E930" s="85"/>
      <c r="F930" s="85"/>
      <c r="G930" s="86"/>
      <c r="H930" s="87"/>
    </row>
    <row r="931" spans="1:8" x14ac:dyDescent="0.2">
      <c r="A931" s="84"/>
      <c r="B931" s="85"/>
      <c r="C931" s="85"/>
      <c r="D931" s="85"/>
      <c r="E931" s="85"/>
      <c r="F931" s="85"/>
      <c r="G931" s="86"/>
      <c r="H931" s="87"/>
    </row>
    <row r="932" spans="1:8" x14ac:dyDescent="0.2">
      <c r="A932" s="84"/>
      <c r="B932" s="85"/>
      <c r="C932" s="85"/>
      <c r="D932" s="85"/>
      <c r="E932" s="85"/>
      <c r="F932" s="85"/>
      <c r="G932" s="86"/>
      <c r="H932" s="87"/>
    </row>
    <row r="933" spans="1:8" x14ac:dyDescent="0.2">
      <c r="A933" s="84"/>
      <c r="B933" s="85"/>
      <c r="C933" s="85"/>
      <c r="D933" s="85"/>
      <c r="E933" s="85"/>
      <c r="F933" s="85"/>
      <c r="G933" s="86"/>
      <c r="H933" s="87"/>
    </row>
    <row r="934" spans="1:8" x14ac:dyDescent="0.2">
      <c r="A934" s="84"/>
      <c r="B934" s="85"/>
      <c r="C934" s="85"/>
      <c r="D934" s="85"/>
      <c r="E934" s="85"/>
      <c r="F934" s="85"/>
      <c r="G934" s="86"/>
      <c r="H934" s="87"/>
    </row>
    <row r="935" spans="1:8" x14ac:dyDescent="0.2">
      <c r="A935" s="84"/>
      <c r="B935" s="85"/>
      <c r="C935" s="85"/>
      <c r="D935" s="85"/>
      <c r="E935" s="85"/>
      <c r="F935" s="85"/>
      <c r="G935" s="86"/>
      <c r="H935" s="87"/>
    </row>
    <row r="936" spans="1:8" x14ac:dyDescent="0.2">
      <c r="A936" s="84"/>
      <c r="B936" s="85"/>
      <c r="C936" s="85"/>
      <c r="D936" s="85"/>
      <c r="E936" s="85"/>
      <c r="F936" s="85"/>
      <c r="G936" s="86"/>
      <c r="H936" s="87"/>
    </row>
    <row r="937" spans="1:8" x14ac:dyDescent="0.2">
      <c r="A937" s="84"/>
      <c r="B937" s="85"/>
      <c r="C937" s="85"/>
      <c r="D937" s="85"/>
      <c r="E937" s="85"/>
      <c r="F937" s="85"/>
      <c r="G937" s="86"/>
      <c r="H937" s="87"/>
    </row>
    <row r="938" spans="1:8" x14ac:dyDescent="0.2">
      <c r="A938" s="84"/>
      <c r="B938" s="85"/>
      <c r="C938" s="85"/>
      <c r="D938" s="85"/>
      <c r="E938" s="85"/>
      <c r="F938" s="85"/>
      <c r="G938" s="86"/>
      <c r="H938" s="87"/>
    </row>
    <row r="939" spans="1:8" x14ac:dyDescent="0.2">
      <c r="A939" s="84"/>
      <c r="B939" s="85"/>
      <c r="C939" s="85"/>
      <c r="D939" s="85"/>
      <c r="E939" s="85"/>
      <c r="F939" s="85"/>
      <c r="G939" s="86"/>
      <c r="H939" s="87"/>
    </row>
    <row r="940" spans="1:8" x14ac:dyDescent="0.2">
      <c r="A940" s="84"/>
      <c r="B940" s="85"/>
      <c r="C940" s="85"/>
      <c r="D940" s="85"/>
      <c r="E940" s="85"/>
      <c r="F940" s="85"/>
      <c r="G940" s="86"/>
      <c r="H940" s="87"/>
    </row>
    <row r="941" spans="1:8" x14ac:dyDescent="0.2">
      <c r="A941" s="84"/>
      <c r="B941" s="85"/>
      <c r="C941" s="85"/>
      <c r="D941" s="85"/>
      <c r="E941" s="85"/>
      <c r="F941" s="85"/>
      <c r="G941" s="86"/>
      <c r="H941" s="87"/>
    </row>
    <row r="942" spans="1:8" x14ac:dyDescent="0.2">
      <c r="A942" s="84"/>
      <c r="B942" s="85"/>
      <c r="C942" s="85"/>
      <c r="D942" s="85"/>
      <c r="E942" s="85"/>
      <c r="F942" s="85"/>
      <c r="G942" s="86"/>
      <c r="H942" s="87"/>
    </row>
    <row r="943" spans="1:8" x14ac:dyDescent="0.2">
      <c r="A943" s="84"/>
      <c r="B943" s="85"/>
      <c r="C943" s="85"/>
      <c r="D943" s="85"/>
      <c r="E943" s="85"/>
      <c r="F943" s="85"/>
      <c r="G943" s="86"/>
      <c r="H943" s="87"/>
    </row>
    <row r="944" spans="1:8" x14ac:dyDescent="0.2">
      <c r="A944" s="84"/>
      <c r="B944" s="85"/>
      <c r="C944" s="85"/>
      <c r="D944" s="85"/>
      <c r="E944" s="85"/>
      <c r="F944" s="85"/>
      <c r="G944" s="86"/>
      <c r="H944" s="87"/>
    </row>
    <row r="945" spans="1:8" x14ac:dyDescent="0.2">
      <c r="A945" s="84"/>
      <c r="B945" s="85"/>
      <c r="C945" s="85"/>
      <c r="D945" s="85"/>
      <c r="E945" s="85"/>
      <c r="F945" s="85"/>
      <c r="G945" s="86"/>
      <c r="H945" s="87"/>
    </row>
    <row r="946" spans="1:8" x14ac:dyDescent="0.2">
      <c r="A946" s="84"/>
      <c r="B946" s="85"/>
      <c r="C946" s="85"/>
      <c r="D946" s="85"/>
      <c r="E946" s="85"/>
      <c r="F946" s="85"/>
      <c r="G946" s="86"/>
      <c r="H946" s="87"/>
    </row>
    <row r="947" spans="1:8" x14ac:dyDescent="0.2">
      <c r="A947" s="84"/>
      <c r="B947" s="85"/>
      <c r="C947" s="85"/>
      <c r="D947" s="85"/>
      <c r="E947" s="85"/>
      <c r="F947" s="85"/>
      <c r="G947" s="86"/>
      <c r="H947" s="87"/>
    </row>
    <row r="948" spans="1:8" x14ac:dyDescent="0.2">
      <c r="A948" s="84"/>
      <c r="B948" s="85"/>
      <c r="C948" s="85"/>
      <c r="D948" s="85"/>
      <c r="E948" s="85"/>
      <c r="F948" s="85"/>
      <c r="G948" s="86"/>
      <c r="H948" s="87"/>
    </row>
    <row r="949" spans="1:8" x14ac:dyDescent="0.2">
      <c r="A949" s="84"/>
      <c r="B949" s="85"/>
      <c r="C949" s="85"/>
      <c r="D949" s="85"/>
      <c r="E949" s="85"/>
      <c r="F949" s="85"/>
      <c r="G949" s="86"/>
      <c r="H949" s="87"/>
    </row>
    <row r="950" spans="1:8" x14ac:dyDescent="0.2">
      <c r="A950" s="84"/>
      <c r="B950" s="85"/>
      <c r="C950" s="85"/>
      <c r="D950" s="85"/>
      <c r="E950" s="85"/>
      <c r="F950" s="85"/>
      <c r="G950" s="86"/>
      <c r="H950" s="87"/>
    </row>
    <row r="951" spans="1:8" x14ac:dyDescent="0.2">
      <c r="A951" s="84"/>
      <c r="B951" s="85"/>
      <c r="C951" s="85"/>
      <c r="D951" s="85"/>
      <c r="E951" s="85"/>
      <c r="F951" s="85"/>
      <c r="G951" s="86"/>
      <c r="H951" s="87"/>
    </row>
    <row r="952" spans="1:8" x14ac:dyDescent="0.2">
      <c r="A952" s="84"/>
      <c r="B952" s="85"/>
      <c r="C952" s="85"/>
      <c r="D952" s="85"/>
      <c r="E952" s="85"/>
      <c r="F952" s="85"/>
      <c r="G952" s="86"/>
      <c r="H952" s="87"/>
    </row>
    <row r="953" spans="1:8" x14ac:dyDescent="0.2">
      <c r="A953" s="84"/>
      <c r="B953" s="85"/>
      <c r="C953" s="85"/>
      <c r="D953" s="85"/>
      <c r="E953" s="85"/>
      <c r="F953" s="85"/>
      <c r="G953" s="86"/>
      <c r="H953" s="87"/>
    </row>
    <row r="954" spans="1:8" x14ac:dyDescent="0.2">
      <c r="A954" s="84"/>
      <c r="B954" s="85"/>
      <c r="C954" s="85"/>
      <c r="D954" s="85"/>
      <c r="E954" s="85"/>
      <c r="F954" s="85"/>
      <c r="G954" s="86"/>
      <c r="H954" s="87"/>
    </row>
    <row r="955" spans="1:8" x14ac:dyDescent="0.2">
      <c r="A955" s="84"/>
      <c r="B955" s="85"/>
      <c r="C955" s="85"/>
      <c r="D955" s="85"/>
      <c r="E955" s="85"/>
      <c r="F955" s="85"/>
      <c r="G955" s="86"/>
      <c r="H955" s="87"/>
    </row>
    <row r="956" spans="1:8" x14ac:dyDescent="0.2">
      <c r="A956" s="84"/>
      <c r="B956" s="85"/>
      <c r="C956" s="85"/>
      <c r="D956" s="85"/>
      <c r="E956" s="85"/>
      <c r="F956" s="85"/>
      <c r="G956" s="86"/>
      <c r="H956" s="87"/>
    </row>
    <row r="957" spans="1:8" x14ac:dyDescent="0.2">
      <c r="A957" s="84"/>
      <c r="B957" s="85"/>
      <c r="C957" s="85"/>
      <c r="D957" s="85"/>
      <c r="E957" s="85"/>
      <c r="F957" s="85"/>
      <c r="G957" s="86"/>
      <c r="H957" s="87"/>
    </row>
    <row r="958" spans="1:8" x14ac:dyDescent="0.2">
      <c r="A958" s="84"/>
      <c r="B958" s="85"/>
      <c r="C958" s="85"/>
      <c r="D958" s="85"/>
      <c r="E958" s="85"/>
      <c r="F958" s="85"/>
      <c r="G958" s="86"/>
      <c r="H958" s="87"/>
    </row>
    <row r="959" spans="1:8" x14ac:dyDescent="0.2">
      <c r="A959" s="84"/>
      <c r="B959" s="85"/>
      <c r="C959" s="85"/>
      <c r="D959" s="85"/>
      <c r="E959" s="85"/>
      <c r="F959" s="85"/>
      <c r="G959" s="86"/>
      <c r="H959" s="87"/>
    </row>
    <row r="960" spans="1:8" x14ac:dyDescent="0.2">
      <c r="A960" s="84"/>
      <c r="B960" s="85"/>
      <c r="C960" s="85"/>
      <c r="D960" s="85"/>
      <c r="E960" s="85"/>
      <c r="F960" s="85"/>
      <c r="G960" s="86"/>
      <c r="H960" s="87"/>
    </row>
    <row r="961" spans="1:8" x14ac:dyDescent="0.2">
      <c r="A961" s="84"/>
      <c r="B961" s="85"/>
      <c r="C961" s="85"/>
      <c r="D961" s="85"/>
      <c r="E961" s="85"/>
      <c r="F961" s="85"/>
      <c r="G961" s="86"/>
      <c r="H961" s="87"/>
    </row>
    <row r="962" spans="1:8" x14ac:dyDescent="0.2">
      <c r="A962" s="84"/>
      <c r="B962" s="85"/>
      <c r="C962" s="85"/>
      <c r="D962" s="85"/>
      <c r="E962" s="85"/>
      <c r="F962" s="85"/>
      <c r="G962" s="86"/>
      <c r="H962" s="87"/>
    </row>
    <row r="963" spans="1:8" x14ac:dyDescent="0.2">
      <c r="A963" s="84"/>
      <c r="B963" s="85"/>
      <c r="C963" s="85"/>
      <c r="D963" s="85"/>
      <c r="E963" s="85"/>
      <c r="F963" s="85"/>
      <c r="G963" s="86"/>
      <c r="H963" s="87"/>
    </row>
    <row r="964" spans="1:8" x14ac:dyDescent="0.2">
      <c r="A964" s="84"/>
      <c r="B964" s="85"/>
      <c r="C964" s="85"/>
      <c r="D964" s="85"/>
      <c r="E964" s="85"/>
      <c r="F964" s="85"/>
      <c r="G964" s="86"/>
      <c r="H964" s="87"/>
    </row>
    <row r="965" spans="1:8" x14ac:dyDescent="0.2">
      <c r="A965" s="84"/>
      <c r="B965" s="85"/>
      <c r="C965" s="85"/>
      <c r="D965" s="85"/>
      <c r="E965" s="85"/>
      <c r="F965" s="85"/>
      <c r="G965" s="86"/>
      <c r="H965" s="87"/>
    </row>
    <row r="966" spans="1:8" x14ac:dyDescent="0.2">
      <c r="A966" s="84"/>
      <c r="B966" s="85"/>
      <c r="C966" s="85"/>
      <c r="D966" s="85"/>
      <c r="E966" s="85"/>
      <c r="F966" s="85"/>
      <c r="G966" s="86"/>
      <c r="H966" s="87"/>
    </row>
    <row r="967" spans="1:8" x14ac:dyDescent="0.2">
      <c r="A967" s="84"/>
      <c r="B967" s="85"/>
      <c r="C967" s="85"/>
      <c r="D967" s="85"/>
      <c r="E967" s="85"/>
      <c r="F967" s="85"/>
      <c r="G967" s="86"/>
      <c r="H967" s="87"/>
    </row>
    <row r="968" spans="1:8" x14ac:dyDescent="0.2">
      <c r="A968" s="84"/>
      <c r="B968" s="85"/>
      <c r="C968" s="85"/>
      <c r="D968" s="85"/>
      <c r="E968" s="85"/>
      <c r="F968" s="85"/>
      <c r="G968" s="86"/>
      <c r="H968" s="87"/>
    </row>
    <row r="969" spans="1:8" x14ac:dyDescent="0.2">
      <c r="A969" s="84"/>
      <c r="B969" s="85"/>
      <c r="C969" s="85"/>
      <c r="D969" s="85"/>
      <c r="E969" s="85"/>
      <c r="F969" s="85"/>
      <c r="G969" s="86"/>
      <c r="H969" s="87"/>
    </row>
    <row r="970" spans="1:8" x14ac:dyDescent="0.2">
      <c r="A970" s="84"/>
      <c r="B970" s="85"/>
      <c r="C970" s="85"/>
      <c r="D970" s="85"/>
      <c r="E970" s="85"/>
      <c r="F970" s="85"/>
      <c r="G970" s="86"/>
      <c r="H970" s="87"/>
    </row>
    <row r="971" spans="1:8" x14ac:dyDescent="0.2">
      <c r="A971" s="84"/>
      <c r="B971" s="85"/>
      <c r="C971" s="85"/>
      <c r="D971" s="85"/>
      <c r="E971" s="85"/>
      <c r="F971" s="85"/>
      <c r="G971" s="86"/>
      <c r="H971" s="87"/>
    </row>
    <row r="972" spans="1:8" x14ac:dyDescent="0.2">
      <c r="A972" s="84"/>
      <c r="B972" s="85"/>
      <c r="C972" s="85"/>
      <c r="D972" s="85"/>
      <c r="E972" s="85"/>
      <c r="F972" s="85"/>
      <c r="G972" s="86"/>
      <c r="H972" s="87"/>
    </row>
    <row r="973" spans="1:8" x14ac:dyDescent="0.2">
      <c r="A973" s="84"/>
      <c r="B973" s="85"/>
      <c r="C973" s="85"/>
      <c r="D973" s="85"/>
      <c r="E973" s="85"/>
      <c r="F973" s="85"/>
      <c r="G973" s="86"/>
      <c r="H973" s="87"/>
    </row>
    <row r="974" spans="1:8" x14ac:dyDescent="0.2">
      <c r="A974" s="84"/>
      <c r="B974" s="85"/>
      <c r="C974" s="85"/>
      <c r="D974" s="85"/>
      <c r="E974" s="85"/>
      <c r="F974" s="85"/>
      <c r="G974" s="86"/>
      <c r="H974" s="87"/>
    </row>
    <row r="975" spans="1:8" x14ac:dyDescent="0.2">
      <c r="A975" s="84"/>
      <c r="B975" s="85"/>
      <c r="C975" s="85"/>
      <c r="D975" s="85"/>
      <c r="E975" s="85"/>
      <c r="F975" s="85"/>
      <c r="G975" s="86"/>
      <c r="H975" s="87"/>
    </row>
    <row r="976" spans="1:8" x14ac:dyDescent="0.2">
      <c r="A976" s="84"/>
      <c r="B976" s="85"/>
      <c r="C976" s="85"/>
      <c r="D976" s="85"/>
      <c r="E976" s="85"/>
      <c r="F976" s="85"/>
      <c r="G976" s="86"/>
      <c r="H976" s="87"/>
    </row>
    <row r="977" spans="1:8" x14ac:dyDescent="0.2">
      <c r="A977" s="84"/>
      <c r="B977" s="85"/>
      <c r="C977" s="85"/>
      <c r="D977" s="85"/>
      <c r="E977" s="85"/>
      <c r="F977" s="85"/>
      <c r="G977" s="86"/>
      <c r="H977" s="87"/>
    </row>
    <row r="978" spans="1:8" x14ac:dyDescent="0.2">
      <c r="A978" s="84"/>
      <c r="B978" s="85"/>
      <c r="C978" s="85"/>
      <c r="D978" s="85"/>
      <c r="E978" s="85"/>
      <c r="F978" s="85"/>
      <c r="G978" s="86"/>
      <c r="H978" s="87"/>
    </row>
    <row r="979" spans="1:8" x14ac:dyDescent="0.2">
      <c r="A979" s="84"/>
      <c r="B979" s="85"/>
      <c r="C979" s="85"/>
      <c r="D979" s="85"/>
      <c r="E979" s="85"/>
      <c r="F979" s="85"/>
      <c r="G979" s="86"/>
      <c r="H979" s="87"/>
    </row>
    <row r="980" spans="1:8" x14ac:dyDescent="0.2">
      <c r="A980" s="84"/>
      <c r="B980" s="85"/>
      <c r="C980" s="85"/>
      <c r="D980" s="85"/>
      <c r="E980" s="85"/>
      <c r="F980" s="85"/>
      <c r="G980" s="86"/>
      <c r="H980" s="87"/>
    </row>
    <row r="981" spans="1:8" x14ac:dyDescent="0.2">
      <c r="A981" s="84"/>
      <c r="B981" s="85"/>
      <c r="C981" s="85"/>
      <c r="D981" s="85"/>
      <c r="E981" s="85"/>
      <c r="F981" s="85"/>
      <c r="G981" s="86"/>
      <c r="H981" s="87"/>
    </row>
    <row r="982" spans="1:8" x14ac:dyDescent="0.2">
      <c r="A982" s="84"/>
      <c r="B982" s="85"/>
      <c r="C982" s="85"/>
      <c r="D982" s="85"/>
      <c r="E982" s="85"/>
      <c r="F982" s="85"/>
      <c r="G982" s="86"/>
      <c r="H982" s="87"/>
    </row>
    <row r="983" spans="1:8" x14ac:dyDescent="0.2">
      <c r="A983" s="84"/>
      <c r="B983" s="85"/>
      <c r="C983" s="85"/>
      <c r="D983" s="85"/>
      <c r="E983" s="85"/>
      <c r="F983" s="85"/>
      <c r="G983" s="86"/>
      <c r="H983" s="87"/>
    </row>
    <row r="984" spans="1:8" x14ac:dyDescent="0.2">
      <c r="A984" s="84"/>
      <c r="B984" s="85"/>
      <c r="C984" s="85"/>
      <c r="D984" s="85"/>
      <c r="E984" s="85"/>
      <c r="F984" s="85"/>
      <c r="G984" s="86"/>
      <c r="H984" s="87"/>
    </row>
    <row r="985" spans="1:8" x14ac:dyDescent="0.2">
      <c r="A985" s="84"/>
      <c r="B985" s="85"/>
      <c r="C985" s="85"/>
      <c r="D985" s="85"/>
      <c r="E985" s="85"/>
      <c r="F985" s="85"/>
      <c r="G985" s="86"/>
      <c r="H985" s="87"/>
    </row>
    <row r="986" spans="1:8" x14ac:dyDescent="0.2">
      <c r="A986" s="84"/>
      <c r="B986" s="85"/>
      <c r="C986" s="85"/>
      <c r="D986" s="85"/>
      <c r="E986" s="85"/>
      <c r="F986" s="85"/>
      <c r="G986" s="86"/>
      <c r="H986" s="87"/>
    </row>
    <row r="987" spans="1:8" x14ac:dyDescent="0.2">
      <c r="A987" s="84"/>
      <c r="B987" s="85"/>
      <c r="C987" s="85"/>
      <c r="D987" s="85"/>
      <c r="E987" s="85"/>
      <c r="F987" s="85"/>
      <c r="G987" s="86"/>
      <c r="H987" s="87"/>
    </row>
    <row r="988" spans="1:8" x14ac:dyDescent="0.2">
      <c r="A988" s="84"/>
      <c r="B988" s="85"/>
      <c r="C988" s="85"/>
      <c r="D988" s="85"/>
      <c r="E988" s="85"/>
      <c r="F988" s="85"/>
      <c r="G988" s="86"/>
      <c r="H988" s="87"/>
    </row>
    <row r="989" spans="1:8" x14ac:dyDescent="0.2">
      <c r="A989" s="84"/>
      <c r="B989" s="85"/>
      <c r="C989" s="85"/>
      <c r="D989" s="85"/>
      <c r="E989" s="85"/>
      <c r="F989" s="85"/>
      <c r="G989" s="86"/>
      <c r="H989" s="87"/>
    </row>
    <row r="990" spans="1:8" x14ac:dyDescent="0.2">
      <c r="A990" s="84"/>
      <c r="B990" s="85"/>
      <c r="C990" s="85"/>
      <c r="D990" s="85"/>
      <c r="E990" s="85"/>
      <c r="F990" s="85"/>
      <c r="G990" s="86"/>
      <c r="H990" s="87"/>
    </row>
    <row r="991" spans="1:8" x14ac:dyDescent="0.2">
      <c r="A991" s="84"/>
      <c r="B991" s="85"/>
      <c r="C991" s="85"/>
      <c r="D991" s="85"/>
      <c r="E991" s="85"/>
      <c r="F991" s="85"/>
      <c r="G991" s="86"/>
      <c r="H991" s="87"/>
    </row>
    <row r="992" spans="1:8" x14ac:dyDescent="0.2">
      <c r="A992" s="84"/>
      <c r="B992" s="85"/>
      <c r="C992" s="85"/>
      <c r="D992" s="85"/>
      <c r="E992" s="85"/>
      <c r="F992" s="85"/>
      <c r="G992" s="86"/>
      <c r="H992" s="87"/>
    </row>
    <row r="993" spans="1:8" x14ac:dyDescent="0.2">
      <c r="A993" s="84"/>
      <c r="B993" s="85"/>
      <c r="C993" s="85"/>
      <c r="D993" s="85"/>
      <c r="E993" s="85"/>
      <c r="F993" s="85"/>
      <c r="G993" s="86"/>
      <c r="H993" s="87"/>
    </row>
    <row r="994" spans="1:8" x14ac:dyDescent="0.2">
      <c r="A994" s="84"/>
      <c r="B994" s="85"/>
      <c r="C994" s="85"/>
      <c r="D994" s="85"/>
      <c r="E994" s="85"/>
      <c r="F994" s="85"/>
      <c r="G994" s="86"/>
      <c r="H994" s="87"/>
    </row>
    <row r="995" spans="1:8" x14ac:dyDescent="0.2">
      <c r="A995" s="84"/>
      <c r="B995" s="85"/>
      <c r="C995" s="85"/>
      <c r="D995" s="85"/>
      <c r="E995" s="85"/>
      <c r="F995" s="85"/>
      <c r="G995" s="86"/>
      <c r="H995" s="87"/>
    </row>
    <row r="996" spans="1:8" x14ac:dyDescent="0.2">
      <c r="A996" s="84"/>
      <c r="B996" s="85"/>
      <c r="C996" s="85"/>
      <c r="D996" s="85"/>
      <c r="E996" s="85"/>
      <c r="F996" s="85"/>
      <c r="G996" s="86"/>
      <c r="H996" s="87"/>
    </row>
    <row r="997" spans="1:8" x14ac:dyDescent="0.2">
      <c r="A997" s="84"/>
      <c r="B997" s="85"/>
      <c r="C997" s="85"/>
      <c r="D997" s="85"/>
      <c r="E997" s="85"/>
      <c r="F997" s="85"/>
      <c r="G997" s="86"/>
      <c r="H997" s="87"/>
    </row>
    <row r="998" spans="1:8" x14ac:dyDescent="0.2">
      <c r="A998" s="84"/>
      <c r="B998" s="85"/>
      <c r="C998" s="85"/>
      <c r="D998" s="85"/>
      <c r="E998" s="85"/>
      <c r="F998" s="85"/>
      <c r="G998" s="86"/>
      <c r="H998" s="87"/>
    </row>
    <row r="999" spans="1:8" x14ac:dyDescent="0.2">
      <c r="A999" s="84"/>
      <c r="B999" s="85"/>
      <c r="C999" s="85"/>
      <c r="D999" s="85"/>
      <c r="E999" s="85"/>
      <c r="F999" s="85"/>
      <c r="G999" s="86"/>
      <c r="H999" s="87"/>
    </row>
    <row r="1000" spans="1:8" x14ac:dyDescent="0.2">
      <c r="A1000" s="84"/>
      <c r="B1000" s="85"/>
      <c r="C1000" s="85"/>
      <c r="D1000" s="85"/>
      <c r="E1000" s="85"/>
      <c r="F1000" s="85"/>
      <c r="G1000" s="86"/>
      <c r="H1000" s="87"/>
    </row>
    <row r="1001" spans="1:8" x14ac:dyDescent="0.2">
      <c r="A1001" s="84"/>
      <c r="B1001" s="85"/>
      <c r="C1001" s="85"/>
      <c r="D1001" s="85"/>
      <c r="E1001" s="85"/>
      <c r="F1001" s="85"/>
      <c r="G1001" s="86"/>
      <c r="H1001" s="87"/>
    </row>
    <row r="1002" spans="1:8" x14ac:dyDescent="0.2">
      <c r="A1002" s="84"/>
      <c r="B1002" s="85"/>
      <c r="C1002" s="85"/>
      <c r="D1002" s="85"/>
      <c r="E1002" s="85"/>
      <c r="F1002" s="85"/>
      <c r="G1002" s="86"/>
      <c r="H1002" s="87"/>
    </row>
    <row r="1003" spans="1:8" x14ac:dyDescent="0.2">
      <c r="A1003" s="84"/>
      <c r="B1003" s="85"/>
      <c r="C1003" s="85"/>
      <c r="D1003" s="85"/>
      <c r="E1003" s="85"/>
      <c r="F1003" s="85"/>
      <c r="G1003" s="86"/>
      <c r="H1003" s="87"/>
    </row>
    <row r="1004" spans="1:8" x14ac:dyDescent="0.2">
      <c r="A1004" s="84"/>
      <c r="B1004" s="85"/>
      <c r="C1004" s="85"/>
      <c r="D1004" s="85"/>
      <c r="E1004" s="85"/>
      <c r="F1004" s="85"/>
      <c r="G1004" s="86"/>
      <c r="H1004" s="87"/>
    </row>
    <row r="1005" spans="1:8" x14ac:dyDescent="0.2">
      <c r="A1005" s="84"/>
      <c r="B1005" s="85"/>
      <c r="C1005" s="85"/>
      <c r="D1005" s="85"/>
      <c r="E1005" s="85"/>
      <c r="F1005" s="85"/>
      <c r="G1005" s="86"/>
      <c r="H1005" s="87"/>
    </row>
    <row r="1006" spans="1:8" x14ac:dyDescent="0.2">
      <c r="A1006" s="84"/>
      <c r="B1006" s="85"/>
      <c r="C1006" s="85"/>
      <c r="D1006" s="85"/>
      <c r="E1006" s="85"/>
      <c r="F1006" s="85"/>
      <c r="G1006" s="86"/>
      <c r="H1006" s="87"/>
    </row>
    <row r="1007" spans="1:8" x14ac:dyDescent="0.2">
      <c r="A1007" s="84"/>
      <c r="B1007" s="85"/>
      <c r="C1007" s="85"/>
      <c r="D1007" s="85"/>
      <c r="E1007" s="85"/>
      <c r="F1007" s="85"/>
      <c r="G1007" s="86"/>
      <c r="H1007" s="87"/>
    </row>
    <row r="1008" spans="1:8" x14ac:dyDescent="0.2">
      <c r="A1008" s="84"/>
      <c r="B1008" s="85"/>
      <c r="C1008" s="85"/>
      <c r="D1008" s="85"/>
      <c r="E1008" s="85"/>
      <c r="F1008" s="85"/>
      <c r="G1008" s="86"/>
      <c r="H1008" s="87"/>
    </row>
    <row r="1009" spans="1:8" x14ac:dyDescent="0.2">
      <c r="A1009" s="84"/>
      <c r="B1009" s="85"/>
      <c r="C1009" s="85"/>
      <c r="D1009" s="85"/>
      <c r="E1009" s="85"/>
      <c r="F1009" s="85"/>
      <c r="G1009" s="86"/>
      <c r="H1009" s="87"/>
    </row>
    <row r="1010" spans="1:8" x14ac:dyDescent="0.2">
      <c r="A1010" s="84"/>
      <c r="B1010" s="85"/>
      <c r="C1010" s="85"/>
      <c r="D1010" s="85"/>
      <c r="E1010" s="85"/>
      <c r="F1010" s="85"/>
      <c r="G1010" s="86"/>
      <c r="H1010" s="87"/>
    </row>
    <row r="1011" spans="1:8" x14ac:dyDescent="0.2">
      <c r="A1011" s="84"/>
      <c r="B1011" s="85"/>
      <c r="C1011" s="85"/>
      <c r="D1011" s="85"/>
      <c r="E1011" s="85"/>
      <c r="F1011" s="85"/>
      <c r="G1011" s="86"/>
      <c r="H1011" s="87"/>
    </row>
    <row r="1012" spans="1:8" x14ac:dyDescent="0.2">
      <c r="A1012" s="84"/>
      <c r="B1012" s="85"/>
      <c r="C1012" s="85"/>
      <c r="D1012" s="85"/>
      <c r="E1012" s="85"/>
      <c r="F1012" s="85"/>
      <c r="G1012" s="86"/>
      <c r="H1012" s="87"/>
    </row>
    <row r="1013" spans="1:8" x14ac:dyDescent="0.2">
      <c r="A1013" s="84"/>
      <c r="B1013" s="85"/>
      <c r="C1013" s="85"/>
      <c r="D1013" s="85"/>
      <c r="E1013" s="85"/>
      <c r="F1013" s="85"/>
      <c r="G1013" s="86"/>
      <c r="H1013" s="87"/>
    </row>
    <row r="1014" spans="1:8" x14ac:dyDescent="0.2">
      <c r="A1014" s="84"/>
      <c r="B1014" s="85"/>
      <c r="C1014" s="85"/>
      <c r="D1014" s="85"/>
      <c r="E1014" s="85"/>
      <c r="F1014" s="85"/>
      <c r="G1014" s="86"/>
      <c r="H1014" s="87"/>
    </row>
    <row r="1015" spans="1:8" x14ac:dyDescent="0.2">
      <c r="A1015" s="84"/>
      <c r="B1015" s="85"/>
      <c r="C1015" s="85"/>
      <c r="D1015" s="85"/>
      <c r="E1015" s="85"/>
      <c r="F1015" s="85"/>
      <c r="G1015" s="86"/>
      <c r="H1015" s="87"/>
    </row>
    <row r="1016" spans="1:8" x14ac:dyDescent="0.2">
      <c r="A1016" s="84"/>
      <c r="B1016" s="85"/>
      <c r="C1016" s="85"/>
      <c r="D1016" s="85"/>
      <c r="E1016" s="85"/>
      <c r="F1016" s="85"/>
      <c r="G1016" s="86"/>
      <c r="H1016" s="87"/>
    </row>
    <row r="1017" spans="1:8" x14ac:dyDescent="0.2">
      <c r="A1017" s="84"/>
      <c r="B1017" s="85"/>
      <c r="C1017" s="85"/>
      <c r="D1017" s="85"/>
      <c r="E1017" s="85"/>
      <c r="F1017" s="85"/>
      <c r="G1017" s="86"/>
      <c r="H1017" s="87"/>
    </row>
    <row r="1018" spans="1:8" x14ac:dyDescent="0.2">
      <c r="A1018" s="84"/>
      <c r="B1018" s="85"/>
      <c r="C1018" s="85"/>
      <c r="D1018" s="85"/>
      <c r="E1018" s="85"/>
      <c r="F1018" s="85"/>
      <c r="G1018" s="86"/>
      <c r="H1018" s="87"/>
    </row>
    <row r="1019" spans="1:8" x14ac:dyDescent="0.2">
      <c r="A1019" s="84"/>
      <c r="B1019" s="85"/>
      <c r="C1019" s="85"/>
      <c r="D1019" s="85"/>
      <c r="E1019" s="85"/>
      <c r="F1019" s="85"/>
      <c r="G1019" s="86"/>
      <c r="H1019" s="87"/>
    </row>
    <row r="1020" spans="1:8" x14ac:dyDescent="0.2">
      <c r="A1020" s="84"/>
      <c r="B1020" s="85"/>
      <c r="C1020" s="85"/>
      <c r="D1020" s="85"/>
      <c r="E1020" s="85"/>
      <c r="F1020" s="85"/>
      <c r="G1020" s="86"/>
      <c r="H1020" s="87"/>
    </row>
    <row r="1021" spans="1:8" x14ac:dyDescent="0.2">
      <c r="A1021" s="84"/>
      <c r="B1021" s="85"/>
      <c r="C1021" s="85"/>
      <c r="D1021" s="85"/>
      <c r="E1021" s="85"/>
      <c r="F1021" s="85"/>
      <c r="G1021" s="86"/>
      <c r="H1021" s="87"/>
    </row>
    <row r="1022" spans="1:8" x14ac:dyDescent="0.2">
      <c r="A1022" s="84"/>
      <c r="B1022" s="85"/>
      <c r="C1022" s="85"/>
      <c r="D1022" s="85"/>
      <c r="E1022" s="85"/>
      <c r="F1022" s="85"/>
      <c r="G1022" s="86"/>
      <c r="H1022" s="87"/>
    </row>
    <row r="1023" spans="1:8" x14ac:dyDescent="0.2">
      <c r="A1023" s="84"/>
      <c r="B1023" s="85"/>
      <c r="C1023" s="85"/>
      <c r="D1023" s="85"/>
      <c r="E1023" s="85"/>
      <c r="F1023" s="85"/>
      <c r="G1023" s="86"/>
      <c r="H1023" s="87"/>
    </row>
    <row r="1024" spans="1:8" x14ac:dyDescent="0.2">
      <c r="A1024" s="84"/>
      <c r="B1024" s="85"/>
      <c r="C1024" s="85"/>
      <c r="D1024" s="85"/>
      <c r="E1024" s="85"/>
      <c r="F1024" s="85"/>
      <c r="G1024" s="86"/>
      <c r="H1024" s="87"/>
    </row>
    <row r="1025" spans="1:8" x14ac:dyDescent="0.2">
      <c r="A1025" s="84"/>
      <c r="B1025" s="85"/>
      <c r="C1025" s="85"/>
      <c r="D1025" s="85"/>
      <c r="E1025" s="85"/>
      <c r="F1025" s="85"/>
      <c r="G1025" s="86"/>
      <c r="H1025" s="87"/>
    </row>
    <row r="1026" spans="1:8" x14ac:dyDescent="0.2">
      <c r="A1026" s="84"/>
      <c r="B1026" s="85"/>
      <c r="C1026" s="85"/>
      <c r="D1026" s="85"/>
      <c r="E1026" s="85"/>
      <c r="F1026" s="85"/>
      <c r="G1026" s="86"/>
      <c r="H1026" s="87"/>
    </row>
    <row r="1027" spans="1:8" x14ac:dyDescent="0.2">
      <c r="A1027" s="84"/>
      <c r="B1027" s="85"/>
      <c r="C1027" s="85"/>
      <c r="D1027" s="85"/>
      <c r="E1027" s="85"/>
      <c r="F1027" s="85"/>
      <c r="G1027" s="86"/>
      <c r="H1027" s="87"/>
    </row>
    <row r="1028" spans="1:8" x14ac:dyDescent="0.2">
      <c r="A1028" s="84"/>
      <c r="B1028" s="85"/>
      <c r="C1028" s="85"/>
      <c r="D1028" s="85"/>
      <c r="E1028" s="85"/>
      <c r="F1028" s="85"/>
      <c r="G1028" s="86"/>
      <c r="H1028" s="87"/>
    </row>
    <row r="1029" spans="1:8" x14ac:dyDescent="0.2">
      <c r="A1029" s="84"/>
      <c r="B1029" s="85"/>
      <c r="C1029" s="85"/>
      <c r="D1029" s="85"/>
      <c r="E1029" s="85"/>
      <c r="F1029" s="85"/>
      <c r="G1029" s="86"/>
      <c r="H1029" s="87"/>
    </row>
    <row r="1030" spans="1:8" x14ac:dyDescent="0.2">
      <c r="A1030" s="84"/>
      <c r="B1030" s="85"/>
      <c r="C1030" s="85"/>
      <c r="D1030" s="85"/>
      <c r="E1030" s="85"/>
      <c r="F1030" s="85"/>
      <c r="G1030" s="86"/>
      <c r="H1030" s="87"/>
    </row>
    <row r="1031" spans="1:8" x14ac:dyDescent="0.2">
      <c r="A1031" s="84"/>
      <c r="B1031" s="85"/>
      <c r="C1031" s="85"/>
      <c r="D1031" s="85"/>
      <c r="E1031" s="85"/>
      <c r="F1031" s="85"/>
      <c r="G1031" s="86"/>
      <c r="H1031" s="87"/>
    </row>
    <row r="1032" spans="1:8" x14ac:dyDescent="0.2">
      <c r="A1032" s="84"/>
      <c r="B1032" s="85"/>
      <c r="C1032" s="85"/>
      <c r="D1032" s="85"/>
      <c r="E1032" s="85"/>
      <c r="F1032" s="85"/>
      <c r="G1032" s="86"/>
      <c r="H1032" s="87"/>
    </row>
    <row r="1033" spans="1:8" x14ac:dyDescent="0.2">
      <c r="A1033" s="84"/>
      <c r="B1033" s="85"/>
      <c r="C1033" s="85"/>
      <c r="D1033" s="85"/>
      <c r="E1033" s="85"/>
      <c r="F1033" s="85"/>
      <c r="G1033" s="86"/>
      <c r="H1033" s="87"/>
    </row>
    <row r="1034" spans="1:8" x14ac:dyDescent="0.2">
      <c r="A1034" s="84"/>
      <c r="B1034" s="85"/>
      <c r="C1034" s="85"/>
      <c r="D1034" s="85"/>
      <c r="E1034" s="85"/>
      <c r="F1034" s="85"/>
      <c r="G1034" s="86"/>
      <c r="H1034" s="87"/>
    </row>
    <row r="1035" spans="1:8" x14ac:dyDescent="0.2">
      <c r="A1035" s="84"/>
      <c r="B1035" s="85"/>
      <c r="C1035" s="85"/>
      <c r="D1035" s="85"/>
      <c r="E1035" s="85"/>
      <c r="F1035" s="85"/>
      <c r="G1035" s="86"/>
      <c r="H1035" s="87"/>
    </row>
    <row r="1036" spans="1:8" x14ac:dyDescent="0.2">
      <c r="A1036" s="84"/>
      <c r="B1036" s="85"/>
      <c r="C1036" s="85"/>
      <c r="D1036" s="85"/>
      <c r="E1036" s="85"/>
      <c r="F1036" s="85"/>
      <c r="G1036" s="86"/>
      <c r="H1036" s="87"/>
    </row>
    <row r="1037" spans="1:8" x14ac:dyDescent="0.2">
      <c r="A1037" s="84"/>
      <c r="B1037" s="85"/>
      <c r="C1037" s="85"/>
      <c r="D1037" s="85"/>
      <c r="E1037" s="85"/>
      <c r="F1037" s="85"/>
      <c r="G1037" s="86"/>
      <c r="H1037" s="87"/>
    </row>
    <row r="1038" spans="1:8" x14ac:dyDescent="0.2">
      <c r="A1038" s="84"/>
      <c r="B1038" s="85"/>
      <c r="C1038" s="85"/>
      <c r="D1038" s="85"/>
      <c r="E1038" s="85"/>
      <c r="F1038" s="85"/>
      <c r="G1038" s="86"/>
      <c r="H1038" s="87"/>
    </row>
    <row r="1039" spans="1:8" x14ac:dyDescent="0.2">
      <c r="A1039" s="84"/>
      <c r="B1039" s="85"/>
      <c r="C1039" s="85"/>
      <c r="D1039" s="85"/>
      <c r="E1039" s="85"/>
      <c r="F1039" s="85"/>
      <c r="G1039" s="86"/>
      <c r="H1039" s="87"/>
    </row>
    <row r="1040" spans="1:8" x14ac:dyDescent="0.2">
      <c r="A1040" s="84"/>
      <c r="B1040" s="85"/>
      <c r="C1040" s="85"/>
      <c r="D1040" s="85"/>
      <c r="E1040" s="85"/>
      <c r="F1040" s="85"/>
      <c r="G1040" s="86"/>
      <c r="H1040" s="87"/>
    </row>
    <row r="1041" spans="1:8" x14ac:dyDescent="0.2">
      <c r="A1041" s="84"/>
      <c r="B1041" s="85"/>
      <c r="C1041" s="85"/>
      <c r="D1041" s="85"/>
      <c r="E1041" s="85"/>
      <c r="F1041" s="85"/>
      <c r="G1041" s="86"/>
      <c r="H1041" s="87"/>
    </row>
    <row r="1042" spans="1:8" x14ac:dyDescent="0.2">
      <c r="A1042" s="84"/>
      <c r="B1042" s="85"/>
      <c r="C1042" s="85"/>
      <c r="D1042" s="85"/>
      <c r="E1042" s="85"/>
      <c r="F1042" s="85"/>
      <c r="G1042" s="86"/>
      <c r="H1042" s="87"/>
    </row>
    <row r="1043" spans="1:8" x14ac:dyDescent="0.2">
      <c r="A1043" s="84"/>
      <c r="B1043" s="85"/>
      <c r="C1043" s="85"/>
      <c r="D1043" s="85"/>
      <c r="E1043" s="85"/>
      <c r="F1043" s="85"/>
      <c r="G1043" s="86"/>
      <c r="H1043" s="87"/>
    </row>
    <row r="1044" spans="1:8" x14ac:dyDescent="0.2">
      <c r="A1044" s="84"/>
      <c r="B1044" s="85"/>
      <c r="C1044" s="85"/>
      <c r="D1044" s="85"/>
      <c r="E1044" s="85"/>
      <c r="F1044" s="85"/>
      <c r="G1044" s="86"/>
      <c r="H1044" s="87"/>
    </row>
    <row r="1045" spans="1:8" x14ac:dyDescent="0.2">
      <c r="A1045" s="84"/>
      <c r="B1045" s="85"/>
      <c r="C1045" s="85"/>
      <c r="D1045" s="85"/>
      <c r="E1045" s="85"/>
      <c r="F1045" s="85"/>
      <c r="G1045" s="86"/>
      <c r="H1045" s="87"/>
    </row>
    <row r="1046" spans="1:8" x14ac:dyDescent="0.2">
      <c r="A1046" s="84"/>
      <c r="B1046" s="85"/>
      <c r="C1046" s="85"/>
      <c r="D1046" s="85"/>
      <c r="E1046" s="85"/>
      <c r="F1046" s="85"/>
      <c r="G1046" s="86"/>
      <c r="H1046" s="87"/>
    </row>
    <row r="1047" spans="1:8" x14ac:dyDescent="0.2">
      <c r="A1047" s="84"/>
      <c r="B1047" s="85"/>
      <c r="C1047" s="85"/>
      <c r="D1047" s="85"/>
      <c r="E1047" s="85"/>
      <c r="F1047" s="85"/>
      <c r="G1047" s="86"/>
      <c r="H1047" s="87"/>
    </row>
    <row r="1048" spans="1:8" x14ac:dyDescent="0.2">
      <c r="A1048" s="84"/>
      <c r="B1048" s="85"/>
      <c r="C1048" s="85"/>
      <c r="D1048" s="85"/>
      <c r="E1048" s="85"/>
      <c r="F1048" s="85"/>
      <c r="G1048" s="86"/>
      <c r="H1048" s="87"/>
    </row>
    <row r="1049" spans="1:8" x14ac:dyDescent="0.2">
      <c r="A1049" s="84"/>
      <c r="B1049" s="85"/>
      <c r="C1049" s="85"/>
      <c r="D1049" s="85"/>
      <c r="E1049" s="85"/>
      <c r="F1049" s="85"/>
      <c r="G1049" s="86"/>
      <c r="H1049" s="87"/>
    </row>
    <row r="1050" spans="1:8" x14ac:dyDescent="0.2">
      <c r="A1050" s="84"/>
      <c r="B1050" s="85"/>
      <c r="C1050" s="85"/>
      <c r="D1050" s="85"/>
      <c r="E1050" s="85"/>
      <c r="F1050" s="85"/>
      <c r="G1050" s="86"/>
      <c r="H1050" s="87"/>
    </row>
    <row r="1051" spans="1:8" x14ac:dyDescent="0.2">
      <c r="A1051" s="84"/>
      <c r="B1051" s="85"/>
      <c r="C1051" s="85"/>
      <c r="D1051" s="85"/>
      <c r="E1051" s="85"/>
      <c r="F1051" s="85"/>
      <c r="G1051" s="86"/>
      <c r="H1051" s="87"/>
    </row>
    <row r="1052" spans="1:8" x14ac:dyDescent="0.2">
      <c r="A1052" s="84"/>
      <c r="B1052" s="85"/>
      <c r="C1052" s="85"/>
      <c r="D1052" s="85"/>
      <c r="E1052" s="85"/>
      <c r="F1052" s="85"/>
      <c r="G1052" s="86"/>
      <c r="H1052" s="87"/>
    </row>
    <row r="1053" spans="1:8" x14ac:dyDescent="0.2">
      <c r="A1053" s="84"/>
      <c r="B1053" s="85"/>
      <c r="C1053" s="85"/>
      <c r="D1053" s="85"/>
      <c r="E1053" s="85"/>
      <c r="F1053" s="85"/>
      <c r="G1053" s="86"/>
      <c r="H1053" s="87"/>
    </row>
    <row r="1054" spans="1:8" x14ac:dyDescent="0.2">
      <c r="A1054" s="84"/>
      <c r="B1054" s="85"/>
      <c r="C1054" s="85"/>
      <c r="D1054" s="85"/>
      <c r="E1054" s="85"/>
      <c r="F1054" s="85"/>
      <c r="G1054" s="86"/>
      <c r="H1054" s="87"/>
    </row>
    <row r="1055" spans="1:8" x14ac:dyDescent="0.2">
      <c r="A1055" s="84"/>
      <c r="B1055" s="85"/>
      <c r="C1055" s="85"/>
      <c r="D1055" s="85"/>
      <c r="E1055" s="85"/>
      <c r="F1055" s="85"/>
      <c r="G1055" s="86"/>
      <c r="H1055" s="87"/>
    </row>
    <row r="1056" spans="1:8" x14ac:dyDescent="0.2">
      <c r="A1056" s="84"/>
      <c r="B1056" s="85"/>
      <c r="C1056" s="85"/>
      <c r="D1056" s="85"/>
      <c r="E1056" s="85"/>
      <c r="F1056" s="85"/>
      <c r="G1056" s="86"/>
      <c r="H1056" s="87"/>
    </row>
    <row r="1057" spans="1:8" x14ac:dyDescent="0.2">
      <c r="A1057" s="84"/>
      <c r="B1057" s="85"/>
      <c r="C1057" s="85"/>
      <c r="D1057" s="85"/>
      <c r="E1057" s="85"/>
      <c r="F1057" s="85"/>
      <c r="G1057" s="86"/>
      <c r="H1057" s="87"/>
    </row>
    <row r="1058" spans="1:8" x14ac:dyDescent="0.2">
      <c r="A1058" s="84"/>
      <c r="B1058" s="85"/>
      <c r="C1058" s="85"/>
      <c r="D1058" s="85"/>
      <c r="E1058" s="85"/>
      <c r="F1058" s="85"/>
      <c r="G1058" s="86"/>
      <c r="H1058" s="87"/>
    </row>
    <row r="1059" spans="1:8" x14ac:dyDescent="0.2">
      <c r="A1059" s="84"/>
      <c r="B1059" s="85"/>
      <c r="C1059" s="85"/>
      <c r="D1059" s="85"/>
      <c r="E1059" s="85"/>
      <c r="F1059" s="85"/>
      <c r="G1059" s="86"/>
      <c r="H1059" s="87"/>
    </row>
    <row r="1060" spans="1:8" x14ac:dyDescent="0.2">
      <c r="A1060" s="84"/>
      <c r="B1060" s="85"/>
      <c r="C1060" s="85"/>
      <c r="D1060" s="85"/>
      <c r="E1060" s="85"/>
      <c r="F1060" s="85"/>
      <c r="G1060" s="86"/>
      <c r="H1060" s="87"/>
    </row>
    <row r="1061" spans="1:8" x14ac:dyDescent="0.2">
      <c r="A1061" s="84"/>
      <c r="B1061" s="85"/>
      <c r="C1061" s="85"/>
      <c r="D1061" s="85"/>
      <c r="E1061" s="85"/>
      <c r="F1061" s="85"/>
      <c r="G1061" s="86"/>
      <c r="H1061" s="87"/>
    </row>
    <row r="1062" spans="1:8" x14ac:dyDescent="0.2">
      <c r="A1062" s="84"/>
      <c r="B1062" s="85"/>
      <c r="C1062" s="85"/>
      <c r="D1062" s="85"/>
      <c r="E1062" s="85"/>
      <c r="F1062" s="85"/>
      <c r="G1062" s="86"/>
      <c r="H1062" s="87"/>
    </row>
    <row r="1063" spans="1:8" x14ac:dyDescent="0.2">
      <c r="A1063" s="84"/>
      <c r="B1063" s="85"/>
      <c r="C1063" s="85"/>
      <c r="D1063" s="85"/>
      <c r="E1063" s="85"/>
      <c r="F1063" s="85"/>
      <c r="G1063" s="86"/>
      <c r="H1063" s="87"/>
    </row>
    <row r="1064" spans="1:8" x14ac:dyDescent="0.2">
      <c r="A1064" s="84"/>
      <c r="B1064" s="85"/>
      <c r="C1064" s="85"/>
      <c r="D1064" s="85"/>
      <c r="E1064" s="85"/>
      <c r="F1064" s="85"/>
      <c r="G1064" s="86"/>
      <c r="H1064" s="87"/>
    </row>
    <row r="1065" spans="1:8" x14ac:dyDescent="0.2">
      <c r="A1065" s="84"/>
      <c r="B1065" s="85"/>
      <c r="C1065" s="85"/>
      <c r="D1065" s="85"/>
      <c r="E1065" s="85"/>
      <c r="F1065" s="85"/>
      <c r="G1065" s="86"/>
      <c r="H1065" s="87"/>
    </row>
    <row r="1066" spans="1:8" x14ac:dyDescent="0.2">
      <c r="A1066" s="84"/>
      <c r="B1066" s="85"/>
      <c r="C1066" s="85"/>
      <c r="D1066" s="85"/>
      <c r="E1066" s="85"/>
      <c r="F1066" s="85"/>
      <c r="G1066" s="86"/>
      <c r="H1066" s="87"/>
    </row>
    <row r="1067" spans="1:8" x14ac:dyDescent="0.2">
      <c r="A1067" s="84"/>
      <c r="B1067" s="85"/>
      <c r="C1067" s="85"/>
      <c r="D1067" s="85"/>
      <c r="E1067" s="85"/>
      <c r="F1067" s="85"/>
      <c r="G1067" s="86"/>
      <c r="H1067" s="87"/>
    </row>
    <row r="1068" spans="1:8" x14ac:dyDescent="0.2">
      <c r="A1068" s="84"/>
      <c r="B1068" s="85"/>
      <c r="C1068" s="85"/>
      <c r="D1068" s="85"/>
      <c r="E1068" s="85"/>
      <c r="F1068" s="85"/>
      <c r="G1068" s="86"/>
      <c r="H1068" s="87"/>
    </row>
    <row r="1069" spans="1:8" x14ac:dyDescent="0.2">
      <c r="A1069" s="84"/>
      <c r="B1069" s="85"/>
      <c r="C1069" s="85"/>
      <c r="D1069" s="85"/>
      <c r="E1069" s="85"/>
      <c r="F1069" s="85"/>
      <c r="G1069" s="86"/>
      <c r="H1069" s="87"/>
    </row>
    <row r="1070" spans="1:8" x14ac:dyDescent="0.2">
      <c r="A1070" s="84"/>
      <c r="B1070" s="85"/>
      <c r="C1070" s="85"/>
      <c r="D1070" s="85"/>
      <c r="E1070" s="85"/>
      <c r="F1070" s="85"/>
      <c r="G1070" s="86"/>
      <c r="H1070" s="87"/>
    </row>
    <row r="1071" spans="1:8" x14ac:dyDescent="0.2">
      <c r="A1071" s="84"/>
      <c r="B1071" s="85"/>
      <c r="C1071" s="85"/>
      <c r="D1071" s="85"/>
      <c r="E1071" s="85"/>
      <c r="F1071" s="85"/>
      <c r="G1071" s="86"/>
      <c r="H1071" s="87"/>
    </row>
    <row r="1072" spans="1:8" x14ac:dyDescent="0.2">
      <c r="A1072" s="84"/>
      <c r="B1072" s="85"/>
      <c r="C1072" s="85"/>
      <c r="D1072" s="85"/>
      <c r="E1072" s="85"/>
      <c r="F1072" s="85"/>
      <c r="G1072" s="86"/>
      <c r="H1072" s="87"/>
    </row>
    <row r="1073" spans="1:8" x14ac:dyDescent="0.2">
      <c r="A1073" s="84"/>
      <c r="B1073" s="85"/>
      <c r="C1073" s="85"/>
      <c r="D1073" s="85"/>
      <c r="E1073" s="85"/>
      <c r="F1073" s="85"/>
      <c r="G1073" s="86"/>
      <c r="H1073" s="87"/>
    </row>
    <row r="1074" spans="1:8" x14ac:dyDescent="0.2">
      <c r="A1074" s="84"/>
      <c r="B1074" s="85"/>
      <c r="C1074" s="85"/>
      <c r="D1074" s="85"/>
      <c r="E1074" s="85"/>
      <c r="F1074" s="85"/>
      <c r="G1074" s="86"/>
      <c r="H1074" s="87"/>
    </row>
    <row r="1075" spans="1:8" x14ac:dyDescent="0.2">
      <c r="A1075" s="84"/>
      <c r="B1075" s="85"/>
      <c r="C1075" s="85"/>
      <c r="D1075" s="85"/>
      <c r="E1075" s="85"/>
      <c r="F1075" s="85"/>
      <c r="G1075" s="86"/>
      <c r="H1075" s="87"/>
    </row>
    <row r="1076" spans="1:8" x14ac:dyDescent="0.2">
      <c r="A1076" s="84"/>
      <c r="B1076" s="85"/>
      <c r="C1076" s="85"/>
      <c r="D1076" s="85"/>
      <c r="E1076" s="85"/>
      <c r="F1076" s="85"/>
      <c r="G1076" s="86"/>
      <c r="H1076" s="87"/>
    </row>
    <row r="1077" spans="1:8" x14ac:dyDescent="0.2">
      <c r="A1077" s="84"/>
      <c r="B1077" s="85"/>
      <c r="C1077" s="85"/>
      <c r="D1077" s="85"/>
      <c r="E1077" s="85"/>
      <c r="F1077" s="85"/>
      <c r="G1077" s="86"/>
      <c r="H1077" s="87"/>
    </row>
    <row r="1078" spans="1:8" x14ac:dyDescent="0.2">
      <c r="A1078" s="84"/>
      <c r="B1078" s="85"/>
      <c r="C1078" s="85"/>
      <c r="D1078" s="85"/>
      <c r="E1078" s="85"/>
      <c r="F1078" s="85"/>
      <c r="G1078" s="86"/>
      <c r="H1078" s="87"/>
    </row>
    <row r="1079" spans="1:8" x14ac:dyDescent="0.2">
      <c r="A1079" s="84"/>
      <c r="B1079" s="85"/>
      <c r="C1079" s="85"/>
      <c r="D1079" s="85"/>
      <c r="E1079" s="85"/>
      <c r="F1079" s="85"/>
      <c r="G1079" s="86"/>
      <c r="H1079" s="87"/>
    </row>
    <row r="1080" spans="1:8" x14ac:dyDescent="0.2">
      <c r="A1080" s="84"/>
      <c r="B1080" s="85"/>
      <c r="C1080" s="85"/>
      <c r="D1080" s="85"/>
      <c r="E1080" s="85"/>
      <c r="F1080" s="85"/>
      <c r="G1080" s="86"/>
      <c r="H1080" s="87"/>
    </row>
    <row r="1081" spans="1:8" x14ac:dyDescent="0.2">
      <c r="A1081" s="84"/>
      <c r="B1081" s="85"/>
      <c r="C1081" s="85"/>
      <c r="D1081" s="85"/>
      <c r="E1081" s="85"/>
      <c r="F1081" s="85"/>
      <c r="G1081" s="86"/>
      <c r="H1081" s="87"/>
    </row>
    <row r="1082" spans="1:8" x14ac:dyDescent="0.2">
      <c r="A1082" s="84"/>
      <c r="B1082" s="85"/>
      <c r="C1082" s="85"/>
      <c r="D1082" s="85"/>
      <c r="E1082" s="85"/>
      <c r="F1082" s="85"/>
      <c r="G1082" s="86"/>
      <c r="H1082" s="87"/>
    </row>
    <row r="1083" spans="1:8" x14ac:dyDescent="0.2">
      <c r="A1083" s="84"/>
      <c r="B1083" s="85"/>
      <c r="C1083" s="85"/>
      <c r="D1083" s="85"/>
      <c r="E1083" s="85"/>
      <c r="F1083" s="85"/>
      <c r="G1083" s="86"/>
      <c r="H1083" s="87"/>
    </row>
    <row r="1084" spans="1:8" x14ac:dyDescent="0.2">
      <c r="A1084" s="84"/>
      <c r="B1084" s="85"/>
      <c r="C1084" s="85"/>
      <c r="D1084" s="85"/>
      <c r="E1084" s="85"/>
      <c r="F1084" s="85"/>
      <c r="G1084" s="86"/>
      <c r="H1084" s="87"/>
    </row>
    <row r="1085" spans="1:8" x14ac:dyDescent="0.2">
      <c r="A1085" s="84"/>
      <c r="B1085" s="85"/>
      <c r="C1085" s="85"/>
      <c r="D1085" s="85"/>
      <c r="E1085" s="85"/>
      <c r="F1085" s="85"/>
      <c r="G1085" s="86"/>
      <c r="H1085" s="87"/>
    </row>
    <row r="1086" spans="1:8" x14ac:dyDescent="0.2">
      <c r="A1086" s="84"/>
      <c r="B1086" s="85"/>
      <c r="C1086" s="85"/>
      <c r="D1086" s="85"/>
      <c r="E1086" s="85"/>
      <c r="F1086" s="85"/>
      <c r="G1086" s="86"/>
      <c r="H1086" s="87"/>
    </row>
    <row r="1087" spans="1:8" x14ac:dyDescent="0.2">
      <c r="A1087" s="84"/>
      <c r="B1087" s="85"/>
      <c r="C1087" s="85"/>
      <c r="D1087" s="85"/>
      <c r="E1087" s="85"/>
      <c r="F1087" s="85"/>
      <c r="G1087" s="86"/>
      <c r="H1087" s="87"/>
    </row>
    <row r="1088" spans="1:8" x14ac:dyDescent="0.2">
      <c r="A1088" s="84"/>
      <c r="B1088" s="85"/>
      <c r="C1088" s="85"/>
      <c r="D1088" s="85"/>
      <c r="E1088" s="85"/>
      <c r="F1088" s="85"/>
      <c r="G1088" s="86"/>
      <c r="H1088" s="87"/>
    </row>
    <row r="1089" spans="1:8" x14ac:dyDescent="0.2">
      <c r="A1089" s="84"/>
      <c r="B1089" s="85"/>
      <c r="C1089" s="85"/>
      <c r="D1089" s="85"/>
      <c r="E1089" s="85"/>
      <c r="F1089" s="85"/>
      <c r="G1089" s="86"/>
      <c r="H1089" s="87"/>
    </row>
    <row r="1090" spans="1:8" x14ac:dyDescent="0.2">
      <c r="A1090" s="84"/>
      <c r="B1090" s="85"/>
      <c r="C1090" s="85"/>
      <c r="D1090" s="85"/>
      <c r="E1090" s="85"/>
      <c r="F1090" s="85"/>
      <c r="G1090" s="86"/>
      <c r="H1090" s="87"/>
    </row>
    <row r="1091" spans="1:8" x14ac:dyDescent="0.2">
      <c r="A1091" s="84"/>
      <c r="B1091" s="85"/>
      <c r="C1091" s="85"/>
      <c r="D1091" s="85"/>
      <c r="E1091" s="85"/>
      <c r="F1091" s="85"/>
      <c r="G1091" s="86"/>
      <c r="H1091" s="87"/>
    </row>
    <row r="1092" spans="1:8" x14ac:dyDescent="0.2">
      <c r="A1092" s="84"/>
      <c r="B1092" s="85"/>
      <c r="C1092" s="85"/>
      <c r="D1092" s="85"/>
      <c r="E1092" s="85"/>
      <c r="F1092" s="85"/>
      <c r="G1092" s="86"/>
      <c r="H1092" s="87"/>
    </row>
    <row r="1093" spans="1:8" x14ac:dyDescent="0.2">
      <c r="A1093" s="84"/>
      <c r="B1093" s="85"/>
      <c r="C1093" s="85"/>
      <c r="D1093" s="85"/>
      <c r="E1093" s="85"/>
      <c r="F1093" s="85"/>
      <c r="G1093" s="86"/>
      <c r="H1093" s="87"/>
    </row>
    <row r="1094" spans="1:8" x14ac:dyDescent="0.2">
      <c r="A1094" s="84"/>
      <c r="B1094" s="85"/>
      <c r="C1094" s="85"/>
      <c r="D1094" s="85"/>
      <c r="E1094" s="85"/>
      <c r="F1094" s="85"/>
      <c r="G1094" s="86"/>
      <c r="H1094" s="87"/>
    </row>
    <row r="1095" spans="1:8" x14ac:dyDescent="0.2">
      <c r="A1095" s="84"/>
      <c r="B1095" s="85"/>
      <c r="C1095" s="85"/>
      <c r="D1095" s="85"/>
      <c r="E1095" s="85"/>
      <c r="F1095" s="85"/>
      <c r="G1095" s="86"/>
      <c r="H1095" s="87"/>
    </row>
    <row r="1096" spans="1:8" x14ac:dyDescent="0.2">
      <c r="A1096" s="84"/>
      <c r="B1096" s="85"/>
      <c r="C1096" s="85"/>
      <c r="D1096" s="85"/>
      <c r="E1096" s="85"/>
      <c r="F1096" s="85"/>
      <c r="G1096" s="86"/>
      <c r="H1096" s="87"/>
    </row>
    <row r="1097" spans="1:8" x14ac:dyDescent="0.2">
      <c r="A1097" s="84"/>
      <c r="B1097" s="85"/>
      <c r="C1097" s="85"/>
      <c r="D1097" s="85"/>
      <c r="E1097" s="85"/>
      <c r="F1097" s="85"/>
      <c r="G1097" s="86"/>
      <c r="H1097" s="87"/>
    </row>
    <row r="1098" spans="1:8" x14ac:dyDescent="0.2">
      <c r="A1098" s="84"/>
      <c r="B1098" s="85"/>
      <c r="C1098" s="85"/>
      <c r="D1098" s="85"/>
      <c r="E1098" s="85"/>
      <c r="F1098" s="85"/>
      <c r="G1098" s="86"/>
      <c r="H1098" s="87"/>
    </row>
    <row r="1099" spans="1:8" x14ac:dyDescent="0.2">
      <c r="A1099" s="84"/>
      <c r="B1099" s="85"/>
      <c r="C1099" s="85"/>
      <c r="D1099" s="85"/>
      <c r="E1099" s="85"/>
      <c r="F1099" s="85"/>
      <c r="G1099" s="86"/>
      <c r="H1099" s="87"/>
    </row>
    <row r="1100" spans="1:8" x14ac:dyDescent="0.2">
      <c r="A1100" s="84"/>
      <c r="B1100" s="85"/>
      <c r="C1100" s="85"/>
      <c r="D1100" s="85"/>
      <c r="E1100" s="85"/>
      <c r="F1100" s="85"/>
      <c r="G1100" s="86"/>
      <c r="H1100" s="87"/>
    </row>
    <row r="1101" spans="1:8" x14ac:dyDescent="0.2">
      <c r="A1101" s="84"/>
      <c r="B1101" s="85"/>
      <c r="C1101" s="85"/>
      <c r="D1101" s="85"/>
      <c r="E1101" s="85"/>
      <c r="F1101" s="85"/>
      <c r="G1101" s="86"/>
      <c r="H1101" s="87"/>
    </row>
    <row r="1102" spans="1:8" x14ac:dyDescent="0.2">
      <c r="A1102" s="84"/>
      <c r="B1102" s="85"/>
      <c r="C1102" s="85"/>
      <c r="D1102" s="85"/>
      <c r="E1102" s="85"/>
      <c r="F1102" s="85"/>
      <c r="G1102" s="86"/>
      <c r="H1102" s="87"/>
    </row>
    <row r="1103" spans="1:8" x14ac:dyDescent="0.2">
      <c r="A1103" s="84"/>
      <c r="B1103" s="85"/>
      <c r="C1103" s="85"/>
      <c r="D1103" s="85"/>
      <c r="E1103" s="85"/>
      <c r="F1103" s="85"/>
      <c r="G1103" s="86"/>
      <c r="H1103" s="87"/>
    </row>
    <row r="1104" spans="1:8" x14ac:dyDescent="0.2">
      <c r="A1104" s="84"/>
      <c r="B1104" s="85"/>
      <c r="C1104" s="85"/>
      <c r="D1104" s="85"/>
      <c r="E1104" s="85"/>
      <c r="F1104" s="85"/>
      <c r="G1104" s="86"/>
      <c r="H1104" s="87"/>
    </row>
    <row r="1105" spans="1:8" x14ac:dyDescent="0.2">
      <c r="A1105" s="84"/>
      <c r="B1105" s="85"/>
      <c r="C1105" s="85"/>
      <c r="D1105" s="85"/>
      <c r="E1105" s="85"/>
      <c r="F1105" s="85"/>
      <c r="G1105" s="86"/>
      <c r="H1105" s="87"/>
    </row>
    <row r="1106" spans="1:8" x14ac:dyDescent="0.2">
      <c r="A1106" s="84"/>
      <c r="B1106" s="85"/>
      <c r="C1106" s="85"/>
      <c r="D1106" s="85"/>
      <c r="E1106" s="85"/>
      <c r="F1106" s="85"/>
      <c r="G1106" s="86"/>
      <c r="H1106" s="87"/>
    </row>
    <row r="1107" spans="1:8" x14ac:dyDescent="0.2">
      <c r="A1107" s="84"/>
      <c r="B1107" s="85"/>
      <c r="C1107" s="85"/>
      <c r="D1107" s="85"/>
      <c r="E1107" s="85"/>
      <c r="F1107" s="85"/>
      <c r="G1107" s="86"/>
      <c r="H1107" s="87"/>
    </row>
    <row r="1108" spans="1:8" x14ac:dyDescent="0.2">
      <c r="A1108" s="84"/>
      <c r="B1108" s="85"/>
      <c r="C1108" s="85"/>
      <c r="D1108" s="85"/>
      <c r="E1108" s="85"/>
      <c r="F1108" s="85"/>
      <c r="G1108" s="86"/>
      <c r="H1108" s="87"/>
    </row>
    <row r="1109" spans="1:8" x14ac:dyDescent="0.2">
      <c r="A1109" s="84"/>
      <c r="B1109" s="85"/>
      <c r="C1109" s="85"/>
      <c r="D1109" s="85"/>
      <c r="E1109" s="85"/>
      <c r="F1109" s="85"/>
      <c r="G1109" s="86"/>
      <c r="H1109" s="87"/>
    </row>
    <row r="1110" spans="1:8" x14ac:dyDescent="0.2">
      <c r="A1110" s="84"/>
      <c r="B1110" s="85"/>
      <c r="C1110" s="85"/>
      <c r="D1110" s="85"/>
      <c r="E1110" s="85"/>
      <c r="F1110" s="85"/>
      <c r="G1110" s="86"/>
      <c r="H1110" s="87"/>
    </row>
    <row r="1111" spans="1:8" x14ac:dyDescent="0.2">
      <c r="A1111" s="84"/>
      <c r="B1111" s="85"/>
      <c r="C1111" s="85"/>
      <c r="D1111" s="85"/>
      <c r="E1111" s="85"/>
      <c r="F1111" s="85"/>
      <c r="G1111" s="86"/>
      <c r="H1111" s="87"/>
    </row>
    <row r="1112" spans="1:8" x14ac:dyDescent="0.2">
      <c r="A1112" s="84"/>
      <c r="B1112" s="85"/>
      <c r="C1112" s="85"/>
      <c r="D1112" s="85"/>
      <c r="E1112" s="85"/>
      <c r="F1112" s="85"/>
      <c r="G1112" s="86"/>
      <c r="H1112" s="87"/>
    </row>
    <row r="1113" spans="1:8" x14ac:dyDescent="0.2">
      <c r="A1113" s="84"/>
      <c r="B1113" s="85"/>
      <c r="C1113" s="85"/>
      <c r="D1113" s="85"/>
      <c r="E1113" s="85"/>
      <c r="F1113" s="85"/>
      <c r="G1113" s="86"/>
      <c r="H1113" s="87"/>
    </row>
    <row r="1114" spans="1:8" x14ac:dyDescent="0.2">
      <c r="A1114" s="84"/>
      <c r="B1114" s="85"/>
      <c r="C1114" s="85"/>
      <c r="D1114" s="85"/>
      <c r="E1114" s="85"/>
      <c r="F1114" s="85"/>
      <c r="G1114" s="86"/>
      <c r="H1114" s="87"/>
    </row>
    <row r="1115" spans="1:8" x14ac:dyDescent="0.2">
      <c r="A1115" s="84"/>
      <c r="B1115" s="85"/>
      <c r="C1115" s="85"/>
      <c r="D1115" s="85"/>
      <c r="E1115" s="85"/>
      <c r="F1115" s="85"/>
      <c r="G1115" s="86"/>
      <c r="H1115" s="87"/>
    </row>
    <row r="1116" spans="1:8" x14ac:dyDescent="0.2">
      <c r="A1116" s="84"/>
      <c r="B1116" s="85"/>
      <c r="C1116" s="85"/>
      <c r="D1116" s="85"/>
      <c r="E1116" s="85"/>
      <c r="F1116" s="85"/>
      <c r="G1116" s="86"/>
      <c r="H1116" s="87"/>
    </row>
    <row r="1117" spans="1:8" x14ac:dyDescent="0.2">
      <c r="A1117" s="84"/>
      <c r="B1117" s="85"/>
      <c r="C1117" s="85"/>
      <c r="D1117" s="85"/>
      <c r="E1117" s="85"/>
      <c r="F1117" s="85"/>
      <c r="G1117" s="86"/>
      <c r="H1117" s="87"/>
    </row>
    <row r="1118" spans="1:8" x14ac:dyDescent="0.2">
      <c r="A1118" s="84"/>
      <c r="B1118" s="85"/>
      <c r="C1118" s="85"/>
      <c r="D1118" s="85"/>
      <c r="E1118" s="85"/>
      <c r="F1118" s="85"/>
      <c r="G1118" s="86"/>
      <c r="H1118" s="87"/>
    </row>
    <row r="1119" spans="1:8" x14ac:dyDescent="0.2">
      <c r="A1119" s="84"/>
      <c r="B1119" s="85"/>
      <c r="C1119" s="85"/>
      <c r="D1119" s="85"/>
      <c r="E1119" s="85"/>
      <c r="F1119" s="85"/>
      <c r="G1119" s="86"/>
      <c r="H1119" s="87"/>
    </row>
    <row r="1120" spans="1:8" x14ac:dyDescent="0.2">
      <c r="A1120" s="84"/>
      <c r="B1120" s="85"/>
      <c r="C1120" s="85"/>
      <c r="D1120" s="85"/>
      <c r="E1120" s="85"/>
      <c r="F1120" s="85"/>
      <c r="G1120" s="86"/>
      <c r="H1120" s="87"/>
    </row>
    <row r="1121" spans="1:8" x14ac:dyDescent="0.2">
      <c r="A1121" s="84"/>
      <c r="B1121" s="85"/>
      <c r="C1121" s="85"/>
      <c r="D1121" s="85"/>
      <c r="E1121" s="85"/>
      <c r="F1121" s="85"/>
      <c r="G1121" s="86"/>
      <c r="H1121" s="87"/>
    </row>
    <row r="1122" spans="1:8" x14ac:dyDescent="0.2">
      <c r="A1122" s="84"/>
      <c r="B1122" s="85"/>
      <c r="C1122" s="85"/>
      <c r="D1122" s="85"/>
      <c r="E1122" s="85"/>
      <c r="F1122" s="85"/>
      <c r="G1122" s="86"/>
      <c r="H1122" s="87"/>
    </row>
    <row r="1123" spans="1:8" x14ac:dyDescent="0.2">
      <c r="A1123" s="84"/>
      <c r="B1123" s="85"/>
      <c r="C1123" s="85"/>
      <c r="D1123" s="85"/>
      <c r="E1123" s="85"/>
      <c r="F1123" s="85"/>
      <c r="G1123" s="86"/>
      <c r="H1123" s="87"/>
    </row>
    <row r="1124" spans="1:8" x14ac:dyDescent="0.2">
      <c r="A1124" s="84"/>
      <c r="B1124" s="85"/>
      <c r="C1124" s="85"/>
      <c r="D1124" s="85"/>
      <c r="E1124" s="85"/>
      <c r="F1124" s="85"/>
      <c r="G1124" s="86"/>
      <c r="H1124" s="87"/>
    </row>
    <row r="1125" spans="1:8" x14ac:dyDescent="0.2">
      <c r="A1125" s="84"/>
      <c r="B1125" s="85"/>
      <c r="C1125" s="85"/>
      <c r="D1125" s="85"/>
      <c r="E1125" s="85"/>
      <c r="F1125" s="85"/>
      <c r="G1125" s="86"/>
      <c r="H1125" s="87"/>
    </row>
    <row r="1126" spans="1:8" x14ac:dyDescent="0.2">
      <c r="A1126" s="84"/>
      <c r="B1126" s="85"/>
      <c r="C1126" s="85"/>
      <c r="D1126" s="85"/>
      <c r="E1126" s="85"/>
      <c r="F1126" s="85"/>
      <c r="G1126" s="86"/>
      <c r="H1126" s="87"/>
    </row>
    <row r="1127" spans="1:8" x14ac:dyDescent="0.2">
      <c r="A1127" s="84"/>
      <c r="B1127" s="85"/>
      <c r="C1127" s="85"/>
      <c r="D1127" s="85"/>
      <c r="E1127" s="85"/>
      <c r="F1127" s="85"/>
      <c r="G1127" s="86"/>
      <c r="H1127" s="87"/>
    </row>
    <row r="1128" spans="1:8" x14ac:dyDescent="0.2">
      <c r="A1128" s="84"/>
      <c r="B1128" s="85"/>
      <c r="C1128" s="85"/>
      <c r="D1128" s="85"/>
      <c r="E1128" s="85"/>
      <c r="F1128" s="85"/>
      <c r="G1128" s="86"/>
      <c r="H1128" s="87"/>
    </row>
    <row r="1129" spans="1:8" x14ac:dyDescent="0.2">
      <c r="A1129" s="84"/>
      <c r="B1129" s="85"/>
      <c r="C1129" s="85"/>
      <c r="D1129" s="85"/>
      <c r="E1129" s="85"/>
      <c r="F1129" s="85"/>
      <c r="G1129" s="86"/>
      <c r="H1129" s="87"/>
    </row>
    <row r="1130" spans="1:8" x14ac:dyDescent="0.2">
      <c r="A1130" s="84"/>
      <c r="B1130" s="85"/>
      <c r="C1130" s="85"/>
      <c r="D1130" s="85"/>
      <c r="E1130" s="85"/>
      <c r="F1130" s="85"/>
      <c r="G1130" s="86"/>
      <c r="H1130" s="87"/>
    </row>
    <row r="1131" spans="1:8" x14ac:dyDescent="0.2">
      <c r="A1131" s="84"/>
      <c r="B1131" s="85"/>
      <c r="C1131" s="85"/>
      <c r="D1131" s="85"/>
      <c r="E1131" s="85"/>
      <c r="F1131" s="85"/>
      <c r="G1131" s="86"/>
      <c r="H1131" s="87"/>
    </row>
    <row r="1132" spans="1:8" x14ac:dyDescent="0.2">
      <c r="A1132" s="84"/>
      <c r="B1132" s="85"/>
      <c r="C1132" s="85"/>
      <c r="D1132" s="85"/>
      <c r="E1132" s="85"/>
      <c r="F1132" s="85"/>
      <c r="G1132" s="86"/>
      <c r="H1132" s="87"/>
    </row>
    <row r="1133" spans="1:8" x14ac:dyDescent="0.2">
      <c r="A1133" s="84"/>
      <c r="B1133" s="85"/>
      <c r="C1133" s="85"/>
      <c r="D1133" s="85"/>
      <c r="E1133" s="85"/>
      <c r="F1133" s="85"/>
      <c r="G1133" s="86"/>
      <c r="H1133" s="87"/>
    </row>
    <row r="1134" spans="1:8" x14ac:dyDescent="0.2">
      <c r="A1134" s="84"/>
      <c r="B1134" s="85"/>
      <c r="C1134" s="85"/>
      <c r="D1134" s="85"/>
      <c r="E1134" s="85"/>
      <c r="F1134" s="85"/>
      <c r="G1134" s="86"/>
      <c r="H1134" s="87"/>
    </row>
    <row r="1135" spans="1:8" x14ac:dyDescent="0.2">
      <c r="A1135" s="84"/>
      <c r="B1135" s="85"/>
      <c r="C1135" s="85"/>
      <c r="D1135" s="85"/>
      <c r="E1135" s="85"/>
      <c r="F1135" s="85"/>
      <c r="G1135" s="86"/>
      <c r="H1135" s="87"/>
    </row>
    <row r="1136" spans="1:8" x14ac:dyDescent="0.2">
      <c r="A1136" s="84"/>
      <c r="B1136" s="85"/>
      <c r="C1136" s="85"/>
      <c r="D1136" s="85"/>
      <c r="E1136" s="85"/>
      <c r="F1136" s="85"/>
      <c r="G1136" s="86"/>
      <c r="H1136" s="87"/>
    </row>
    <row r="1137" spans="1:8" x14ac:dyDescent="0.2">
      <c r="A1137" s="84"/>
      <c r="B1137" s="85"/>
      <c r="C1137" s="85"/>
      <c r="D1137" s="85"/>
      <c r="E1137" s="85"/>
      <c r="F1137" s="85"/>
      <c r="G1137" s="86"/>
      <c r="H1137" s="87"/>
    </row>
    <row r="1138" spans="1:8" x14ac:dyDescent="0.2">
      <c r="A1138" s="84"/>
      <c r="B1138" s="85"/>
      <c r="C1138" s="85"/>
      <c r="D1138" s="85"/>
      <c r="E1138" s="85"/>
      <c r="F1138" s="85"/>
      <c r="G1138" s="86"/>
      <c r="H1138" s="87"/>
    </row>
    <row r="1139" spans="1:8" x14ac:dyDescent="0.2">
      <c r="A1139" s="84"/>
      <c r="B1139" s="85"/>
      <c r="C1139" s="85"/>
      <c r="D1139" s="85"/>
      <c r="E1139" s="85"/>
      <c r="F1139" s="85"/>
      <c r="G1139" s="86"/>
      <c r="H1139" s="87"/>
    </row>
    <row r="1140" spans="1:8" x14ac:dyDescent="0.2">
      <c r="A1140" s="84"/>
      <c r="B1140" s="85"/>
      <c r="C1140" s="85"/>
      <c r="D1140" s="85"/>
      <c r="E1140" s="85"/>
      <c r="F1140" s="85"/>
      <c r="G1140" s="86"/>
      <c r="H1140" s="87"/>
    </row>
    <row r="1141" spans="1:8" x14ac:dyDescent="0.2">
      <c r="A1141" s="84"/>
      <c r="B1141" s="85"/>
      <c r="C1141" s="85"/>
      <c r="D1141" s="85"/>
      <c r="E1141" s="85"/>
      <c r="F1141" s="85"/>
      <c r="G1141" s="86"/>
      <c r="H1141" s="87"/>
    </row>
    <row r="1142" spans="1:8" x14ac:dyDescent="0.2">
      <c r="A1142" s="84"/>
      <c r="B1142" s="85"/>
      <c r="C1142" s="85"/>
      <c r="D1142" s="85"/>
      <c r="E1142" s="85"/>
      <c r="F1142" s="85"/>
      <c r="G1142" s="86"/>
      <c r="H1142" s="87"/>
    </row>
    <row r="1143" spans="1:8" x14ac:dyDescent="0.2">
      <c r="A1143" s="84"/>
      <c r="B1143" s="85"/>
      <c r="C1143" s="85"/>
      <c r="D1143" s="85"/>
      <c r="E1143" s="85"/>
      <c r="F1143" s="85"/>
      <c r="G1143" s="86"/>
      <c r="H1143" s="87"/>
    </row>
  </sheetData>
  <hyperlinks>
    <hyperlink ref="I2" r:id="rId1" xr:uid="{199BD947-8172-4872-8D43-B08CAA8886CA}"/>
  </hyperlinks>
  <pageMargins left="0.511811024" right="0.511811024" top="0.78740157499999996" bottom="0.78740157499999996" header="0.31496062000000002" footer="0.31496062000000002"/>
  <pageSetup paperSize="9" orientation="portrait"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20</vt:i4>
      </vt:variant>
    </vt:vector>
  </HeadingPairs>
  <TitlesOfParts>
    <vt:vector size="34" baseType="lpstr">
      <vt:lpstr>Definições</vt:lpstr>
      <vt:lpstr>Entrada de Dados</vt:lpstr>
      <vt:lpstr>Sem ajuste</vt:lpstr>
      <vt:lpstr>Sem ajuste+Declaração</vt:lpstr>
      <vt:lpstr>Com ajuste</vt:lpstr>
      <vt:lpstr>Com ajuste+Declaração</vt:lpstr>
      <vt:lpstr>Anexo 1</vt:lpstr>
      <vt:lpstr>Anexo 1_2</vt:lpstr>
      <vt:lpstr>Cálculo</vt:lpstr>
      <vt:lpstr>Densidade do AR</vt:lpstr>
      <vt:lpstr>Dados dos Padrões</vt:lpstr>
      <vt:lpstr>Gráficos</vt:lpstr>
      <vt:lpstr>Desvio Permissível</vt:lpstr>
      <vt:lpstr>Clientes</vt:lpstr>
      <vt:lpstr>'Anexo 1'!Area_de_impressao</vt:lpstr>
      <vt:lpstr>'Anexo 1_2'!Area_de_impressao</vt:lpstr>
      <vt:lpstr>'Com ajuste'!Area_de_impressao</vt:lpstr>
      <vt:lpstr>'Com ajuste+Declaração'!Area_de_impressao</vt:lpstr>
      <vt:lpstr>'Dados dos Padrões'!Area_de_impressao</vt:lpstr>
      <vt:lpstr>'Entrada de Dados'!Area_de_impressao</vt:lpstr>
      <vt:lpstr>'Sem ajuste'!Area_de_impressao</vt:lpstr>
      <vt:lpstr>'Sem ajuste+Declaração'!Area_de_impressao</vt:lpstr>
      <vt:lpstr>Circular</vt:lpstr>
      <vt:lpstr>DesenhoPlataformas</vt:lpstr>
      <vt:lpstr>grupo</vt:lpstr>
      <vt:lpstr>Medidas</vt:lpstr>
      <vt:lpstr>Retângular</vt:lpstr>
      <vt:lpstr>'Anexo 1'!Titulos_de_impressao</vt:lpstr>
      <vt:lpstr>'Anexo 1_2'!Titulos_de_impressao</vt:lpstr>
      <vt:lpstr>'Com ajuste'!Titulos_de_impressao</vt:lpstr>
      <vt:lpstr>'Com ajuste+Declaração'!Titulos_de_impressao</vt:lpstr>
      <vt:lpstr>'Sem ajuste'!Titulos_de_impressao</vt:lpstr>
      <vt:lpstr>'Sem ajuste+Declaração'!Titulos_de_impressao</vt:lpstr>
      <vt:lpstr>Unidades</vt:lpstr>
    </vt:vector>
  </TitlesOfParts>
  <Company>particular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Thayná Carvalho Veríssimo</dc:creator>
  <cp:lastModifiedBy>Roldão Batista</cp:lastModifiedBy>
  <cp:lastPrinted>2024-01-30T12:40:34Z</cp:lastPrinted>
  <dcterms:created xsi:type="dcterms:W3CDTF">2003-10-31T17:20:01Z</dcterms:created>
  <dcterms:modified xsi:type="dcterms:W3CDTF">2024-01-30T12:40:43Z</dcterms:modified>
</cp:coreProperties>
</file>